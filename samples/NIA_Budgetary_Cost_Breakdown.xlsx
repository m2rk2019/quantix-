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goles\Downloads\"/>
    </mc:Choice>
  </mc:AlternateContent>
  <xr:revisionPtr revIDLastSave="0" documentId="13_ncr:1_{10A5E14A-B094-4BF8-84A5-283E1607A3B7}" xr6:coauthVersionLast="47" xr6:coauthVersionMax="47" xr10:uidLastSave="{00000000-0000-0000-0000-000000000000}"/>
  <bookViews>
    <workbookView xWindow="-108" yWindow="-108" windowWidth="23256" windowHeight="12456" xr2:uid="{2A705B6F-41A8-4BA8-AC73-C4842C11D7DC}"/>
  </bookViews>
  <sheets>
    <sheet name="BCB Breakdown" sheetId="1" r:id="rId1"/>
    <sheet name="Bid Summary" sheetId="3" state="hidden" r:id="rId2"/>
  </sheets>
  <externalReferences>
    <externalReference r:id="rId3"/>
  </externalReferences>
  <definedNames>
    <definedName name="\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#N/A</definedName>
    <definedName name="\p">#N/A</definedName>
    <definedName name="\q">#N/A</definedName>
    <definedName name="\s">#REF!</definedName>
    <definedName name="\t">#N/A</definedName>
    <definedName name="\u">#N/A</definedName>
    <definedName name="\w">#N/A</definedName>
    <definedName name="\x">#REF!</definedName>
    <definedName name="\y">#N/A</definedName>
    <definedName name="\z">#REF!</definedName>
    <definedName name="_">#REF!</definedName>
    <definedName name="__" hidden="1">#REF!,#REF!</definedName>
    <definedName name="___" hidden="1">#REF!</definedName>
    <definedName name="____" hidden="1">#REF!,#REF!</definedName>
    <definedName name="_____" hidden="1">#REF!,#REF!</definedName>
    <definedName name="______" hidden="1">#REF!,#REF!</definedName>
    <definedName name="_______" hidden="1">#REF!</definedName>
    <definedName name="________" hidden="1">#REF!</definedName>
    <definedName name="_________" hidden="1">{"form-D1",#N/A,FALSE,"FORM-D1";"form-D1_amt",#N/A,FALSE,"FORM-D1"}</definedName>
    <definedName name="__________" hidden="1">#REF!</definedName>
    <definedName name="_____________________________________________________key2" hidden="1">#REF!</definedName>
    <definedName name="____________________________________________________key2" hidden="1">#REF!</definedName>
    <definedName name="___________________________________________________ccr1" hidden="1">{#N/A,#N/A,TRUE,"Cover";#N/A,#N/A,TRUE,"Conts";#N/A,#N/A,TRUE,"VOS";#N/A,#N/A,TRUE,"Warrington";#N/A,#N/A,TRUE,"Widnes"}</definedName>
    <definedName name="___________________________________________________WIN22">#REF!</definedName>
    <definedName name="__________________________________________________key2" hidden="1">#REF!</definedName>
    <definedName name="__________________________________________________PL22">#REF!</definedName>
    <definedName name="__________________________________________________WIN2">#REF!</definedName>
    <definedName name="__________________________________________________WIN22">#REF!</definedName>
    <definedName name="_________________________________________________PL22">#REF!</definedName>
    <definedName name="_________________________________________________WIN2">#REF!</definedName>
    <definedName name="_________________________________________________WIN22">#REF!</definedName>
    <definedName name="________________________________________________key2" hidden="1">#REF!</definedName>
    <definedName name="________________________________________________PL22">#REF!</definedName>
    <definedName name="________________________________________________WIN2">#REF!</definedName>
    <definedName name="________________________________________________WIN22">#REF!</definedName>
    <definedName name="_______________________________________________key2" hidden="1">#REF!</definedName>
    <definedName name="_______________________________________________PL22">#REF!</definedName>
    <definedName name="_______________________________________________WIN2">#REF!</definedName>
    <definedName name="_______________________________________________WIN22">#REF!</definedName>
    <definedName name="______________________________________________key2" hidden="1">#REF!</definedName>
    <definedName name="______________________________________________PL22">#REF!</definedName>
    <definedName name="______________________________________________WIN2">#REF!</definedName>
    <definedName name="______________________________________________WIN22">#REF!</definedName>
    <definedName name="_____________________________________________key2" hidden="1">#REF!</definedName>
    <definedName name="_____________________________________________PL22">#REF!</definedName>
    <definedName name="_____________________________________________WIN2">#REF!</definedName>
    <definedName name="_____________________________________________WIN22">#REF!</definedName>
    <definedName name="____________________________________________key2" hidden="1">#REF!</definedName>
    <definedName name="____________________________________________PL22">#REF!</definedName>
    <definedName name="____________________________________________TF1">#REF!</definedName>
    <definedName name="____________________________________________WD1">#REF!</definedName>
    <definedName name="____________________________________________WIN2">#REF!</definedName>
    <definedName name="____________________________________________WIN22">#REF!</definedName>
    <definedName name="____________________________________________win24">#REF!</definedName>
    <definedName name="____________________________________________win25">#REF!</definedName>
    <definedName name="____________________________________________win26">#REF!</definedName>
    <definedName name="___________________________________________key2" hidden="1">#REF!</definedName>
    <definedName name="___________________________________________PL22">#REF!</definedName>
    <definedName name="___________________________________________WIN2">#REF!</definedName>
    <definedName name="___________________________________________WIN22">#REF!</definedName>
    <definedName name="___________________________________________WIN23">#REF!</definedName>
    <definedName name="__________________________________________key2" hidden="1">#REF!</definedName>
    <definedName name="__________________________________________PL22">#REF!</definedName>
    <definedName name="__________________________________________TF1">#REF!</definedName>
    <definedName name="__________________________________________WD1">#REF!</definedName>
    <definedName name="__________________________________________WIN2">#REF!</definedName>
    <definedName name="__________________________________________WIN22">#REF!</definedName>
    <definedName name="__________________________________________win24">#REF!</definedName>
    <definedName name="__________________________________________win25">#REF!</definedName>
    <definedName name="__________________________________________win26">#REF!</definedName>
    <definedName name="_________________________________________key2" hidden="1">#REF!</definedName>
    <definedName name="_________________________________________PL22">#REF!</definedName>
    <definedName name="_________________________________________WIN2">#REF!</definedName>
    <definedName name="_________________________________________WIN22">#REF!</definedName>
    <definedName name="_________________________________________WIN23">#REF!</definedName>
    <definedName name="________________________________________key2" hidden="1">#REF!</definedName>
    <definedName name="________________________________________PL22">#REF!</definedName>
    <definedName name="________________________________________TF1">#REF!</definedName>
    <definedName name="________________________________________WD1">#REF!</definedName>
    <definedName name="________________________________________WIN2">#REF!</definedName>
    <definedName name="________________________________________WIN22">#REF!</definedName>
    <definedName name="________________________________________win24">#REF!</definedName>
    <definedName name="________________________________________win25">#REF!</definedName>
    <definedName name="________________________________________win26">#REF!</definedName>
    <definedName name="_______________________________________key2" hidden="1">#REF!</definedName>
    <definedName name="_______________________________________PL22">#REF!</definedName>
    <definedName name="_______________________________________WIN2">#REF!</definedName>
    <definedName name="_______________________________________WIN22">#REF!</definedName>
    <definedName name="_______________________________________WIN23">#REF!</definedName>
    <definedName name="______________________________________key2" hidden="1">#REF!</definedName>
    <definedName name="______________________________________PL22">#REF!</definedName>
    <definedName name="______________________________________TF1">#REF!</definedName>
    <definedName name="______________________________________WD1">#REF!</definedName>
    <definedName name="______________________________________WIN2">#REF!</definedName>
    <definedName name="______________________________________WIN22">#REF!</definedName>
    <definedName name="______________________________________win24">#REF!</definedName>
    <definedName name="______________________________________win25">#REF!</definedName>
    <definedName name="______________________________________win26">#REF!</definedName>
    <definedName name="_____________________________________key2" hidden="1">#REF!</definedName>
    <definedName name="_____________________________________PL22">#REF!</definedName>
    <definedName name="_____________________________________WIN2">#REF!</definedName>
    <definedName name="_____________________________________WIN22">#REF!</definedName>
    <definedName name="_____________________________________WIN23">#REF!</definedName>
    <definedName name="____________________________________key2" hidden="1">#REF!</definedName>
    <definedName name="____________________________________PL22">#REF!</definedName>
    <definedName name="____________________________________TF1">#REF!</definedName>
    <definedName name="____________________________________WD1">#REF!</definedName>
    <definedName name="____________________________________WIN2">#REF!</definedName>
    <definedName name="____________________________________WIN22">#REF!</definedName>
    <definedName name="____________________________________win24">#REF!</definedName>
    <definedName name="____________________________________win25">#REF!</definedName>
    <definedName name="____________________________________win26">#REF!</definedName>
    <definedName name="___________________________________key2" hidden="1">#REF!</definedName>
    <definedName name="___________________________________PL22">#REF!</definedName>
    <definedName name="___________________________________WIN2">#REF!</definedName>
    <definedName name="___________________________________WIN22">#REF!</definedName>
    <definedName name="___________________________________WIN23">#REF!</definedName>
    <definedName name="__________________________________ccr1" hidden="1">{#N/A,#N/A,TRUE,"Cover";#N/A,#N/A,TRUE,"Conts";#N/A,#N/A,TRUE,"VOS";#N/A,#N/A,TRUE,"Warrington";#N/A,#N/A,TRUE,"Widnes"}</definedName>
    <definedName name="__________________________________key2" hidden="1">#REF!</definedName>
    <definedName name="__________________________________PL22">#REF!</definedName>
    <definedName name="__________________________________TF1">#REF!</definedName>
    <definedName name="__________________________________WD1">#REF!</definedName>
    <definedName name="__________________________________WIN2">#REF!</definedName>
    <definedName name="__________________________________WIN22">#REF!</definedName>
    <definedName name="__________________________________win24">#REF!</definedName>
    <definedName name="__________________________________win25">#REF!</definedName>
    <definedName name="__________________________________win26">#REF!</definedName>
    <definedName name="_________________________________key2" hidden="1">#REF!</definedName>
    <definedName name="_________________________________PL22">#REF!</definedName>
    <definedName name="_________________________________WIN2">#REF!</definedName>
    <definedName name="_________________________________WIN22">#REF!</definedName>
    <definedName name="_________________________________WIN23">#REF!</definedName>
    <definedName name="________________________________key2" hidden="1">#REF!</definedName>
    <definedName name="________________________________PL22">#REF!</definedName>
    <definedName name="________________________________TF1">#REF!</definedName>
    <definedName name="________________________________WD1">#REF!</definedName>
    <definedName name="________________________________WIN2">#REF!</definedName>
    <definedName name="________________________________WIN22">#REF!</definedName>
    <definedName name="________________________________win24">#REF!</definedName>
    <definedName name="________________________________win25">#REF!</definedName>
    <definedName name="________________________________win26">#REF!</definedName>
    <definedName name="_______________________________key2" hidden="1">#REF!</definedName>
    <definedName name="_______________________________PL22">#REF!</definedName>
    <definedName name="_______________________________WIN2">#REF!</definedName>
    <definedName name="_______________________________WIN22">#REF!</definedName>
    <definedName name="_______________________________WIN23">#REF!</definedName>
    <definedName name="______________________________ccr1" hidden="1">{#N/A,#N/A,TRUE,"Cover";#N/A,#N/A,TRUE,"Conts";#N/A,#N/A,TRUE,"VOS";#N/A,#N/A,TRUE,"Warrington";#N/A,#N/A,TRUE,"Widnes"}</definedName>
    <definedName name="______________________________key2" hidden="1">#REF!</definedName>
    <definedName name="______________________________PL22">#REF!</definedName>
    <definedName name="______________________________TF1">#REF!</definedName>
    <definedName name="______________________________WD1">#REF!</definedName>
    <definedName name="______________________________WIN2">#REF!</definedName>
    <definedName name="______________________________WIN22">#REF!</definedName>
    <definedName name="______________________________win24">#REF!</definedName>
    <definedName name="______________________________win25">#REF!</definedName>
    <definedName name="______________________________win26">#REF!</definedName>
    <definedName name="_____________________________key2" hidden="1">#REF!</definedName>
    <definedName name="_____________________________PL22">#REF!</definedName>
    <definedName name="_____________________________WIN2">#REF!</definedName>
    <definedName name="_____________________________WIN22">#REF!</definedName>
    <definedName name="_____________________________WIN23">#REF!</definedName>
    <definedName name="____________________________key2" hidden="1">#REF!</definedName>
    <definedName name="____________________________PL22">#REF!</definedName>
    <definedName name="____________________________TF1">#REF!</definedName>
    <definedName name="____________________________WD1">#REF!</definedName>
    <definedName name="____________________________WIN2">#REF!</definedName>
    <definedName name="____________________________WIN22">#REF!</definedName>
    <definedName name="____________________________win24">#REF!</definedName>
    <definedName name="____________________________win25">#REF!</definedName>
    <definedName name="____________________________win26">#REF!</definedName>
    <definedName name="___________________________key2" hidden="1">#REF!</definedName>
    <definedName name="___________________________PL22">#REF!</definedName>
    <definedName name="___________________________WIN2">#REF!</definedName>
    <definedName name="___________________________WIN22">#REF!</definedName>
    <definedName name="___________________________WIN23">#REF!</definedName>
    <definedName name="__________________________ccr1" hidden="1">{#N/A,#N/A,TRUE,"Cover";#N/A,#N/A,TRUE,"Conts";#N/A,#N/A,TRUE,"VOS";#N/A,#N/A,TRUE,"Warrington";#N/A,#N/A,TRUE,"Widnes"}</definedName>
    <definedName name="__________________________key2" hidden="1">#REF!</definedName>
    <definedName name="__________________________PL22">#REF!</definedName>
    <definedName name="__________________________TF1">#REF!</definedName>
    <definedName name="__________________________WD1">#REF!</definedName>
    <definedName name="__________________________WIN2">#REF!</definedName>
    <definedName name="__________________________WIN22">#REF!</definedName>
    <definedName name="__________________________win24">#REF!</definedName>
    <definedName name="__________________________win25">#REF!</definedName>
    <definedName name="__________________________win26">#REF!</definedName>
    <definedName name="_________________________ccr1" hidden="1">{#N/A,#N/A,TRUE,"Cover";#N/A,#N/A,TRUE,"Conts";#N/A,#N/A,TRUE,"VOS";#N/A,#N/A,TRUE,"Warrington";#N/A,#N/A,TRUE,"Widnes"}</definedName>
    <definedName name="_________________________key2" hidden="1">#REF!</definedName>
    <definedName name="_________________________PL22">#REF!</definedName>
    <definedName name="_________________________TF1">#REF!</definedName>
    <definedName name="_________________________WD1">#REF!</definedName>
    <definedName name="_________________________WIN2">#REF!</definedName>
    <definedName name="_________________________WIN22">#REF!</definedName>
    <definedName name="_________________________WIN23">#REF!</definedName>
    <definedName name="_________________________win24">#REF!</definedName>
    <definedName name="_________________________win25">#REF!</definedName>
    <definedName name="_________________________win26">#REF!</definedName>
    <definedName name="________________________ccr1" hidden="1">{#N/A,#N/A,TRUE,"Cover";#N/A,#N/A,TRUE,"Conts";#N/A,#N/A,TRUE,"VOS";#N/A,#N/A,TRUE,"Warrington";#N/A,#N/A,TRUE,"Widnes"}</definedName>
    <definedName name="________________________key2" hidden="1">#REF!</definedName>
    <definedName name="________________________PL22">#REF!</definedName>
    <definedName name="________________________TF1">#REF!</definedName>
    <definedName name="________________________WD1">#REF!</definedName>
    <definedName name="________________________WIN2">#REF!</definedName>
    <definedName name="________________________WIN22">#REF!</definedName>
    <definedName name="________________________WIN23">#REF!</definedName>
    <definedName name="________________________win24">#REF!</definedName>
    <definedName name="________________________win25">#REF!</definedName>
    <definedName name="________________________win26">#REF!</definedName>
    <definedName name="_______________________key2" hidden="1">#REF!</definedName>
    <definedName name="_______________________PL22">#REF!</definedName>
    <definedName name="_______________________TF1">#REF!</definedName>
    <definedName name="_______________________WD1">#REF!</definedName>
    <definedName name="_______________________WIN2">#REF!</definedName>
    <definedName name="_______________________WIN22">#REF!</definedName>
    <definedName name="_______________________WIN23">#REF!</definedName>
    <definedName name="_______________________win24">#REF!</definedName>
    <definedName name="_______________________win25">#REF!</definedName>
    <definedName name="_______________________win26">#REF!</definedName>
    <definedName name="______________________key2" hidden="1">#REF!</definedName>
    <definedName name="______________________PL22">#REF!</definedName>
    <definedName name="______________________TF1">#REF!</definedName>
    <definedName name="______________________WD1">#REF!</definedName>
    <definedName name="______________________WIN2">#REF!</definedName>
    <definedName name="______________________WIN22">#REF!</definedName>
    <definedName name="______________________WIN23">#REF!</definedName>
    <definedName name="______________________win24">#REF!</definedName>
    <definedName name="______________________win25">#REF!</definedName>
    <definedName name="______________________win26">#REF!</definedName>
    <definedName name="_____________________key2" hidden="1">#REF!</definedName>
    <definedName name="_____________________PL22">#REF!</definedName>
    <definedName name="_____________________TF1">#REF!</definedName>
    <definedName name="_____________________WD1">#REF!</definedName>
    <definedName name="_____________________WIN2">#REF!</definedName>
    <definedName name="_____________________WIN22">#REF!</definedName>
    <definedName name="_____________________WIN23">#REF!</definedName>
    <definedName name="_____________________win24">#REF!</definedName>
    <definedName name="_____________________win25">#REF!</definedName>
    <definedName name="_____________________win26">#REF!</definedName>
    <definedName name="____________________key2" hidden="1">#REF!</definedName>
    <definedName name="____________________new8" hidden="1">#REF!</definedName>
    <definedName name="____________________PL22">#REF!</definedName>
    <definedName name="____________________TF1">#REF!</definedName>
    <definedName name="____________________WD1">#REF!</definedName>
    <definedName name="____________________WIN2">#REF!</definedName>
    <definedName name="____________________WIN22">#REF!</definedName>
    <definedName name="____________________WIN23">#REF!</definedName>
    <definedName name="____________________win24">#REF!</definedName>
    <definedName name="____________________win25">#REF!</definedName>
    <definedName name="____________________win26">#REF!</definedName>
    <definedName name="___________________ccr1" hidden="1">{#N/A,#N/A,TRUE,"Cover";#N/A,#N/A,TRUE,"Conts";#N/A,#N/A,TRUE,"VOS";#N/A,#N/A,TRUE,"Warrington";#N/A,#N/A,TRUE,"Widnes"}</definedName>
    <definedName name="___________________key2" hidden="1">#REF!</definedName>
    <definedName name="___________________PL22">#REF!</definedName>
    <definedName name="___________________TF1">#REF!</definedName>
    <definedName name="___________________WD1">#REF!</definedName>
    <definedName name="___________________WIN2">#REF!</definedName>
    <definedName name="___________________WIN22">#REF!</definedName>
    <definedName name="___________________WIN23">#REF!</definedName>
    <definedName name="___________________win24">#REF!</definedName>
    <definedName name="___________________win25">#REF!</definedName>
    <definedName name="___________________win26">#REF!</definedName>
    <definedName name="__________________ccr1" hidden="1">{#N/A,#N/A,TRUE,"Cover";#N/A,#N/A,TRUE,"Conts";#N/A,#N/A,TRUE,"VOS";#N/A,#N/A,TRUE,"Warrington";#N/A,#N/A,TRUE,"Widnes"}</definedName>
    <definedName name="__________________key2" hidden="1">#REF!</definedName>
    <definedName name="__________________PL22">#REF!</definedName>
    <definedName name="__________________TF1">#REF!</definedName>
    <definedName name="__________________WD1">#REF!</definedName>
    <definedName name="__________________WIN2">#REF!</definedName>
    <definedName name="__________________WIN22">#REF!</definedName>
    <definedName name="__________________WIN23">#REF!</definedName>
    <definedName name="__________________win24">#REF!</definedName>
    <definedName name="__________________win25">#REF!</definedName>
    <definedName name="__________________win26">#REF!</definedName>
    <definedName name="_________________key2" hidden="1">#REF!</definedName>
    <definedName name="_________________PL22">#REF!</definedName>
    <definedName name="_________________TF1">#REF!</definedName>
    <definedName name="_________________WD1">#REF!</definedName>
    <definedName name="_________________WIN2">#REF!</definedName>
    <definedName name="_________________WIN22">#REF!</definedName>
    <definedName name="_________________WIN23">#REF!</definedName>
    <definedName name="_________________win24">#REF!</definedName>
    <definedName name="_________________win25">#REF!</definedName>
    <definedName name="_________________win26">#REF!</definedName>
    <definedName name="________________ccr1" hidden="1">{#N/A,#N/A,TRUE,"Cover";#N/A,#N/A,TRUE,"Conts";#N/A,#N/A,TRUE,"VOS";#N/A,#N/A,TRUE,"Warrington";#N/A,#N/A,TRUE,"Widnes"}</definedName>
    <definedName name="________________key2" hidden="1">#REF!</definedName>
    <definedName name="________________PL22">#REF!</definedName>
    <definedName name="________________s41_2" hidden="1">{"form-D1",#N/A,FALSE,"FORM-D1";"form-D1_amt",#N/A,FALSE,"FORM-D1"}</definedName>
    <definedName name="________________s41_3" hidden="1">{"form-D1",#N/A,FALSE,"FORM-D1";"form-D1_amt",#N/A,FALSE,"FORM-D1"}</definedName>
    <definedName name="________________TF1">#REF!</definedName>
    <definedName name="________________WD1">#REF!</definedName>
    <definedName name="________________WIN2">#REF!</definedName>
    <definedName name="________________WIN22">#REF!</definedName>
    <definedName name="________________WIN23">#REF!</definedName>
    <definedName name="________________win24">#REF!</definedName>
    <definedName name="________________win25">#REF!</definedName>
    <definedName name="________________win26">#REF!</definedName>
    <definedName name="_______________ccr1" hidden="1">{#N/A,#N/A,TRUE,"Cover";#N/A,#N/A,TRUE,"Conts";#N/A,#N/A,TRUE,"VOS";#N/A,#N/A,TRUE,"Warrington";#N/A,#N/A,TRUE,"Widnes"}</definedName>
    <definedName name="_______________key2" hidden="1">#REF!</definedName>
    <definedName name="_______________PL22">#REF!</definedName>
    <definedName name="_______________TF1">#REF!</definedName>
    <definedName name="_______________WD1">#REF!</definedName>
    <definedName name="_______________WIN2">#REF!</definedName>
    <definedName name="_______________WIN22">#REF!</definedName>
    <definedName name="_______________WIN23">#REF!</definedName>
    <definedName name="_______________win24">#REF!</definedName>
    <definedName name="_______________win25">#REF!</definedName>
    <definedName name="_______________win26">#REF!</definedName>
    <definedName name="______________ccr1" hidden="1">{#N/A,#N/A,TRUE,"Cover";#N/A,#N/A,TRUE,"Conts";#N/A,#N/A,TRUE,"VOS";#N/A,#N/A,TRUE,"Warrington";#N/A,#N/A,TRUE,"Widnes"}</definedName>
    <definedName name="______________key2" hidden="1">#REF!</definedName>
    <definedName name="______________new8" hidden="1">#REF!</definedName>
    <definedName name="______________PL22">#REF!</definedName>
    <definedName name="______________s41" hidden="1">{"form-D1",#N/A,FALSE,"FORM-D1";"form-D1_amt",#N/A,FALSE,"FORM-D1"}</definedName>
    <definedName name="______________s41_1" hidden="1">{"form-D1",#N/A,FALSE,"FORM-D1";"form-D1_amt",#N/A,FALSE,"FORM-D1"}</definedName>
    <definedName name="______________s41_2" hidden="1">{"form-D1",#N/A,FALSE,"FORM-D1";"form-D1_amt",#N/A,FALSE,"FORM-D1"}</definedName>
    <definedName name="______________s41_3" hidden="1">{"form-D1",#N/A,FALSE,"FORM-D1";"form-D1_amt",#N/A,FALSE,"FORM-D1"}</definedName>
    <definedName name="______________TF1">#REF!</definedName>
    <definedName name="______________WD1">#REF!</definedName>
    <definedName name="______________WIN2">#REF!</definedName>
    <definedName name="______________WIN22">#REF!</definedName>
    <definedName name="______________WIN23">#REF!</definedName>
    <definedName name="______________win24">#REF!</definedName>
    <definedName name="______________win25">#REF!</definedName>
    <definedName name="______________win26">#REF!</definedName>
    <definedName name="_____________ccr1" hidden="1">{#N/A,#N/A,TRUE,"Cover";#N/A,#N/A,TRUE,"Conts";#N/A,#N/A,TRUE,"VOS";#N/A,#N/A,TRUE,"Warrington";#N/A,#N/A,TRUE,"Widnes"}</definedName>
    <definedName name="_____________CPB1" hidden="1">#REF!</definedName>
    <definedName name="_____________key2" hidden="1">#REF!</definedName>
    <definedName name="_____________PL22">#REF!</definedName>
    <definedName name="_____________s41" hidden="1">{"form-D1",#N/A,FALSE,"FORM-D1";"form-D1_amt",#N/A,FALSE,"FORM-D1"}</definedName>
    <definedName name="_____________s41_1" hidden="1">{"form-D1",#N/A,FALSE,"FORM-D1";"form-D1_amt",#N/A,FALSE,"FORM-D1"}</definedName>
    <definedName name="_____________s41_2" hidden="1">{"form-D1",#N/A,FALSE,"FORM-D1";"form-D1_amt",#N/A,FALSE,"FORM-D1"}</definedName>
    <definedName name="_____________s41_3" hidden="1">{"form-D1",#N/A,FALSE,"FORM-D1";"form-D1_amt",#N/A,FALSE,"FORM-D1"}</definedName>
    <definedName name="_____________TF1">#REF!</definedName>
    <definedName name="_____________WD1">#REF!</definedName>
    <definedName name="_____________WIN2">#REF!</definedName>
    <definedName name="_____________WIN22">#REF!</definedName>
    <definedName name="_____________WIN23">#REF!</definedName>
    <definedName name="_____________win24">#REF!</definedName>
    <definedName name="_____________win25">#REF!</definedName>
    <definedName name="_____________win26">#REF!</definedName>
    <definedName name="____________a11" hidden="1">{"'장비'!$A$3:$M$12"}</definedName>
    <definedName name="____________AS1" hidden="1">{#N/A,#N/A,FALSE,"müş_iç_ihz";#N/A,#N/A,FALSE,"müş_iç_er";#N/A,#N/A,FALSE,"müş_iç_tut"}</definedName>
    <definedName name="____________ccr1" hidden="1">{#N/A,#N/A,TRUE,"Cover";#N/A,#N/A,TRUE,"Conts";#N/A,#N/A,TRUE,"VOS";#N/A,#N/A,TRUE,"Warrington";#N/A,#N/A,TRUE,"Widnes"}</definedName>
    <definedName name="____________H3" hidden="1">{"'장비'!$A$3:$M$12"}</definedName>
    <definedName name="____________key2" hidden="1">#REF!</definedName>
    <definedName name="____________PL22">#REF!</definedName>
    <definedName name="____________s41" hidden="1">{"form-D1",#N/A,FALSE,"FORM-D1";"form-D1_amt",#N/A,FALSE,"FORM-D1"}</definedName>
    <definedName name="____________s41_1" hidden="1">{"form-D1",#N/A,FALSE,"FORM-D1";"form-D1_amt",#N/A,FALSE,"FORM-D1"}</definedName>
    <definedName name="____________s41_2" hidden="1">{"form-D1",#N/A,FALSE,"FORM-D1";"form-D1_amt",#N/A,FALSE,"FORM-D1"}</definedName>
    <definedName name="____________s41_3" hidden="1">{"form-D1",#N/A,FALSE,"FORM-D1";"form-D1_amt",#N/A,FALSE,"FORM-D1"}</definedName>
    <definedName name="____________TF1">#REF!</definedName>
    <definedName name="____________WD1">#REF!</definedName>
    <definedName name="____________WIN2">#REF!</definedName>
    <definedName name="____________WIN22">#REF!</definedName>
    <definedName name="____________WIN23">#REF!</definedName>
    <definedName name="____________win24">#REF!</definedName>
    <definedName name="____________win25">#REF!</definedName>
    <definedName name="____________win26">#REF!</definedName>
    <definedName name="___________ccr1" hidden="1">{#N/A,#N/A,TRUE,"Cover";#N/A,#N/A,TRUE,"Conts";#N/A,#N/A,TRUE,"VOS";#N/A,#N/A,TRUE,"Warrington";#N/A,#N/A,TRUE,"Widnes"}</definedName>
    <definedName name="___________CPB1" hidden="1">#REF!</definedName>
    <definedName name="___________d2" hidden="1">{#N/A,#N/A,FALSE,"mgtsum.XLS";#N/A,#N/A,FALSE,"CAPONE";#N/A,#N/A,FALSE,"CAPTWO";#N/A,#N/A,FALSE,"CAPTHREE"}</definedName>
    <definedName name="___________key2" hidden="1">#REF!</definedName>
    <definedName name="____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__new8" hidden="1">#REF!</definedName>
    <definedName name="___________PL22">#REF!</definedName>
    <definedName name="___________s41" hidden="1">{"form-D1",#N/A,FALSE,"FORM-D1";"form-D1_amt",#N/A,FALSE,"FORM-D1"}</definedName>
    <definedName name="___________s41_1" hidden="1">{"form-D1",#N/A,FALSE,"FORM-D1";"form-D1_amt",#N/A,FALSE,"FORM-D1"}</definedName>
    <definedName name="___________s41_2" hidden="1">{"form-D1",#N/A,FALSE,"FORM-D1";"form-D1_amt",#N/A,FALSE,"FORM-D1"}</definedName>
    <definedName name="___________s41_3" hidden="1">{"form-D1",#N/A,FALSE,"FORM-D1";"form-D1_amt",#N/A,FALSE,"FORM-D1"}</definedName>
    <definedName name="___________TF1">#REF!</definedName>
    <definedName name="___________WD1">#REF!</definedName>
    <definedName name="___________WIN2">#REF!</definedName>
    <definedName name="___________WIN22">#REF!</definedName>
    <definedName name="___________WIN23">#REF!</definedName>
    <definedName name="___________win24">#REF!</definedName>
    <definedName name="___________win25">#REF!</definedName>
    <definedName name="___________win26">#REF!</definedName>
    <definedName name="__________AS1" hidden="1">{#N/A,#N/A,FALSE,"müş_iç_ihz";#N/A,#N/A,FALSE,"müş_iç_er";#N/A,#N/A,FALSE,"müş_iç_tut"}</definedName>
    <definedName name="__________ccr1" hidden="1">{#N/A,#N/A,TRUE,"Cover";#N/A,#N/A,TRUE,"Conts";#N/A,#N/A,TRUE,"VOS";#N/A,#N/A,TRUE,"Warrington";#N/A,#N/A,TRUE,"Widnes"}</definedName>
    <definedName name="__________d2" hidden="1">{#N/A,#N/A,FALSE,"mgtsum.XLS";#N/A,#N/A,FALSE,"CAPONE";#N/A,#N/A,FALSE,"CAPTWO";#N/A,#N/A,FALSE,"CAPTHREE"}</definedName>
    <definedName name="__________key2" hidden="1">#REF!</definedName>
    <definedName name="__________PL22">#REF!</definedName>
    <definedName name="__________s41" hidden="1">{"form-D1",#N/A,FALSE,"FORM-D1";"form-D1_amt",#N/A,FALSE,"FORM-D1"}</definedName>
    <definedName name="__________s41_1" hidden="1">{"form-D1",#N/A,FALSE,"FORM-D1";"form-D1_amt",#N/A,FALSE,"FORM-D1"}</definedName>
    <definedName name="__________s41_2" hidden="1">{"form-D1",#N/A,FALSE,"FORM-D1";"form-D1_amt",#N/A,FALSE,"FORM-D1"}</definedName>
    <definedName name="__________s41_3" hidden="1">{"form-D1",#N/A,FALSE,"FORM-D1";"form-D1_amt",#N/A,FALSE,"FORM-D1"}</definedName>
    <definedName name="__________TF1">#REF!</definedName>
    <definedName name="__________WD1">#REF!</definedName>
    <definedName name="__________WIN2">#REF!</definedName>
    <definedName name="__________WIN22">#REF!</definedName>
    <definedName name="__________WIN23">#REF!</definedName>
    <definedName name="__________win24">#REF!</definedName>
    <definedName name="__________win25">#REF!</definedName>
    <definedName name="__________win26">#REF!</definedName>
    <definedName name="_________ccr1" hidden="1">{#N/A,#N/A,TRUE,"Cover";#N/A,#N/A,TRUE,"Conts";#N/A,#N/A,TRUE,"VOS";#N/A,#N/A,TRUE,"Warrington";#N/A,#N/A,TRUE,"Widnes"}</definedName>
    <definedName name="_________d2" hidden="1">{#N/A,#N/A,FALSE,"mgtsum.XLS";#N/A,#N/A,FALSE,"CAPONE";#N/A,#N/A,FALSE,"CAPTWO";#N/A,#N/A,FALSE,"CAPTHREE"}</definedName>
    <definedName name="_________jpl1" hidden="1">#REF!</definedName>
    <definedName name="_________key2" hidden="1">#REF!</definedName>
    <definedName name="__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PL22">#REF!</definedName>
    <definedName name="_________s41" hidden="1">{"form-D1",#N/A,FALSE,"FORM-D1";"form-D1_amt",#N/A,FALSE,"FORM-D1"}</definedName>
    <definedName name="_________s41_1" hidden="1">{"form-D1",#N/A,FALSE,"FORM-D1";"form-D1_amt",#N/A,FALSE,"FORM-D1"}</definedName>
    <definedName name="_________s41_2" hidden="1">{"form-D1",#N/A,FALSE,"FORM-D1";"form-D1_amt",#N/A,FALSE,"FORM-D1"}</definedName>
    <definedName name="_________s41_3" hidden="1">{"form-D1",#N/A,FALSE,"FORM-D1";"form-D1_amt",#N/A,FALSE,"FORM-D1"}</definedName>
    <definedName name="_________SK1" hidden="1">{"ss",#N/A,FALSE,"MODULE3"}</definedName>
    <definedName name="_________TF1">#REF!</definedName>
    <definedName name="_________WD1">#REF!</definedName>
    <definedName name="_________WIN2">#REF!</definedName>
    <definedName name="_________WIN22">#REF!</definedName>
    <definedName name="_________WIN23">#REF!</definedName>
    <definedName name="_________win24">#REF!</definedName>
    <definedName name="_________win25">#REF!</definedName>
    <definedName name="_________win26">#REF!</definedName>
    <definedName name="_________WN7" hidden="1">{#N/A,#N/A,FALSE,"MODULE3"}</definedName>
    <definedName name="________AS1" hidden="1">{#N/A,#N/A,FALSE,"müş_iç_ihz";#N/A,#N/A,FALSE,"müş_iç_er";#N/A,#N/A,FALSE,"müş_iç_tut"}</definedName>
    <definedName name="________ccr1" hidden="1">{#N/A,#N/A,TRUE,"Cover";#N/A,#N/A,TRUE,"Conts";#N/A,#N/A,TRUE,"VOS";#N/A,#N/A,TRUE,"Warrington";#N/A,#N/A,TRUE,"Widnes"}</definedName>
    <definedName name="________CPB1" hidden="1">#REF!</definedName>
    <definedName name="________d2" hidden="1">{#N/A,#N/A,FALSE,"mgtsum.XLS";#N/A,#N/A,FALSE,"CAPONE";#N/A,#N/A,FALSE,"CAPTWO";#N/A,#N/A,FALSE,"CAPTHREE"}</definedName>
    <definedName name="________jpl1" hidden="1">#REF!</definedName>
    <definedName name="________key2" hidden="1">#REF!</definedName>
    <definedName name="________new8" hidden="1">#REF!</definedName>
    <definedName name="________PL22">#REF!</definedName>
    <definedName name="________s41" hidden="1">{"form-D1",#N/A,FALSE,"FORM-D1";"form-D1_amt",#N/A,FALSE,"FORM-D1"}</definedName>
    <definedName name="________s41_1" hidden="1">{"form-D1",#N/A,FALSE,"FORM-D1";"form-D1_amt",#N/A,FALSE,"FORM-D1"}</definedName>
    <definedName name="________s41_2" hidden="1">{"form-D1",#N/A,FALSE,"FORM-D1";"form-D1_amt",#N/A,FALSE,"FORM-D1"}</definedName>
    <definedName name="________s41_3" hidden="1">{"form-D1",#N/A,FALSE,"FORM-D1";"form-D1_amt",#N/A,FALSE,"FORM-D1"}</definedName>
    <definedName name="________SK1" hidden="1">{"ss",#N/A,FALSE,"MODULE3"}</definedName>
    <definedName name="________TF1">#REF!</definedName>
    <definedName name="________WD1">#REF!</definedName>
    <definedName name="________WIN2">#REF!</definedName>
    <definedName name="________WIN22">#REF!</definedName>
    <definedName name="________WIN23">#REF!</definedName>
    <definedName name="________win24">#REF!</definedName>
    <definedName name="________win25">#REF!</definedName>
    <definedName name="________win26">#REF!</definedName>
    <definedName name="________WN7" hidden="1">{#N/A,#N/A,FALSE,"MODULE3"}</definedName>
    <definedName name="_______ccr1" hidden="1">{#N/A,#N/A,TRUE,"Cover";#N/A,#N/A,TRUE,"Conts";#N/A,#N/A,TRUE,"VOS";#N/A,#N/A,TRUE,"Warrington";#N/A,#N/A,TRUE,"Widnes"}</definedName>
    <definedName name="_______d2" hidden="1">{#N/A,#N/A,FALSE,"mgtsum.XLS";#N/A,#N/A,FALSE,"CAPONE";#N/A,#N/A,FALSE,"CAPTWO";#N/A,#N/A,FALSE,"CAPTHREE"}</definedName>
    <definedName name="_______dec05" hidden="1">{"'Sheet1'!$A$4386:$N$4591"}</definedName>
    <definedName name="_______jpl1" hidden="1">#REF!</definedName>
    <definedName name="_______key2" hidden="1">#REF!</definedName>
    <definedName name="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new8" hidden="1">#REF!</definedName>
    <definedName name="_______PL22">#REF!</definedName>
    <definedName name="_______s41" hidden="1">{"form-D1",#N/A,FALSE,"FORM-D1";"form-D1_amt",#N/A,FALSE,"FORM-D1"}</definedName>
    <definedName name="_______s41_1" hidden="1">{"form-D1",#N/A,FALSE,"FORM-D1";"form-D1_amt",#N/A,FALSE,"FORM-D1"}</definedName>
    <definedName name="_______s41_2" hidden="1">{"form-D1",#N/A,FALSE,"FORM-D1";"form-D1_amt",#N/A,FALSE,"FORM-D1"}</definedName>
    <definedName name="_______s41_3" hidden="1">{"form-D1",#N/A,FALSE,"FORM-D1";"form-D1_amt",#N/A,FALSE,"FORM-D1"}</definedName>
    <definedName name="_______SK1" hidden="1">{"ss",#N/A,FALSE,"MODULE3"}</definedName>
    <definedName name="_______TF1">#REF!</definedName>
    <definedName name="_______WD1">#REF!</definedName>
    <definedName name="_______WIN2">#REF!</definedName>
    <definedName name="_______WIN22">#REF!</definedName>
    <definedName name="_______WIN23">#REF!</definedName>
    <definedName name="_______win24">#REF!</definedName>
    <definedName name="_______win25">#REF!</definedName>
    <definedName name="_______win26">#REF!</definedName>
    <definedName name="_______WN7" hidden="1">{#N/A,#N/A,FALSE,"MODULE3"}</definedName>
    <definedName name="______a11" hidden="1">{"'장비'!$A$3:$M$12"}</definedName>
    <definedName name="______AS1" hidden="1">{#N/A,#N/A,FALSE,"müş_iç_ihz";#N/A,#N/A,FALSE,"müş_iç_er";#N/A,#N/A,FALSE,"müş_iç_tut"}</definedName>
    <definedName name="______ccr1" hidden="1">{#N/A,#N/A,TRUE,"Cover";#N/A,#N/A,TRUE,"Conts";#N/A,#N/A,TRUE,"VOS";#N/A,#N/A,TRUE,"Warrington";#N/A,#N/A,TRUE,"Widnes"}</definedName>
    <definedName name="______d2" hidden="1">{#N/A,#N/A,FALSE,"mgtsum.XLS";#N/A,#N/A,FALSE,"CAPONE";#N/A,#N/A,FALSE,"CAPTWO";#N/A,#N/A,FALSE,"CAPTHREE"}</definedName>
    <definedName name="______dec05" hidden="1">{"'Sheet1'!$A$4386:$N$4591"}</definedName>
    <definedName name="______H3" hidden="1">{"'장비'!$A$3:$M$12"}</definedName>
    <definedName name="______jpl1" hidden="1">#REF!</definedName>
    <definedName name="______key2" hidden="1">#REF!</definedName>
    <definedName name="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new8" hidden="1">#REF!</definedName>
    <definedName name="______PL22">#REF!</definedName>
    <definedName name="______s41" hidden="1">{"form-D1",#N/A,FALSE,"FORM-D1";"form-D1_amt",#N/A,FALSE,"FORM-D1"}</definedName>
    <definedName name="______s41_1" hidden="1">{"form-D1",#N/A,FALSE,"FORM-D1";"form-D1_amt",#N/A,FALSE,"FORM-D1"}</definedName>
    <definedName name="______s41_2" hidden="1">{"form-D1",#N/A,FALSE,"FORM-D1";"form-D1_amt",#N/A,FALSE,"FORM-D1"}</definedName>
    <definedName name="______s41_3" hidden="1">{"form-D1",#N/A,FALSE,"FORM-D1";"form-D1_amt",#N/A,FALSE,"FORM-D1"}</definedName>
    <definedName name="______SK1" hidden="1">{"ss",#N/A,FALSE,"MODULE3"}</definedName>
    <definedName name="______TF1">#REF!</definedName>
    <definedName name="______WD1">#REF!</definedName>
    <definedName name="______WIN2">#REF!</definedName>
    <definedName name="______WIN22">#REF!</definedName>
    <definedName name="______WIN23">#REF!</definedName>
    <definedName name="______win24">#REF!</definedName>
    <definedName name="______win25">#REF!</definedName>
    <definedName name="______win26">#REF!</definedName>
    <definedName name="______WN7" hidden="1">{#N/A,#N/A,FALSE,"MODULE3"}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PJ1097" hidden="1">#REF!</definedName>
    <definedName name="_____ccr1" hidden="1">{#N/A,#N/A,TRUE,"Cover";#N/A,#N/A,TRUE,"Conts";#N/A,#N/A,TRUE,"VOS";#N/A,#N/A,TRUE,"Warrington";#N/A,#N/A,TRUE,"Widnes"}</definedName>
    <definedName name="_____d2" hidden="1">{#N/A,#N/A,FALSE,"mgtsum.XLS";#N/A,#N/A,FALSE,"CAPONE";#N/A,#N/A,FALSE,"CAPTWO";#N/A,#N/A,FALSE,"CAPTHREE"}</definedName>
    <definedName name="_____dec05" hidden="1">{"'Sheet1'!$A$4386:$N$4591"}</definedName>
    <definedName name="_____Goi8" hidden="1">{"'Sheet1'!$L$16"}</definedName>
    <definedName name="_____hk4645" hidden="1">{#N/A,#N/A,FALSE,"ihz. icmal";#N/A,#N/A,FALSE,"avans";#N/A,#N/A,FALSE,"mal_FF_icm";#N/A,#N/A,FALSE,"fat_ihz";#N/A,#N/A,FALSE,"söz_fiy_fark";#N/A,#N/A,FALSE,"kap2"}</definedName>
    <definedName name="_____jpl1" hidden="1">#REF!</definedName>
    <definedName name="_____key2" hidden="1">#REF!</definedName>
    <definedName name="_____new8" hidden="1">#REF!</definedName>
    <definedName name="_____PL22">#REF!</definedName>
    <definedName name="_____RCP1050">#REF!</definedName>
    <definedName name="_____RCP1200">#REF!</definedName>
    <definedName name="_____RCP450">#REF!</definedName>
    <definedName name="_____RCP525">#REF!</definedName>
    <definedName name="_____RCP750">#REF!</definedName>
    <definedName name="_____RCP900">#REF!</definedName>
    <definedName name="_____s41" hidden="1">{"form-D1",#N/A,FALSE,"FORM-D1";"form-D1_amt",#N/A,FALSE,"FORM-D1"}</definedName>
    <definedName name="_____s41_1" hidden="1">{"form-D1",#N/A,FALSE,"FORM-D1";"form-D1_amt",#N/A,FALSE,"FORM-D1"}</definedName>
    <definedName name="_____s41_2" hidden="1">{"form-D1",#N/A,FALSE,"FORM-D1";"form-D1_amt",#N/A,FALSE,"FORM-D1"}</definedName>
    <definedName name="_____s41_3" hidden="1">{"form-D1",#N/A,FALSE,"FORM-D1";"form-D1_amt",#N/A,FALSE,"FORM-D1"}</definedName>
    <definedName name="_____SK1" hidden="1">{"ss",#N/A,FALSE,"MODULE3"}</definedName>
    <definedName name="_____TF1">#REF!</definedName>
    <definedName name="_____WD1">#REF!</definedName>
    <definedName name="_____WIN2">#REF!</definedName>
    <definedName name="_____WIN22">#REF!</definedName>
    <definedName name="_____WIN23">#REF!</definedName>
    <definedName name="_____win24">#REF!</definedName>
    <definedName name="_____win25">#REF!</definedName>
    <definedName name="_____win26">#REF!</definedName>
    <definedName name="_____WN7" hidden="1">{#N/A,#N/A,FALSE,"MODULE3"}</definedName>
    <definedName name="__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__a11" hidden="1">{"'장비'!$A$3:$M$12"}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a3" hidden="1">#REF!</definedName>
    <definedName name="____aaa4" hidden="1">#REF!</definedName>
    <definedName name="____aaa5" hidden="1">#REF!</definedName>
    <definedName name="____APJ1097" hidden="1">#REF!</definedName>
    <definedName name="____AS1" hidden="1">{#N/A,#N/A,FALSE,"müş_iç_ihz";#N/A,#N/A,FALSE,"müş_iç_er";#N/A,#N/A,FALSE,"müş_iç_tut"}</definedName>
    <definedName name="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ccr1" hidden="1">{#N/A,#N/A,TRUE,"Cover";#N/A,#N/A,TRUE,"Conts";#N/A,#N/A,TRUE,"VOS";#N/A,#N/A,TRUE,"Warrington";#N/A,#N/A,TRUE,"Widnes"}</definedName>
    <definedName name="____Current" hidden="1">#REF!</definedName>
    <definedName name="____d2" hidden="1">{#N/A,#N/A,FALSE,"mgtsum.XLS";#N/A,#N/A,FALSE,"CAPONE";#N/A,#N/A,FALSE,"CAPTWO";#N/A,#N/A,FALSE,"CAPTHREE"}</definedName>
    <definedName name="____dec05" hidden="1">{"'Sheet1'!$A$4386:$N$4591"}</definedName>
    <definedName name="____Goi8" hidden="1">{"'Sheet1'!$L$16"}</definedName>
    <definedName name="____H3" hidden="1">{"'장비'!$A$3:$M$12"}</definedName>
    <definedName name="____hk4645" hidden="1">{#N/A,#N/A,FALSE,"ihz. icmal";#N/A,#N/A,FALSE,"avans";#N/A,#N/A,FALSE,"mal_FF_icm";#N/A,#N/A,FALSE,"fat_ihz";#N/A,#N/A,FALSE,"söz_fiy_fark";#N/A,#N/A,FALSE,"kap2"}</definedName>
    <definedName name="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____jpl1" hidden="1">#REF!</definedName>
    <definedName name="____k1" hidden="1">{"form-D1",#N/A,FALSE,"FORM-D1";"form-D1_amt",#N/A,FALSE,"FORM-D1"}</definedName>
    <definedName name="____k1_1" hidden="1">{"form-D1",#N/A,FALSE,"FORM-D1";"form-D1_amt",#N/A,FALSE,"FORM-D1"}</definedName>
    <definedName name="____k1_2" hidden="1">{"form-D1",#N/A,FALSE,"FORM-D1";"form-D1_amt",#N/A,FALSE,"FORM-D1"}</definedName>
    <definedName name="____k1_3" hidden="1">{"form-D1",#N/A,FALSE,"FORM-D1";"form-D1_amt",#N/A,FALSE,"FORM-D1"}</definedName>
    <definedName name="____key2" hidden="1">#REF!</definedName>
    <definedName name="____MK2">#REF!</definedName>
    <definedName name="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new8" hidden="1">#REF!</definedName>
    <definedName name="____pl1" hidden="1">{"PLANT BREAKUP",#N/A,FALSE,"E"}</definedName>
    <definedName name="____PL22">#REF!</definedName>
    <definedName name="____RCP600">#REF!</definedName>
    <definedName name="__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__RS4">#REF!</definedName>
    <definedName name="____RS5">#REF!</definedName>
    <definedName name="____RS6">#REF!</definedName>
    <definedName name="____s41" hidden="1">{"form-D1",#N/A,FALSE,"FORM-D1";"form-D1_amt",#N/A,FALSE,"FORM-D1"}</definedName>
    <definedName name="____s41_1" hidden="1">{"form-D1",#N/A,FALSE,"FORM-D1";"form-D1_amt",#N/A,FALSE,"FORM-D1"}</definedName>
    <definedName name="____s41_2" hidden="1">{"form-D1",#N/A,FALSE,"FORM-D1";"form-D1_amt",#N/A,FALSE,"FORM-D1"}</definedName>
    <definedName name="____s41_3" hidden="1">{"form-D1",#N/A,FALSE,"FORM-D1";"form-D1_amt",#N/A,FALSE,"FORM-D1"}</definedName>
    <definedName name="____sb1" hidden="1">OFFSET([0]!Data.Top.Left,1,0)</definedName>
    <definedName name="____SB3" hidden="1">{"'Leverage'!$B$2:$M$418"}</definedName>
    <definedName name="____sb4" hidden="1">OFFSET([0]!Data.Top.Left,1,0)</definedName>
    <definedName name="____TF1">#REF!</definedName>
    <definedName name="____WD1">#REF!</definedName>
    <definedName name="____WIN2">#REF!</definedName>
    <definedName name="____WIN22">#REF!</definedName>
    <definedName name="____WIN23">#REF!</definedName>
    <definedName name="____win24">#REF!</definedName>
    <definedName name="____win25">#REF!</definedName>
    <definedName name="____win26">#REF!</definedName>
    <definedName name="___123Graph__AA" hidden="1">#REF!</definedName>
    <definedName name="___2_._solv" hidden="1">#REF!,#REF!</definedName>
    <definedName name="___a11" hidden="1">{"'장비'!$A$3:$M$12"}</definedName>
    <definedName name="___aaa3" hidden="1">#REF!</definedName>
    <definedName name="___aaa4" hidden="1">#REF!</definedName>
    <definedName name="___aaa5" hidden="1">#REF!</definedName>
    <definedName name="___APJ1097" hidden="1">#REF!</definedName>
    <definedName name="___AS1" hidden="1">{#N/A,#N/A,FALSE,"müş_iç_ihz";#N/A,#N/A,FALSE,"müş_iç_er";#N/A,#N/A,FALSE,"müş_iç_tut"}</definedName>
    <definedName name="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ccr1" hidden="1">{#N/A,#N/A,TRUE,"Cover";#N/A,#N/A,TRUE,"Conts";#N/A,#N/A,TRUE,"VOS";#N/A,#N/A,TRUE,"Warrington";#N/A,#N/A,TRUE,"Widnes"}</definedName>
    <definedName name="___d2" hidden="1">{#N/A,#N/A,FALSE,"mgtsum.XLS";#N/A,#N/A,FALSE,"CAPONE";#N/A,#N/A,FALSE,"CAPTWO";#N/A,#N/A,FALSE,"CAPTHREE"}</definedName>
    <definedName name="___d2_1" hidden="1">{#N/A,#N/A,FALSE,"mgtsum.XLS";#N/A,#N/A,FALSE,"CAPONE";#N/A,#N/A,FALSE,"CAPTWO";#N/A,#N/A,FALSE,"CAPTHREE"}</definedName>
    <definedName name="___d2_1_1" hidden="1">{#N/A,#N/A,FALSE,"mgtsum.XLS";#N/A,#N/A,FALSE,"CAPONE";#N/A,#N/A,FALSE,"CAPTWO";#N/A,#N/A,FALSE,"CAPTHREE"}</definedName>
    <definedName name="___d2_1_1_1" hidden="1">{#N/A,#N/A,FALSE,"mgtsum.XLS";#N/A,#N/A,FALSE,"CAPONE";#N/A,#N/A,FALSE,"CAPTWO";#N/A,#N/A,FALSE,"CAPTHREE"}</definedName>
    <definedName name="___d2_1_1_1_1" hidden="1">{#N/A,#N/A,FALSE,"mgtsum.XLS";#N/A,#N/A,FALSE,"CAPONE";#N/A,#N/A,FALSE,"CAPTWO";#N/A,#N/A,FALSE,"CAPTHREE"}</definedName>
    <definedName name="___d2_1_1_1_2" hidden="1">{#N/A,#N/A,FALSE,"mgtsum.XLS";#N/A,#N/A,FALSE,"CAPONE";#N/A,#N/A,FALSE,"CAPTWO";#N/A,#N/A,FALSE,"CAPTHREE"}</definedName>
    <definedName name="___d2_1_1_1_3" hidden="1">{#N/A,#N/A,FALSE,"mgtsum.XLS";#N/A,#N/A,FALSE,"CAPONE";#N/A,#N/A,FALSE,"CAPTWO";#N/A,#N/A,FALSE,"CAPTHREE"}</definedName>
    <definedName name="___d2_1_1_1_4" hidden="1">{#N/A,#N/A,FALSE,"mgtsum.XLS";#N/A,#N/A,FALSE,"CAPONE";#N/A,#N/A,FALSE,"CAPTWO";#N/A,#N/A,FALSE,"CAPTHREE"}</definedName>
    <definedName name="___d2_1_1_1_5" hidden="1">{#N/A,#N/A,FALSE,"mgtsum.XLS";#N/A,#N/A,FALSE,"CAPONE";#N/A,#N/A,FALSE,"CAPTWO";#N/A,#N/A,FALSE,"CAPTHREE"}</definedName>
    <definedName name="___d2_1_1_2" hidden="1">{#N/A,#N/A,FALSE,"mgtsum.XLS";#N/A,#N/A,FALSE,"CAPONE";#N/A,#N/A,FALSE,"CAPTWO";#N/A,#N/A,FALSE,"CAPTHREE"}</definedName>
    <definedName name="___d2_1_1_2_1" hidden="1">{#N/A,#N/A,FALSE,"mgtsum.XLS";#N/A,#N/A,FALSE,"CAPONE";#N/A,#N/A,FALSE,"CAPTWO";#N/A,#N/A,FALSE,"CAPTHREE"}</definedName>
    <definedName name="___d2_1_1_2_2" hidden="1">{#N/A,#N/A,FALSE,"mgtsum.XLS";#N/A,#N/A,FALSE,"CAPONE";#N/A,#N/A,FALSE,"CAPTWO";#N/A,#N/A,FALSE,"CAPTHREE"}</definedName>
    <definedName name="___d2_1_1_2_3" hidden="1">{#N/A,#N/A,FALSE,"mgtsum.XLS";#N/A,#N/A,FALSE,"CAPONE";#N/A,#N/A,FALSE,"CAPTWO";#N/A,#N/A,FALSE,"CAPTHREE"}</definedName>
    <definedName name="___d2_1_1_2_4" hidden="1">{#N/A,#N/A,FALSE,"mgtsum.XLS";#N/A,#N/A,FALSE,"CAPONE";#N/A,#N/A,FALSE,"CAPTWO";#N/A,#N/A,FALSE,"CAPTHREE"}</definedName>
    <definedName name="___d2_1_1_2_5" hidden="1">{#N/A,#N/A,FALSE,"mgtsum.XLS";#N/A,#N/A,FALSE,"CAPONE";#N/A,#N/A,FALSE,"CAPTWO";#N/A,#N/A,FALSE,"CAPTHREE"}</definedName>
    <definedName name="___d2_1_1_3" hidden="1">{#N/A,#N/A,FALSE,"mgtsum.XLS";#N/A,#N/A,FALSE,"CAPONE";#N/A,#N/A,FALSE,"CAPTWO";#N/A,#N/A,FALSE,"CAPTHREE"}</definedName>
    <definedName name="___d2_1_1_3_1" hidden="1">{#N/A,#N/A,FALSE,"mgtsum.XLS";#N/A,#N/A,FALSE,"CAPONE";#N/A,#N/A,FALSE,"CAPTWO";#N/A,#N/A,FALSE,"CAPTHREE"}</definedName>
    <definedName name="___d2_1_1_3_2" hidden="1">{#N/A,#N/A,FALSE,"mgtsum.XLS";#N/A,#N/A,FALSE,"CAPONE";#N/A,#N/A,FALSE,"CAPTWO";#N/A,#N/A,FALSE,"CAPTHREE"}</definedName>
    <definedName name="___d2_1_1_3_3" hidden="1">{#N/A,#N/A,FALSE,"mgtsum.XLS";#N/A,#N/A,FALSE,"CAPONE";#N/A,#N/A,FALSE,"CAPTWO";#N/A,#N/A,FALSE,"CAPTHREE"}</definedName>
    <definedName name="___d2_1_1_3_4" hidden="1">{#N/A,#N/A,FALSE,"mgtsum.XLS";#N/A,#N/A,FALSE,"CAPONE";#N/A,#N/A,FALSE,"CAPTWO";#N/A,#N/A,FALSE,"CAPTHREE"}</definedName>
    <definedName name="___d2_1_1_3_5" hidden="1">{#N/A,#N/A,FALSE,"mgtsum.XLS";#N/A,#N/A,FALSE,"CAPONE";#N/A,#N/A,FALSE,"CAPTWO";#N/A,#N/A,FALSE,"CAPTHREE"}</definedName>
    <definedName name="___d2_1_1_4" hidden="1">{#N/A,#N/A,FALSE,"mgtsum.XLS";#N/A,#N/A,FALSE,"CAPONE";#N/A,#N/A,FALSE,"CAPTWO";#N/A,#N/A,FALSE,"CAPTHREE"}</definedName>
    <definedName name="___d2_1_1_5" hidden="1">{#N/A,#N/A,FALSE,"mgtsum.XLS";#N/A,#N/A,FALSE,"CAPONE";#N/A,#N/A,FALSE,"CAPTWO";#N/A,#N/A,FALSE,"CAPTHREE"}</definedName>
    <definedName name="___d2_1_2" hidden="1">{#N/A,#N/A,FALSE,"mgtsum.XLS";#N/A,#N/A,FALSE,"CAPONE";#N/A,#N/A,FALSE,"CAPTWO";#N/A,#N/A,FALSE,"CAPTHREE"}</definedName>
    <definedName name="___d2_1_2_1" hidden="1">{#N/A,#N/A,FALSE,"mgtsum.XLS";#N/A,#N/A,FALSE,"CAPONE";#N/A,#N/A,FALSE,"CAPTWO";#N/A,#N/A,FALSE,"CAPTHREE"}</definedName>
    <definedName name="___d2_1_2_1_1" hidden="1">{#N/A,#N/A,FALSE,"mgtsum.XLS";#N/A,#N/A,FALSE,"CAPONE";#N/A,#N/A,FALSE,"CAPTWO";#N/A,#N/A,FALSE,"CAPTHREE"}</definedName>
    <definedName name="___d2_1_2_1_2" hidden="1">{#N/A,#N/A,FALSE,"mgtsum.XLS";#N/A,#N/A,FALSE,"CAPONE";#N/A,#N/A,FALSE,"CAPTWO";#N/A,#N/A,FALSE,"CAPTHREE"}</definedName>
    <definedName name="___d2_1_2_1_3" hidden="1">{#N/A,#N/A,FALSE,"mgtsum.XLS";#N/A,#N/A,FALSE,"CAPONE";#N/A,#N/A,FALSE,"CAPTWO";#N/A,#N/A,FALSE,"CAPTHREE"}</definedName>
    <definedName name="___d2_1_2_1_4" hidden="1">{#N/A,#N/A,FALSE,"mgtsum.XLS";#N/A,#N/A,FALSE,"CAPONE";#N/A,#N/A,FALSE,"CAPTWO";#N/A,#N/A,FALSE,"CAPTHREE"}</definedName>
    <definedName name="___d2_1_2_1_5" hidden="1">{#N/A,#N/A,FALSE,"mgtsum.XLS";#N/A,#N/A,FALSE,"CAPONE";#N/A,#N/A,FALSE,"CAPTWO";#N/A,#N/A,FALSE,"CAPTHREE"}</definedName>
    <definedName name="___d2_1_2_2" hidden="1">{#N/A,#N/A,FALSE,"mgtsum.XLS";#N/A,#N/A,FALSE,"CAPONE";#N/A,#N/A,FALSE,"CAPTWO";#N/A,#N/A,FALSE,"CAPTHREE"}</definedName>
    <definedName name="___d2_1_2_2_1" hidden="1">{#N/A,#N/A,FALSE,"mgtsum.XLS";#N/A,#N/A,FALSE,"CAPONE";#N/A,#N/A,FALSE,"CAPTWO";#N/A,#N/A,FALSE,"CAPTHREE"}</definedName>
    <definedName name="___d2_1_2_2_2" hidden="1">{#N/A,#N/A,FALSE,"mgtsum.XLS";#N/A,#N/A,FALSE,"CAPONE";#N/A,#N/A,FALSE,"CAPTWO";#N/A,#N/A,FALSE,"CAPTHREE"}</definedName>
    <definedName name="___d2_1_2_2_3" hidden="1">{#N/A,#N/A,FALSE,"mgtsum.XLS";#N/A,#N/A,FALSE,"CAPONE";#N/A,#N/A,FALSE,"CAPTWO";#N/A,#N/A,FALSE,"CAPTHREE"}</definedName>
    <definedName name="___d2_1_2_2_4" hidden="1">{#N/A,#N/A,FALSE,"mgtsum.XLS";#N/A,#N/A,FALSE,"CAPONE";#N/A,#N/A,FALSE,"CAPTWO";#N/A,#N/A,FALSE,"CAPTHREE"}</definedName>
    <definedName name="___d2_1_2_2_5" hidden="1">{#N/A,#N/A,FALSE,"mgtsum.XLS";#N/A,#N/A,FALSE,"CAPONE";#N/A,#N/A,FALSE,"CAPTWO";#N/A,#N/A,FALSE,"CAPTHREE"}</definedName>
    <definedName name="___d2_1_2_3" hidden="1">{#N/A,#N/A,FALSE,"mgtsum.XLS";#N/A,#N/A,FALSE,"CAPONE";#N/A,#N/A,FALSE,"CAPTWO";#N/A,#N/A,FALSE,"CAPTHREE"}</definedName>
    <definedName name="___d2_1_2_4" hidden="1">{#N/A,#N/A,FALSE,"mgtsum.XLS";#N/A,#N/A,FALSE,"CAPONE";#N/A,#N/A,FALSE,"CAPTWO";#N/A,#N/A,FALSE,"CAPTHREE"}</definedName>
    <definedName name="___d2_1_2_5" hidden="1">{#N/A,#N/A,FALSE,"mgtsum.XLS";#N/A,#N/A,FALSE,"CAPONE";#N/A,#N/A,FALSE,"CAPTWO";#N/A,#N/A,FALSE,"CAPTHREE"}</definedName>
    <definedName name="___d2_1_3" hidden="1">{#N/A,#N/A,FALSE,"mgtsum.XLS";#N/A,#N/A,FALSE,"CAPONE";#N/A,#N/A,FALSE,"CAPTWO";#N/A,#N/A,FALSE,"CAPTHREE"}</definedName>
    <definedName name="___d2_1_3_1" hidden="1">{#N/A,#N/A,FALSE,"mgtsum.XLS";#N/A,#N/A,FALSE,"CAPONE";#N/A,#N/A,FALSE,"CAPTWO";#N/A,#N/A,FALSE,"CAPTHREE"}</definedName>
    <definedName name="___d2_1_3_1_1" hidden="1">{#N/A,#N/A,FALSE,"mgtsum.XLS";#N/A,#N/A,FALSE,"CAPONE";#N/A,#N/A,FALSE,"CAPTWO";#N/A,#N/A,FALSE,"CAPTHREE"}</definedName>
    <definedName name="___d2_1_3_1_2" hidden="1">{#N/A,#N/A,FALSE,"mgtsum.XLS";#N/A,#N/A,FALSE,"CAPONE";#N/A,#N/A,FALSE,"CAPTWO";#N/A,#N/A,FALSE,"CAPTHREE"}</definedName>
    <definedName name="___d2_1_3_1_3" hidden="1">{#N/A,#N/A,FALSE,"mgtsum.XLS";#N/A,#N/A,FALSE,"CAPONE";#N/A,#N/A,FALSE,"CAPTWO";#N/A,#N/A,FALSE,"CAPTHREE"}</definedName>
    <definedName name="___d2_1_3_1_4" hidden="1">{#N/A,#N/A,FALSE,"mgtsum.XLS";#N/A,#N/A,FALSE,"CAPONE";#N/A,#N/A,FALSE,"CAPTWO";#N/A,#N/A,FALSE,"CAPTHREE"}</definedName>
    <definedName name="___d2_1_3_1_5" hidden="1">{#N/A,#N/A,FALSE,"mgtsum.XLS";#N/A,#N/A,FALSE,"CAPONE";#N/A,#N/A,FALSE,"CAPTWO";#N/A,#N/A,FALSE,"CAPTHREE"}</definedName>
    <definedName name="___d2_1_3_2" hidden="1">{#N/A,#N/A,FALSE,"mgtsum.XLS";#N/A,#N/A,FALSE,"CAPONE";#N/A,#N/A,FALSE,"CAPTWO";#N/A,#N/A,FALSE,"CAPTHREE"}</definedName>
    <definedName name="___d2_1_3_2_1" hidden="1">{#N/A,#N/A,FALSE,"mgtsum.XLS";#N/A,#N/A,FALSE,"CAPONE";#N/A,#N/A,FALSE,"CAPTWO";#N/A,#N/A,FALSE,"CAPTHREE"}</definedName>
    <definedName name="___d2_1_3_2_2" hidden="1">{#N/A,#N/A,FALSE,"mgtsum.XLS";#N/A,#N/A,FALSE,"CAPONE";#N/A,#N/A,FALSE,"CAPTWO";#N/A,#N/A,FALSE,"CAPTHREE"}</definedName>
    <definedName name="___d2_1_3_2_3" hidden="1">{#N/A,#N/A,FALSE,"mgtsum.XLS";#N/A,#N/A,FALSE,"CAPONE";#N/A,#N/A,FALSE,"CAPTWO";#N/A,#N/A,FALSE,"CAPTHREE"}</definedName>
    <definedName name="___d2_1_3_2_4" hidden="1">{#N/A,#N/A,FALSE,"mgtsum.XLS";#N/A,#N/A,FALSE,"CAPONE";#N/A,#N/A,FALSE,"CAPTWO";#N/A,#N/A,FALSE,"CAPTHREE"}</definedName>
    <definedName name="___d2_1_3_2_5" hidden="1">{#N/A,#N/A,FALSE,"mgtsum.XLS";#N/A,#N/A,FALSE,"CAPONE";#N/A,#N/A,FALSE,"CAPTWO";#N/A,#N/A,FALSE,"CAPTHREE"}</definedName>
    <definedName name="___d2_1_3_3" hidden="1">{#N/A,#N/A,FALSE,"mgtsum.XLS";#N/A,#N/A,FALSE,"CAPONE";#N/A,#N/A,FALSE,"CAPTWO";#N/A,#N/A,FALSE,"CAPTHREE"}</definedName>
    <definedName name="___d2_1_3_4" hidden="1">{#N/A,#N/A,FALSE,"mgtsum.XLS";#N/A,#N/A,FALSE,"CAPONE";#N/A,#N/A,FALSE,"CAPTWO";#N/A,#N/A,FALSE,"CAPTHREE"}</definedName>
    <definedName name="___d2_1_3_5" hidden="1">{#N/A,#N/A,FALSE,"mgtsum.XLS";#N/A,#N/A,FALSE,"CAPONE";#N/A,#N/A,FALSE,"CAPTWO";#N/A,#N/A,FALSE,"CAPTHREE"}</definedName>
    <definedName name="___d2_1_4" hidden="1">{#N/A,#N/A,FALSE,"mgtsum.XLS";#N/A,#N/A,FALSE,"CAPONE";#N/A,#N/A,FALSE,"CAPTWO";#N/A,#N/A,FALSE,"CAPTHREE"}</definedName>
    <definedName name="___d2_1_4_1" hidden="1">{#N/A,#N/A,FALSE,"mgtsum.XLS";#N/A,#N/A,FALSE,"CAPONE";#N/A,#N/A,FALSE,"CAPTWO";#N/A,#N/A,FALSE,"CAPTHREE"}</definedName>
    <definedName name="___d2_1_4_1_1" hidden="1">{#N/A,#N/A,FALSE,"mgtsum.XLS";#N/A,#N/A,FALSE,"CAPONE";#N/A,#N/A,FALSE,"CAPTWO";#N/A,#N/A,FALSE,"CAPTHREE"}</definedName>
    <definedName name="___d2_1_4_1_2" hidden="1">{#N/A,#N/A,FALSE,"mgtsum.XLS";#N/A,#N/A,FALSE,"CAPONE";#N/A,#N/A,FALSE,"CAPTWO";#N/A,#N/A,FALSE,"CAPTHREE"}</definedName>
    <definedName name="___d2_1_4_1_3" hidden="1">{#N/A,#N/A,FALSE,"mgtsum.XLS";#N/A,#N/A,FALSE,"CAPONE";#N/A,#N/A,FALSE,"CAPTWO";#N/A,#N/A,FALSE,"CAPTHREE"}</definedName>
    <definedName name="___d2_1_4_1_4" hidden="1">{#N/A,#N/A,FALSE,"mgtsum.XLS";#N/A,#N/A,FALSE,"CAPONE";#N/A,#N/A,FALSE,"CAPTWO";#N/A,#N/A,FALSE,"CAPTHREE"}</definedName>
    <definedName name="___d2_1_4_1_5" hidden="1">{#N/A,#N/A,FALSE,"mgtsum.XLS";#N/A,#N/A,FALSE,"CAPONE";#N/A,#N/A,FALSE,"CAPTWO";#N/A,#N/A,FALSE,"CAPTHREE"}</definedName>
    <definedName name="___d2_1_4_2" hidden="1">{#N/A,#N/A,FALSE,"mgtsum.XLS";#N/A,#N/A,FALSE,"CAPONE";#N/A,#N/A,FALSE,"CAPTWO";#N/A,#N/A,FALSE,"CAPTHREE"}</definedName>
    <definedName name="___d2_1_4_2_1" hidden="1">{#N/A,#N/A,FALSE,"mgtsum.XLS";#N/A,#N/A,FALSE,"CAPONE";#N/A,#N/A,FALSE,"CAPTWO";#N/A,#N/A,FALSE,"CAPTHREE"}</definedName>
    <definedName name="___d2_1_4_2_2" hidden="1">{#N/A,#N/A,FALSE,"mgtsum.XLS";#N/A,#N/A,FALSE,"CAPONE";#N/A,#N/A,FALSE,"CAPTWO";#N/A,#N/A,FALSE,"CAPTHREE"}</definedName>
    <definedName name="___d2_1_4_2_3" hidden="1">{#N/A,#N/A,FALSE,"mgtsum.XLS";#N/A,#N/A,FALSE,"CAPONE";#N/A,#N/A,FALSE,"CAPTWO";#N/A,#N/A,FALSE,"CAPTHREE"}</definedName>
    <definedName name="___d2_1_4_2_4" hidden="1">{#N/A,#N/A,FALSE,"mgtsum.XLS";#N/A,#N/A,FALSE,"CAPONE";#N/A,#N/A,FALSE,"CAPTWO";#N/A,#N/A,FALSE,"CAPTHREE"}</definedName>
    <definedName name="___d2_1_4_2_5" hidden="1">{#N/A,#N/A,FALSE,"mgtsum.XLS";#N/A,#N/A,FALSE,"CAPONE";#N/A,#N/A,FALSE,"CAPTWO";#N/A,#N/A,FALSE,"CAPTHREE"}</definedName>
    <definedName name="___d2_1_4_3" hidden="1">{#N/A,#N/A,FALSE,"mgtsum.XLS";#N/A,#N/A,FALSE,"CAPONE";#N/A,#N/A,FALSE,"CAPTWO";#N/A,#N/A,FALSE,"CAPTHREE"}</definedName>
    <definedName name="___d2_1_4_4" hidden="1">{#N/A,#N/A,FALSE,"mgtsum.XLS";#N/A,#N/A,FALSE,"CAPONE";#N/A,#N/A,FALSE,"CAPTWO";#N/A,#N/A,FALSE,"CAPTHREE"}</definedName>
    <definedName name="___d2_1_4_5" hidden="1">{#N/A,#N/A,FALSE,"mgtsum.XLS";#N/A,#N/A,FALSE,"CAPONE";#N/A,#N/A,FALSE,"CAPTWO";#N/A,#N/A,FALSE,"CAPTHREE"}</definedName>
    <definedName name="___d2_1_5" hidden="1">{#N/A,#N/A,FALSE,"mgtsum.XLS";#N/A,#N/A,FALSE,"CAPONE";#N/A,#N/A,FALSE,"CAPTWO";#N/A,#N/A,FALSE,"CAPTHREE"}</definedName>
    <definedName name="___d2_1_5_1" hidden="1">{#N/A,#N/A,FALSE,"mgtsum.XLS";#N/A,#N/A,FALSE,"CAPONE";#N/A,#N/A,FALSE,"CAPTWO";#N/A,#N/A,FALSE,"CAPTHREE"}</definedName>
    <definedName name="___d2_1_5_1_1" hidden="1">{#N/A,#N/A,FALSE,"mgtsum.XLS";#N/A,#N/A,FALSE,"CAPONE";#N/A,#N/A,FALSE,"CAPTWO";#N/A,#N/A,FALSE,"CAPTHREE"}</definedName>
    <definedName name="___d2_1_5_1_2" hidden="1">{#N/A,#N/A,FALSE,"mgtsum.XLS";#N/A,#N/A,FALSE,"CAPONE";#N/A,#N/A,FALSE,"CAPTWO";#N/A,#N/A,FALSE,"CAPTHREE"}</definedName>
    <definedName name="___d2_1_5_1_3" hidden="1">{#N/A,#N/A,FALSE,"mgtsum.XLS";#N/A,#N/A,FALSE,"CAPONE";#N/A,#N/A,FALSE,"CAPTWO";#N/A,#N/A,FALSE,"CAPTHREE"}</definedName>
    <definedName name="___d2_1_5_1_4" hidden="1">{#N/A,#N/A,FALSE,"mgtsum.XLS";#N/A,#N/A,FALSE,"CAPONE";#N/A,#N/A,FALSE,"CAPTWO";#N/A,#N/A,FALSE,"CAPTHREE"}</definedName>
    <definedName name="___d2_1_5_1_5" hidden="1">{#N/A,#N/A,FALSE,"mgtsum.XLS";#N/A,#N/A,FALSE,"CAPONE";#N/A,#N/A,FALSE,"CAPTWO";#N/A,#N/A,FALSE,"CAPTHREE"}</definedName>
    <definedName name="___d2_1_5_2" hidden="1">{#N/A,#N/A,FALSE,"mgtsum.XLS";#N/A,#N/A,FALSE,"CAPONE";#N/A,#N/A,FALSE,"CAPTWO";#N/A,#N/A,FALSE,"CAPTHREE"}</definedName>
    <definedName name="___d2_1_5_2_1" hidden="1">{#N/A,#N/A,FALSE,"mgtsum.XLS";#N/A,#N/A,FALSE,"CAPONE";#N/A,#N/A,FALSE,"CAPTWO";#N/A,#N/A,FALSE,"CAPTHREE"}</definedName>
    <definedName name="___d2_1_5_2_2" hidden="1">{#N/A,#N/A,FALSE,"mgtsum.XLS";#N/A,#N/A,FALSE,"CAPONE";#N/A,#N/A,FALSE,"CAPTWO";#N/A,#N/A,FALSE,"CAPTHREE"}</definedName>
    <definedName name="___d2_1_5_2_3" hidden="1">{#N/A,#N/A,FALSE,"mgtsum.XLS";#N/A,#N/A,FALSE,"CAPONE";#N/A,#N/A,FALSE,"CAPTWO";#N/A,#N/A,FALSE,"CAPTHREE"}</definedName>
    <definedName name="___d2_1_5_2_4" hidden="1">{#N/A,#N/A,FALSE,"mgtsum.XLS";#N/A,#N/A,FALSE,"CAPONE";#N/A,#N/A,FALSE,"CAPTWO";#N/A,#N/A,FALSE,"CAPTHREE"}</definedName>
    <definedName name="___d2_1_5_2_5" hidden="1">{#N/A,#N/A,FALSE,"mgtsum.XLS";#N/A,#N/A,FALSE,"CAPONE";#N/A,#N/A,FALSE,"CAPTWO";#N/A,#N/A,FALSE,"CAPTHREE"}</definedName>
    <definedName name="___d2_1_5_3" hidden="1">{#N/A,#N/A,FALSE,"mgtsum.XLS";#N/A,#N/A,FALSE,"CAPONE";#N/A,#N/A,FALSE,"CAPTWO";#N/A,#N/A,FALSE,"CAPTHREE"}</definedName>
    <definedName name="___d2_1_5_4" hidden="1">{#N/A,#N/A,FALSE,"mgtsum.XLS";#N/A,#N/A,FALSE,"CAPONE";#N/A,#N/A,FALSE,"CAPTWO";#N/A,#N/A,FALSE,"CAPTHREE"}</definedName>
    <definedName name="___d2_1_5_5" hidden="1">{#N/A,#N/A,FALSE,"mgtsum.XLS";#N/A,#N/A,FALSE,"CAPONE";#N/A,#N/A,FALSE,"CAPTWO";#N/A,#N/A,FALSE,"CAPTHREE"}</definedName>
    <definedName name="___d2_2" hidden="1">{#N/A,#N/A,FALSE,"mgtsum.XLS";#N/A,#N/A,FALSE,"CAPONE";#N/A,#N/A,FALSE,"CAPTWO";#N/A,#N/A,FALSE,"CAPTHREE"}</definedName>
    <definedName name="___d2_2_1" hidden="1">{#N/A,#N/A,FALSE,"mgtsum.XLS";#N/A,#N/A,FALSE,"CAPONE";#N/A,#N/A,FALSE,"CAPTWO";#N/A,#N/A,FALSE,"CAPTHREE"}</definedName>
    <definedName name="___d2_2_1_1" hidden="1">{#N/A,#N/A,FALSE,"mgtsum.XLS";#N/A,#N/A,FALSE,"CAPONE";#N/A,#N/A,FALSE,"CAPTWO";#N/A,#N/A,FALSE,"CAPTHREE"}</definedName>
    <definedName name="___d2_2_1_1_1" hidden="1">{#N/A,#N/A,FALSE,"mgtsum.XLS";#N/A,#N/A,FALSE,"CAPONE";#N/A,#N/A,FALSE,"CAPTWO";#N/A,#N/A,FALSE,"CAPTHREE"}</definedName>
    <definedName name="___d2_2_1_1_2" hidden="1">{#N/A,#N/A,FALSE,"mgtsum.XLS";#N/A,#N/A,FALSE,"CAPONE";#N/A,#N/A,FALSE,"CAPTWO";#N/A,#N/A,FALSE,"CAPTHREE"}</definedName>
    <definedName name="___d2_2_1_1_3" hidden="1">{#N/A,#N/A,FALSE,"mgtsum.XLS";#N/A,#N/A,FALSE,"CAPONE";#N/A,#N/A,FALSE,"CAPTWO";#N/A,#N/A,FALSE,"CAPTHREE"}</definedName>
    <definedName name="___d2_2_1_1_4" hidden="1">{#N/A,#N/A,FALSE,"mgtsum.XLS";#N/A,#N/A,FALSE,"CAPONE";#N/A,#N/A,FALSE,"CAPTWO";#N/A,#N/A,FALSE,"CAPTHREE"}</definedName>
    <definedName name="___d2_2_1_1_5" hidden="1">{#N/A,#N/A,FALSE,"mgtsum.XLS";#N/A,#N/A,FALSE,"CAPONE";#N/A,#N/A,FALSE,"CAPTWO";#N/A,#N/A,FALSE,"CAPTHREE"}</definedName>
    <definedName name="___d2_2_1_2" hidden="1">{#N/A,#N/A,FALSE,"mgtsum.XLS";#N/A,#N/A,FALSE,"CAPONE";#N/A,#N/A,FALSE,"CAPTWO";#N/A,#N/A,FALSE,"CAPTHREE"}</definedName>
    <definedName name="___d2_2_1_2_1" hidden="1">{#N/A,#N/A,FALSE,"mgtsum.XLS";#N/A,#N/A,FALSE,"CAPONE";#N/A,#N/A,FALSE,"CAPTWO";#N/A,#N/A,FALSE,"CAPTHREE"}</definedName>
    <definedName name="___d2_2_1_2_2" hidden="1">{#N/A,#N/A,FALSE,"mgtsum.XLS";#N/A,#N/A,FALSE,"CAPONE";#N/A,#N/A,FALSE,"CAPTWO";#N/A,#N/A,FALSE,"CAPTHREE"}</definedName>
    <definedName name="___d2_2_1_2_3" hidden="1">{#N/A,#N/A,FALSE,"mgtsum.XLS";#N/A,#N/A,FALSE,"CAPONE";#N/A,#N/A,FALSE,"CAPTWO";#N/A,#N/A,FALSE,"CAPTHREE"}</definedName>
    <definedName name="___d2_2_1_2_4" hidden="1">{#N/A,#N/A,FALSE,"mgtsum.XLS";#N/A,#N/A,FALSE,"CAPONE";#N/A,#N/A,FALSE,"CAPTWO";#N/A,#N/A,FALSE,"CAPTHREE"}</definedName>
    <definedName name="___d2_2_1_2_5" hidden="1">{#N/A,#N/A,FALSE,"mgtsum.XLS";#N/A,#N/A,FALSE,"CAPONE";#N/A,#N/A,FALSE,"CAPTWO";#N/A,#N/A,FALSE,"CAPTHREE"}</definedName>
    <definedName name="___d2_2_1_3" hidden="1">{#N/A,#N/A,FALSE,"mgtsum.XLS";#N/A,#N/A,FALSE,"CAPONE";#N/A,#N/A,FALSE,"CAPTWO";#N/A,#N/A,FALSE,"CAPTHREE"}</definedName>
    <definedName name="___d2_2_1_3_1" hidden="1">{#N/A,#N/A,FALSE,"mgtsum.XLS";#N/A,#N/A,FALSE,"CAPONE";#N/A,#N/A,FALSE,"CAPTWO";#N/A,#N/A,FALSE,"CAPTHREE"}</definedName>
    <definedName name="___d2_2_1_3_2" hidden="1">{#N/A,#N/A,FALSE,"mgtsum.XLS";#N/A,#N/A,FALSE,"CAPONE";#N/A,#N/A,FALSE,"CAPTWO";#N/A,#N/A,FALSE,"CAPTHREE"}</definedName>
    <definedName name="___d2_2_1_3_3" hidden="1">{#N/A,#N/A,FALSE,"mgtsum.XLS";#N/A,#N/A,FALSE,"CAPONE";#N/A,#N/A,FALSE,"CAPTWO";#N/A,#N/A,FALSE,"CAPTHREE"}</definedName>
    <definedName name="___d2_2_1_3_4" hidden="1">{#N/A,#N/A,FALSE,"mgtsum.XLS";#N/A,#N/A,FALSE,"CAPONE";#N/A,#N/A,FALSE,"CAPTWO";#N/A,#N/A,FALSE,"CAPTHREE"}</definedName>
    <definedName name="___d2_2_1_3_5" hidden="1">{#N/A,#N/A,FALSE,"mgtsum.XLS";#N/A,#N/A,FALSE,"CAPONE";#N/A,#N/A,FALSE,"CAPTWO";#N/A,#N/A,FALSE,"CAPTHREE"}</definedName>
    <definedName name="___d2_2_1_4" hidden="1">{#N/A,#N/A,FALSE,"mgtsum.XLS";#N/A,#N/A,FALSE,"CAPONE";#N/A,#N/A,FALSE,"CAPTWO";#N/A,#N/A,FALSE,"CAPTHREE"}</definedName>
    <definedName name="___d2_2_1_5" hidden="1">{#N/A,#N/A,FALSE,"mgtsum.XLS";#N/A,#N/A,FALSE,"CAPONE";#N/A,#N/A,FALSE,"CAPTWO";#N/A,#N/A,FALSE,"CAPTHREE"}</definedName>
    <definedName name="___d2_2_2" hidden="1">{#N/A,#N/A,FALSE,"mgtsum.XLS";#N/A,#N/A,FALSE,"CAPONE";#N/A,#N/A,FALSE,"CAPTWO";#N/A,#N/A,FALSE,"CAPTHREE"}</definedName>
    <definedName name="___d2_2_2_1" hidden="1">{#N/A,#N/A,FALSE,"mgtsum.XLS";#N/A,#N/A,FALSE,"CAPONE";#N/A,#N/A,FALSE,"CAPTWO";#N/A,#N/A,FALSE,"CAPTHREE"}</definedName>
    <definedName name="___d2_2_2_1_1" hidden="1">{#N/A,#N/A,FALSE,"mgtsum.XLS";#N/A,#N/A,FALSE,"CAPONE";#N/A,#N/A,FALSE,"CAPTWO";#N/A,#N/A,FALSE,"CAPTHREE"}</definedName>
    <definedName name="___d2_2_2_1_2" hidden="1">{#N/A,#N/A,FALSE,"mgtsum.XLS";#N/A,#N/A,FALSE,"CAPONE";#N/A,#N/A,FALSE,"CAPTWO";#N/A,#N/A,FALSE,"CAPTHREE"}</definedName>
    <definedName name="___d2_2_2_1_3" hidden="1">{#N/A,#N/A,FALSE,"mgtsum.XLS";#N/A,#N/A,FALSE,"CAPONE";#N/A,#N/A,FALSE,"CAPTWO";#N/A,#N/A,FALSE,"CAPTHREE"}</definedName>
    <definedName name="___d2_2_2_1_4" hidden="1">{#N/A,#N/A,FALSE,"mgtsum.XLS";#N/A,#N/A,FALSE,"CAPONE";#N/A,#N/A,FALSE,"CAPTWO";#N/A,#N/A,FALSE,"CAPTHREE"}</definedName>
    <definedName name="___d2_2_2_1_5" hidden="1">{#N/A,#N/A,FALSE,"mgtsum.XLS";#N/A,#N/A,FALSE,"CAPONE";#N/A,#N/A,FALSE,"CAPTWO";#N/A,#N/A,FALSE,"CAPTHREE"}</definedName>
    <definedName name="___d2_2_2_2" hidden="1">{#N/A,#N/A,FALSE,"mgtsum.XLS";#N/A,#N/A,FALSE,"CAPONE";#N/A,#N/A,FALSE,"CAPTWO";#N/A,#N/A,FALSE,"CAPTHREE"}</definedName>
    <definedName name="___d2_2_2_2_1" hidden="1">{#N/A,#N/A,FALSE,"mgtsum.XLS";#N/A,#N/A,FALSE,"CAPONE";#N/A,#N/A,FALSE,"CAPTWO";#N/A,#N/A,FALSE,"CAPTHREE"}</definedName>
    <definedName name="___d2_2_2_2_2" hidden="1">{#N/A,#N/A,FALSE,"mgtsum.XLS";#N/A,#N/A,FALSE,"CAPONE";#N/A,#N/A,FALSE,"CAPTWO";#N/A,#N/A,FALSE,"CAPTHREE"}</definedName>
    <definedName name="___d2_2_2_2_3" hidden="1">{#N/A,#N/A,FALSE,"mgtsum.XLS";#N/A,#N/A,FALSE,"CAPONE";#N/A,#N/A,FALSE,"CAPTWO";#N/A,#N/A,FALSE,"CAPTHREE"}</definedName>
    <definedName name="___d2_2_2_2_4" hidden="1">{#N/A,#N/A,FALSE,"mgtsum.XLS";#N/A,#N/A,FALSE,"CAPONE";#N/A,#N/A,FALSE,"CAPTWO";#N/A,#N/A,FALSE,"CAPTHREE"}</definedName>
    <definedName name="___d2_2_2_2_5" hidden="1">{#N/A,#N/A,FALSE,"mgtsum.XLS";#N/A,#N/A,FALSE,"CAPONE";#N/A,#N/A,FALSE,"CAPTWO";#N/A,#N/A,FALSE,"CAPTHREE"}</definedName>
    <definedName name="___d2_2_2_3" hidden="1">{#N/A,#N/A,FALSE,"mgtsum.XLS";#N/A,#N/A,FALSE,"CAPONE";#N/A,#N/A,FALSE,"CAPTWO";#N/A,#N/A,FALSE,"CAPTHREE"}</definedName>
    <definedName name="___d2_2_2_4" hidden="1">{#N/A,#N/A,FALSE,"mgtsum.XLS";#N/A,#N/A,FALSE,"CAPONE";#N/A,#N/A,FALSE,"CAPTWO";#N/A,#N/A,FALSE,"CAPTHREE"}</definedName>
    <definedName name="___d2_2_2_5" hidden="1">{#N/A,#N/A,FALSE,"mgtsum.XLS";#N/A,#N/A,FALSE,"CAPONE";#N/A,#N/A,FALSE,"CAPTWO";#N/A,#N/A,FALSE,"CAPTHREE"}</definedName>
    <definedName name="___d2_2_3" hidden="1">{#N/A,#N/A,FALSE,"mgtsum.XLS";#N/A,#N/A,FALSE,"CAPONE";#N/A,#N/A,FALSE,"CAPTWO";#N/A,#N/A,FALSE,"CAPTHREE"}</definedName>
    <definedName name="___d2_2_3_1" hidden="1">{#N/A,#N/A,FALSE,"mgtsum.XLS";#N/A,#N/A,FALSE,"CAPONE";#N/A,#N/A,FALSE,"CAPTWO";#N/A,#N/A,FALSE,"CAPTHREE"}</definedName>
    <definedName name="___d2_2_3_1_1" hidden="1">{#N/A,#N/A,FALSE,"mgtsum.XLS";#N/A,#N/A,FALSE,"CAPONE";#N/A,#N/A,FALSE,"CAPTWO";#N/A,#N/A,FALSE,"CAPTHREE"}</definedName>
    <definedName name="___d2_2_3_1_2" hidden="1">{#N/A,#N/A,FALSE,"mgtsum.XLS";#N/A,#N/A,FALSE,"CAPONE";#N/A,#N/A,FALSE,"CAPTWO";#N/A,#N/A,FALSE,"CAPTHREE"}</definedName>
    <definedName name="___d2_2_3_1_3" hidden="1">{#N/A,#N/A,FALSE,"mgtsum.XLS";#N/A,#N/A,FALSE,"CAPONE";#N/A,#N/A,FALSE,"CAPTWO";#N/A,#N/A,FALSE,"CAPTHREE"}</definedName>
    <definedName name="___d2_2_3_1_4" hidden="1">{#N/A,#N/A,FALSE,"mgtsum.XLS";#N/A,#N/A,FALSE,"CAPONE";#N/A,#N/A,FALSE,"CAPTWO";#N/A,#N/A,FALSE,"CAPTHREE"}</definedName>
    <definedName name="___d2_2_3_1_5" hidden="1">{#N/A,#N/A,FALSE,"mgtsum.XLS";#N/A,#N/A,FALSE,"CAPONE";#N/A,#N/A,FALSE,"CAPTWO";#N/A,#N/A,FALSE,"CAPTHREE"}</definedName>
    <definedName name="___d2_2_3_2" hidden="1">{#N/A,#N/A,FALSE,"mgtsum.XLS";#N/A,#N/A,FALSE,"CAPONE";#N/A,#N/A,FALSE,"CAPTWO";#N/A,#N/A,FALSE,"CAPTHREE"}</definedName>
    <definedName name="___d2_2_3_2_1" hidden="1">{#N/A,#N/A,FALSE,"mgtsum.XLS";#N/A,#N/A,FALSE,"CAPONE";#N/A,#N/A,FALSE,"CAPTWO";#N/A,#N/A,FALSE,"CAPTHREE"}</definedName>
    <definedName name="___d2_2_3_2_2" hidden="1">{#N/A,#N/A,FALSE,"mgtsum.XLS";#N/A,#N/A,FALSE,"CAPONE";#N/A,#N/A,FALSE,"CAPTWO";#N/A,#N/A,FALSE,"CAPTHREE"}</definedName>
    <definedName name="___d2_2_3_2_3" hidden="1">{#N/A,#N/A,FALSE,"mgtsum.XLS";#N/A,#N/A,FALSE,"CAPONE";#N/A,#N/A,FALSE,"CAPTWO";#N/A,#N/A,FALSE,"CAPTHREE"}</definedName>
    <definedName name="___d2_2_3_2_4" hidden="1">{#N/A,#N/A,FALSE,"mgtsum.XLS";#N/A,#N/A,FALSE,"CAPONE";#N/A,#N/A,FALSE,"CAPTWO";#N/A,#N/A,FALSE,"CAPTHREE"}</definedName>
    <definedName name="___d2_2_3_2_5" hidden="1">{#N/A,#N/A,FALSE,"mgtsum.XLS";#N/A,#N/A,FALSE,"CAPONE";#N/A,#N/A,FALSE,"CAPTWO";#N/A,#N/A,FALSE,"CAPTHREE"}</definedName>
    <definedName name="___d2_2_3_3" hidden="1">{#N/A,#N/A,FALSE,"mgtsum.XLS";#N/A,#N/A,FALSE,"CAPONE";#N/A,#N/A,FALSE,"CAPTWO";#N/A,#N/A,FALSE,"CAPTHREE"}</definedName>
    <definedName name="___d2_2_3_4" hidden="1">{#N/A,#N/A,FALSE,"mgtsum.XLS";#N/A,#N/A,FALSE,"CAPONE";#N/A,#N/A,FALSE,"CAPTWO";#N/A,#N/A,FALSE,"CAPTHREE"}</definedName>
    <definedName name="___d2_2_3_5" hidden="1">{#N/A,#N/A,FALSE,"mgtsum.XLS";#N/A,#N/A,FALSE,"CAPONE";#N/A,#N/A,FALSE,"CAPTWO";#N/A,#N/A,FALSE,"CAPTHREE"}</definedName>
    <definedName name="___d2_2_4" hidden="1">{#N/A,#N/A,FALSE,"mgtsum.XLS";#N/A,#N/A,FALSE,"CAPONE";#N/A,#N/A,FALSE,"CAPTWO";#N/A,#N/A,FALSE,"CAPTHREE"}</definedName>
    <definedName name="___d2_2_4_1" hidden="1">{#N/A,#N/A,FALSE,"mgtsum.XLS";#N/A,#N/A,FALSE,"CAPONE";#N/A,#N/A,FALSE,"CAPTWO";#N/A,#N/A,FALSE,"CAPTHREE"}</definedName>
    <definedName name="___d2_2_4_1_1" hidden="1">{#N/A,#N/A,FALSE,"mgtsum.XLS";#N/A,#N/A,FALSE,"CAPONE";#N/A,#N/A,FALSE,"CAPTWO";#N/A,#N/A,FALSE,"CAPTHREE"}</definedName>
    <definedName name="___d2_2_4_1_2" hidden="1">{#N/A,#N/A,FALSE,"mgtsum.XLS";#N/A,#N/A,FALSE,"CAPONE";#N/A,#N/A,FALSE,"CAPTWO";#N/A,#N/A,FALSE,"CAPTHREE"}</definedName>
    <definedName name="___d2_2_4_1_3" hidden="1">{#N/A,#N/A,FALSE,"mgtsum.XLS";#N/A,#N/A,FALSE,"CAPONE";#N/A,#N/A,FALSE,"CAPTWO";#N/A,#N/A,FALSE,"CAPTHREE"}</definedName>
    <definedName name="___d2_2_4_1_4" hidden="1">{#N/A,#N/A,FALSE,"mgtsum.XLS";#N/A,#N/A,FALSE,"CAPONE";#N/A,#N/A,FALSE,"CAPTWO";#N/A,#N/A,FALSE,"CAPTHREE"}</definedName>
    <definedName name="___d2_2_4_1_5" hidden="1">{#N/A,#N/A,FALSE,"mgtsum.XLS";#N/A,#N/A,FALSE,"CAPONE";#N/A,#N/A,FALSE,"CAPTWO";#N/A,#N/A,FALSE,"CAPTHREE"}</definedName>
    <definedName name="___d2_2_4_2" hidden="1">{#N/A,#N/A,FALSE,"mgtsum.XLS";#N/A,#N/A,FALSE,"CAPONE";#N/A,#N/A,FALSE,"CAPTWO";#N/A,#N/A,FALSE,"CAPTHREE"}</definedName>
    <definedName name="___d2_2_4_2_1" hidden="1">{#N/A,#N/A,FALSE,"mgtsum.XLS";#N/A,#N/A,FALSE,"CAPONE";#N/A,#N/A,FALSE,"CAPTWO";#N/A,#N/A,FALSE,"CAPTHREE"}</definedName>
    <definedName name="___d2_2_4_2_2" hidden="1">{#N/A,#N/A,FALSE,"mgtsum.XLS";#N/A,#N/A,FALSE,"CAPONE";#N/A,#N/A,FALSE,"CAPTWO";#N/A,#N/A,FALSE,"CAPTHREE"}</definedName>
    <definedName name="___d2_2_4_2_3" hidden="1">{#N/A,#N/A,FALSE,"mgtsum.XLS";#N/A,#N/A,FALSE,"CAPONE";#N/A,#N/A,FALSE,"CAPTWO";#N/A,#N/A,FALSE,"CAPTHREE"}</definedName>
    <definedName name="___d2_2_4_2_4" hidden="1">{#N/A,#N/A,FALSE,"mgtsum.XLS";#N/A,#N/A,FALSE,"CAPONE";#N/A,#N/A,FALSE,"CAPTWO";#N/A,#N/A,FALSE,"CAPTHREE"}</definedName>
    <definedName name="___d2_2_4_2_5" hidden="1">{#N/A,#N/A,FALSE,"mgtsum.XLS";#N/A,#N/A,FALSE,"CAPONE";#N/A,#N/A,FALSE,"CAPTWO";#N/A,#N/A,FALSE,"CAPTHREE"}</definedName>
    <definedName name="___d2_2_4_3" hidden="1">{#N/A,#N/A,FALSE,"mgtsum.XLS";#N/A,#N/A,FALSE,"CAPONE";#N/A,#N/A,FALSE,"CAPTWO";#N/A,#N/A,FALSE,"CAPTHREE"}</definedName>
    <definedName name="___d2_2_4_4" hidden="1">{#N/A,#N/A,FALSE,"mgtsum.XLS";#N/A,#N/A,FALSE,"CAPONE";#N/A,#N/A,FALSE,"CAPTWO";#N/A,#N/A,FALSE,"CAPTHREE"}</definedName>
    <definedName name="___d2_2_4_5" hidden="1">{#N/A,#N/A,FALSE,"mgtsum.XLS";#N/A,#N/A,FALSE,"CAPONE";#N/A,#N/A,FALSE,"CAPTWO";#N/A,#N/A,FALSE,"CAPTHREE"}</definedName>
    <definedName name="___d2_2_5" hidden="1">{#N/A,#N/A,FALSE,"mgtsum.XLS";#N/A,#N/A,FALSE,"CAPONE";#N/A,#N/A,FALSE,"CAPTWO";#N/A,#N/A,FALSE,"CAPTHREE"}</definedName>
    <definedName name="___d2_2_5_1" hidden="1">{#N/A,#N/A,FALSE,"mgtsum.XLS";#N/A,#N/A,FALSE,"CAPONE";#N/A,#N/A,FALSE,"CAPTWO";#N/A,#N/A,FALSE,"CAPTHREE"}</definedName>
    <definedName name="___d2_2_5_2" hidden="1">{#N/A,#N/A,FALSE,"mgtsum.XLS";#N/A,#N/A,FALSE,"CAPONE";#N/A,#N/A,FALSE,"CAPTWO";#N/A,#N/A,FALSE,"CAPTHREE"}</definedName>
    <definedName name="___d2_2_5_3" hidden="1">{#N/A,#N/A,FALSE,"mgtsum.XLS";#N/A,#N/A,FALSE,"CAPONE";#N/A,#N/A,FALSE,"CAPTWO";#N/A,#N/A,FALSE,"CAPTHREE"}</definedName>
    <definedName name="___d2_2_5_4" hidden="1">{#N/A,#N/A,FALSE,"mgtsum.XLS";#N/A,#N/A,FALSE,"CAPONE";#N/A,#N/A,FALSE,"CAPTWO";#N/A,#N/A,FALSE,"CAPTHREE"}</definedName>
    <definedName name="___d2_2_5_5" hidden="1">{#N/A,#N/A,FALSE,"mgtsum.XLS";#N/A,#N/A,FALSE,"CAPONE";#N/A,#N/A,FALSE,"CAPTWO";#N/A,#N/A,FALSE,"CAPTHREE"}</definedName>
    <definedName name="___d2_3" hidden="1">{#N/A,#N/A,FALSE,"mgtsum.XLS";#N/A,#N/A,FALSE,"CAPONE";#N/A,#N/A,FALSE,"CAPTWO";#N/A,#N/A,FALSE,"CAPTHREE"}</definedName>
    <definedName name="___d2_3_1" hidden="1">{#N/A,#N/A,FALSE,"mgtsum.XLS";#N/A,#N/A,FALSE,"CAPONE";#N/A,#N/A,FALSE,"CAPTWO";#N/A,#N/A,FALSE,"CAPTHREE"}</definedName>
    <definedName name="___d2_3_1_1" hidden="1">{#N/A,#N/A,FALSE,"mgtsum.XLS";#N/A,#N/A,FALSE,"CAPONE";#N/A,#N/A,FALSE,"CAPTWO";#N/A,#N/A,FALSE,"CAPTHREE"}</definedName>
    <definedName name="___d2_3_1_1_1" hidden="1">{#N/A,#N/A,FALSE,"mgtsum.XLS";#N/A,#N/A,FALSE,"CAPONE";#N/A,#N/A,FALSE,"CAPTWO";#N/A,#N/A,FALSE,"CAPTHREE"}</definedName>
    <definedName name="___d2_3_1_1_2" hidden="1">{#N/A,#N/A,FALSE,"mgtsum.XLS";#N/A,#N/A,FALSE,"CAPONE";#N/A,#N/A,FALSE,"CAPTWO";#N/A,#N/A,FALSE,"CAPTHREE"}</definedName>
    <definedName name="___d2_3_1_1_3" hidden="1">{#N/A,#N/A,FALSE,"mgtsum.XLS";#N/A,#N/A,FALSE,"CAPONE";#N/A,#N/A,FALSE,"CAPTWO";#N/A,#N/A,FALSE,"CAPTHREE"}</definedName>
    <definedName name="___d2_3_1_1_4" hidden="1">{#N/A,#N/A,FALSE,"mgtsum.XLS";#N/A,#N/A,FALSE,"CAPONE";#N/A,#N/A,FALSE,"CAPTWO";#N/A,#N/A,FALSE,"CAPTHREE"}</definedName>
    <definedName name="___d2_3_1_1_5" hidden="1">{#N/A,#N/A,FALSE,"mgtsum.XLS";#N/A,#N/A,FALSE,"CAPONE";#N/A,#N/A,FALSE,"CAPTWO";#N/A,#N/A,FALSE,"CAPTHREE"}</definedName>
    <definedName name="___d2_3_1_2" hidden="1">{#N/A,#N/A,FALSE,"mgtsum.XLS";#N/A,#N/A,FALSE,"CAPONE";#N/A,#N/A,FALSE,"CAPTWO";#N/A,#N/A,FALSE,"CAPTHREE"}</definedName>
    <definedName name="___d2_3_1_2_1" hidden="1">{#N/A,#N/A,FALSE,"mgtsum.XLS";#N/A,#N/A,FALSE,"CAPONE";#N/A,#N/A,FALSE,"CAPTWO";#N/A,#N/A,FALSE,"CAPTHREE"}</definedName>
    <definedName name="___d2_3_1_2_2" hidden="1">{#N/A,#N/A,FALSE,"mgtsum.XLS";#N/A,#N/A,FALSE,"CAPONE";#N/A,#N/A,FALSE,"CAPTWO";#N/A,#N/A,FALSE,"CAPTHREE"}</definedName>
    <definedName name="___d2_3_1_2_3" hidden="1">{#N/A,#N/A,FALSE,"mgtsum.XLS";#N/A,#N/A,FALSE,"CAPONE";#N/A,#N/A,FALSE,"CAPTWO";#N/A,#N/A,FALSE,"CAPTHREE"}</definedName>
    <definedName name="___d2_3_1_2_4" hidden="1">{#N/A,#N/A,FALSE,"mgtsum.XLS";#N/A,#N/A,FALSE,"CAPONE";#N/A,#N/A,FALSE,"CAPTWO";#N/A,#N/A,FALSE,"CAPTHREE"}</definedName>
    <definedName name="___d2_3_1_2_5" hidden="1">{#N/A,#N/A,FALSE,"mgtsum.XLS";#N/A,#N/A,FALSE,"CAPONE";#N/A,#N/A,FALSE,"CAPTWO";#N/A,#N/A,FALSE,"CAPTHREE"}</definedName>
    <definedName name="___d2_3_1_3" hidden="1">{#N/A,#N/A,FALSE,"mgtsum.XLS";#N/A,#N/A,FALSE,"CAPONE";#N/A,#N/A,FALSE,"CAPTWO";#N/A,#N/A,FALSE,"CAPTHREE"}</definedName>
    <definedName name="___d2_3_1_3_1" hidden="1">{#N/A,#N/A,FALSE,"mgtsum.XLS";#N/A,#N/A,FALSE,"CAPONE";#N/A,#N/A,FALSE,"CAPTWO";#N/A,#N/A,FALSE,"CAPTHREE"}</definedName>
    <definedName name="___d2_3_1_3_2" hidden="1">{#N/A,#N/A,FALSE,"mgtsum.XLS";#N/A,#N/A,FALSE,"CAPONE";#N/A,#N/A,FALSE,"CAPTWO";#N/A,#N/A,FALSE,"CAPTHREE"}</definedName>
    <definedName name="___d2_3_1_3_3" hidden="1">{#N/A,#N/A,FALSE,"mgtsum.XLS";#N/A,#N/A,FALSE,"CAPONE";#N/A,#N/A,FALSE,"CAPTWO";#N/A,#N/A,FALSE,"CAPTHREE"}</definedName>
    <definedName name="___d2_3_1_3_4" hidden="1">{#N/A,#N/A,FALSE,"mgtsum.XLS";#N/A,#N/A,FALSE,"CAPONE";#N/A,#N/A,FALSE,"CAPTWO";#N/A,#N/A,FALSE,"CAPTHREE"}</definedName>
    <definedName name="___d2_3_1_3_5" hidden="1">{#N/A,#N/A,FALSE,"mgtsum.XLS";#N/A,#N/A,FALSE,"CAPONE";#N/A,#N/A,FALSE,"CAPTWO";#N/A,#N/A,FALSE,"CAPTHREE"}</definedName>
    <definedName name="___d2_3_1_4" hidden="1">{#N/A,#N/A,FALSE,"mgtsum.XLS";#N/A,#N/A,FALSE,"CAPONE";#N/A,#N/A,FALSE,"CAPTWO";#N/A,#N/A,FALSE,"CAPTHREE"}</definedName>
    <definedName name="___d2_3_1_5" hidden="1">{#N/A,#N/A,FALSE,"mgtsum.XLS";#N/A,#N/A,FALSE,"CAPONE";#N/A,#N/A,FALSE,"CAPTWO";#N/A,#N/A,FALSE,"CAPTHREE"}</definedName>
    <definedName name="___d2_3_2" hidden="1">{#N/A,#N/A,FALSE,"mgtsum.XLS";#N/A,#N/A,FALSE,"CAPONE";#N/A,#N/A,FALSE,"CAPTWO";#N/A,#N/A,FALSE,"CAPTHREE"}</definedName>
    <definedName name="___d2_3_2_1" hidden="1">{#N/A,#N/A,FALSE,"mgtsum.XLS";#N/A,#N/A,FALSE,"CAPONE";#N/A,#N/A,FALSE,"CAPTWO";#N/A,#N/A,FALSE,"CAPTHREE"}</definedName>
    <definedName name="___d2_3_2_1_1" hidden="1">{#N/A,#N/A,FALSE,"mgtsum.XLS";#N/A,#N/A,FALSE,"CAPONE";#N/A,#N/A,FALSE,"CAPTWO";#N/A,#N/A,FALSE,"CAPTHREE"}</definedName>
    <definedName name="___d2_3_2_1_2" hidden="1">{#N/A,#N/A,FALSE,"mgtsum.XLS";#N/A,#N/A,FALSE,"CAPONE";#N/A,#N/A,FALSE,"CAPTWO";#N/A,#N/A,FALSE,"CAPTHREE"}</definedName>
    <definedName name="___d2_3_2_1_3" hidden="1">{#N/A,#N/A,FALSE,"mgtsum.XLS";#N/A,#N/A,FALSE,"CAPONE";#N/A,#N/A,FALSE,"CAPTWO";#N/A,#N/A,FALSE,"CAPTHREE"}</definedName>
    <definedName name="___d2_3_2_1_4" hidden="1">{#N/A,#N/A,FALSE,"mgtsum.XLS";#N/A,#N/A,FALSE,"CAPONE";#N/A,#N/A,FALSE,"CAPTWO";#N/A,#N/A,FALSE,"CAPTHREE"}</definedName>
    <definedName name="___d2_3_2_1_5" hidden="1">{#N/A,#N/A,FALSE,"mgtsum.XLS";#N/A,#N/A,FALSE,"CAPONE";#N/A,#N/A,FALSE,"CAPTWO";#N/A,#N/A,FALSE,"CAPTHREE"}</definedName>
    <definedName name="___d2_3_2_2" hidden="1">{#N/A,#N/A,FALSE,"mgtsum.XLS";#N/A,#N/A,FALSE,"CAPONE";#N/A,#N/A,FALSE,"CAPTWO";#N/A,#N/A,FALSE,"CAPTHREE"}</definedName>
    <definedName name="___d2_3_2_2_1" hidden="1">{#N/A,#N/A,FALSE,"mgtsum.XLS";#N/A,#N/A,FALSE,"CAPONE";#N/A,#N/A,FALSE,"CAPTWO";#N/A,#N/A,FALSE,"CAPTHREE"}</definedName>
    <definedName name="___d2_3_2_2_2" hidden="1">{#N/A,#N/A,FALSE,"mgtsum.XLS";#N/A,#N/A,FALSE,"CAPONE";#N/A,#N/A,FALSE,"CAPTWO";#N/A,#N/A,FALSE,"CAPTHREE"}</definedName>
    <definedName name="___d2_3_2_2_3" hidden="1">{#N/A,#N/A,FALSE,"mgtsum.XLS";#N/A,#N/A,FALSE,"CAPONE";#N/A,#N/A,FALSE,"CAPTWO";#N/A,#N/A,FALSE,"CAPTHREE"}</definedName>
    <definedName name="___d2_3_2_2_4" hidden="1">{#N/A,#N/A,FALSE,"mgtsum.XLS";#N/A,#N/A,FALSE,"CAPONE";#N/A,#N/A,FALSE,"CAPTWO";#N/A,#N/A,FALSE,"CAPTHREE"}</definedName>
    <definedName name="___d2_3_2_2_5" hidden="1">{#N/A,#N/A,FALSE,"mgtsum.XLS";#N/A,#N/A,FALSE,"CAPONE";#N/A,#N/A,FALSE,"CAPTWO";#N/A,#N/A,FALSE,"CAPTHREE"}</definedName>
    <definedName name="___d2_3_2_3" hidden="1">{#N/A,#N/A,FALSE,"mgtsum.XLS";#N/A,#N/A,FALSE,"CAPONE";#N/A,#N/A,FALSE,"CAPTWO";#N/A,#N/A,FALSE,"CAPTHREE"}</definedName>
    <definedName name="___d2_3_2_4" hidden="1">{#N/A,#N/A,FALSE,"mgtsum.XLS";#N/A,#N/A,FALSE,"CAPONE";#N/A,#N/A,FALSE,"CAPTWO";#N/A,#N/A,FALSE,"CAPTHREE"}</definedName>
    <definedName name="___d2_3_2_5" hidden="1">{#N/A,#N/A,FALSE,"mgtsum.XLS";#N/A,#N/A,FALSE,"CAPONE";#N/A,#N/A,FALSE,"CAPTWO";#N/A,#N/A,FALSE,"CAPTHREE"}</definedName>
    <definedName name="___d2_3_3" hidden="1">{#N/A,#N/A,FALSE,"mgtsum.XLS";#N/A,#N/A,FALSE,"CAPONE";#N/A,#N/A,FALSE,"CAPTWO";#N/A,#N/A,FALSE,"CAPTHREE"}</definedName>
    <definedName name="___d2_3_3_1" hidden="1">{#N/A,#N/A,FALSE,"mgtsum.XLS";#N/A,#N/A,FALSE,"CAPONE";#N/A,#N/A,FALSE,"CAPTWO";#N/A,#N/A,FALSE,"CAPTHREE"}</definedName>
    <definedName name="___d2_3_3_1_1" hidden="1">{#N/A,#N/A,FALSE,"mgtsum.XLS";#N/A,#N/A,FALSE,"CAPONE";#N/A,#N/A,FALSE,"CAPTWO";#N/A,#N/A,FALSE,"CAPTHREE"}</definedName>
    <definedName name="___d2_3_3_1_2" hidden="1">{#N/A,#N/A,FALSE,"mgtsum.XLS";#N/A,#N/A,FALSE,"CAPONE";#N/A,#N/A,FALSE,"CAPTWO";#N/A,#N/A,FALSE,"CAPTHREE"}</definedName>
    <definedName name="___d2_3_3_1_3" hidden="1">{#N/A,#N/A,FALSE,"mgtsum.XLS";#N/A,#N/A,FALSE,"CAPONE";#N/A,#N/A,FALSE,"CAPTWO";#N/A,#N/A,FALSE,"CAPTHREE"}</definedName>
    <definedName name="___d2_3_3_1_4" hidden="1">{#N/A,#N/A,FALSE,"mgtsum.XLS";#N/A,#N/A,FALSE,"CAPONE";#N/A,#N/A,FALSE,"CAPTWO";#N/A,#N/A,FALSE,"CAPTHREE"}</definedName>
    <definedName name="___d2_3_3_1_5" hidden="1">{#N/A,#N/A,FALSE,"mgtsum.XLS";#N/A,#N/A,FALSE,"CAPONE";#N/A,#N/A,FALSE,"CAPTWO";#N/A,#N/A,FALSE,"CAPTHREE"}</definedName>
    <definedName name="___d2_3_3_2" hidden="1">{#N/A,#N/A,FALSE,"mgtsum.XLS";#N/A,#N/A,FALSE,"CAPONE";#N/A,#N/A,FALSE,"CAPTWO";#N/A,#N/A,FALSE,"CAPTHREE"}</definedName>
    <definedName name="___d2_3_3_2_1" hidden="1">{#N/A,#N/A,FALSE,"mgtsum.XLS";#N/A,#N/A,FALSE,"CAPONE";#N/A,#N/A,FALSE,"CAPTWO";#N/A,#N/A,FALSE,"CAPTHREE"}</definedName>
    <definedName name="___d2_3_3_2_2" hidden="1">{#N/A,#N/A,FALSE,"mgtsum.XLS";#N/A,#N/A,FALSE,"CAPONE";#N/A,#N/A,FALSE,"CAPTWO";#N/A,#N/A,FALSE,"CAPTHREE"}</definedName>
    <definedName name="___d2_3_3_2_3" hidden="1">{#N/A,#N/A,FALSE,"mgtsum.XLS";#N/A,#N/A,FALSE,"CAPONE";#N/A,#N/A,FALSE,"CAPTWO";#N/A,#N/A,FALSE,"CAPTHREE"}</definedName>
    <definedName name="___d2_3_3_2_4" hidden="1">{#N/A,#N/A,FALSE,"mgtsum.XLS";#N/A,#N/A,FALSE,"CAPONE";#N/A,#N/A,FALSE,"CAPTWO";#N/A,#N/A,FALSE,"CAPTHREE"}</definedName>
    <definedName name="___d2_3_3_2_5" hidden="1">{#N/A,#N/A,FALSE,"mgtsum.XLS";#N/A,#N/A,FALSE,"CAPONE";#N/A,#N/A,FALSE,"CAPTWO";#N/A,#N/A,FALSE,"CAPTHREE"}</definedName>
    <definedName name="___d2_3_3_3" hidden="1">{#N/A,#N/A,FALSE,"mgtsum.XLS";#N/A,#N/A,FALSE,"CAPONE";#N/A,#N/A,FALSE,"CAPTWO";#N/A,#N/A,FALSE,"CAPTHREE"}</definedName>
    <definedName name="___d2_3_3_4" hidden="1">{#N/A,#N/A,FALSE,"mgtsum.XLS";#N/A,#N/A,FALSE,"CAPONE";#N/A,#N/A,FALSE,"CAPTWO";#N/A,#N/A,FALSE,"CAPTHREE"}</definedName>
    <definedName name="___d2_3_3_5" hidden="1">{#N/A,#N/A,FALSE,"mgtsum.XLS";#N/A,#N/A,FALSE,"CAPONE";#N/A,#N/A,FALSE,"CAPTWO";#N/A,#N/A,FALSE,"CAPTHREE"}</definedName>
    <definedName name="___d2_3_4" hidden="1">{#N/A,#N/A,FALSE,"mgtsum.XLS";#N/A,#N/A,FALSE,"CAPONE";#N/A,#N/A,FALSE,"CAPTWO";#N/A,#N/A,FALSE,"CAPTHREE"}</definedName>
    <definedName name="___d2_3_4_1" hidden="1">{#N/A,#N/A,FALSE,"mgtsum.XLS";#N/A,#N/A,FALSE,"CAPONE";#N/A,#N/A,FALSE,"CAPTWO";#N/A,#N/A,FALSE,"CAPTHREE"}</definedName>
    <definedName name="___d2_3_4_1_1" hidden="1">{#N/A,#N/A,FALSE,"mgtsum.XLS";#N/A,#N/A,FALSE,"CAPONE";#N/A,#N/A,FALSE,"CAPTWO";#N/A,#N/A,FALSE,"CAPTHREE"}</definedName>
    <definedName name="___d2_3_4_1_2" hidden="1">{#N/A,#N/A,FALSE,"mgtsum.XLS";#N/A,#N/A,FALSE,"CAPONE";#N/A,#N/A,FALSE,"CAPTWO";#N/A,#N/A,FALSE,"CAPTHREE"}</definedName>
    <definedName name="___d2_3_4_1_3" hidden="1">{#N/A,#N/A,FALSE,"mgtsum.XLS";#N/A,#N/A,FALSE,"CAPONE";#N/A,#N/A,FALSE,"CAPTWO";#N/A,#N/A,FALSE,"CAPTHREE"}</definedName>
    <definedName name="___d2_3_4_1_4" hidden="1">{#N/A,#N/A,FALSE,"mgtsum.XLS";#N/A,#N/A,FALSE,"CAPONE";#N/A,#N/A,FALSE,"CAPTWO";#N/A,#N/A,FALSE,"CAPTHREE"}</definedName>
    <definedName name="___d2_3_4_1_5" hidden="1">{#N/A,#N/A,FALSE,"mgtsum.XLS";#N/A,#N/A,FALSE,"CAPONE";#N/A,#N/A,FALSE,"CAPTWO";#N/A,#N/A,FALSE,"CAPTHREE"}</definedName>
    <definedName name="___d2_3_4_2" hidden="1">{#N/A,#N/A,FALSE,"mgtsum.XLS";#N/A,#N/A,FALSE,"CAPONE";#N/A,#N/A,FALSE,"CAPTWO";#N/A,#N/A,FALSE,"CAPTHREE"}</definedName>
    <definedName name="___d2_3_4_2_1" hidden="1">{#N/A,#N/A,FALSE,"mgtsum.XLS";#N/A,#N/A,FALSE,"CAPONE";#N/A,#N/A,FALSE,"CAPTWO";#N/A,#N/A,FALSE,"CAPTHREE"}</definedName>
    <definedName name="___d2_3_4_2_2" hidden="1">{#N/A,#N/A,FALSE,"mgtsum.XLS";#N/A,#N/A,FALSE,"CAPONE";#N/A,#N/A,FALSE,"CAPTWO";#N/A,#N/A,FALSE,"CAPTHREE"}</definedName>
    <definedName name="___d2_3_4_2_3" hidden="1">{#N/A,#N/A,FALSE,"mgtsum.XLS";#N/A,#N/A,FALSE,"CAPONE";#N/A,#N/A,FALSE,"CAPTWO";#N/A,#N/A,FALSE,"CAPTHREE"}</definedName>
    <definedName name="___d2_3_4_2_4" hidden="1">{#N/A,#N/A,FALSE,"mgtsum.XLS";#N/A,#N/A,FALSE,"CAPONE";#N/A,#N/A,FALSE,"CAPTWO";#N/A,#N/A,FALSE,"CAPTHREE"}</definedName>
    <definedName name="___d2_3_4_2_5" hidden="1">{#N/A,#N/A,FALSE,"mgtsum.XLS";#N/A,#N/A,FALSE,"CAPONE";#N/A,#N/A,FALSE,"CAPTWO";#N/A,#N/A,FALSE,"CAPTHREE"}</definedName>
    <definedName name="___d2_3_4_3" hidden="1">{#N/A,#N/A,FALSE,"mgtsum.XLS";#N/A,#N/A,FALSE,"CAPONE";#N/A,#N/A,FALSE,"CAPTWO";#N/A,#N/A,FALSE,"CAPTHREE"}</definedName>
    <definedName name="___d2_3_4_4" hidden="1">{#N/A,#N/A,FALSE,"mgtsum.XLS";#N/A,#N/A,FALSE,"CAPONE";#N/A,#N/A,FALSE,"CAPTWO";#N/A,#N/A,FALSE,"CAPTHREE"}</definedName>
    <definedName name="___d2_3_4_5" hidden="1">{#N/A,#N/A,FALSE,"mgtsum.XLS";#N/A,#N/A,FALSE,"CAPONE";#N/A,#N/A,FALSE,"CAPTWO";#N/A,#N/A,FALSE,"CAPTHREE"}</definedName>
    <definedName name="___d2_3_5" hidden="1">{#N/A,#N/A,FALSE,"mgtsum.XLS";#N/A,#N/A,FALSE,"CAPONE";#N/A,#N/A,FALSE,"CAPTWO";#N/A,#N/A,FALSE,"CAPTHREE"}</definedName>
    <definedName name="___d2_3_5_1" hidden="1">{#N/A,#N/A,FALSE,"mgtsum.XLS";#N/A,#N/A,FALSE,"CAPONE";#N/A,#N/A,FALSE,"CAPTWO";#N/A,#N/A,FALSE,"CAPTHREE"}</definedName>
    <definedName name="___d2_3_5_2" hidden="1">{#N/A,#N/A,FALSE,"mgtsum.XLS";#N/A,#N/A,FALSE,"CAPONE";#N/A,#N/A,FALSE,"CAPTWO";#N/A,#N/A,FALSE,"CAPTHREE"}</definedName>
    <definedName name="___d2_3_5_3" hidden="1">{#N/A,#N/A,FALSE,"mgtsum.XLS";#N/A,#N/A,FALSE,"CAPONE";#N/A,#N/A,FALSE,"CAPTWO";#N/A,#N/A,FALSE,"CAPTHREE"}</definedName>
    <definedName name="___d2_3_5_4" hidden="1">{#N/A,#N/A,FALSE,"mgtsum.XLS";#N/A,#N/A,FALSE,"CAPONE";#N/A,#N/A,FALSE,"CAPTWO";#N/A,#N/A,FALSE,"CAPTHREE"}</definedName>
    <definedName name="___d2_3_5_5" hidden="1">{#N/A,#N/A,FALSE,"mgtsum.XLS";#N/A,#N/A,FALSE,"CAPONE";#N/A,#N/A,FALSE,"CAPTWO";#N/A,#N/A,FALSE,"CAPTHREE"}</definedName>
    <definedName name="___d2_4" hidden="1">{#N/A,#N/A,FALSE,"mgtsum.XLS";#N/A,#N/A,FALSE,"CAPONE";#N/A,#N/A,FALSE,"CAPTWO";#N/A,#N/A,FALSE,"CAPTHREE"}</definedName>
    <definedName name="___d2_4_1" hidden="1">{#N/A,#N/A,FALSE,"mgtsum.XLS";#N/A,#N/A,FALSE,"CAPONE";#N/A,#N/A,FALSE,"CAPTWO";#N/A,#N/A,FALSE,"CAPTHREE"}</definedName>
    <definedName name="___d2_4_1_1" hidden="1">{#N/A,#N/A,FALSE,"mgtsum.XLS";#N/A,#N/A,FALSE,"CAPONE";#N/A,#N/A,FALSE,"CAPTWO";#N/A,#N/A,FALSE,"CAPTHREE"}</definedName>
    <definedName name="___d2_4_1_1_1" hidden="1">{#N/A,#N/A,FALSE,"mgtsum.XLS";#N/A,#N/A,FALSE,"CAPONE";#N/A,#N/A,FALSE,"CAPTWO";#N/A,#N/A,FALSE,"CAPTHREE"}</definedName>
    <definedName name="___d2_4_1_1_2" hidden="1">{#N/A,#N/A,FALSE,"mgtsum.XLS";#N/A,#N/A,FALSE,"CAPONE";#N/A,#N/A,FALSE,"CAPTWO";#N/A,#N/A,FALSE,"CAPTHREE"}</definedName>
    <definedName name="___d2_4_1_1_3" hidden="1">{#N/A,#N/A,FALSE,"mgtsum.XLS";#N/A,#N/A,FALSE,"CAPONE";#N/A,#N/A,FALSE,"CAPTWO";#N/A,#N/A,FALSE,"CAPTHREE"}</definedName>
    <definedName name="___d2_4_1_1_4" hidden="1">{#N/A,#N/A,FALSE,"mgtsum.XLS";#N/A,#N/A,FALSE,"CAPONE";#N/A,#N/A,FALSE,"CAPTWO";#N/A,#N/A,FALSE,"CAPTHREE"}</definedName>
    <definedName name="___d2_4_1_1_5" hidden="1">{#N/A,#N/A,FALSE,"mgtsum.XLS";#N/A,#N/A,FALSE,"CAPONE";#N/A,#N/A,FALSE,"CAPTWO";#N/A,#N/A,FALSE,"CAPTHREE"}</definedName>
    <definedName name="___d2_4_1_2" hidden="1">{#N/A,#N/A,FALSE,"mgtsum.XLS";#N/A,#N/A,FALSE,"CAPONE";#N/A,#N/A,FALSE,"CAPTWO";#N/A,#N/A,FALSE,"CAPTHREE"}</definedName>
    <definedName name="___d2_4_1_2_1" hidden="1">{#N/A,#N/A,FALSE,"mgtsum.XLS";#N/A,#N/A,FALSE,"CAPONE";#N/A,#N/A,FALSE,"CAPTWO";#N/A,#N/A,FALSE,"CAPTHREE"}</definedName>
    <definedName name="___d2_4_1_2_2" hidden="1">{#N/A,#N/A,FALSE,"mgtsum.XLS";#N/A,#N/A,FALSE,"CAPONE";#N/A,#N/A,FALSE,"CAPTWO";#N/A,#N/A,FALSE,"CAPTHREE"}</definedName>
    <definedName name="___d2_4_1_2_3" hidden="1">{#N/A,#N/A,FALSE,"mgtsum.XLS";#N/A,#N/A,FALSE,"CAPONE";#N/A,#N/A,FALSE,"CAPTWO";#N/A,#N/A,FALSE,"CAPTHREE"}</definedName>
    <definedName name="___d2_4_1_2_4" hidden="1">{#N/A,#N/A,FALSE,"mgtsum.XLS";#N/A,#N/A,FALSE,"CAPONE";#N/A,#N/A,FALSE,"CAPTWO";#N/A,#N/A,FALSE,"CAPTHREE"}</definedName>
    <definedName name="___d2_4_1_2_5" hidden="1">{#N/A,#N/A,FALSE,"mgtsum.XLS";#N/A,#N/A,FALSE,"CAPONE";#N/A,#N/A,FALSE,"CAPTWO";#N/A,#N/A,FALSE,"CAPTHREE"}</definedName>
    <definedName name="___d2_4_1_3" hidden="1">{#N/A,#N/A,FALSE,"mgtsum.XLS";#N/A,#N/A,FALSE,"CAPONE";#N/A,#N/A,FALSE,"CAPTWO";#N/A,#N/A,FALSE,"CAPTHREE"}</definedName>
    <definedName name="___d2_4_1_3_1" hidden="1">{#N/A,#N/A,FALSE,"mgtsum.XLS";#N/A,#N/A,FALSE,"CAPONE";#N/A,#N/A,FALSE,"CAPTWO";#N/A,#N/A,FALSE,"CAPTHREE"}</definedName>
    <definedName name="___d2_4_1_3_2" hidden="1">{#N/A,#N/A,FALSE,"mgtsum.XLS";#N/A,#N/A,FALSE,"CAPONE";#N/A,#N/A,FALSE,"CAPTWO";#N/A,#N/A,FALSE,"CAPTHREE"}</definedName>
    <definedName name="___d2_4_1_3_3" hidden="1">{#N/A,#N/A,FALSE,"mgtsum.XLS";#N/A,#N/A,FALSE,"CAPONE";#N/A,#N/A,FALSE,"CAPTWO";#N/A,#N/A,FALSE,"CAPTHREE"}</definedName>
    <definedName name="___d2_4_1_3_4" hidden="1">{#N/A,#N/A,FALSE,"mgtsum.XLS";#N/A,#N/A,FALSE,"CAPONE";#N/A,#N/A,FALSE,"CAPTWO";#N/A,#N/A,FALSE,"CAPTHREE"}</definedName>
    <definedName name="___d2_4_1_3_5" hidden="1">{#N/A,#N/A,FALSE,"mgtsum.XLS";#N/A,#N/A,FALSE,"CAPONE";#N/A,#N/A,FALSE,"CAPTWO";#N/A,#N/A,FALSE,"CAPTHREE"}</definedName>
    <definedName name="___d2_4_1_4" hidden="1">{#N/A,#N/A,FALSE,"mgtsum.XLS";#N/A,#N/A,FALSE,"CAPONE";#N/A,#N/A,FALSE,"CAPTWO";#N/A,#N/A,FALSE,"CAPTHREE"}</definedName>
    <definedName name="___d2_4_1_5" hidden="1">{#N/A,#N/A,FALSE,"mgtsum.XLS";#N/A,#N/A,FALSE,"CAPONE";#N/A,#N/A,FALSE,"CAPTWO";#N/A,#N/A,FALSE,"CAPTHREE"}</definedName>
    <definedName name="___d2_4_2" hidden="1">{#N/A,#N/A,FALSE,"mgtsum.XLS";#N/A,#N/A,FALSE,"CAPONE";#N/A,#N/A,FALSE,"CAPTWO";#N/A,#N/A,FALSE,"CAPTHREE"}</definedName>
    <definedName name="___d2_4_2_1" hidden="1">{#N/A,#N/A,FALSE,"mgtsum.XLS";#N/A,#N/A,FALSE,"CAPONE";#N/A,#N/A,FALSE,"CAPTWO";#N/A,#N/A,FALSE,"CAPTHREE"}</definedName>
    <definedName name="___d2_4_2_2" hidden="1">{#N/A,#N/A,FALSE,"mgtsum.XLS";#N/A,#N/A,FALSE,"CAPONE";#N/A,#N/A,FALSE,"CAPTWO";#N/A,#N/A,FALSE,"CAPTHREE"}</definedName>
    <definedName name="___d2_4_2_3" hidden="1">{#N/A,#N/A,FALSE,"mgtsum.XLS";#N/A,#N/A,FALSE,"CAPONE";#N/A,#N/A,FALSE,"CAPTWO";#N/A,#N/A,FALSE,"CAPTHREE"}</definedName>
    <definedName name="___d2_4_2_4" hidden="1">{#N/A,#N/A,FALSE,"mgtsum.XLS";#N/A,#N/A,FALSE,"CAPONE";#N/A,#N/A,FALSE,"CAPTWO";#N/A,#N/A,FALSE,"CAPTHREE"}</definedName>
    <definedName name="___d2_4_2_5" hidden="1">{#N/A,#N/A,FALSE,"mgtsum.XLS";#N/A,#N/A,FALSE,"CAPONE";#N/A,#N/A,FALSE,"CAPTWO";#N/A,#N/A,FALSE,"CAPTHREE"}</definedName>
    <definedName name="___d2_4_3" hidden="1">{#N/A,#N/A,FALSE,"mgtsum.XLS";#N/A,#N/A,FALSE,"CAPONE";#N/A,#N/A,FALSE,"CAPTWO";#N/A,#N/A,FALSE,"CAPTHREE"}</definedName>
    <definedName name="___d2_4_3_1" hidden="1">{#N/A,#N/A,FALSE,"mgtsum.XLS";#N/A,#N/A,FALSE,"CAPONE";#N/A,#N/A,FALSE,"CAPTWO";#N/A,#N/A,FALSE,"CAPTHREE"}</definedName>
    <definedName name="___d2_4_3_2" hidden="1">{#N/A,#N/A,FALSE,"mgtsum.XLS";#N/A,#N/A,FALSE,"CAPONE";#N/A,#N/A,FALSE,"CAPTWO";#N/A,#N/A,FALSE,"CAPTHREE"}</definedName>
    <definedName name="___d2_4_3_3" hidden="1">{#N/A,#N/A,FALSE,"mgtsum.XLS";#N/A,#N/A,FALSE,"CAPONE";#N/A,#N/A,FALSE,"CAPTWO";#N/A,#N/A,FALSE,"CAPTHREE"}</definedName>
    <definedName name="___d2_4_3_4" hidden="1">{#N/A,#N/A,FALSE,"mgtsum.XLS";#N/A,#N/A,FALSE,"CAPONE";#N/A,#N/A,FALSE,"CAPTWO";#N/A,#N/A,FALSE,"CAPTHREE"}</definedName>
    <definedName name="___d2_4_3_5" hidden="1">{#N/A,#N/A,FALSE,"mgtsum.XLS";#N/A,#N/A,FALSE,"CAPONE";#N/A,#N/A,FALSE,"CAPTWO";#N/A,#N/A,FALSE,"CAPTHREE"}</definedName>
    <definedName name="___d2_4_4" hidden="1">{#N/A,#N/A,FALSE,"mgtsum.XLS";#N/A,#N/A,FALSE,"CAPONE";#N/A,#N/A,FALSE,"CAPTWO";#N/A,#N/A,FALSE,"CAPTHREE"}</definedName>
    <definedName name="___d2_4_5" hidden="1">{#N/A,#N/A,FALSE,"mgtsum.XLS";#N/A,#N/A,FALSE,"CAPONE";#N/A,#N/A,FALSE,"CAPTWO";#N/A,#N/A,FALSE,"CAPTHREE"}</definedName>
    <definedName name="___d2_5" hidden="1">{#N/A,#N/A,FALSE,"mgtsum.XLS";#N/A,#N/A,FALSE,"CAPONE";#N/A,#N/A,FALSE,"CAPTWO";#N/A,#N/A,FALSE,"CAPTHREE"}</definedName>
    <definedName name="___d2_5_1" hidden="1">{#N/A,#N/A,FALSE,"mgtsum.XLS";#N/A,#N/A,FALSE,"CAPONE";#N/A,#N/A,FALSE,"CAPTWO";#N/A,#N/A,FALSE,"CAPTHREE"}</definedName>
    <definedName name="___d2_5_1_1" hidden="1">{#N/A,#N/A,FALSE,"mgtsum.XLS";#N/A,#N/A,FALSE,"CAPONE";#N/A,#N/A,FALSE,"CAPTWO";#N/A,#N/A,FALSE,"CAPTHREE"}</definedName>
    <definedName name="___d2_5_1_2" hidden="1">{#N/A,#N/A,FALSE,"mgtsum.XLS";#N/A,#N/A,FALSE,"CAPONE";#N/A,#N/A,FALSE,"CAPTWO";#N/A,#N/A,FALSE,"CAPTHREE"}</definedName>
    <definedName name="___d2_5_1_3" hidden="1">{#N/A,#N/A,FALSE,"mgtsum.XLS";#N/A,#N/A,FALSE,"CAPONE";#N/A,#N/A,FALSE,"CAPTWO";#N/A,#N/A,FALSE,"CAPTHREE"}</definedName>
    <definedName name="___d2_5_1_4" hidden="1">{#N/A,#N/A,FALSE,"mgtsum.XLS";#N/A,#N/A,FALSE,"CAPONE";#N/A,#N/A,FALSE,"CAPTWO";#N/A,#N/A,FALSE,"CAPTHREE"}</definedName>
    <definedName name="___d2_5_1_5" hidden="1">{#N/A,#N/A,FALSE,"mgtsum.XLS";#N/A,#N/A,FALSE,"CAPONE";#N/A,#N/A,FALSE,"CAPTWO";#N/A,#N/A,FALSE,"CAPTHREE"}</definedName>
    <definedName name="___d2_5_2" hidden="1">{#N/A,#N/A,FALSE,"mgtsum.XLS";#N/A,#N/A,FALSE,"CAPONE";#N/A,#N/A,FALSE,"CAPTWO";#N/A,#N/A,FALSE,"CAPTHREE"}</definedName>
    <definedName name="___d2_5_2_1" hidden="1">{#N/A,#N/A,FALSE,"mgtsum.XLS";#N/A,#N/A,FALSE,"CAPONE";#N/A,#N/A,FALSE,"CAPTWO";#N/A,#N/A,FALSE,"CAPTHREE"}</definedName>
    <definedName name="___d2_5_2_2" hidden="1">{#N/A,#N/A,FALSE,"mgtsum.XLS";#N/A,#N/A,FALSE,"CAPONE";#N/A,#N/A,FALSE,"CAPTWO";#N/A,#N/A,FALSE,"CAPTHREE"}</definedName>
    <definedName name="___d2_5_2_3" hidden="1">{#N/A,#N/A,FALSE,"mgtsum.XLS";#N/A,#N/A,FALSE,"CAPONE";#N/A,#N/A,FALSE,"CAPTWO";#N/A,#N/A,FALSE,"CAPTHREE"}</definedName>
    <definedName name="___d2_5_2_4" hidden="1">{#N/A,#N/A,FALSE,"mgtsum.XLS";#N/A,#N/A,FALSE,"CAPONE";#N/A,#N/A,FALSE,"CAPTWO";#N/A,#N/A,FALSE,"CAPTHREE"}</definedName>
    <definedName name="___d2_5_2_5" hidden="1">{#N/A,#N/A,FALSE,"mgtsum.XLS";#N/A,#N/A,FALSE,"CAPONE";#N/A,#N/A,FALSE,"CAPTWO";#N/A,#N/A,FALSE,"CAPTHREE"}</definedName>
    <definedName name="___d2_5_3" hidden="1">{#N/A,#N/A,FALSE,"mgtsum.XLS";#N/A,#N/A,FALSE,"CAPONE";#N/A,#N/A,FALSE,"CAPTWO";#N/A,#N/A,FALSE,"CAPTHREE"}</definedName>
    <definedName name="___d2_5_4" hidden="1">{#N/A,#N/A,FALSE,"mgtsum.XLS";#N/A,#N/A,FALSE,"CAPONE";#N/A,#N/A,FALSE,"CAPTWO";#N/A,#N/A,FALSE,"CAPTHREE"}</definedName>
    <definedName name="___d2_5_5" hidden="1">{#N/A,#N/A,FALSE,"mgtsum.XLS";#N/A,#N/A,FALSE,"CAPONE";#N/A,#N/A,FALSE,"CAPTWO";#N/A,#N/A,FALSE,"CAPTHREE"}</definedName>
    <definedName name="___dbp10" hidden="1">{"'Leverage'!$B$2:$M$418"}</definedName>
    <definedName name="___dbp12" hidden="1">{"'Leverage'!$B$2:$M$418"}</definedName>
    <definedName name="___dbp9" hidden="1">{"'Leverage'!$B$2:$M$418"}</definedName>
    <definedName name="___dec05" hidden="1">{"'Sheet1'!$A$4386:$N$4591"}</definedName>
    <definedName name="___H3" hidden="1">{"'장비'!$A$3:$M$12"}</definedName>
    <definedName name="___hk4645" hidden="1">{#N/A,#N/A,FALSE,"ihz. icmal";#N/A,#N/A,FALSE,"avans";#N/A,#N/A,FALSE,"mal_FF_icm";#N/A,#N/A,FALSE,"fat_ihz";#N/A,#N/A,FALSE,"söz_fiy_fark";#N/A,#N/A,FALSE,"kap2"}</definedName>
    <definedName name="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i12" hidden="1">OFFSET([0]!Data.Top.Left,1,0)</definedName>
    <definedName name="___j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___jpl1" hidden="1">#REF!</definedName>
    <definedName name="___k8" hidden="1">{#N/A,#N/A,FALSE,"COVER1.XLS ";#N/A,#N/A,FALSE,"RACT1.XLS";#N/A,#N/A,FALSE,"RACT2.XLS";#N/A,#N/A,FALSE,"ECCMP";#N/A,#N/A,FALSE,"WELDER.XLS"}</definedName>
    <definedName name="___key2" hidden="1">#REF!</definedName>
    <definedName name="___kv2" hidden="1">{#N/A,#N/A,FALSE,"COVER1.XLS ";#N/A,#N/A,FALSE,"RACT1.XLS";#N/A,#N/A,FALSE,"RACT2.XLS";#N/A,#N/A,FALSE,"ECCMP";#N/A,#N/A,FALSE,"WELDER.XLS"}</definedName>
    <definedName name="___kvs1" hidden="1">{#N/A,#N/A,FALSE,"COVER1.XLS ";#N/A,#N/A,FALSE,"RACT1.XLS";#N/A,#N/A,FALSE,"RACT2.XLS";#N/A,#N/A,FALSE,"ECCMP";#N/A,#N/A,FALSE,"WELDER.XLS"}</definedName>
    <definedName name="___kvs2" hidden="1">{#N/A,#N/A,FALSE,"COVER1.XLS ";#N/A,#N/A,FALSE,"RACT1.XLS";#N/A,#N/A,FALSE,"RACT2.XLS";#N/A,#N/A,FALSE,"ECCMP";#N/A,#N/A,FALSE,"WELDER.XLS"}</definedName>
    <definedName name="___kvs5" hidden="1">{#N/A,#N/A,FALSE,"COVER.XLS";#N/A,#N/A,FALSE,"RACT1.XLS";#N/A,#N/A,FALSE,"RACT2.XLS";#N/A,#N/A,FALSE,"ECCMP";#N/A,#N/A,FALSE,"WELDER.XLS"}</definedName>
    <definedName name="___kvs7" hidden="1">{#N/A,#N/A,FALSE,"COVER1.XLS ";#N/A,#N/A,FALSE,"RACT1.XLS";#N/A,#N/A,FALSE,"RACT2.XLS";#N/A,#N/A,FALSE,"ECCMP";#N/A,#N/A,FALSE,"WELDER.XLS"}</definedName>
    <definedName name="___kvs8" hidden="1">{#N/A,#N/A,FALSE,"COVER1.XLS ";#N/A,#N/A,FALSE,"RACT1.XLS";#N/A,#N/A,FALSE,"RACT2.XLS";#N/A,#N/A,FALSE,"ECCMP";#N/A,#N/A,FALSE,"WELDER.XLS"}</definedName>
    <definedName name="___KVS9" hidden="1">{#N/A,#N/A,FALSE,"COVER1.XLS ";#N/A,#N/A,FALSE,"RACT1.XLS";#N/A,#N/A,FALSE,"RACT2.XLS";#N/A,#N/A,FALSE,"ECCMP";#N/A,#N/A,FALSE,"WELDER.XLS"}</definedName>
    <definedName name="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an1" hidden="1">{"'Sheet1'!$L$16"}</definedName>
    <definedName name="___LAN3" hidden="1">{"'Sheet1'!$L$16"}</definedName>
    <definedName name="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K2">#REF!</definedName>
    <definedName name="___mu2">#REF!</definedName>
    <definedName name="___mu3">#REF!</definedName>
    <definedName name="___MU4">#REF!</definedName>
    <definedName name="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new8" hidden="1">#REF!</definedName>
    <definedName name="___No1">#REF!</definedName>
    <definedName name="___No2">#REF!</definedName>
    <definedName name="___No3">#REF!</definedName>
    <definedName name="___out11" hidden="1">OFFSET([0]!Data.Top.Left,1,0)</definedName>
    <definedName name="___out12" hidden="1">OFFSET([0]!Data.Top.Left,1,0)</definedName>
    <definedName name="___out9" hidden="1">OFFSET([0]!Data.Top.Left,1,0)</definedName>
    <definedName name="___own11" hidden="1">OFFSET([0]!Data.Top.Left,1,0)</definedName>
    <definedName name="___own12" hidden="1">OFFSET([0]!Data.Top.Left,1,0)</definedName>
    <definedName name="___own2" hidden="1">OFFSET([0]!Data.Top.Left,1,0)</definedName>
    <definedName name="___own3" hidden="1">OFFSET([0]!Data.Top.Left,1,0)</definedName>
    <definedName name="___own4" hidden="1">OFFSET([0]!Data.Top.Left,1,0)</definedName>
    <definedName name="___own6" hidden="1">OFFSET([0]!Data.Top.Left,1,0)</definedName>
    <definedName name="___own7" hidden="1">OFFSET([0]!Data.Top.Left,1,0)</definedName>
    <definedName name="___own8" hidden="1">OFFSET([0]!Data.Top.Left,1,0)</definedName>
    <definedName name="___own9" hidden="1">OFFSET([0]!Data.Top.Left,1,0)</definedName>
    <definedName name="___PA3" hidden="1">{"'Sheet1'!$L$16"}</definedName>
    <definedName name="___pl1" hidden="1">{"PLANT BREAKUP",#N/A,FALSE,"E"}</definedName>
    <definedName name="___PL22">#REF!</definedName>
    <definedName name="___PSI5">#REF!</definedName>
    <definedName name="___q2" hidden="1">{#N/A,#N/A,FALSE,"COVER1.XLS ";#N/A,#N/A,FALSE,"RACT1.XLS";#N/A,#N/A,FALSE,"RACT2.XLS";#N/A,#N/A,FALSE,"ECCMP";#N/A,#N/A,FALSE,"WELDER.XLS"}</definedName>
    <definedName name="___RCP1050">#REF!</definedName>
    <definedName name="___RCP1200">#REF!</definedName>
    <definedName name="___RCP450">#REF!</definedName>
    <definedName name="___RCP525">#REF!</definedName>
    <definedName name="___RCP600">#REF!</definedName>
    <definedName name="___RCP750">#REF!</definedName>
    <definedName name="___RCP900">#REF!</definedName>
    <definedName name="___RL1" hidden="1">#REF!</definedName>
    <definedName name="___rmc3000">#REF!</definedName>
    <definedName name="___rmc5000">#REF!</definedName>
    <definedName name="___rmc6000">#REF!</definedName>
    <definedName name="___rmc8000">#REF!</definedName>
    <definedName name="___s41" hidden="1">{"form-D1",#N/A,FALSE,"FORM-D1";"form-D1_amt",#N/A,FALSE,"FORM-D1"}</definedName>
    <definedName name="___s41_1" hidden="1">{"form-D1",#N/A,FALSE,"FORM-D1";"form-D1_amt",#N/A,FALSE,"FORM-D1"}</definedName>
    <definedName name="___s41_2" hidden="1">{"form-D1",#N/A,FALSE,"FORM-D1";"form-D1_amt",#N/A,FALSE,"FORM-D1"}</definedName>
    <definedName name="___s41_3" hidden="1">{"form-D1",#N/A,FALSE,"FORM-D1";"form-D1_amt",#N/A,FALSE,"FORM-D1"}</definedName>
    <definedName name="___sb1" hidden="1">OFFSET([0]!Data.Top.Left,1,0)</definedName>
    <definedName name="___sb10" hidden="1">OFFSET([0]!Data.Top.Left,1,0)</definedName>
    <definedName name="___sb11" hidden="1">OFFSET([0]!Data.Top.Left,1,0)</definedName>
    <definedName name="___sb12" hidden="1">OFFSET([0]!Data.Top.Left,1,0)</definedName>
    <definedName name="___SB3" hidden="1">{"'Leverage'!$B$2:$M$418"}</definedName>
    <definedName name="___sb4" hidden="1">OFFSET([0]!Data.Top.Left,1,0)</definedName>
    <definedName name="___sb9" hidden="1">OFFSET([0]!Data.Top.Left,1,0)</definedName>
    <definedName name="___SK1" hidden="1">{"ss",#N/A,FALSE,"MODULE3"}</definedName>
    <definedName name="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F1">#REF!</definedName>
    <definedName name="___TM2" hidden="1">{"'Sheet1'!$L$16"}</definedName>
    <definedName name="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t3" hidden="1">{"'Sheet1'!$L$16"}</definedName>
    <definedName name="___w2" hidden="1">{#N/A,#N/A,FALSE,"17MAY";#N/A,#N/A,FALSE,"24MAY"}</definedName>
    <definedName name="___WD1">#REF!</definedName>
    <definedName name="___WIN2">#REF!</definedName>
    <definedName name="___WIN22">#REF!</definedName>
    <definedName name="___win23">#REF!</definedName>
    <definedName name="___win24">#REF!</definedName>
    <definedName name="___win25">#REF!</definedName>
    <definedName name="___win26">#REF!</definedName>
    <definedName name="___WN7" hidden="1">{#N/A,#N/A,FALSE,"MODULE3"}</definedName>
    <definedName name="___ZA2" hidden="1">{"CASH FLOW",#N/A,FALSE,"A"}</definedName>
    <definedName name="__1__123Graph_ACHART_1" hidden="1">#REF!</definedName>
    <definedName name="__1__123Graph_BMANPOWER_HISTO" hidden="1">#REF!</definedName>
    <definedName name="__123Grapgh__s" hidden="1">#REF!</definedName>
    <definedName name="__123Graph_A" hidden="1">#REF!</definedName>
    <definedName name="__123Graph_A????" hidden="1">#REF!</definedName>
    <definedName name="__123Graph_ABHUSHAN" hidden="1">#REF!</definedName>
    <definedName name="__123Graph_ABHUSMAN" hidden="1">#REF!</definedName>
    <definedName name="__123Graph_ACHART1" hidden="1">#REF!</definedName>
    <definedName name="__123Graph_ACURRENT" hidden="1">#REF!</definedName>
    <definedName name="__123Graph_AGraph1" hidden="1">#REF!</definedName>
    <definedName name="__123Graph_AGraph2" hidden="1">#REF!</definedName>
    <definedName name="__123Graph_ASTMENTHALPY" hidden="1">#REF!</definedName>
    <definedName name="__123Graph_Aｶﾚﾝﾄ" hidden="1">#REF!</definedName>
    <definedName name="__123Graph_B" hidden="1">#REF!</definedName>
    <definedName name="__123Graph_B????" hidden="1">#REF!</definedName>
    <definedName name="__123Graph_BChart" hidden="1">#REF!</definedName>
    <definedName name="__123Graph_BCurrent" hidden="1">#REF!</definedName>
    <definedName name="__123Graph_BGraph1" hidden="1">#REF!</definedName>
    <definedName name="__123Graph_BGraph2" hidden="1">#REF!</definedName>
    <definedName name="__123Graph_BPERFORMANCE" hidden="1">#REF!</definedName>
    <definedName name="__123Graph_Bｶﾚﾝﾄ" hidden="1">#REF!</definedName>
    <definedName name="__123Graph_C" hidden="1">#REF!</definedName>
    <definedName name="__123Graph_C????" hidden="1">#REF!</definedName>
    <definedName name="__123Graph_CGraph1" hidden="1">#REF!</definedName>
    <definedName name="__123Graph_CGraph2" hidden="1">#REF!</definedName>
    <definedName name="__123Graph_Cｶﾚﾝﾄ" hidden="1">#REF!</definedName>
    <definedName name="__123Graph_D" hidden="1">#REF!</definedName>
    <definedName name="__123Graph_D????" hidden="1">#REF!</definedName>
    <definedName name="__123Graph_DGraph1" hidden="1">#REF!</definedName>
    <definedName name="__123Graph_DGraph2" hidden="1">#REF!</definedName>
    <definedName name="__123Graph_Dｶﾚﾝﾄ" hidden="1">#REF!</definedName>
    <definedName name="__123Graph_E" hidden="1">#REF!</definedName>
    <definedName name="__123Graph_E????" hidden="1">#REF!</definedName>
    <definedName name="__123Graph_EGraph1" hidden="1">#REF!</definedName>
    <definedName name="__123Graph_EGraph2" hidden="1">#REF!</definedName>
    <definedName name="__123Graph_Eｶﾚﾝﾄ" hidden="1">#REF!</definedName>
    <definedName name="__123Graph_F" hidden="1">#REF!</definedName>
    <definedName name="__123Graph_F????" hidden="1">#REF!</definedName>
    <definedName name="__123Graph_FGraph1" hidden="1">#REF!</definedName>
    <definedName name="__123Graph_FGraph2" hidden="1">#REF!</definedName>
    <definedName name="__123Graph_Fｶﾚﾝﾄ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BHUSMAN" hidden="1">#REF!</definedName>
    <definedName name="__123Graph_XCHART1" hidden="1">#REF!</definedName>
    <definedName name="__123Graph_XCurrent" hidden="1">#REF!</definedName>
    <definedName name="__124sr" hidden="1">#REF!</definedName>
    <definedName name="__1F" hidden="1">#REF!</definedName>
    <definedName name="__2_._solv" hidden="1">#REF!,#REF!</definedName>
    <definedName name="__2__123Graph_ACHART_2" hidden="1">#REF!</definedName>
    <definedName name="__2__123Graph_DMANPOWER_HISTO" hidden="1">#REF!</definedName>
    <definedName name="__2_0__123Grap" hidden="1">#REF!</definedName>
    <definedName name="__2_0_0_F" hidden="1">#REF!</definedName>
    <definedName name="__2F" hidden="1">#REF!</definedName>
    <definedName name="__3__123Graph_ACHART_1" hidden="1">#REF!</definedName>
    <definedName name="__3__123Graph_BCHART_2" hidden="1">#REF!</definedName>
    <definedName name="__3__123Graph_XMANPOWER_HISTO" hidden="1">#REF!</definedName>
    <definedName name="__3_0_S" hidden="1">#REF!</definedName>
    <definedName name="__4__123Graph_ACHART_2" hidden="1">#REF!</definedName>
    <definedName name="__4__123Graph_CCHART_1" hidden="1">#REF!</definedName>
    <definedName name="__4_0_0_F" hidden="1">#REF!</definedName>
    <definedName name="__4_0_Dist_" hidden="1">#REF!</definedName>
    <definedName name="__4aa1_" hidden="1">{#N/A,#N/A,FALSE,"CCTV"}</definedName>
    <definedName name="__5__123Graph_BCHART_2" hidden="1">#REF!</definedName>
    <definedName name="__5__123Graph_DCHART_1" hidden="1">#REF!</definedName>
    <definedName name="__6__123Graph_CCHART_1" hidden="1">#REF!</definedName>
    <definedName name="__7__123Graph_DCHART_1" hidden="1">#REF!</definedName>
    <definedName name="__a11" hidden="1">{"'장비'!$A$3:$M$12"}</definedName>
    <definedName name="__A2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__aa1" hidden="1">{#N/A,#N/A,FALSE,"CCTV"}</definedName>
    <definedName name="__aaa3" hidden="1">#REF!</definedName>
    <definedName name="__aaa4" hidden="1">#REF!</definedName>
    <definedName name="__aaa5" hidden="1">#REF!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PJ1097" hidden="1">#REF!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B19000">#REF!</definedName>
    <definedName name="__B19999">#REF!</definedName>
    <definedName name="__B20000">#REF!</definedName>
    <definedName name="__BDR1">#N/A</definedName>
    <definedName name="__BDR2">#N/A</definedName>
    <definedName name="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ccr1" hidden="1">{#N/A,#N/A,TRUE,"Cover";#N/A,#N/A,TRUE,"Conts";#N/A,#N/A,TRUE,"VOS";#N/A,#N/A,TRUE,"Warrington";#N/A,#N/A,TRUE,"Widnes"}</definedName>
    <definedName name="__ccr2" hidden="1">{#N/A,#N/A,TRUE,"Cover";#N/A,#N/A,TRUE,"Conts";#N/A,#N/A,TRUE,"VOS";#N/A,#N/A,TRUE,"Warrington";#N/A,#N/A,TRUE,"Widnes"}</definedName>
    <definedName name="__cf2" hidden="1">{#N/A,#N/A,FALSE,"Variables";#N/A,#N/A,FALSE,"NPV Cashflows NZ$";#N/A,#N/A,FALSE,"Cashflows NZ$"}</definedName>
    <definedName name="__d2" hidden="1">{#N/A,#N/A,FALSE,"mgtsum.XLS";#N/A,#N/A,FALSE,"CAPONE";#N/A,#N/A,FALSE,"CAPTWO";#N/A,#N/A,FALSE,"CAPTHREE"}</definedName>
    <definedName name="__d2_1" hidden="1">{#N/A,#N/A,FALSE,"mgtsum.XLS";#N/A,#N/A,FALSE,"CAPONE";#N/A,#N/A,FALSE,"CAPTWO";#N/A,#N/A,FALSE,"CAPTHREE"}</definedName>
    <definedName name="__d2_1_1" hidden="1">{#N/A,#N/A,FALSE,"mgtsum.XLS";#N/A,#N/A,FALSE,"CAPONE";#N/A,#N/A,FALSE,"CAPTWO";#N/A,#N/A,FALSE,"CAPTHREE"}</definedName>
    <definedName name="__d2_1_1_1" hidden="1">{#N/A,#N/A,FALSE,"mgtsum.XLS";#N/A,#N/A,FALSE,"CAPONE";#N/A,#N/A,FALSE,"CAPTWO";#N/A,#N/A,FALSE,"CAPTHREE"}</definedName>
    <definedName name="__d2_1_1_1_1" hidden="1">{#N/A,#N/A,FALSE,"mgtsum.XLS";#N/A,#N/A,FALSE,"CAPONE";#N/A,#N/A,FALSE,"CAPTWO";#N/A,#N/A,FALSE,"CAPTHREE"}</definedName>
    <definedName name="__d2_1_1_1_2" hidden="1">{#N/A,#N/A,FALSE,"mgtsum.XLS";#N/A,#N/A,FALSE,"CAPONE";#N/A,#N/A,FALSE,"CAPTWO";#N/A,#N/A,FALSE,"CAPTHREE"}</definedName>
    <definedName name="__d2_1_1_1_3" hidden="1">{#N/A,#N/A,FALSE,"mgtsum.XLS";#N/A,#N/A,FALSE,"CAPONE";#N/A,#N/A,FALSE,"CAPTWO";#N/A,#N/A,FALSE,"CAPTHREE"}</definedName>
    <definedName name="__d2_1_1_1_4" hidden="1">{#N/A,#N/A,FALSE,"mgtsum.XLS";#N/A,#N/A,FALSE,"CAPONE";#N/A,#N/A,FALSE,"CAPTWO";#N/A,#N/A,FALSE,"CAPTHREE"}</definedName>
    <definedName name="__d2_1_1_1_5" hidden="1">{#N/A,#N/A,FALSE,"mgtsum.XLS";#N/A,#N/A,FALSE,"CAPONE";#N/A,#N/A,FALSE,"CAPTWO";#N/A,#N/A,FALSE,"CAPTHREE"}</definedName>
    <definedName name="__d2_1_1_2" hidden="1">{#N/A,#N/A,FALSE,"mgtsum.XLS";#N/A,#N/A,FALSE,"CAPONE";#N/A,#N/A,FALSE,"CAPTWO";#N/A,#N/A,FALSE,"CAPTHREE"}</definedName>
    <definedName name="__d2_1_1_2_1" hidden="1">{#N/A,#N/A,FALSE,"mgtsum.XLS";#N/A,#N/A,FALSE,"CAPONE";#N/A,#N/A,FALSE,"CAPTWO";#N/A,#N/A,FALSE,"CAPTHREE"}</definedName>
    <definedName name="__d2_1_1_2_2" hidden="1">{#N/A,#N/A,FALSE,"mgtsum.XLS";#N/A,#N/A,FALSE,"CAPONE";#N/A,#N/A,FALSE,"CAPTWO";#N/A,#N/A,FALSE,"CAPTHREE"}</definedName>
    <definedName name="__d2_1_1_2_3" hidden="1">{#N/A,#N/A,FALSE,"mgtsum.XLS";#N/A,#N/A,FALSE,"CAPONE";#N/A,#N/A,FALSE,"CAPTWO";#N/A,#N/A,FALSE,"CAPTHREE"}</definedName>
    <definedName name="__d2_1_1_2_4" hidden="1">{#N/A,#N/A,FALSE,"mgtsum.XLS";#N/A,#N/A,FALSE,"CAPONE";#N/A,#N/A,FALSE,"CAPTWO";#N/A,#N/A,FALSE,"CAPTHREE"}</definedName>
    <definedName name="__d2_1_1_2_5" hidden="1">{#N/A,#N/A,FALSE,"mgtsum.XLS";#N/A,#N/A,FALSE,"CAPONE";#N/A,#N/A,FALSE,"CAPTWO";#N/A,#N/A,FALSE,"CAPTHREE"}</definedName>
    <definedName name="__d2_1_1_3" hidden="1">{#N/A,#N/A,FALSE,"mgtsum.XLS";#N/A,#N/A,FALSE,"CAPONE";#N/A,#N/A,FALSE,"CAPTWO";#N/A,#N/A,FALSE,"CAPTHREE"}</definedName>
    <definedName name="__d2_1_1_3_1" hidden="1">{#N/A,#N/A,FALSE,"mgtsum.XLS";#N/A,#N/A,FALSE,"CAPONE";#N/A,#N/A,FALSE,"CAPTWO";#N/A,#N/A,FALSE,"CAPTHREE"}</definedName>
    <definedName name="__d2_1_1_3_2" hidden="1">{#N/A,#N/A,FALSE,"mgtsum.XLS";#N/A,#N/A,FALSE,"CAPONE";#N/A,#N/A,FALSE,"CAPTWO";#N/A,#N/A,FALSE,"CAPTHREE"}</definedName>
    <definedName name="__d2_1_1_3_3" hidden="1">{#N/A,#N/A,FALSE,"mgtsum.XLS";#N/A,#N/A,FALSE,"CAPONE";#N/A,#N/A,FALSE,"CAPTWO";#N/A,#N/A,FALSE,"CAPTHREE"}</definedName>
    <definedName name="__d2_1_1_3_4" hidden="1">{#N/A,#N/A,FALSE,"mgtsum.XLS";#N/A,#N/A,FALSE,"CAPONE";#N/A,#N/A,FALSE,"CAPTWO";#N/A,#N/A,FALSE,"CAPTHREE"}</definedName>
    <definedName name="__d2_1_1_3_5" hidden="1">{#N/A,#N/A,FALSE,"mgtsum.XLS";#N/A,#N/A,FALSE,"CAPONE";#N/A,#N/A,FALSE,"CAPTWO";#N/A,#N/A,FALSE,"CAPTHREE"}</definedName>
    <definedName name="__d2_1_1_4" hidden="1">{#N/A,#N/A,FALSE,"mgtsum.XLS";#N/A,#N/A,FALSE,"CAPONE";#N/A,#N/A,FALSE,"CAPTWO";#N/A,#N/A,FALSE,"CAPTHREE"}</definedName>
    <definedName name="__d2_1_1_5" hidden="1">{#N/A,#N/A,FALSE,"mgtsum.XLS";#N/A,#N/A,FALSE,"CAPONE";#N/A,#N/A,FALSE,"CAPTWO";#N/A,#N/A,FALSE,"CAPTHREE"}</definedName>
    <definedName name="__d2_1_2" hidden="1">{#N/A,#N/A,FALSE,"mgtsum.XLS";#N/A,#N/A,FALSE,"CAPONE";#N/A,#N/A,FALSE,"CAPTWO";#N/A,#N/A,FALSE,"CAPTHREE"}</definedName>
    <definedName name="__d2_1_2_1" hidden="1">{#N/A,#N/A,FALSE,"mgtsum.XLS";#N/A,#N/A,FALSE,"CAPONE";#N/A,#N/A,FALSE,"CAPTWO";#N/A,#N/A,FALSE,"CAPTHREE"}</definedName>
    <definedName name="__d2_1_2_1_1" hidden="1">{#N/A,#N/A,FALSE,"mgtsum.XLS";#N/A,#N/A,FALSE,"CAPONE";#N/A,#N/A,FALSE,"CAPTWO";#N/A,#N/A,FALSE,"CAPTHREE"}</definedName>
    <definedName name="__d2_1_2_1_2" hidden="1">{#N/A,#N/A,FALSE,"mgtsum.XLS";#N/A,#N/A,FALSE,"CAPONE";#N/A,#N/A,FALSE,"CAPTWO";#N/A,#N/A,FALSE,"CAPTHREE"}</definedName>
    <definedName name="__d2_1_2_1_3" hidden="1">{#N/A,#N/A,FALSE,"mgtsum.XLS";#N/A,#N/A,FALSE,"CAPONE";#N/A,#N/A,FALSE,"CAPTWO";#N/A,#N/A,FALSE,"CAPTHREE"}</definedName>
    <definedName name="__d2_1_2_1_4" hidden="1">{#N/A,#N/A,FALSE,"mgtsum.XLS";#N/A,#N/A,FALSE,"CAPONE";#N/A,#N/A,FALSE,"CAPTWO";#N/A,#N/A,FALSE,"CAPTHREE"}</definedName>
    <definedName name="__d2_1_2_1_5" hidden="1">{#N/A,#N/A,FALSE,"mgtsum.XLS";#N/A,#N/A,FALSE,"CAPONE";#N/A,#N/A,FALSE,"CAPTWO";#N/A,#N/A,FALSE,"CAPTHREE"}</definedName>
    <definedName name="__d2_1_2_2" hidden="1">{#N/A,#N/A,FALSE,"mgtsum.XLS";#N/A,#N/A,FALSE,"CAPONE";#N/A,#N/A,FALSE,"CAPTWO";#N/A,#N/A,FALSE,"CAPTHREE"}</definedName>
    <definedName name="__d2_1_2_2_1" hidden="1">{#N/A,#N/A,FALSE,"mgtsum.XLS";#N/A,#N/A,FALSE,"CAPONE";#N/A,#N/A,FALSE,"CAPTWO";#N/A,#N/A,FALSE,"CAPTHREE"}</definedName>
    <definedName name="__d2_1_2_2_2" hidden="1">{#N/A,#N/A,FALSE,"mgtsum.XLS";#N/A,#N/A,FALSE,"CAPONE";#N/A,#N/A,FALSE,"CAPTWO";#N/A,#N/A,FALSE,"CAPTHREE"}</definedName>
    <definedName name="__d2_1_2_2_3" hidden="1">{#N/A,#N/A,FALSE,"mgtsum.XLS";#N/A,#N/A,FALSE,"CAPONE";#N/A,#N/A,FALSE,"CAPTWO";#N/A,#N/A,FALSE,"CAPTHREE"}</definedName>
    <definedName name="__d2_1_2_2_4" hidden="1">{#N/A,#N/A,FALSE,"mgtsum.XLS";#N/A,#N/A,FALSE,"CAPONE";#N/A,#N/A,FALSE,"CAPTWO";#N/A,#N/A,FALSE,"CAPTHREE"}</definedName>
    <definedName name="__d2_1_2_2_5" hidden="1">{#N/A,#N/A,FALSE,"mgtsum.XLS";#N/A,#N/A,FALSE,"CAPONE";#N/A,#N/A,FALSE,"CAPTWO";#N/A,#N/A,FALSE,"CAPTHREE"}</definedName>
    <definedName name="__d2_1_2_3" hidden="1">{#N/A,#N/A,FALSE,"mgtsum.XLS";#N/A,#N/A,FALSE,"CAPONE";#N/A,#N/A,FALSE,"CAPTWO";#N/A,#N/A,FALSE,"CAPTHREE"}</definedName>
    <definedName name="__d2_1_2_4" hidden="1">{#N/A,#N/A,FALSE,"mgtsum.XLS";#N/A,#N/A,FALSE,"CAPONE";#N/A,#N/A,FALSE,"CAPTWO";#N/A,#N/A,FALSE,"CAPTHREE"}</definedName>
    <definedName name="__d2_1_2_5" hidden="1">{#N/A,#N/A,FALSE,"mgtsum.XLS";#N/A,#N/A,FALSE,"CAPONE";#N/A,#N/A,FALSE,"CAPTWO";#N/A,#N/A,FALSE,"CAPTHREE"}</definedName>
    <definedName name="__d2_1_3" hidden="1">{#N/A,#N/A,FALSE,"mgtsum.XLS";#N/A,#N/A,FALSE,"CAPONE";#N/A,#N/A,FALSE,"CAPTWO";#N/A,#N/A,FALSE,"CAPTHREE"}</definedName>
    <definedName name="__d2_1_3_1" hidden="1">{#N/A,#N/A,FALSE,"mgtsum.XLS";#N/A,#N/A,FALSE,"CAPONE";#N/A,#N/A,FALSE,"CAPTWO";#N/A,#N/A,FALSE,"CAPTHREE"}</definedName>
    <definedName name="__d2_1_3_1_1" hidden="1">{#N/A,#N/A,FALSE,"mgtsum.XLS";#N/A,#N/A,FALSE,"CAPONE";#N/A,#N/A,FALSE,"CAPTWO";#N/A,#N/A,FALSE,"CAPTHREE"}</definedName>
    <definedName name="__d2_1_3_1_2" hidden="1">{#N/A,#N/A,FALSE,"mgtsum.XLS";#N/A,#N/A,FALSE,"CAPONE";#N/A,#N/A,FALSE,"CAPTWO";#N/A,#N/A,FALSE,"CAPTHREE"}</definedName>
    <definedName name="__d2_1_3_1_3" hidden="1">{#N/A,#N/A,FALSE,"mgtsum.XLS";#N/A,#N/A,FALSE,"CAPONE";#N/A,#N/A,FALSE,"CAPTWO";#N/A,#N/A,FALSE,"CAPTHREE"}</definedName>
    <definedName name="__d2_1_3_1_4" hidden="1">{#N/A,#N/A,FALSE,"mgtsum.XLS";#N/A,#N/A,FALSE,"CAPONE";#N/A,#N/A,FALSE,"CAPTWO";#N/A,#N/A,FALSE,"CAPTHREE"}</definedName>
    <definedName name="__d2_1_3_1_5" hidden="1">{#N/A,#N/A,FALSE,"mgtsum.XLS";#N/A,#N/A,FALSE,"CAPONE";#N/A,#N/A,FALSE,"CAPTWO";#N/A,#N/A,FALSE,"CAPTHREE"}</definedName>
    <definedName name="__d2_1_3_2" hidden="1">{#N/A,#N/A,FALSE,"mgtsum.XLS";#N/A,#N/A,FALSE,"CAPONE";#N/A,#N/A,FALSE,"CAPTWO";#N/A,#N/A,FALSE,"CAPTHREE"}</definedName>
    <definedName name="__d2_1_3_2_1" hidden="1">{#N/A,#N/A,FALSE,"mgtsum.XLS";#N/A,#N/A,FALSE,"CAPONE";#N/A,#N/A,FALSE,"CAPTWO";#N/A,#N/A,FALSE,"CAPTHREE"}</definedName>
    <definedName name="__d2_1_3_2_2" hidden="1">{#N/A,#N/A,FALSE,"mgtsum.XLS";#N/A,#N/A,FALSE,"CAPONE";#N/A,#N/A,FALSE,"CAPTWO";#N/A,#N/A,FALSE,"CAPTHREE"}</definedName>
    <definedName name="__d2_1_3_2_3" hidden="1">{#N/A,#N/A,FALSE,"mgtsum.XLS";#N/A,#N/A,FALSE,"CAPONE";#N/A,#N/A,FALSE,"CAPTWO";#N/A,#N/A,FALSE,"CAPTHREE"}</definedName>
    <definedName name="__d2_1_3_2_4" hidden="1">{#N/A,#N/A,FALSE,"mgtsum.XLS";#N/A,#N/A,FALSE,"CAPONE";#N/A,#N/A,FALSE,"CAPTWO";#N/A,#N/A,FALSE,"CAPTHREE"}</definedName>
    <definedName name="__d2_1_3_2_5" hidden="1">{#N/A,#N/A,FALSE,"mgtsum.XLS";#N/A,#N/A,FALSE,"CAPONE";#N/A,#N/A,FALSE,"CAPTWO";#N/A,#N/A,FALSE,"CAPTHREE"}</definedName>
    <definedName name="__d2_1_3_3" hidden="1">{#N/A,#N/A,FALSE,"mgtsum.XLS";#N/A,#N/A,FALSE,"CAPONE";#N/A,#N/A,FALSE,"CAPTWO";#N/A,#N/A,FALSE,"CAPTHREE"}</definedName>
    <definedName name="__d2_1_3_4" hidden="1">{#N/A,#N/A,FALSE,"mgtsum.XLS";#N/A,#N/A,FALSE,"CAPONE";#N/A,#N/A,FALSE,"CAPTWO";#N/A,#N/A,FALSE,"CAPTHREE"}</definedName>
    <definedName name="__d2_1_3_5" hidden="1">{#N/A,#N/A,FALSE,"mgtsum.XLS";#N/A,#N/A,FALSE,"CAPONE";#N/A,#N/A,FALSE,"CAPTWO";#N/A,#N/A,FALSE,"CAPTHREE"}</definedName>
    <definedName name="__d2_1_4" hidden="1">{#N/A,#N/A,FALSE,"mgtsum.XLS";#N/A,#N/A,FALSE,"CAPONE";#N/A,#N/A,FALSE,"CAPTWO";#N/A,#N/A,FALSE,"CAPTHREE"}</definedName>
    <definedName name="__d2_1_4_1" hidden="1">{#N/A,#N/A,FALSE,"mgtsum.XLS";#N/A,#N/A,FALSE,"CAPONE";#N/A,#N/A,FALSE,"CAPTWO";#N/A,#N/A,FALSE,"CAPTHREE"}</definedName>
    <definedName name="__d2_1_4_1_1" hidden="1">{#N/A,#N/A,FALSE,"mgtsum.XLS";#N/A,#N/A,FALSE,"CAPONE";#N/A,#N/A,FALSE,"CAPTWO";#N/A,#N/A,FALSE,"CAPTHREE"}</definedName>
    <definedName name="__d2_1_4_1_2" hidden="1">{#N/A,#N/A,FALSE,"mgtsum.XLS";#N/A,#N/A,FALSE,"CAPONE";#N/A,#N/A,FALSE,"CAPTWO";#N/A,#N/A,FALSE,"CAPTHREE"}</definedName>
    <definedName name="__d2_1_4_1_3" hidden="1">{#N/A,#N/A,FALSE,"mgtsum.XLS";#N/A,#N/A,FALSE,"CAPONE";#N/A,#N/A,FALSE,"CAPTWO";#N/A,#N/A,FALSE,"CAPTHREE"}</definedName>
    <definedName name="__d2_1_4_1_4" hidden="1">{#N/A,#N/A,FALSE,"mgtsum.XLS";#N/A,#N/A,FALSE,"CAPONE";#N/A,#N/A,FALSE,"CAPTWO";#N/A,#N/A,FALSE,"CAPTHREE"}</definedName>
    <definedName name="__d2_1_4_1_5" hidden="1">{#N/A,#N/A,FALSE,"mgtsum.XLS";#N/A,#N/A,FALSE,"CAPONE";#N/A,#N/A,FALSE,"CAPTWO";#N/A,#N/A,FALSE,"CAPTHREE"}</definedName>
    <definedName name="__d2_1_4_2" hidden="1">{#N/A,#N/A,FALSE,"mgtsum.XLS";#N/A,#N/A,FALSE,"CAPONE";#N/A,#N/A,FALSE,"CAPTWO";#N/A,#N/A,FALSE,"CAPTHREE"}</definedName>
    <definedName name="__d2_1_4_2_1" hidden="1">{#N/A,#N/A,FALSE,"mgtsum.XLS";#N/A,#N/A,FALSE,"CAPONE";#N/A,#N/A,FALSE,"CAPTWO";#N/A,#N/A,FALSE,"CAPTHREE"}</definedName>
    <definedName name="__d2_1_4_2_2" hidden="1">{#N/A,#N/A,FALSE,"mgtsum.XLS";#N/A,#N/A,FALSE,"CAPONE";#N/A,#N/A,FALSE,"CAPTWO";#N/A,#N/A,FALSE,"CAPTHREE"}</definedName>
    <definedName name="__d2_1_4_2_3" hidden="1">{#N/A,#N/A,FALSE,"mgtsum.XLS";#N/A,#N/A,FALSE,"CAPONE";#N/A,#N/A,FALSE,"CAPTWO";#N/A,#N/A,FALSE,"CAPTHREE"}</definedName>
    <definedName name="__d2_1_4_2_4" hidden="1">{#N/A,#N/A,FALSE,"mgtsum.XLS";#N/A,#N/A,FALSE,"CAPONE";#N/A,#N/A,FALSE,"CAPTWO";#N/A,#N/A,FALSE,"CAPTHREE"}</definedName>
    <definedName name="__d2_1_4_2_5" hidden="1">{#N/A,#N/A,FALSE,"mgtsum.XLS";#N/A,#N/A,FALSE,"CAPONE";#N/A,#N/A,FALSE,"CAPTWO";#N/A,#N/A,FALSE,"CAPTHREE"}</definedName>
    <definedName name="__d2_1_4_3" hidden="1">{#N/A,#N/A,FALSE,"mgtsum.XLS";#N/A,#N/A,FALSE,"CAPONE";#N/A,#N/A,FALSE,"CAPTWO";#N/A,#N/A,FALSE,"CAPTHREE"}</definedName>
    <definedName name="__d2_1_4_4" hidden="1">{#N/A,#N/A,FALSE,"mgtsum.XLS";#N/A,#N/A,FALSE,"CAPONE";#N/A,#N/A,FALSE,"CAPTWO";#N/A,#N/A,FALSE,"CAPTHREE"}</definedName>
    <definedName name="__d2_1_4_5" hidden="1">{#N/A,#N/A,FALSE,"mgtsum.XLS";#N/A,#N/A,FALSE,"CAPONE";#N/A,#N/A,FALSE,"CAPTWO";#N/A,#N/A,FALSE,"CAPTHREE"}</definedName>
    <definedName name="__d2_1_5" hidden="1">{#N/A,#N/A,FALSE,"mgtsum.XLS";#N/A,#N/A,FALSE,"CAPONE";#N/A,#N/A,FALSE,"CAPTWO";#N/A,#N/A,FALSE,"CAPTHREE"}</definedName>
    <definedName name="__d2_1_5_1" hidden="1">{#N/A,#N/A,FALSE,"mgtsum.XLS";#N/A,#N/A,FALSE,"CAPONE";#N/A,#N/A,FALSE,"CAPTWO";#N/A,#N/A,FALSE,"CAPTHREE"}</definedName>
    <definedName name="__d2_1_5_1_1" hidden="1">{#N/A,#N/A,FALSE,"mgtsum.XLS";#N/A,#N/A,FALSE,"CAPONE";#N/A,#N/A,FALSE,"CAPTWO";#N/A,#N/A,FALSE,"CAPTHREE"}</definedName>
    <definedName name="__d2_1_5_1_2" hidden="1">{#N/A,#N/A,FALSE,"mgtsum.XLS";#N/A,#N/A,FALSE,"CAPONE";#N/A,#N/A,FALSE,"CAPTWO";#N/A,#N/A,FALSE,"CAPTHREE"}</definedName>
    <definedName name="__d2_1_5_1_3" hidden="1">{#N/A,#N/A,FALSE,"mgtsum.XLS";#N/A,#N/A,FALSE,"CAPONE";#N/A,#N/A,FALSE,"CAPTWO";#N/A,#N/A,FALSE,"CAPTHREE"}</definedName>
    <definedName name="__d2_1_5_1_4" hidden="1">{#N/A,#N/A,FALSE,"mgtsum.XLS";#N/A,#N/A,FALSE,"CAPONE";#N/A,#N/A,FALSE,"CAPTWO";#N/A,#N/A,FALSE,"CAPTHREE"}</definedName>
    <definedName name="__d2_1_5_1_5" hidden="1">{#N/A,#N/A,FALSE,"mgtsum.XLS";#N/A,#N/A,FALSE,"CAPONE";#N/A,#N/A,FALSE,"CAPTWO";#N/A,#N/A,FALSE,"CAPTHREE"}</definedName>
    <definedName name="__d2_1_5_2" hidden="1">{#N/A,#N/A,FALSE,"mgtsum.XLS";#N/A,#N/A,FALSE,"CAPONE";#N/A,#N/A,FALSE,"CAPTWO";#N/A,#N/A,FALSE,"CAPTHREE"}</definedName>
    <definedName name="__d2_1_5_2_1" hidden="1">{#N/A,#N/A,FALSE,"mgtsum.XLS";#N/A,#N/A,FALSE,"CAPONE";#N/A,#N/A,FALSE,"CAPTWO";#N/A,#N/A,FALSE,"CAPTHREE"}</definedName>
    <definedName name="__d2_1_5_2_2" hidden="1">{#N/A,#N/A,FALSE,"mgtsum.XLS";#N/A,#N/A,FALSE,"CAPONE";#N/A,#N/A,FALSE,"CAPTWO";#N/A,#N/A,FALSE,"CAPTHREE"}</definedName>
    <definedName name="__d2_1_5_2_3" hidden="1">{#N/A,#N/A,FALSE,"mgtsum.XLS";#N/A,#N/A,FALSE,"CAPONE";#N/A,#N/A,FALSE,"CAPTWO";#N/A,#N/A,FALSE,"CAPTHREE"}</definedName>
    <definedName name="__d2_1_5_2_4" hidden="1">{#N/A,#N/A,FALSE,"mgtsum.XLS";#N/A,#N/A,FALSE,"CAPONE";#N/A,#N/A,FALSE,"CAPTWO";#N/A,#N/A,FALSE,"CAPTHREE"}</definedName>
    <definedName name="__d2_1_5_2_5" hidden="1">{#N/A,#N/A,FALSE,"mgtsum.XLS";#N/A,#N/A,FALSE,"CAPONE";#N/A,#N/A,FALSE,"CAPTWO";#N/A,#N/A,FALSE,"CAPTHREE"}</definedName>
    <definedName name="__d2_1_5_3" hidden="1">{#N/A,#N/A,FALSE,"mgtsum.XLS";#N/A,#N/A,FALSE,"CAPONE";#N/A,#N/A,FALSE,"CAPTWO";#N/A,#N/A,FALSE,"CAPTHREE"}</definedName>
    <definedName name="__d2_1_5_4" hidden="1">{#N/A,#N/A,FALSE,"mgtsum.XLS";#N/A,#N/A,FALSE,"CAPONE";#N/A,#N/A,FALSE,"CAPTWO";#N/A,#N/A,FALSE,"CAPTHREE"}</definedName>
    <definedName name="__d2_1_5_5" hidden="1">{#N/A,#N/A,FALSE,"mgtsum.XLS";#N/A,#N/A,FALSE,"CAPONE";#N/A,#N/A,FALSE,"CAPTWO";#N/A,#N/A,FALSE,"CAPTHREE"}</definedName>
    <definedName name="__d2_2" hidden="1">{#N/A,#N/A,FALSE,"mgtsum.XLS";#N/A,#N/A,FALSE,"CAPONE";#N/A,#N/A,FALSE,"CAPTWO";#N/A,#N/A,FALSE,"CAPTHREE"}</definedName>
    <definedName name="__d2_2_1" hidden="1">{#N/A,#N/A,FALSE,"mgtsum.XLS";#N/A,#N/A,FALSE,"CAPONE";#N/A,#N/A,FALSE,"CAPTWO";#N/A,#N/A,FALSE,"CAPTHREE"}</definedName>
    <definedName name="__d2_2_1_1" hidden="1">{#N/A,#N/A,FALSE,"mgtsum.XLS";#N/A,#N/A,FALSE,"CAPONE";#N/A,#N/A,FALSE,"CAPTWO";#N/A,#N/A,FALSE,"CAPTHREE"}</definedName>
    <definedName name="__d2_2_1_1_1" hidden="1">{#N/A,#N/A,FALSE,"mgtsum.XLS";#N/A,#N/A,FALSE,"CAPONE";#N/A,#N/A,FALSE,"CAPTWO";#N/A,#N/A,FALSE,"CAPTHREE"}</definedName>
    <definedName name="__d2_2_1_1_2" hidden="1">{#N/A,#N/A,FALSE,"mgtsum.XLS";#N/A,#N/A,FALSE,"CAPONE";#N/A,#N/A,FALSE,"CAPTWO";#N/A,#N/A,FALSE,"CAPTHREE"}</definedName>
    <definedName name="__d2_2_1_1_3" hidden="1">{#N/A,#N/A,FALSE,"mgtsum.XLS";#N/A,#N/A,FALSE,"CAPONE";#N/A,#N/A,FALSE,"CAPTWO";#N/A,#N/A,FALSE,"CAPTHREE"}</definedName>
    <definedName name="__d2_2_1_1_4" hidden="1">{#N/A,#N/A,FALSE,"mgtsum.XLS";#N/A,#N/A,FALSE,"CAPONE";#N/A,#N/A,FALSE,"CAPTWO";#N/A,#N/A,FALSE,"CAPTHREE"}</definedName>
    <definedName name="__d2_2_1_1_5" hidden="1">{#N/A,#N/A,FALSE,"mgtsum.XLS";#N/A,#N/A,FALSE,"CAPONE";#N/A,#N/A,FALSE,"CAPTWO";#N/A,#N/A,FALSE,"CAPTHREE"}</definedName>
    <definedName name="__d2_2_1_2" hidden="1">{#N/A,#N/A,FALSE,"mgtsum.XLS";#N/A,#N/A,FALSE,"CAPONE";#N/A,#N/A,FALSE,"CAPTWO";#N/A,#N/A,FALSE,"CAPTHREE"}</definedName>
    <definedName name="__d2_2_1_2_1" hidden="1">{#N/A,#N/A,FALSE,"mgtsum.XLS";#N/A,#N/A,FALSE,"CAPONE";#N/A,#N/A,FALSE,"CAPTWO";#N/A,#N/A,FALSE,"CAPTHREE"}</definedName>
    <definedName name="__d2_2_1_2_2" hidden="1">{#N/A,#N/A,FALSE,"mgtsum.XLS";#N/A,#N/A,FALSE,"CAPONE";#N/A,#N/A,FALSE,"CAPTWO";#N/A,#N/A,FALSE,"CAPTHREE"}</definedName>
    <definedName name="__d2_2_1_2_3" hidden="1">{#N/A,#N/A,FALSE,"mgtsum.XLS";#N/A,#N/A,FALSE,"CAPONE";#N/A,#N/A,FALSE,"CAPTWO";#N/A,#N/A,FALSE,"CAPTHREE"}</definedName>
    <definedName name="__d2_2_1_2_4" hidden="1">{#N/A,#N/A,FALSE,"mgtsum.XLS";#N/A,#N/A,FALSE,"CAPONE";#N/A,#N/A,FALSE,"CAPTWO";#N/A,#N/A,FALSE,"CAPTHREE"}</definedName>
    <definedName name="__d2_2_1_2_5" hidden="1">{#N/A,#N/A,FALSE,"mgtsum.XLS";#N/A,#N/A,FALSE,"CAPONE";#N/A,#N/A,FALSE,"CAPTWO";#N/A,#N/A,FALSE,"CAPTHREE"}</definedName>
    <definedName name="__d2_2_1_3" hidden="1">{#N/A,#N/A,FALSE,"mgtsum.XLS";#N/A,#N/A,FALSE,"CAPONE";#N/A,#N/A,FALSE,"CAPTWO";#N/A,#N/A,FALSE,"CAPTHREE"}</definedName>
    <definedName name="__d2_2_1_3_1" hidden="1">{#N/A,#N/A,FALSE,"mgtsum.XLS";#N/A,#N/A,FALSE,"CAPONE";#N/A,#N/A,FALSE,"CAPTWO";#N/A,#N/A,FALSE,"CAPTHREE"}</definedName>
    <definedName name="__d2_2_1_3_2" hidden="1">{#N/A,#N/A,FALSE,"mgtsum.XLS";#N/A,#N/A,FALSE,"CAPONE";#N/A,#N/A,FALSE,"CAPTWO";#N/A,#N/A,FALSE,"CAPTHREE"}</definedName>
    <definedName name="__d2_2_1_3_3" hidden="1">{#N/A,#N/A,FALSE,"mgtsum.XLS";#N/A,#N/A,FALSE,"CAPONE";#N/A,#N/A,FALSE,"CAPTWO";#N/A,#N/A,FALSE,"CAPTHREE"}</definedName>
    <definedName name="__d2_2_1_3_4" hidden="1">{#N/A,#N/A,FALSE,"mgtsum.XLS";#N/A,#N/A,FALSE,"CAPONE";#N/A,#N/A,FALSE,"CAPTWO";#N/A,#N/A,FALSE,"CAPTHREE"}</definedName>
    <definedName name="__d2_2_1_3_5" hidden="1">{#N/A,#N/A,FALSE,"mgtsum.XLS";#N/A,#N/A,FALSE,"CAPONE";#N/A,#N/A,FALSE,"CAPTWO";#N/A,#N/A,FALSE,"CAPTHREE"}</definedName>
    <definedName name="__d2_2_1_4" hidden="1">{#N/A,#N/A,FALSE,"mgtsum.XLS";#N/A,#N/A,FALSE,"CAPONE";#N/A,#N/A,FALSE,"CAPTWO";#N/A,#N/A,FALSE,"CAPTHREE"}</definedName>
    <definedName name="__d2_2_1_5" hidden="1">{#N/A,#N/A,FALSE,"mgtsum.XLS";#N/A,#N/A,FALSE,"CAPONE";#N/A,#N/A,FALSE,"CAPTWO";#N/A,#N/A,FALSE,"CAPTHREE"}</definedName>
    <definedName name="__d2_2_2" hidden="1">{#N/A,#N/A,FALSE,"mgtsum.XLS";#N/A,#N/A,FALSE,"CAPONE";#N/A,#N/A,FALSE,"CAPTWO";#N/A,#N/A,FALSE,"CAPTHREE"}</definedName>
    <definedName name="__d2_2_2_1" hidden="1">{#N/A,#N/A,FALSE,"mgtsum.XLS";#N/A,#N/A,FALSE,"CAPONE";#N/A,#N/A,FALSE,"CAPTWO";#N/A,#N/A,FALSE,"CAPTHREE"}</definedName>
    <definedName name="__d2_2_2_1_1" hidden="1">{#N/A,#N/A,FALSE,"mgtsum.XLS";#N/A,#N/A,FALSE,"CAPONE";#N/A,#N/A,FALSE,"CAPTWO";#N/A,#N/A,FALSE,"CAPTHREE"}</definedName>
    <definedName name="__d2_2_2_1_2" hidden="1">{#N/A,#N/A,FALSE,"mgtsum.XLS";#N/A,#N/A,FALSE,"CAPONE";#N/A,#N/A,FALSE,"CAPTWO";#N/A,#N/A,FALSE,"CAPTHREE"}</definedName>
    <definedName name="__d2_2_2_1_3" hidden="1">{#N/A,#N/A,FALSE,"mgtsum.XLS";#N/A,#N/A,FALSE,"CAPONE";#N/A,#N/A,FALSE,"CAPTWO";#N/A,#N/A,FALSE,"CAPTHREE"}</definedName>
    <definedName name="__d2_2_2_1_4" hidden="1">{#N/A,#N/A,FALSE,"mgtsum.XLS";#N/A,#N/A,FALSE,"CAPONE";#N/A,#N/A,FALSE,"CAPTWO";#N/A,#N/A,FALSE,"CAPTHREE"}</definedName>
    <definedName name="__d2_2_2_1_5" hidden="1">{#N/A,#N/A,FALSE,"mgtsum.XLS";#N/A,#N/A,FALSE,"CAPONE";#N/A,#N/A,FALSE,"CAPTWO";#N/A,#N/A,FALSE,"CAPTHREE"}</definedName>
    <definedName name="__d2_2_2_2" hidden="1">{#N/A,#N/A,FALSE,"mgtsum.XLS";#N/A,#N/A,FALSE,"CAPONE";#N/A,#N/A,FALSE,"CAPTWO";#N/A,#N/A,FALSE,"CAPTHREE"}</definedName>
    <definedName name="__d2_2_2_2_1" hidden="1">{#N/A,#N/A,FALSE,"mgtsum.XLS";#N/A,#N/A,FALSE,"CAPONE";#N/A,#N/A,FALSE,"CAPTWO";#N/A,#N/A,FALSE,"CAPTHREE"}</definedName>
    <definedName name="__d2_2_2_2_2" hidden="1">{#N/A,#N/A,FALSE,"mgtsum.XLS";#N/A,#N/A,FALSE,"CAPONE";#N/A,#N/A,FALSE,"CAPTWO";#N/A,#N/A,FALSE,"CAPTHREE"}</definedName>
    <definedName name="__d2_2_2_2_3" hidden="1">{#N/A,#N/A,FALSE,"mgtsum.XLS";#N/A,#N/A,FALSE,"CAPONE";#N/A,#N/A,FALSE,"CAPTWO";#N/A,#N/A,FALSE,"CAPTHREE"}</definedName>
    <definedName name="__d2_2_2_2_4" hidden="1">{#N/A,#N/A,FALSE,"mgtsum.XLS";#N/A,#N/A,FALSE,"CAPONE";#N/A,#N/A,FALSE,"CAPTWO";#N/A,#N/A,FALSE,"CAPTHREE"}</definedName>
    <definedName name="__d2_2_2_2_5" hidden="1">{#N/A,#N/A,FALSE,"mgtsum.XLS";#N/A,#N/A,FALSE,"CAPONE";#N/A,#N/A,FALSE,"CAPTWO";#N/A,#N/A,FALSE,"CAPTHREE"}</definedName>
    <definedName name="__d2_2_2_3" hidden="1">{#N/A,#N/A,FALSE,"mgtsum.XLS";#N/A,#N/A,FALSE,"CAPONE";#N/A,#N/A,FALSE,"CAPTWO";#N/A,#N/A,FALSE,"CAPTHREE"}</definedName>
    <definedName name="__d2_2_2_4" hidden="1">{#N/A,#N/A,FALSE,"mgtsum.XLS";#N/A,#N/A,FALSE,"CAPONE";#N/A,#N/A,FALSE,"CAPTWO";#N/A,#N/A,FALSE,"CAPTHREE"}</definedName>
    <definedName name="__d2_2_2_5" hidden="1">{#N/A,#N/A,FALSE,"mgtsum.XLS";#N/A,#N/A,FALSE,"CAPONE";#N/A,#N/A,FALSE,"CAPTWO";#N/A,#N/A,FALSE,"CAPTHREE"}</definedName>
    <definedName name="__d2_2_3" hidden="1">{#N/A,#N/A,FALSE,"mgtsum.XLS";#N/A,#N/A,FALSE,"CAPONE";#N/A,#N/A,FALSE,"CAPTWO";#N/A,#N/A,FALSE,"CAPTHREE"}</definedName>
    <definedName name="__d2_2_3_1" hidden="1">{#N/A,#N/A,FALSE,"mgtsum.XLS";#N/A,#N/A,FALSE,"CAPONE";#N/A,#N/A,FALSE,"CAPTWO";#N/A,#N/A,FALSE,"CAPTHREE"}</definedName>
    <definedName name="__d2_2_3_1_1" hidden="1">{#N/A,#N/A,FALSE,"mgtsum.XLS";#N/A,#N/A,FALSE,"CAPONE";#N/A,#N/A,FALSE,"CAPTWO";#N/A,#N/A,FALSE,"CAPTHREE"}</definedName>
    <definedName name="__d2_2_3_1_2" hidden="1">{#N/A,#N/A,FALSE,"mgtsum.XLS";#N/A,#N/A,FALSE,"CAPONE";#N/A,#N/A,FALSE,"CAPTWO";#N/A,#N/A,FALSE,"CAPTHREE"}</definedName>
    <definedName name="__d2_2_3_1_3" hidden="1">{#N/A,#N/A,FALSE,"mgtsum.XLS";#N/A,#N/A,FALSE,"CAPONE";#N/A,#N/A,FALSE,"CAPTWO";#N/A,#N/A,FALSE,"CAPTHREE"}</definedName>
    <definedName name="__d2_2_3_1_4" hidden="1">{#N/A,#N/A,FALSE,"mgtsum.XLS";#N/A,#N/A,FALSE,"CAPONE";#N/A,#N/A,FALSE,"CAPTWO";#N/A,#N/A,FALSE,"CAPTHREE"}</definedName>
    <definedName name="__d2_2_3_1_5" hidden="1">{#N/A,#N/A,FALSE,"mgtsum.XLS";#N/A,#N/A,FALSE,"CAPONE";#N/A,#N/A,FALSE,"CAPTWO";#N/A,#N/A,FALSE,"CAPTHREE"}</definedName>
    <definedName name="__d2_2_3_2" hidden="1">{#N/A,#N/A,FALSE,"mgtsum.XLS";#N/A,#N/A,FALSE,"CAPONE";#N/A,#N/A,FALSE,"CAPTWO";#N/A,#N/A,FALSE,"CAPTHREE"}</definedName>
    <definedName name="__d2_2_3_2_1" hidden="1">{#N/A,#N/A,FALSE,"mgtsum.XLS";#N/A,#N/A,FALSE,"CAPONE";#N/A,#N/A,FALSE,"CAPTWO";#N/A,#N/A,FALSE,"CAPTHREE"}</definedName>
    <definedName name="__d2_2_3_2_2" hidden="1">{#N/A,#N/A,FALSE,"mgtsum.XLS";#N/A,#N/A,FALSE,"CAPONE";#N/A,#N/A,FALSE,"CAPTWO";#N/A,#N/A,FALSE,"CAPTHREE"}</definedName>
    <definedName name="__d2_2_3_2_3" hidden="1">{#N/A,#N/A,FALSE,"mgtsum.XLS";#N/A,#N/A,FALSE,"CAPONE";#N/A,#N/A,FALSE,"CAPTWO";#N/A,#N/A,FALSE,"CAPTHREE"}</definedName>
    <definedName name="__d2_2_3_2_4" hidden="1">{#N/A,#N/A,FALSE,"mgtsum.XLS";#N/A,#N/A,FALSE,"CAPONE";#N/A,#N/A,FALSE,"CAPTWO";#N/A,#N/A,FALSE,"CAPTHREE"}</definedName>
    <definedName name="__d2_2_3_2_5" hidden="1">{#N/A,#N/A,FALSE,"mgtsum.XLS";#N/A,#N/A,FALSE,"CAPONE";#N/A,#N/A,FALSE,"CAPTWO";#N/A,#N/A,FALSE,"CAPTHREE"}</definedName>
    <definedName name="__d2_2_3_3" hidden="1">{#N/A,#N/A,FALSE,"mgtsum.XLS";#N/A,#N/A,FALSE,"CAPONE";#N/A,#N/A,FALSE,"CAPTWO";#N/A,#N/A,FALSE,"CAPTHREE"}</definedName>
    <definedName name="__d2_2_3_4" hidden="1">{#N/A,#N/A,FALSE,"mgtsum.XLS";#N/A,#N/A,FALSE,"CAPONE";#N/A,#N/A,FALSE,"CAPTWO";#N/A,#N/A,FALSE,"CAPTHREE"}</definedName>
    <definedName name="__d2_2_3_5" hidden="1">{#N/A,#N/A,FALSE,"mgtsum.XLS";#N/A,#N/A,FALSE,"CAPONE";#N/A,#N/A,FALSE,"CAPTWO";#N/A,#N/A,FALSE,"CAPTHREE"}</definedName>
    <definedName name="__d2_2_4" hidden="1">{#N/A,#N/A,FALSE,"mgtsum.XLS";#N/A,#N/A,FALSE,"CAPONE";#N/A,#N/A,FALSE,"CAPTWO";#N/A,#N/A,FALSE,"CAPTHREE"}</definedName>
    <definedName name="__d2_2_4_1" hidden="1">{#N/A,#N/A,FALSE,"mgtsum.XLS";#N/A,#N/A,FALSE,"CAPONE";#N/A,#N/A,FALSE,"CAPTWO";#N/A,#N/A,FALSE,"CAPTHREE"}</definedName>
    <definedName name="__d2_2_4_1_1" hidden="1">{#N/A,#N/A,FALSE,"mgtsum.XLS";#N/A,#N/A,FALSE,"CAPONE";#N/A,#N/A,FALSE,"CAPTWO";#N/A,#N/A,FALSE,"CAPTHREE"}</definedName>
    <definedName name="__d2_2_4_1_2" hidden="1">{#N/A,#N/A,FALSE,"mgtsum.XLS";#N/A,#N/A,FALSE,"CAPONE";#N/A,#N/A,FALSE,"CAPTWO";#N/A,#N/A,FALSE,"CAPTHREE"}</definedName>
    <definedName name="__d2_2_4_1_3" hidden="1">{#N/A,#N/A,FALSE,"mgtsum.XLS";#N/A,#N/A,FALSE,"CAPONE";#N/A,#N/A,FALSE,"CAPTWO";#N/A,#N/A,FALSE,"CAPTHREE"}</definedName>
    <definedName name="__d2_2_4_1_4" hidden="1">{#N/A,#N/A,FALSE,"mgtsum.XLS";#N/A,#N/A,FALSE,"CAPONE";#N/A,#N/A,FALSE,"CAPTWO";#N/A,#N/A,FALSE,"CAPTHREE"}</definedName>
    <definedName name="__d2_2_4_1_5" hidden="1">{#N/A,#N/A,FALSE,"mgtsum.XLS";#N/A,#N/A,FALSE,"CAPONE";#N/A,#N/A,FALSE,"CAPTWO";#N/A,#N/A,FALSE,"CAPTHREE"}</definedName>
    <definedName name="__d2_2_4_2" hidden="1">{#N/A,#N/A,FALSE,"mgtsum.XLS";#N/A,#N/A,FALSE,"CAPONE";#N/A,#N/A,FALSE,"CAPTWO";#N/A,#N/A,FALSE,"CAPTHREE"}</definedName>
    <definedName name="__d2_2_4_2_1" hidden="1">{#N/A,#N/A,FALSE,"mgtsum.XLS";#N/A,#N/A,FALSE,"CAPONE";#N/A,#N/A,FALSE,"CAPTWO";#N/A,#N/A,FALSE,"CAPTHREE"}</definedName>
    <definedName name="__d2_2_4_2_2" hidden="1">{#N/A,#N/A,FALSE,"mgtsum.XLS";#N/A,#N/A,FALSE,"CAPONE";#N/A,#N/A,FALSE,"CAPTWO";#N/A,#N/A,FALSE,"CAPTHREE"}</definedName>
    <definedName name="__d2_2_4_2_3" hidden="1">{#N/A,#N/A,FALSE,"mgtsum.XLS";#N/A,#N/A,FALSE,"CAPONE";#N/A,#N/A,FALSE,"CAPTWO";#N/A,#N/A,FALSE,"CAPTHREE"}</definedName>
    <definedName name="__d2_2_4_2_4" hidden="1">{#N/A,#N/A,FALSE,"mgtsum.XLS";#N/A,#N/A,FALSE,"CAPONE";#N/A,#N/A,FALSE,"CAPTWO";#N/A,#N/A,FALSE,"CAPTHREE"}</definedName>
    <definedName name="__d2_2_4_2_5" hidden="1">{#N/A,#N/A,FALSE,"mgtsum.XLS";#N/A,#N/A,FALSE,"CAPONE";#N/A,#N/A,FALSE,"CAPTWO";#N/A,#N/A,FALSE,"CAPTHREE"}</definedName>
    <definedName name="__d2_2_4_3" hidden="1">{#N/A,#N/A,FALSE,"mgtsum.XLS";#N/A,#N/A,FALSE,"CAPONE";#N/A,#N/A,FALSE,"CAPTWO";#N/A,#N/A,FALSE,"CAPTHREE"}</definedName>
    <definedName name="__d2_2_4_4" hidden="1">{#N/A,#N/A,FALSE,"mgtsum.XLS";#N/A,#N/A,FALSE,"CAPONE";#N/A,#N/A,FALSE,"CAPTWO";#N/A,#N/A,FALSE,"CAPTHREE"}</definedName>
    <definedName name="__d2_2_4_5" hidden="1">{#N/A,#N/A,FALSE,"mgtsum.XLS";#N/A,#N/A,FALSE,"CAPONE";#N/A,#N/A,FALSE,"CAPTWO";#N/A,#N/A,FALSE,"CAPTHREE"}</definedName>
    <definedName name="__d2_2_5" hidden="1">{#N/A,#N/A,FALSE,"mgtsum.XLS";#N/A,#N/A,FALSE,"CAPONE";#N/A,#N/A,FALSE,"CAPTWO";#N/A,#N/A,FALSE,"CAPTHREE"}</definedName>
    <definedName name="__d2_2_5_1" hidden="1">{#N/A,#N/A,FALSE,"mgtsum.XLS";#N/A,#N/A,FALSE,"CAPONE";#N/A,#N/A,FALSE,"CAPTWO";#N/A,#N/A,FALSE,"CAPTHREE"}</definedName>
    <definedName name="__d2_2_5_2" hidden="1">{#N/A,#N/A,FALSE,"mgtsum.XLS";#N/A,#N/A,FALSE,"CAPONE";#N/A,#N/A,FALSE,"CAPTWO";#N/A,#N/A,FALSE,"CAPTHREE"}</definedName>
    <definedName name="__d2_2_5_3" hidden="1">{#N/A,#N/A,FALSE,"mgtsum.XLS";#N/A,#N/A,FALSE,"CAPONE";#N/A,#N/A,FALSE,"CAPTWO";#N/A,#N/A,FALSE,"CAPTHREE"}</definedName>
    <definedName name="__d2_2_5_4" hidden="1">{#N/A,#N/A,FALSE,"mgtsum.XLS";#N/A,#N/A,FALSE,"CAPONE";#N/A,#N/A,FALSE,"CAPTWO";#N/A,#N/A,FALSE,"CAPTHREE"}</definedName>
    <definedName name="__d2_2_5_5" hidden="1">{#N/A,#N/A,FALSE,"mgtsum.XLS";#N/A,#N/A,FALSE,"CAPONE";#N/A,#N/A,FALSE,"CAPTWO";#N/A,#N/A,FALSE,"CAPTHREE"}</definedName>
    <definedName name="__d2_3" hidden="1">{#N/A,#N/A,FALSE,"mgtsum.XLS";#N/A,#N/A,FALSE,"CAPONE";#N/A,#N/A,FALSE,"CAPTWO";#N/A,#N/A,FALSE,"CAPTHREE"}</definedName>
    <definedName name="__d2_3_1" hidden="1">{#N/A,#N/A,FALSE,"mgtsum.XLS";#N/A,#N/A,FALSE,"CAPONE";#N/A,#N/A,FALSE,"CAPTWO";#N/A,#N/A,FALSE,"CAPTHREE"}</definedName>
    <definedName name="__d2_3_1_1" hidden="1">{#N/A,#N/A,FALSE,"mgtsum.XLS";#N/A,#N/A,FALSE,"CAPONE";#N/A,#N/A,FALSE,"CAPTWO";#N/A,#N/A,FALSE,"CAPTHREE"}</definedName>
    <definedName name="__d2_3_1_1_1" hidden="1">{#N/A,#N/A,FALSE,"mgtsum.XLS";#N/A,#N/A,FALSE,"CAPONE";#N/A,#N/A,FALSE,"CAPTWO";#N/A,#N/A,FALSE,"CAPTHREE"}</definedName>
    <definedName name="__d2_3_1_1_2" hidden="1">{#N/A,#N/A,FALSE,"mgtsum.XLS";#N/A,#N/A,FALSE,"CAPONE";#N/A,#N/A,FALSE,"CAPTWO";#N/A,#N/A,FALSE,"CAPTHREE"}</definedName>
    <definedName name="__d2_3_1_1_3" hidden="1">{#N/A,#N/A,FALSE,"mgtsum.XLS";#N/A,#N/A,FALSE,"CAPONE";#N/A,#N/A,FALSE,"CAPTWO";#N/A,#N/A,FALSE,"CAPTHREE"}</definedName>
    <definedName name="__d2_3_1_1_4" hidden="1">{#N/A,#N/A,FALSE,"mgtsum.XLS";#N/A,#N/A,FALSE,"CAPONE";#N/A,#N/A,FALSE,"CAPTWO";#N/A,#N/A,FALSE,"CAPTHREE"}</definedName>
    <definedName name="__d2_3_1_1_5" hidden="1">{#N/A,#N/A,FALSE,"mgtsum.XLS";#N/A,#N/A,FALSE,"CAPONE";#N/A,#N/A,FALSE,"CAPTWO";#N/A,#N/A,FALSE,"CAPTHREE"}</definedName>
    <definedName name="__d2_3_1_2" hidden="1">{#N/A,#N/A,FALSE,"mgtsum.XLS";#N/A,#N/A,FALSE,"CAPONE";#N/A,#N/A,FALSE,"CAPTWO";#N/A,#N/A,FALSE,"CAPTHREE"}</definedName>
    <definedName name="__d2_3_1_2_1" hidden="1">{#N/A,#N/A,FALSE,"mgtsum.XLS";#N/A,#N/A,FALSE,"CAPONE";#N/A,#N/A,FALSE,"CAPTWO";#N/A,#N/A,FALSE,"CAPTHREE"}</definedName>
    <definedName name="__d2_3_1_2_2" hidden="1">{#N/A,#N/A,FALSE,"mgtsum.XLS";#N/A,#N/A,FALSE,"CAPONE";#N/A,#N/A,FALSE,"CAPTWO";#N/A,#N/A,FALSE,"CAPTHREE"}</definedName>
    <definedName name="__d2_3_1_2_3" hidden="1">{#N/A,#N/A,FALSE,"mgtsum.XLS";#N/A,#N/A,FALSE,"CAPONE";#N/A,#N/A,FALSE,"CAPTWO";#N/A,#N/A,FALSE,"CAPTHREE"}</definedName>
    <definedName name="__d2_3_1_2_4" hidden="1">{#N/A,#N/A,FALSE,"mgtsum.XLS";#N/A,#N/A,FALSE,"CAPONE";#N/A,#N/A,FALSE,"CAPTWO";#N/A,#N/A,FALSE,"CAPTHREE"}</definedName>
    <definedName name="__d2_3_1_2_5" hidden="1">{#N/A,#N/A,FALSE,"mgtsum.XLS";#N/A,#N/A,FALSE,"CAPONE";#N/A,#N/A,FALSE,"CAPTWO";#N/A,#N/A,FALSE,"CAPTHREE"}</definedName>
    <definedName name="__d2_3_1_3" hidden="1">{#N/A,#N/A,FALSE,"mgtsum.XLS";#N/A,#N/A,FALSE,"CAPONE";#N/A,#N/A,FALSE,"CAPTWO";#N/A,#N/A,FALSE,"CAPTHREE"}</definedName>
    <definedName name="__d2_3_1_3_1" hidden="1">{#N/A,#N/A,FALSE,"mgtsum.XLS";#N/A,#N/A,FALSE,"CAPONE";#N/A,#N/A,FALSE,"CAPTWO";#N/A,#N/A,FALSE,"CAPTHREE"}</definedName>
    <definedName name="__d2_3_1_3_2" hidden="1">{#N/A,#N/A,FALSE,"mgtsum.XLS";#N/A,#N/A,FALSE,"CAPONE";#N/A,#N/A,FALSE,"CAPTWO";#N/A,#N/A,FALSE,"CAPTHREE"}</definedName>
    <definedName name="__d2_3_1_3_3" hidden="1">{#N/A,#N/A,FALSE,"mgtsum.XLS";#N/A,#N/A,FALSE,"CAPONE";#N/A,#N/A,FALSE,"CAPTWO";#N/A,#N/A,FALSE,"CAPTHREE"}</definedName>
    <definedName name="__d2_3_1_3_4" hidden="1">{#N/A,#N/A,FALSE,"mgtsum.XLS";#N/A,#N/A,FALSE,"CAPONE";#N/A,#N/A,FALSE,"CAPTWO";#N/A,#N/A,FALSE,"CAPTHREE"}</definedName>
    <definedName name="__d2_3_1_3_5" hidden="1">{#N/A,#N/A,FALSE,"mgtsum.XLS";#N/A,#N/A,FALSE,"CAPONE";#N/A,#N/A,FALSE,"CAPTWO";#N/A,#N/A,FALSE,"CAPTHREE"}</definedName>
    <definedName name="__d2_3_1_4" hidden="1">{#N/A,#N/A,FALSE,"mgtsum.XLS";#N/A,#N/A,FALSE,"CAPONE";#N/A,#N/A,FALSE,"CAPTWO";#N/A,#N/A,FALSE,"CAPTHREE"}</definedName>
    <definedName name="__d2_3_1_5" hidden="1">{#N/A,#N/A,FALSE,"mgtsum.XLS";#N/A,#N/A,FALSE,"CAPONE";#N/A,#N/A,FALSE,"CAPTWO";#N/A,#N/A,FALSE,"CAPTHREE"}</definedName>
    <definedName name="__d2_3_2" hidden="1">{#N/A,#N/A,FALSE,"mgtsum.XLS";#N/A,#N/A,FALSE,"CAPONE";#N/A,#N/A,FALSE,"CAPTWO";#N/A,#N/A,FALSE,"CAPTHREE"}</definedName>
    <definedName name="__d2_3_2_1" hidden="1">{#N/A,#N/A,FALSE,"mgtsum.XLS";#N/A,#N/A,FALSE,"CAPONE";#N/A,#N/A,FALSE,"CAPTWO";#N/A,#N/A,FALSE,"CAPTHREE"}</definedName>
    <definedName name="__d2_3_2_1_1" hidden="1">{#N/A,#N/A,FALSE,"mgtsum.XLS";#N/A,#N/A,FALSE,"CAPONE";#N/A,#N/A,FALSE,"CAPTWO";#N/A,#N/A,FALSE,"CAPTHREE"}</definedName>
    <definedName name="__d2_3_2_1_2" hidden="1">{#N/A,#N/A,FALSE,"mgtsum.XLS";#N/A,#N/A,FALSE,"CAPONE";#N/A,#N/A,FALSE,"CAPTWO";#N/A,#N/A,FALSE,"CAPTHREE"}</definedName>
    <definedName name="__d2_3_2_1_3" hidden="1">{#N/A,#N/A,FALSE,"mgtsum.XLS";#N/A,#N/A,FALSE,"CAPONE";#N/A,#N/A,FALSE,"CAPTWO";#N/A,#N/A,FALSE,"CAPTHREE"}</definedName>
    <definedName name="__d2_3_2_1_4" hidden="1">{#N/A,#N/A,FALSE,"mgtsum.XLS";#N/A,#N/A,FALSE,"CAPONE";#N/A,#N/A,FALSE,"CAPTWO";#N/A,#N/A,FALSE,"CAPTHREE"}</definedName>
    <definedName name="__d2_3_2_1_5" hidden="1">{#N/A,#N/A,FALSE,"mgtsum.XLS";#N/A,#N/A,FALSE,"CAPONE";#N/A,#N/A,FALSE,"CAPTWO";#N/A,#N/A,FALSE,"CAPTHREE"}</definedName>
    <definedName name="__d2_3_2_2" hidden="1">{#N/A,#N/A,FALSE,"mgtsum.XLS";#N/A,#N/A,FALSE,"CAPONE";#N/A,#N/A,FALSE,"CAPTWO";#N/A,#N/A,FALSE,"CAPTHREE"}</definedName>
    <definedName name="__d2_3_2_2_1" hidden="1">{#N/A,#N/A,FALSE,"mgtsum.XLS";#N/A,#N/A,FALSE,"CAPONE";#N/A,#N/A,FALSE,"CAPTWO";#N/A,#N/A,FALSE,"CAPTHREE"}</definedName>
    <definedName name="__d2_3_2_2_2" hidden="1">{#N/A,#N/A,FALSE,"mgtsum.XLS";#N/A,#N/A,FALSE,"CAPONE";#N/A,#N/A,FALSE,"CAPTWO";#N/A,#N/A,FALSE,"CAPTHREE"}</definedName>
    <definedName name="__d2_3_2_2_3" hidden="1">{#N/A,#N/A,FALSE,"mgtsum.XLS";#N/A,#N/A,FALSE,"CAPONE";#N/A,#N/A,FALSE,"CAPTWO";#N/A,#N/A,FALSE,"CAPTHREE"}</definedName>
    <definedName name="__d2_3_2_2_4" hidden="1">{#N/A,#N/A,FALSE,"mgtsum.XLS";#N/A,#N/A,FALSE,"CAPONE";#N/A,#N/A,FALSE,"CAPTWO";#N/A,#N/A,FALSE,"CAPTHREE"}</definedName>
    <definedName name="__d2_3_2_2_5" hidden="1">{#N/A,#N/A,FALSE,"mgtsum.XLS";#N/A,#N/A,FALSE,"CAPONE";#N/A,#N/A,FALSE,"CAPTWO";#N/A,#N/A,FALSE,"CAPTHREE"}</definedName>
    <definedName name="__d2_3_2_3" hidden="1">{#N/A,#N/A,FALSE,"mgtsum.XLS";#N/A,#N/A,FALSE,"CAPONE";#N/A,#N/A,FALSE,"CAPTWO";#N/A,#N/A,FALSE,"CAPTHREE"}</definedName>
    <definedName name="__d2_3_2_4" hidden="1">{#N/A,#N/A,FALSE,"mgtsum.XLS";#N/A,#N/A,FALSE,"CAPONE";#N/A,#N/A,FALSE,"CAPTWO";#N/A,#N/A,FALSE,"CAPTHREE"}</definedName>
    <definedName name="__d2_3_2_5" hidden="1">{#N/A,#N/A,FALSE,"mgtsum.XLS";#N/A,#N/A,FALSE,"CAPONE";#N/A,#N/A,FALSE,"CAPTWO";#N/A,#N/A,FALSE,"CAPTHREE"}</definedName>
    <definedName name="__d2_3_3" hidden="1">{#N/A,#N/A,FALSE,"mgtsum.XLS";#N/A,#N/A,FALSE,"CAPONE";#N/A,#N/A,FALSE,"CAPTWO";#N/A,#N/A,FALSE,"CAPTHREE"}</definedName>
    <definedName name="__d2_3_3_1" hidden="1">{#N/A,#N/A,FALSE,"mgtsum.XLS";#N/A,#N/A,FALSE,"CAPONE";#N/A,#N/A,FALSE,"CAPTWO";#N/A,#N/A,FALSE,"CAPTHREE"}</definedName>
    <definedName name="__d2_3_3_1_1" hidden="1">{#N/A,#N/A,FALSE,"mgtsum.XLS";#N/A,#N/A,FALSE,"CAPONE";#N/A,#N/A,FALSE,"CAPTWO";#N/A,#N/A,FALSE,"CAPTHREE"}</definedName>
    <definedName name="__d2_3_3_1_2" hidden="1">{#N/A,#N/A,FALSE,"mgtsum.XLS";#N/A,#N/A,FALSE,"CAPONE";#N/A,#N/A,FALSE,"CAPTWO";#N/A,#N/A,FALSE,"CAPTHREE"}</definedName>
    <definedName name="__d2_3_3_1_3" hidden="1">{#N/A,#N/A,FALSE,"mgtsum.XLS";#N/A,#N/A,FALSE,"CAPONE";#N/A,#N/A,FALSE,"CAPTWO";#N/A,#N/A,FALSE,"CAPTHREE"}</definedName>
    <definedName name="__d2_3_3_1_4" hidden="1">{#N/A,#N/A,FALSE,"mgtsum.XLS";#N/A,#N/A,FALSE,"CAPONE";#N/A,#N/A,FALSE,"CAPTWO";#N/A,#N/A,FALSE,"CAPTHREE"}</definedName>
    <definedName name="__d2_3_3_1_5" hidden="1">{#N/A,#N/A,FALSE,"mgtsum.XLS";#N/A,#N/A,FALSE,"CAPONE";#N/A,#N/A,FALSE,"CAPTWO";#N/A,#N/A,FALSE,"CAPTHREE"}</definedName>
    <definedName name="__d2_3_3_2" hidden="1">{#N/A,#N/A,FALSE,"mgtsum.XLS";#N/A,#N/A,FALSE,"CAPONE";#N/A,#N/A,FALSE,"CAPTWO";#N/A,#N/A,FALSE,"CAPTHREE"}</definedName>
    <definedName name="__d2_3_3_2_1" hidden="1">{#N/A,#N/A,FALSE,"mgtsum.XLS";#N/A,#N/A,FALSE,"CAPONE";#N/A,#N/A,FALSE,"CAPTWO";#N/A,#N/A,FALSE,"CAPTHREE"}</definedName>
    <definedName name="__d2_3_3_2_2" hidden="1">{#N/A,#N/A,FALSE,"mgtsum.XLS";#N/A,#N/A,FALSE,"CAPONE";#N/A,#N/A,FALSE,"CAPTWO";#N/A,#N/A,FALSE,"CAPTHREE"}</definedName>
    <definedName name="__d2_3_3_2_3" hidden="1">{#N/A,#N/A,FALSE,"mgtsum.XLS";#N/A,#N/A,FALSE,"CAPONE";#N/A,#N/A,FALSE,"CAPTWO";#N/A,#N/A,FALSE,"CAPTHREE"}</definedName>
    <definedName name="__d2_3_3_2_4" hidden="1">{#N/A,#N/A,FALSE,"mgtsum.XLS";#N/A,#N/A,FALSE,"CAPONE";#N/A,#N/A,FALSE,"CAPTWO";#N/A,#N/A,FALSE,"CAPTHREE"}</definedName>
    <definedName name="__d2_3_3_2_5" hidden="1">{#N/A,#N/A,FALSE,"mgtsum.XLS";#N/A,#N/A,FALSE,"CAPONE";#N/A,#N/A,FALSE,"CAPTWO";#N/A,#N/A,FALSE,"CAPTHREE"}</definedName>
    <definedName name="__d2_3_3_3" hidden="1">{#N/A,#N/A,FALSE,"mgtsum.XLS";#N/A,#N/A,FALSE,"CAPONE";#N/A,#N/A,FALSE,"CAPTWO";#N/A,#N/A,FALSE,"CAPTHREE"}</definedName>
    <definedName name="__d2_3_3_4" hidden="1">{#N/A,#N/A,FALSE,"mgtsum.XLS";#N/A,#N/A,FALSE,"CAPONE";#N/A,#N/A,FALSE,"CAPTWO";#N/A,#N/A,FALSE,"CAPTHREE"}</definedName>
    <definedName name="__d2_3_3_5" hidden="1">{#N/A,#N/A,FALSE,"mgtsum.XLS";#N/A,#N/A,FALSE,"CAPONE";#N/A,#N/A,FALSE,"CAPTWO";#N/A,#N/A,FALSE,"CAPTHREE"}</definedName>
    <definedName name="__d2_3_4" hidden="1">{#N/A,#N/A,FALSE,"mgtsum.XLS";#N/A,#N/A,FALSE,"CAPONE";#N/A,#N/A,FALSE,"CAPTWO";#N/A,#N/A,FALSE,"CAPTHREE"}</definedName>
    <definedName name="__d2_3_4_1" hidden="1">{#N/A,#N/A,FALSE,"mgtsum.XLS";#N/A,#N/A,FALSE,"CAPONE";#N/A,#N/A,FALSE,"CAPTWO";#N/A,#N/A,FALSE,"CAPTHREE"}</definedName>
    <definedName name="__d2_3_4_1_1" hidden="1">{#N/A,#N/A,FALSE,"mgtsum.XLS";#N/A,#N/A,FALSE,"CAPONE";#N/A,#N/A,FALSE,"CAPTWO";#N/A,#N/A,FALSE,"CAPTHREE"}</definedName>
    <definedName name="__d2_3_4_1_2" hidden="1">{#N/A,#N/A,FALSE,"mgtsum.XLS";#N/A,#N/A,FALSE,"CAPONE";#N/A,#N/A,FALSE,"CAPTWO";#N/A,#N/A,FALSE,"CAPTHREE"}</definedName>
    <definedName name="__d2_3_4_1_3" hidden="1">{#N/A,#N/A,FALSE,"mgtsum.XLS";#N/A,#N/A,FALSE,"CAPONE";#N/A,#N/A,FALSE,"CAPTWO";#N/A,#N/A,FALSE,"CAPTHREE"}</definedName>
    <definedName name="__d2_3_4_1_4" hidden="1">{#N/A,#N/A,FALSE,"mgtsum.XLS";#N/A,#N/A,FALSE,"CAPONE";#N/A,#N/A,FALSE,"CAPTWO";#N/A,#N/A,FALSE,"CAPTHREE"}</definedName>
    <definedName name="__d2_3_4_1_5" hidden="1">{#N/A,#N/A,FALSE,"mgtsum.XLS";#N/A,#N/A,FALSE,"CAPONE";#N/A,#N/A,FALSE,"CAPTWO";#N/A,#N/A,FALSE,"CAPTHREE"}</definedName>
    <definedName name="__d2_3_4_2" hidden="1">{#N/A,#N/A,FALSE,"mgtsum.XLS";#N/A,#N/A,FALSE,"CAPONE";#N/A,#N/A,FALSE,"CAPTWO";#N/A,#N/A,FALSE,"CAPTHREE"}</definedName>
    <definedName name="__d2_3_4_2_1" hidden="1">{#N/A,#N/A,FALSE,"mgtsum.XLS";#N/A,#N/A,FALSE,"CAPONE";#N/A,#N/A,FALSE,"CAPTWO";#N/A,#N/A,FALSE,"CAPTHREE"}</definedName>
    <definedName name="__d2_3_4_2_2" hidden="1">{#N/A,#N/A,FALSE,"mgtsum.XLS";#N/A,#N/A,FALSE,"CAPONE";#N/A,#N/A,FALSE,"CAPTWO";#N/A,#N/A,FALSE,"CAPTHREE"}</definedName>
    <definedName name="__d2_3_4_2_3" hidden="1">{#N/A,#N/A,FALSE,"mgtsum.XLS";#N/A,#N/A,FALSE,"CAPONE";#N/A,#N/A,FALSE,"CAPTWO";#N/A,#N/A,FALSE,"CAPTHREE"}</definedName>
    <definedName name="__d2_3_4_2_4" hidden="1">{#N/A,#N/A,FALSE,"mgtsum.XLS";#N/A,#N/A,FALSE,"CAPONE";#N/A,#N/A,FALSE,"CAPTWO";#N/A,#N/A,FALSE,"CAPTHREE"}</definedName>
    <definedName name="__d2_3_4_2_5" hidden="1">{#N/A,#N/A,FALSE,"mgtsum.XLS";#N/A,#N/A,FALSE,"CAPONE";#N/A,#N/A,FALSE,"CAPTWO";#N/A,#N/A,FALSE,"CAPTHREE"}</definedName>
    <definedName name="__d2_3_4_3" hidden="1">{#N/A,#N/A,FALSE,"mgtsum.XLS";#N/A,#N/A,FALSE,"CAPONE";#N/A,#N/A,FALSE,"CAPTWO";#N/A,#N/A,FALSE,"CAPTHREE"}</definedName>
    <definedName name="__d2_3_4_4" hidden="1">{#N/A,#N/A,FALSE,"mgtsum.XLS";#N/A,#N/A,FALSE,"CAPONE";#N/A,#N/A,FALSE,"CAPTWO";#N/A,#N/A,FALSE,"CAPTHREE"}</definedName>
    <definedName name="__d2_3_4_5" hidden="1">{#N/A,#N/A,FALSE,"mgtsum.XLS";#N/A,#N/A,FALSE,"CAPONE";#N/A,#N/A,FALSE,"CAPTWO";#N/A,#N/A,FALSE,"CAPTHREE"}</definedName>
    <definedName name="__d2_3_5" hidden="1">{#N/A,#N/A,FALSE,"mgtsum.XLS";#N/A,#N/A,FALSE,"CAPONE";#N/A,#N/A,FALSE,"CAPTWO";#N/A,#N/A,FALSE,"CAPTHREE"}</definedName>
    <definedName name="__d2_3_5_1" hidden="1">{#N/A,#N/A,FALSE,"mgtsum.XLS";#N/A,#N/A,FALSE,"CAPONE";#N/A,#N/A,FALSE,"CAPTWO";#N/A,#N/A,FALSE,"CAPTHREE"}</definedName>
    <definedName name="__d2_3_5_2" hidden="1">{#N/A,#N/A,FALSE,"mgtsum.XLS";#N/A,#N/A,FALSE,"CAPONE";#N/A,#N/A,FALSE,"CAPTWO";#N/A,#N/A,FALSE,"CAPTHREE"}</definedName>
    <definedName name="__d2_3_5_3" hidden="1">{#N/A,#N/A,FALSE,"mgtsum.XLS";#N/A,#N/A,FALSE,"CAPONE";#N/A,#N/A,FALSE,"CAPTWO";#N/A,#N/A,FALSE,"CAPTHREE"}</definedName>
    <definedName name="__d2_3_5_4" hidden="1">{#N/A,#N/A,FALSE,"mgtsum.XLS";#N/A,#N/A,FALSE,"CAPONE";#N/A,#N/A,FALSE,"CAPTWO";#N/A,#N/A,FALSE,"CAPTHREE"}</definedName>
    <definedName name="__d2_3_5_5" hidden="1">{#N/A,#N/A,FALSE,"mgtsum.XLS";#N/A,#N/A,FALSE,"CAPONE";#N/A,#N/A,FALSE,"CAPTWO";#N/A,#N/A,FALSE,"CAPTHREE"}</definedName>
    <definedName name="__d2_4" hidden="1">{#N/A,#N/A,FALSE,"mgtsum.XLS";#N/A,#N/A,FALSE,"CAPONE";#N/A,#N/A,FALSE,"CAPTWO";#N/A,#N/A,FALSE,"CAPTHREE"}</definedName>
    <definedName name="__d2_4_1" hidden="1">{#N/A,#N/A,FALSE,"mgtsum.XLS";#N/A,#N/A,FALSE,"CAPONE";#N/A,#N/A,FALSE,"CAPTWO";#N/A,#N/A,FALSE,"CAPTHREE"}</definedName>
    <definedName name="__d2_4_1_1" hidden="1">{#N/A,#N/A,FALSE,"mgtsum.XLS";#N/A,#N/A,FALSE,"CAPONE";#N/A,#N/A,FALSE,"CAPTWO";#N/A,#N/A,FALSE,"CAPTHREE"}</definedName>
    <definedName name="__d2_4_1_1_1" hidden="1">{#N/A,#N/A,FALSE,"mgtsum.XLS";#N/A,#N/A,FALSE,"CAPONE";#N/A,#N/A,FALSE,"CAPTWO";#N/A,#N/A,FALSE,"CAPTHREE"}</definedName>
    <definedName name="__d2_4_1_1_2" hidden="1">{#N/A,#N/A,FALSE,"mgtsum.XLS";#N/A,#N/A,FALSE,"CAPONE";#N/A,#N/A,FALSE,"CAPTWO";#N/A,#N/A,FALSE,"CAPTHREE"}</definedName>
    <definedName name="__d2_4_1_1_3" hidden="1">{#N/A,#N/A,FALSE,"mgtsum.XLS";#N/A,#N/A,FALSE,"CAPONE";#N/A,#N/A,FALSE,"CAPTWO";#N/A,#N/A,FALSE,"CAPTHREE"}</definedName>
    <definedName name="__d2_4_1_1_4" hidden="1">{#N/A,#N/A,FALSE,"mgtsum.XLS";#N/A,#N/A,FALSE,"CAPONE";#N/A,#N/A,FALSE,"CAPTWO";#N/A,#N/A,FALSE,"CAPTHREE"}</definedName>
    <definedName name="__d2_4_1_1_5" hidden="1">{#N/A,#N/A,FALSE,"mgtsum.XLS";#N/A,#N/A,FALSE,"CAPONE";#N/A,#N/A,FALSE,"CAPTWO";#N/A,#N/A,FALSE,"CAPTHREE"}</definedName>
    <definedName name="__d2_4_1_2" hidden="1">{#N/A,#N/A,FALSE,"mgtsum.XLS";#N/A,#N/A,FALSE,"CAPONE";#N/A,#N/A,FALSE,"CAPTWO";#N/A,#N/A,FALSE,"CAPTHREE"}</definedName>
    <definedName name="__d2_4_1_2_1" hidden="1">{#N/A,#N/A,FALSE,"mgtsum.XLS";#N/A,#N/A,FALSE,"CAPONE";#N/A,#N/A,FALSE,"CAPTWO";#N/A,#N/A,FALSE,"CAPTHREE"}</definedName>
    <definedName name="__d2_4_1_2_2" hidden="1">{#N/A,#N/A,FALSE,"mgtsum.XLS";#N/A,#N/A,FALSE,"CAPONE";#N/A,#N/A,FALSE,"CAPTWO";#N/A,#N/A,FALSE,"CAPTHREE"}</definedName>
    <definedName name="__d2_4_1_2_3" hidden="1">{#N/A,#N/A,FALSE,"mgtsum.XLS";#N/A,#N/A,FALSE,"CAPONE";#N/A,#N/A,FALSE,"CAPTWO";#N/A,#N/A,FALSE,"CAPTHREE"}</definedName>
    <definedName name="__d2_4_1_2_4" hidden="1">{#N/A,#N/A,FALSE,"mgtsum.XLS";#N/A,#N/A,FALSE,"CAPONE";#N/A,#N/A,FALSE,"CAPTWO";#N/A,#N/A,FALSE,"CAPTHREE"}</definedName>
    <definedName name="__d2_4_1_2_5" hidden="1">{#N/A,#N/A,FALSE,"mgtsum.XLS";#N/A,#N/A,FALSE,"CAPONE";#N/A,#N/A,FALSE,"CAPTWO";#N/A,#N/A,FALSE,"CAPTHREE"}</definedName>
    <definedName name="__d2_4_1_3" hidden="1">{#N/A,#N/A,FALSE,"mgtsum.XLS";#N/A,#N/A,FALSE,"CAPONE";#N/A,#N/A,FALSE,"CAPTWO";#N/A,#N/A,FALSE,"CAPTHREE"}</definedName>
    <definedName name="__d2_4_1_3_1" hidden="1">{#N/A,#N/A,FALSE,"mgtsum.XLS";#N/A,#N/A,FALSE,"CAPONE";#N/A,#N/A,FALSE,"CAPTWO";#N/A,#N/A,FALSE,"CAPTHREE"}</definedName>
    <definedName name="__d2_4_1_3_2" hidden="1">{#N/A,#N/A,FALSE,"mgtsum.XLS";#N/A,#N/A,FALSE,"CAPONE";#N/A,#N/A,FALSE,"CAPTWO";#N/A,#N/A,FALSE,"CAPTHREE"}</definedName>
    <definedName name="__d2_4_1_3_3" hidden="1">{#N/A,#N/A,FALSE,"mgtsum.XLS";#N/A,#N/A,FALSE,"CAPONE";#N/A,#N/A,FALSE,"CAPTWO";#N/A,#N/A,FALSE,"CAPTHREE"}</definedName>
    <definedName name="__d2_4_1_3_4" hidden="1">{#N/A,#N/A,FALSE,"mgtsum.XLS";#N/A,#N/A,FALSE,"CAPONE";#N/A,#N/A,FALSE,"CAPTWO";#N/A,#N/A,FALSE,"CAPTHREE"}</definedName>
    <definedName name="__d2_4_1_3_5" hidden="1">{#N/A,#N/A,FALSE,"mgtsum.XLS";#N/A,#N/A,FALSE,"CAPONE";#N/A,#N/A,FALSE,"CAPTWO";#N/A,#N/A,FALSE,"CAPTHREE"}</definedName>
    <definedName name="__d2_4_1_4" hidden="1">{#N/A,#N/A,FALSE,"mgtsum.XLS";#N/A,#N/A,FALSE,"CAPONE";#N/A,#N/A,FALSE,"CAPTWO";#N/A,#N/A,FALSE,"CAPTHREE"}</definedName>
    <definedName name="__d2_4_1_5" hidden="1">{#N/A,#N/A,FALSE,"mgtsum.XLS";#N/A,#N/A,FALSE,"CAPONE";#N/A,#N/A,FALSE,"CAPTWO";#N/A,#N/A,FALSE,"CAPTHREE"}</definedName>
    <definedName name="__d2_4_2" hidden="1">{#N/A,#N/A,FALSE,"mgtsum.XLS";#N/A,#N/A,FALSE,"CAPONE";#N/A,#N/A,FALSE,"CAPTWO";#N/A,#N/A,FALSE,"CAPTHREE"}</definedName>
    <definedName name="__d2_4_2_1" hidden="1">{#N/A,#N/A,FALSE,"mgtsum.XLS";#N/A,#N/A,FALSE,"CAPONE";#N/A,#N/A,FALSE,"CAPTWO";#N/A,#N/A,FALSE,"CAPTHREE"}</definedName>
    <definedName name="__d2_4_2_2" hidden="1">{#N/A,#N/A,FALSE,"mgtsum.XLS";#N/A,#N/A,FALSE,"CAPONE";#N/A,#N/A,FALSE,"CAPTWO";#N/A,#N/A,FALSE,"CAPTHREE"}</definedName>
    <definedName name="__d2_4_2_3" hidden="1">{#N/A,#N/A,FALSE,"mgtsum.XLS";#N/A,#N/A,FALSE,"CAPONE";#N/A,#N/A,FALSE,"CAPTWO";#N/A,#N/A,FALSE,"CAPTHREE"}</definedName>
    <definedName name="__d2_4_2_4" hidden="1">{#N/A,#N/A,FALSE,"mgtsum.XLS";#N/A,#N/A,FALSE,"CAPONE";#N/A,#N/A,FALSE,"CAPTWO";#N/A,#N/A,FALSE,"CAPTHREE"}</definedName>
    <definedName name="__d2_4_2_5" hidden="1">{#N/A,#N/A,FALSE,"mgtsum.XLS";#N/A,#N/A,FALSE,"CAPONE";#N/A,#N/A,FALSE,"CAPTWO";#N/A,#N/A,FALSE,"CAPTHREE"}</definedName>
    <definedName name="__d2_4_3" hidden="1">{#N/A,#N/A,FALSE,"mgtsum.XLS";#N/A,#N/A,FALSE,"CAPONE";#N/A,#N/A,FALSE,"CAPTWO";#N/A,#N/A,FALSE,"CAPTHREE"}</definedName>
    <definedName name="__d2_4_3_1" hidden="1">{#N/A,#N/A,FALSE,"mgtsum.XLS";#N/A,#N/A,FALSE,"CAPONE";#N/A,#N/A,FALSE,"CAPTWO";#N/A,#N/A,FALSE,"CAPTHREE"}</definedName>
    <definedName name="__d2_4_3_2" hidden="1">{#N/A,#N/A,FALSE,"mgtsum.XLS";#N/A,#N/A,FALSE,"CAPONE";#N/A,#N/A,FALSE,"CAPTWO";#N/A,#N/A,FALSE,"CAPTHREE"}</definedName>
    <definedName name="__d2_4_3_3" hidden="1">{#N/A,#N/A,FALSE,"mgtsum.XLS";#N/A,#N/A,FALSE,"CAPONE";#N/A,#N/A,FALSE,"CAPTWO";#N/A,#N/A,FALSE,"CAPTHREE"}</definedName>
    <definedName name="__d2_4_3_4" hidden="1">{#N/A,#N/A,FALSE,"mgtsum.XLS";#N/A,#N/A,FALSE,"CAPONE";#N/A,#N/A,FALSE,"CAPTWO";#N/A,#N/A,FALSE,"CAPTHREE"}</definedName>
    <definedName name="__d2_4_3_5" hidden="1">{#N/A,#N/A,FALSE,"mgtsum.XLS";#N/A,#N/A,FALSE,"CAPONE";#N/A,#N/A,FALSE,"CAPTWO";#N/A,#N/A,FALSE,"CAPTHREE"}</definedName>
    <definedName name="__d2_4_4" hidden="1">{#N/A,#N/A,FALSE,"mgtsum.XLS";#N/A,#N/A,FALSE,"CAPONE";#N/A,#N/A,FALSE,"CAPTWO";#N/A,#N/A,FALSE,"CAPTHREE"}</definedName>
    <definedName name="__d2_4_5" hidden="1">{#N/A,#N/A,FALSE,"mgtsum.XLS";#N/A,#N/A,FALSE,"CAPONE";#N/A,#N/A,FALSE,"CAPTWO";#N/A,#N/A,FALSE,"CAPTHREE"}</definedName>
    <definedName name="__d2_5" hidden="1">{#N/A,#N/A,FALSE,"mgtsum.XLS";#N/A,#N/A,FALSE,"CAPONE";#N/A,#N/A,FALSE,"CAPTWO";#N/A,#N/A,FALSE,"CAPTHREE"}</definedName>
    <definedName name="__d2_5_1" hidden="1">{#N/A,#N/A,FALSE,"mgtsum.XLS";#N/A,#N/A,FALSE,"CAPONE";#N/A,#N/A,FALSE,"CAPTWO";#N/A,#N/A,FALSE,"CAPTHREE"}</definedName>
    <definedName name="__d2_5_1_1" hidden="1">{#N/A,#N/A,FALSE,"mgtsum.XLS";#N/A,#N/A,FALSE,"CAPONE";#N/A,#N/A,FALSE,"CAPTWO";#N/A,#N/A,FALSE,"CAPTHREE"}</definedName>
    <definedName name="__d2_5_1_2" hidden="1">{#N/A,#N/A,FALSE,"mgtsum.XLS";#N/A,#N/A,FALSE,"CAPONE";#N/A,#N/A,FALSE,"CAPTWO";#N/A,#N/A,FALSE,"CAPTHREE"}</definedName>
    <definedName name="__d2_5_1_3" hidden="1">{#N/A,#N/A,FALSE,"mgtsum.XLS";#N/A,#N/A,FALSE,"CAPONE";#N/A,#N/A,FALSE,"CAPTWO";#N/A,#N/A,FALSE,"CAPTHREE"}</definedName>
    <definedName name="__d2_5_1_4" hidden="1">{#N/A,#N/A,FALSE,"mgtsum.XLS";#N/A,#N/A,FALSE,"CAPONE";#N/A,#N/A,FALSE,"CAPTWO";#N/A,#N/A,FALSE,"CAPTHREE"}</definedName>
    <definedName name="__d2_5_1_5" hidden="1">{#N/A,#N/A,FALSE,"mgtsum.XLS";#N/A,#N/A,FALSE,"CAPONE";#N/A,#N/A,FALSE,"CAPTWO";#N/A,#N/A,FALSE,"CAPTHREE"}</definedName>
    <definedName name="__d2_5_2" hidden="1">{#N/A,#N/A,FALSE,"mgtsum.XLS";#N/A,#N/A,FALSE,"CAPONE";#N/A,#N/A,FALSE,"CAPTWO";#N/A,#N/A,FALSE,"CAPTHREE"}</definedName>
    <definedName name="__d2_5_2_1" hidden="1">{#N/A,#N/A,FALSE,"mgtsum.XLS";#N/A,#N/A,FALSE,"CAPONE";#N/A,#N/A,FALSE,"CAPTWO";#N/A,#N/A,FALSE,"CAPTHREE"}</definedName>
    <definedName name="__d2_5_2_2" hidden="1">{#N/A,#N/A,FALSE,"mgtsum.XLS";#N/A,#N/A,FALSE,"CAPONE";#N/A,#N/A,FALSE,"CAPTWO";#N/A,#N/A,FALSE,"CAPTHREE"}</definedName>
    <definedName name="__d2_5_2_3" hidden="1">{#N/A,#N/A,FALSE,"mgtsum.XLS";#N/A,#N/A,FALSE,"CAPONE";#N/A,#N/A,FALSE,"CAPTWO";#N/A,#N/A,FALSE,"CAPTHREE"}</definedName>
    <definedName name="__d2_5_2_4" hidden="1">{#N/A,#N/A,FALSE,"mgtsum.XLS";#N/A,#N/A,FALSE,"CAPONE";#N/A,#N/A,FALSE,"CAPTWO";#N/A,#N/A,FALSE,"CAPTHREE"}</definedName>
    <definedName name="__d2_5_2_5" hidden="1">{#N/A,#N/A,FALSE,"mgtsum.XLS";#N/A,#N/A,FALSE,"CAPONE";#N/A,#N/A,FALSE,"CAPTWO";#N/A,#N/A,FALSE,"CAPTHREE"}</definedName>
    <definedName name="__d2_5_3" hidden="1">{#N/A,#N/A,FALSE,"mgtsum.XLS";#N/A,#N/A,FALSE,"CAPONE";#N/A,#N/A,FALSE,"CAPTWO";#N/A,#N/A,FALSE,"CAPTHREE"}</definedName>
    <definedName name="__d2_5_4" hidden="1">{#N/A,#N/A,FALSE,"mgtsum.XLS";#N/A,#N/A,FALSE,"CAPONE";#N/A,#N/A,FALSE,"CAPTWO";#N/A,#N/A,FALSE,"CAPTHREE"}</definedName>
    <definedName name="__d2_5_5" hidden="1">{#N/A,#N/A,FALSE,"mgtsum.XLS";#N/A,#N/A,FALSE,"CAPONE";#N/A,#N/A,FALSE,"CAPTWO";#N/A,#N/A,FALSE,"CAPTHREE"}</definedName>
    <definedName name="__dbp10" hidden="1">{"'Leverage'!$B$2:$M$418"}</definedName>
    <definedName name="__dbp12" hidden="1">{"'Leverage'!$B$2:$M$418"}</definedName>
    <definedName name="__dbp9" hidden="1">{"'Leverage'!$B$2:$M$418"}</definedName>
    <definedName name="__dec05" hidden="1">{"'Sheet1'!$A$4386:$N$4591"}</definedName>
    <definedName name="__e20000">#REF!</definedName>
    <definedName name="__e99991">#REF!</definedName>
    <definedName name="__FDS_HYPERLINK_TOGGLE_STATE__" hidden="1">"ON"</definedName>
    <definedName name="__Fill" hidden="1">#REF!</definedName>
    <definedName name="__H3" hidden="1">{"'장비'!$A$3:$M$12"}</definedName>
    <definedName name="__hk4645" hidden="1">{#N/A,#N/A,FALSE,"ihz. icmal";#N/A,#N/A,FALSE,"avans";#N/A,#N/A,FALSE,"mal_FF_icm";#N/A,#N/A,FALSE,"fat_ihz";#N/A,#N/A,FALSE,"söz_fiy_fark";#N/A,#N/A,FALSE,"kap2"}</definedName>
    <definedName name="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i12" hidden="1">OFFSET([0]!Data.Top.Left,1,0)</definedName>
    <definedName name="__IntlFixup" hidden="1">TRUE</definedName>
    <definedName name="__IntlFixupTable" hidden="1">#REF!</definedName>
    <definedName name="__j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__jpl1" hidden="1">#REF!</definedName>
    <definedName name="__k1" hidden="1">{"form-D1",#N/A,FALSE,"FORM-D1";"form-D1_amt",#N/A,FALSE,"FORM-D1"}</definedName>
    <definedName name="__k1_1" hidden="1">{"form-D1",#N/A,FALSE,"FORM-D1";"form-D1_amt",#N/A,FALSE,"FORM-D1"}</definedName>
    <definedName name="__k1_2" hidden="1">{"form-D1",#N/A,FALSE,"FORM-D1";"form-D1_amt",#N/A,FALSE,"FORM-D1"}</definedName>
    <definedName name="__k1_3" hidden="1">{"form-D1",#N/A,FALSE,"FORM-D1";"form-D1_amt",#N/A,FALSE,"FORM-D1"}</definedName>
    <definedName name="__k8" hidden="1">{#N/A,#N/A,FALSE,"COVER1.XLS ";#N/A,#N/A,FALSE,"RACT1.XLS";#N/A,#N/A,FALSE,"RACT2.XLS";#N/A,#N/A,FALSE,"ECCMP";#N/A,#N/A,FALSE,"WELDER.XLS"}</definedName>
    <definedName name="__Key1" hidden="1">#REF!</definedName>
    <definedName name="__key2" hidden="1">#REF!</definedName>
    <definedName name="__kv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kvs2" hidden="1">{#N/A,#N/A,FALSE,"COVER1.XLS ";#N/A,#N/A,FALSE,"RACT1.XLS";#N/A,#N/A,FALSE,"RACT2.XLS";#N/A,#N/A,FALSE,"ECCMP";#N/A,#N/A,FALSE,"WELDER.XLS"}</definedName>
    <definedName name="__kvs5" hidden="1">{#N/A,#N/A,FALSE,"COVER.XLS";#N/A,#N/A,FALSE,"RACT1.XLS";#N/A,#N/A,FALSE,"RACT2.XLS";#N/A,#N/A,FALSE,"ECCMP";#N/A,#N/A,FALSE,"WELDER.XLS"}</definedName>
    <definedName name="__kvs7" hidden="1">{#N/A,#N/A,FALSE,"COVER1.XLS ";#N/A,#N/A,FALSE,"RACT1.XLS";#N/A,#N/A,FALSE,"RACT2.XLS";#N/A,#N/A,FALSE,"ECCMP";#N/A,#N/A,FALSE,"WELDER.XLS"}</definedName>
    <definedName name="__kvs8" hidden="1">{#N/A,#N/A,FALSE,"COVER1.XLS ";#N/A,#N/A,FALSE,"RACT1.XLS";#N/A,#N/A,FALSE,"RACT2.XLS";#N/A,#N/A,FALSE,"ECCMP";#N/A,#N/A,FALSE,"WELDER.XLS"}</definedName>
    <definedName name="__KVS9" hidden="1">{#N/A,#N/A,FALSE,"COVER1.XLS ";#N/A,#N/A,FALSE,"RACT1.XLS";#N/A,#N/A,FALSE,"RACT2.XLS";#N/A,#N/A,FALSE,"ECCMP";#N/A,#N/A,FALSE,"WELDER.XLS"}</definedName>
    <definedName name="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an1" hidden="1">{"'Sheet1'!$L$16"}</definedName>
    <definedName name="__LAN3" hidden="1">{"'Sheet1'!$L$16"}</definedName>
    <definedName name="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K2">#REF!</definedName>
    <definedName name="__mu2">#REF!</definedName>
    <definedName name="__mu3">#REF!</definedName>
    <definedName name="__MU4">#REF!</definedName>
    <definedName name="__new8" hidden="1">#REF!</definedName>
    <definedName name="__No1">#REF!</definedName>
    <definedName name="__No2">#REF!</definedName>
    <definedName name="__No3">#REF!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out11" hidden="1">OFFSET([0]!Data.Top.Left,1,0)</definedName>
    <definedName name="__out12" hidden="1">OFFSET([0]!Data.Top.Left,1,0)</definedName>
    <definedName name="__out9" hidden="1">OFFSET([0]!Data.Top.Left,1,0)</definedName>
    <definedName name="__own11" hidden="1">OFFSET([0]!Data.Top.Left,1,0)</definedName>
    <definedName name="__own12" hidden="1">OFFSET([0]!Data.Top.Left,1,0)</definedName>
    <definedName name="__own2" hidden="1">OFFSET([0]!Data.Top.Left,1,0)</definedName>
    <definedName name="__own3" hidden="1">OFFSET([0]!Data.Top.Left,1,0)</definedName>
    <definedName name="__own4" hidden="1">OFFSET([0]!Data.Top.Left,1,0)</definedName>
    <definedName name="__own6" hidden="1">OFFSET([0]!Data.Top.Left,1,0)</definedName>
    <definedName name="__own7" hidden="1">OFFSET([0]!Data.Top.Left,1,0)</definedName>
    <definedName name="__own8" hidden="1">OFFSET([0]!Data.Top.Left,1,0)</definedName>
    <definedName name="__own9" hidden="1">OFFSET([0]!Data.Top.Left,1,0)</definedName>
    <definedName name="__PA3" hidden="1">{"'Sheet1'!$L$16"}</definedName>
    <definedName name="__pl1" hidden="1">{"PLANT BREAKUP",#N/A,FALSE,"E"}</definedName>
    <definedName name="__PL22">#REF!</definedName>
    <definedName name="__PSI5">#REF!</definedName>
    <definedName name="__q2" hidden="1">{#N/A,#N/A,FALSE,"COVER1.XLS ";#N/A,#N/A,FALSE,"RACT1.XLS";#N/A,#N/A,FALSE,"RACT2.XLS";#N/A,#N/A,FALSE,"ECCMP";#N/A,#N/A,FALSE,"WELDER.XLS"}</definedName>
    <definedName name="__RCP1050">#REF!</definedName>
    <definedName name="__RCP1200">#REF!</definedName>
    <definedName name="__RCP450">#REF!</definedName>
    <definedName name="__RCP525">#REF!</definedName>
    <definedName name="__RCP600">#REF!</definedName>
    <definedName name="__RCP750">#REF!</definedName>
    <definedName name="__RCP900">#REF!</definedName>
    <definedName name="__RL1" hidden="1">#REF!</definedName>
    <definedName name="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rmc3000">#REF!</definedName>
    <definedName name="__rmc5000">#REF!</definedName>
    <definedName name="__rmc6000">#REF!</definedName>
    <definedName name="__rmc8000">#REF!</definedName>
    <definedName name="__RUN1">#N/A</definedName>
    <definedName name="__s41" hidden="1">{"form-D1",#N/A,FALSE,"FORM-D1";"form-D1_amt",#N/A,FALSE,"FORM-D1"}</definedName>
    <definedName name="__s41_1" hidden="1">{"form-D1",#N/A,FALSE,"FORM-D1";"form-D1_amt",#N/A,FALSE,"FORM-D1"}</definedName>
    <definedName name="__s41_2" hidden="1">{"form-D1",#N/A,FALSE,"FORM-D1";"form-D1_amt",#N/A,FALSE,"FORM-D1"}</definedName>
    <definedName name="__s41_3" hidden="1">{"form-D1",#N/A,FALSE,"FORM-D1";"form-D1_amt",#N/A,FALSE,"FORM-D1"}</definedName>
    <definedName name="__sb1" hidden="1">OFFSET([0]!Data.Top.Left,1,0)</definedName>
    <definedName name="__sb10" hidden="1">OFFSET([0]!Data.Top.Left,1,0)</definedName>
    <definedName name="__sb11" hidden="1">OFFSET([0]!Data.Top.Left,1,0)</definedName>
    <definedName name="__sb12" hidden="1">OFFSET([0]!Data.Top.Left,1,0)</definedName>
    <definedName name="__SB3" hidden="1">{"'Leverage'!$B$2:$M$418"}</definedName>
    <definedName name="__sb4" hidden="1">OFFSET([0]!Data.Top.Left,1,0)</definedName>
    <definedName name="__sb9" hidden="1">OFFSET([0]!Data.Top.Left,1,0)</definedName>
    <definedName name="__sep06" hidden="1">{"FTS",#N/A,FALSE,"E"}</definedName>
    <definedName name="__SK1" hidden="1">{"ss",#N/A,FALSE,"MODULE3"}</definedName>
    <definedName name="__Sort" hidden="1">#REF!</definedName>
    <definedName name="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F1">#REF!</definedName>
    <definedName name="__TM2" hidden="1">{"'Sheet1'!$L$16"}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t3" hidden="1">{"'Sheet1'!$L$16"}</definedName>
    <definedName name="__w2" hidden="1">{#N/A,#N/A,FALSE,"17MAY";#N/A,#N/A,FALSE,"24MAY"}</definedName>
    <definedName name="__WD1">#REF!</definedName>
    <definedName name="__WIN2">#REF!</definedName>
    <definedName name="__WIN22">#REF!</definedName>
    <definedName name="__WIN23">#REF!</definedName>
    <definedName name="__win24">#REF!</definedName>
    <definedName name="__win25">#REF!</definedName>
    <definedName name="__win26">#REF!</definedName>
    <definedName name="__WMM2" hidden="1">{"form-D1",#N/A,FALSE,"FORM-D1";"form-D1_amt",#N/A,FALSE,"FORM-D1"}</definedName>
    <definedName name="__WMM2_1" hidden="1">{"form-D1",#N/A,FALSE,"FORM-D1";"form-D1_amt",#N/A,FALSE,"FORM-D1"}</definedName>
    <definedName name="__WMM2_2" hidden="1">{"form-D1",#N/A,FALSE,"FORM-D1";"form-D1_amt",#N/A,FALSE,"FORM-D1"}</definedName>
    <definedName name="__WMM2_3" hidden="1">{"form-D1",#N/A,FALSE,"FORM-D1";"form-D1_amt",#N/A,FALSE,"FORM-D1"}</definedName>
    <definedName name="__WN7" hidden="1">{#N/A,#N/A,FALSE,"MODULE3"}</definedName>
    <definedName name="__ZA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0" hidden="1">{#N/A,#N/A,FALSE,"Summary";#N/A,#N/A,FALSE,"3TJ";#N/A,#N/A,FALSE,"3TN";#N/A,#N/A,FALSE,"3TP";#N/A,#N/A,FALSE,"3SJ";#N/A,#N/A,FALSE,"3CJ";#N/A,#N/A,FALSE,"3CN";#N/A,#N/A,FALSE,"3CP";#N/A,#N/A,FALSE,"3A"}</definedName>
    <definedName name="__ZA11" hidden="1">{#N/A,#N/A,FALSE,"Summary";#N/A,#N/A,FALSE,"3TJ";#N/A,#N/A,FALSE,"3TN";#N/A,#N/A,FALSE,"3TP";#N/A,#N/A,FALSE,"3SJ";#N/A,#N/A,FALSE,"3CJ";#N/A,#N/A,FALSE,"3CN";#N/A,#N/A,FALSE,"3CP";#N/A,#N/A,FALSE,"3A"}</definedName>
    <definedName name="__ZA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" hidden="1">{#N/A,#N/A,FALSE,"Summary";#N/A,#N/A,FALSE,"3TJ";#N/A,#N/A,FALSE,"3TN";#N/A,#N/A,FALSE,"3TP";#N/A,#N/A,FALSE,"3SJ";#N/A,#N/A,FALSE,"3CJ";#N/A,#N/A,FALSE,"3CN";#N/A,#N/A,FALSE,"3CP";#N/A,#N/A,FALSE,"3A"}</definedName>
    <definedName name="__ZA3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6" hidden="1">{"'Appendix 3 Currency'!$A$1:$U$96"}</definedName>
    <definedName name="__ZA3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" hidden="1">{#N/A,#N/A,FALSE,"Summary";#N/A,#N/A,FALSE,"3TJ";#N/A,#N/A,FALSE,"3TN";#N/A,#N/A,FALSE,"3TP";#N/A,#N/A,FALSE,"3SJ";#N/A,#N/A,FALSE,"3CJ";#N/A,#N/A,FALSE,"3CN";#N/A,#N/A,FALSE,"3CP";#N/A,#N/A,FALSE,"3A"}</definedName>
    <definedName name="__ZA4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4" hidden="1">{#N/A,#N/A,FALSE,"TELEFON"}</definedName>
    <definedName name="__ZA4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6" hidden="1">{#N/A,#N/A,FALSE,"Summary";#N/A,#N/A,FALSE,"3TJ";#N/A,#N/A,FALSE,"3TN";#N/A,#N/A,FALSE,"3TP";#N/A,#N/A,FALSE,"3SJ";#N/A,#N/A,FALSE,"3CJ";#N/A,#N/A,FALSE,"3CN";#N/A,#N/A,FALSE,"3CP";#N/A,#N/A,FALSE,"3A"}</definedName>
    <definedName name="__ZA4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4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" hidden="1">{#N/A,#N/A,FALSE,"Summary";#N/A,#N/A,FALSE,"3TJ";#N/A,#N/A,FALSE,"3TN";#N/A,#N/A,FALSE,"3TP";#N/A,#N/A,FALSE,"3SJ";#N/A,#N/A,FALSE,"3CJ";#N/A,#N/A,FALSE,"3CN";#N/A,#N/A,FALSE,"3CP";#N/A,#N/A,FALSE,"3A"}</definedName>
    <definedName name="__ZA5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2" hidden="1">{"turbine",#N/A,FALSE,"Option"}</definedName>
    <definedName name="__ZA53" hidden="1">{#N/A,#N/A,TRUE,"arnitower";#N/A,#N/A,TRUE,"arnigarage "}</definedName>
    <definedName name="__ZA5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57" hidden="1">{#N/A,#N/A,FALSE,"Summary";#N/A,#N/A,FALSE,"3TJ";#N/A,#N/A,FALSE,"3TN";#N/A,#N/A,FALSE,"3TP";#N/A,#N/A,FALSE,"3SJ";#N/A,#N/A,FALSE,"3CJ";#N/A,#N/A,FALSE,"3CN";#N/A,#N/A,FALSE,"3CP";#N/A,#N/A,FALSE,"3A"}</definedName>
    <definedName name="__ZA5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__ZA59" hidden="1">{#N/A,#N/A,FALSE,"TELEFON"}</definedName>
    <definedName name="__ZA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0" hidden="1">{#N/A,#N/A,FALSE,"TELEFON"}</definedName>
    <definedName name="__ZA61" hidden="1">{#N/A,#N/A,FALSE,"Q&amp;AE";#N/A,#N/A,FALSE,"Params";#N/A,#N/A,FALSE,"ReconE";#N/A,#N/A,FALSE,"CostCompE";#N/A,#N/A,FALSE,"SummaryE";#N/A,#N/A,FALSE,"Detail";#N/A,#N/A,FALSE,"PayItem"}</definedName>
    <definedName name="__ZA62" hidden="1">{"DBANK",#N/A,FALSE,"PriceE";"CKTS",#N/A,FALSE,"PriceE"}</definedName>
    <definedName name="__ZA63" hidden="1">{#N/A,#N/A,FALSE,"WBS 1.06";#N/A,#N/A,FALSE,"WBS 1.14";#N/A,#N/A,FALSE,"WBS 1.17";#N/A,#N/A,FALSE,"WBS 1.18"}</definedName>
    <definedName name="__ZA64" hidden="1">{#N/A,#N/A,FALSE,"ProjInfo";#N/A,#N/A,FALSE,"Params";#N/A,#N/A,FALSE,"Q&amp;AE";#N/A,#N/A,FALSE,"CostCompE";#N/A,#N/A,FALSE,"SummaryE";#N/A,#N/A,FALSE,"PayItem";#N/A,#N/A,FALSE,"Detail";#N/A,#N/A,FALSE,"ReconE"}</definedName>
    <definedName name="__ZA65" hidden="1">{"FUEL OIL",#N/A,FALSE,"Option"}</definedName>
    <definedName name="__ZA6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68" hidden="1">{"pumps",#N/A,FALSE,"Option"}</definedName>
    <definedName name="__ZA69" hidden="1">{"turbine",#N/A,FALSE,"Option"}</definedName>
    <definedName name="__ZA70" hidden="1">{#N/A,#N/A,TRUE,"arnitower";#N/A,#N/A,TRUE,"arnigarage "}</definedName>
    <definedName name="__ZA71" hidden="1">{"WESTINGHOUSE",#N/A,FALSE,"Option"}</definedName>
    <definedName name="__ZA7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7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9" hidden="1">{#N/A,#N/A,FALSE,"Summary";#N/A,#N/A,FALSE,"3TJ";#N/A,#N/A,FALSE,"3TN";#N/A,#N/A,FALSE,"3TP";#N/A,#N/A,FALSE,"3SJ";#N/A,#N/A,FALSE,"3CJ";#N/A,#N/A,FALSE,"3CN";#N/A,#N/A,FALSE,"3CP";#N/A,#N/A,FALSE,"3A"}</definedName>
    <definedName name="__ZA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405">#REF!</definedName>
    <definedName name="_05_Feb_12">#REF!,#REF!,#REF!,#REF!,#REF!,#REF!,#REF!</definedName>
    <definedName name="_1" hidden="1">#REF!</definedName>
    <definedName name="_1_" hidden="1">#REF!</definedName>
    <definedName name="_1_._solv" hidden="1">#REF!,#REF!</definedName>
    <definedName name="_1__123Graph_ACHART_1" hidden="1">#REF!</definedName>
    <definedName name="_1__123Graph_AChart_1A" hidden="1">#REF!</definedName>
    <definedName name="_1__123Graph_BCHART_1" hidden="1">#REF!</definedName>
    <definedName name="_1__123Graph_BMANPOWER_HISTO" hidden="1">#REF!</definedName>
    <definedName name="_1_0___.0solv" hidden="1">#REF!,#REF!</definedName>
    <definedName name="_1_0__123Grap" hidden="1">#REF!</definedName>
    <definedName name="_1_123Grap" hidden="1">#REF!</definedName>
    <definedName name="_10_______0__123Grap" hidden="1">#REF!</definedName>
    <definedName name="_10___123Graph_BChart_1A" hidden="1">#REF!</definedName>
    <definedName name="_10__123Graph_CCHART_4" hidden="1">#REF!</definedName>
    <definedName name="_10__123Graph_CMOB_01" hidden="1">#REF!</definedName>
    <definedName name="_10_0_0_F" hidden="1">#REF!</definedName>
    <definedName name="_10_0_0K" hidden="1">#REF!</definedName>
    <definedName name="_10_0공통비" hidden="1">#REF!</definedName>
    <definedName name="_10H3_" hidden="1">{"'장비'!$A$3:$M$12"}</definedName>
    <definedName name="_11">#N/A</definedName>
    <definedName name="_11__123Graph_CMOB_02" hidden="1">#REF!</definedName>
    <definedName name="_11__123Graph_DCHART_1" hidden="1">#REF!</definedName>
    <definedName name="_11__123Graph_DCHART_4" hidden="1">#REF!</definedName>
    <definedName name="_11_0_0_F" hidden="1">#REF!</definedName>
    <definedName name="_11_0현대코아공" hidden="1">#REF!</definedName>
    <definedName name="_11_2" hidden="1">{#N/A,#N/A,TRUE,"Equipment installation bm"}</definedName>
    <definedName name="_111">#REF!</definedName>
    <definedName name="_11111" hidden="1">#REF!</definedName>
    <definedName name="_11gc09_" hidden="1">{#N/A,#N/A,TRUE,"arnitower";#N/A,#N/A,TRUE,"arnigarage "}</definedName>
    <definedName name="_12___123Graph_XChart_1A" hidden="1">#REF!</definedName>
    <definedName name="_12__123Graph_DMOB_01" hidden="1">#REF!</definedName>
    <definedName name="_12__123Graph_XCHART_1" hidden="1">#REF!</definedName>
    <definedName name="_12_0_0SO" hidden="1">#REF!</definedName>
    <definedName name="_12_0_0코아공" hidden="1">#REF!</definedName>
    <definedName name="_123441" hidden="1">#REF!</definedName>
    <definedName name="_123Graph" hidden="1">#REF!</definedName>
    <definedName name="_123Graph_B" hidden="1">#REF!</definedName>
    <definedName name="_123gRAPH_D" hidden="1">#REF!</definedName>
    <definedName name="_123graph_p" hidden="1">#REF!</definedName>
    <definedName name="_13_________0__123Grap" hidden="1">#REF!</definedName>
    <definedName name="_13__123Graph_DMOB_02" hidden="1">#REF!</definedName>
    <definedName name="_13__123Graph_XCHART_2" hidden="1">#REF!</definedName>
    <definedName name="_13F" hidden="1">#REF!</definedName>
    <definedName name="_14__123Graph_EMOB_02" hidden="1">#REF!</definedName>
    <definedName name="_14__123Graph_XCHART_3" hidden="1">#REF!</definedName>
    <definedName name="_14_0공통비" hidden="1">#REF!</definedName>
    <definedName name="_15__123Graph_FMOB_02" hidden="1">#REF!</definedName>
    <definedName name="_15__123Graph_XCHART_4" hidden="1">#REF!</definedName>
    <definedName name="_15_0_0_F" hidden="1">#REF!</definedName>
    <definedName name="_15Excel_BuiltIn_Print_Area_2_1">#REF!</definedName>
    <definedName name="_16___________0__123Grap" hidden="1">#REF!</definedName>
    <definedName name="_16__123Graph_LBL_AMOB_01" hidden="1">#REF!</definedName>
    <definedName name="_16_0현대코아공" hidden="1">#REF!</definedName>
    <definedName name="_16K" hidden="1">#REF!</definedName>
    <definedName name="_17__123Graph_LBL_AMOB_02" hidden="1">#REF!</definedName>
    <definedName name="_18__123Graph_LBL_BMOB_01" hidden="1">#REF!</definedName>
    <definedName name="_18SO" hidden="1">#REF!</definedName>
    <definedName name="_19_____________0__123Grap" hidden="1">#REF!</definedName>
    <definedName name="_19__123Graph_LBL_BMOB_02" hidden="1">#REF!</definedName>
    <definedName name="_1F" hidden="1">#REF!</definedName>
    <definedName name="_1K" hidden="1">#REF!</definedName>
    <definedName name="_2_._solv" hidden="1">#REF!,#REF!</definedName>
    <definedName name="_2____123Graph_AChart_1A" hidden="1">#REF!</definedName>
    <definedName name="_2___0__123Grap" hidden="1">#REF!</definedName>
    <definedName name="_2__123Graph_ACHART_1" hidden="1">#REF!</definedName>
    <definedName name="_2__123Graph_ACHART_1A" hidden="1">#REF!</definedName>
    <definedName name="_2__123Graph_ACHART_2" hidden="1">#REF!</definedName>
    <definedName name="_2__123Graph_BCHART_1" hidden="1">#REF!</definedName>
    <definedName name="_2__123Graph_BChart_1A" hidden="1">#REF!</definedName>
    <definedName name="_2__123Graph_DMANPOWER_HISTO" hidden="1">#REF!</definedName>
    <definedName name="_2__123Graph_XCHART_1" hidden="1">#REF!</definedName>
    <definedName name="_2_0___.0solv" hidden="1">#REF!,#REF!</definedName>
    <definedName name="_2_0__123Grap" hidden="1">#REF!</definedName>
    <definedName name="_2_0_0_F" hidden="1">#REF!</definedName>
    <definedName name="_2_0_Dist_" hidden="1">#REF!</definedName>
    <definedName name="_2_123Grap" hidden="1">#REF!</definedName>
    <definedName name="_20__123Graph_LBL_CMOB_01" hidden="1">#REF!</definedName>
    <definedName name="_20F" hidden="1">#REF!</definedName>
    <definedName name="_21______________0__123Grap" hidden="1">#REF!</definedName>
    <definedName name="_21__123Graph_LBL_CMOB_02" hidden="1">#REF!</definedName>
    <definedName name="_21_0_0_F" hidden="1">#REF!</definedName>
    <definedName name="_22">#N/A</definedName>
    <definedName name="_22__123Graph_LBL_DMOB_01" hidden="1">#REF!</definedName>
    <definedName name="_23__123Graph_LBL_DMOB_02" hidden="1">#REF!</definedName>
    <definedName name="_23_0_0_F" hidden="1">#REF!</definedName>
    <definedName name="_234Grapgh_a" hidden="1">#REF!</definedName>
    <definedName name="_234Graph_AB" hidden="1">#REF!</definedName>
    <definedName name="_234Graph_B" hidden="1">#REF!</definedName>
    <definedName name="_234Graph_C" hidden="1">#REF!</definedName>
    <definedName name="_234Graph_D" hidden="1">#REF!</definedName>
    <definedName name="_234Graph_E" hidden="1">#REF!</definedName>
    <definedName name="_24__123Graph_LBL_EMOB_02" hidden="1">#REF!</definedName>
    <definedName name="_24_0_0_F" hidden="1">#REF!</definedName>
    <definedName name="_24_123Grap" hidden="1">#REF!</definedName>
    <definedName name="_25__123Graph_LBL_FMOB_02" hidden="1">#REF!</definedName>
    <definedName name="_26__123Graph_XMOB_01" hidden="1">#REF!</definedName>
    <definedName name="_27__123Graph_XMOB_02" hidden="1">#REF!</definedName>
    <definedName name="_2F" hidden="1">#REF!</definedName>
    <definedName name="_2K" hidden="1">#REF!</definedName>
    <definedName name="_2S" hidden="1">#REF!</definedName>
    <definedName name="_3_._solv" hidden="1">#REF!,#REF!</definedName>
    <definedName name="_3__123Graph_ACHART_1" hidden="1">#REF!</definedName>
    <definedName name="_3__123Graph_ACHART_2" hidden="1">#REF!</definedName>
    <definedName name="_3__123Graph_ACHART_3" hidden="1">#REF!</definedName>
    <definedName name="_3__123Graph_BCHART_2" hidden="1">#REF!</definedName>
    <definedName name="_3__123Graph_XMANPOWER_HISTO" hidden="1">#REF!</definedName>
    <definedName name="_3_0__123Grap" hidden="1">#REF!</definedName>
    <definedName name="_3_0_0__123Grap" hidden="1">#REF!</definedName>
    <definedName name="_3_0_0_K" hidden="1">#REF!</definedName>
    <definedName name="_3_0_S" hidden="1">#REF!</definedName>
    <definedName name="_3_123Grap" hidden="1">#REF!</definedName>
    <definedName name="_35_0_0_F" hidden="1">#REF!</definedName>
    <definedName name="_3F" hidden="1">#N/A</definedName>
    <definedName name="_4">#REF!</definedName>
    <definedName name="_4____0__123Grap" hidden="1">#REF!</definedName>
    <definedName name="_4____123Graph_BChart_1A" hidden="1">#REF!</definedName>
    <definedName name="_4__123Graph_ACHART_2" hidden="1">#REF!</definedName>
    <definedName name="_4__123Graph_ACHART_4" hidden="1">#REF!</definedName>
    <definedName name="_4__123Graph_BCHART_2" hidden="1">#REF!</definedName>
    <definedName name="_4__123Graph_CCHART_1" hidden="1">#REF!</definedName>
    <definedName name="_4__123Graph_XCHART_1A" hidden="1">#REF!</definedName>
    <definedName name="_4_0___.0solv" hidden="1">#REF!,#REF!</definedName>
    <definedName name="_4_0__123Grap" hidden="1">#REF!</definedName>
    <definedName name="_4_0_0_F" hidden="1">#REF!</definedName>
    <definedName name="_4_0_0_S" hidden="1">#REF!</definedName>
    <definedName name="_4_0_Dist_" hidden="1">#REF!</definedName>
    <definedName name="_41aa1_" hidden="1">{#N/A,#N/A,FALSE,"CCTV"}</definedName>
    <definedName name="_43³_¿ª" hidden="1">{#N/A,#N/A,FALSE,"CCTV"}</definedName>
    <definedName name="_4aa1_" hidden="1">{#N/A,#N/A,FALSE,"CCTV"}</definedName>
    <definedName name="_4S" hidden="1">#REF!</definedName>
    <definedName name="_5__123Graph_ACHART_2" hidden="1">#REF!</definedName>
    <definedName name="_5__123Graph_BCHART_1" hidden="1">#REF!</definedName>
    <definedName name="_5__123Graph_BCHART_2" hidden="1">#REF!</definedName>
    <definedName name="_5__123Graph_CCHART_1" hidden="1">#REF!</definedName>
    <definedName name="_5__123Graph_DCHART_1" hidden="1">#REF!</definedName>
    <definedName name="_5_0_0__123Grap" hidden="1">#REF!</definedName>
    <definedName name="_5_0_0K" hidden="1">#REF!</definedName>
    <definedName name="_5_Digit_CSI">#REF!</definedName>
    <definedName name="_50_0__123Grap" hidden="1">#REF!</definedName>
    <definedName name="_52a122_" hidden="1">{#N/A,#N/A,FALSE,"속도"}</definedName>
    <definedName name="_5F" hidden="1">#REF!</definedName>
    <definedName name="_6_____0__123Grap" hidden="1">#REF!</definedName>
    <definedName name="_6____123Graph_XChart_1A" hidden="1">#REF!</definedName>
    <definedName name="_6__123Graph_AMOB_01" hidden="1">#REF!</definedName>
    <definedName name="_6__123Graph_BCHART_2" hidden="1">#REF!</definedName>
    <definedName name="_6__123Graph_CCHART_1" hidden="1">#REF!</definedName>
    <definedName name="_6__123Graph_DCHART_1" hidden="1">#REF!</definedName>
    <definedName name="_6_0__123Grap" hidden="1">#REF!</definedName>
    <definedName name="_6_0_0__123Grap" hidden="1">#REF!</definedName>
    <definedName name="_6_0_0_F" hidden="1">#REF!</definedName>
    <definedName name="_6_0_0_K" hidden="1">#REF!</definedName>
    <definedName name="_6_0_0SO" hidden="1">#REF!</definedName>
    <definedName name="_6_0_0코아공" hidden="1">#REF!</definedName>
    <definedName name="_6cf2_" hidden="1">{#N/A,#N/A,FALSE,"Variables";#N/A,#N/A,FALSE,"NPV Cashflows NZ$";#N/A,#N/A,FALSE,"Cashflows NZ$"}</definedName>
    <definedName name="_7">#REF!</definedName>
    <definedName name="_7__123Graph_AMOB_02" hidden="1">#REF!</definedName>
    <definedName name="_7__123Graph_BCHART_2" hidden="1">#REF!</definedName>
    <definedName name="_7__123Graph_BCHART_3" hidden="1">#REF!</definedName>
    <definedName name="_7__123Graph_DCHART_1" hidden="1">#REF!</definedName>
    <definedName name="_7_0__123Grap" hidden="1">#REF!</definedName>
    <definedName name="_7_0_0_F" hidden="1">#REF!</definedName>
    <definedName name="_7_0공통비" hidden="1">#REF!</definedName>
    <definedName name="_77EE1_" hidden="1">{#N/A,#N/A,FALSE,"단가표지"}</definedName>
    <definedName name="_7a11_" hidden="1">{"'장비'!$A$3:$M$12"}</definedName>
    <definedName name="_7F" hidden="1">#REF!</definedName>
    <definedName name="_8______0__123Grap" hidden="1">#REF!</definedName>
    <definedName name="_8___123Graph_AChart_1A" hidden="1">#REF!</definedName>
    <definedName name="_8__123Graph_BCHART_4" hidden="1">#REF!</definedName>
    <definedName name="_8__123Graph_BMOB_01" hidden="1">#REF!</definedName>
    <definedName name="_8_0_0_F" hidden="1">#REF!</definedName>
    <definedName name="_8_0_0_S" hidden="1">#REF!</definedName>
    <definedName name="_8_0현대코아공" hidden="1">#REF!</definedName>
    <definedName name="_8a11_" hidden="1">{"'장비'!$A$3:$M$12"}</definedName>
    <definedName name="_8F" hidden="1">#REF!</definedName>
    <definedName name="_8K" hidden="1">#REF!</definedName>
    <definedName name="_9__123Graph_BMOB_02" hidden="1">#REF!</definedName>
    <definedName name="_9__123Graph_CCHART_1" hidden="1">#REF!</definedName>
    <definedName name="_9__123Graph_CCHART_3" hidden="1">#REF!</definedName>
    <definedName name="_9_0_0_F" hidden="1">#REF!</definedName>
    <definedName name="_9_0_0코아공" hidden="1">#REF!</definedName>
    <definedName name="_9H3_" hidden="1">{"'장비'!$A$3:$M$12"}</definedName>
    <definedName name="_9SO" hidden="1">#REF!</definedName>
    <definedName name="_a11" hidden="1">{"'장비'!$A$3:$M$12"}</definedName>
    <definedName name="_A2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_aa" hidden="1">#REF!</definedName>
    <definedName name="_aa1" hidden="1">{#N/A,#N/A,FALSE,"CCTV"}</definedName>
    <definedName name="_aaa3" hidden="1">#REF!</definedName>
    <definedName name="_aaa4" hidden="1">#REF!</definedName>
    <definedName name="_aaa5" hidden="1">#REF!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c" hidden="1">#REF!</definedName>
    <definedName name="_APJ1097" hidden="1">#REF!</definedName>
    <definedName name="_AS1" hidden="1">{#N/A,#N/A,FALSE,"müş_iç_ihz";#N/A,#N/A,FALSE,"müş_iç_er";#N/A,#N/A,FALSE,"müş_iç_tut"}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19000">#REF!</definedName>
    <definedName name="_B19999">#REF!</definedName>
    <definedName name="_b2" hidden="1">{#N/A,#N/A,TRUE,"Equipment installation bm"}</definedName>
    <definedName name="_B20000">#REF!</definedName>
    <definedName name="_BDR1">#N/A</definedName>
    <definedName name="_BDR2">#N/A</definedName>
    <definedName name="_BOS1" hidden="1">{#N/A,#N/A,FALSE,"부대1"}</definedName>
    <definedName name="_Builtin13" hidden="1">#N/A</definedName>
    <definedName name="_Builtin155" hidden="1">#N/A</definedName>
    <definedName name="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Çatı" hidden="1">#REF!</definedName>
    <definedName name="_ccc1" hidden="1">{"PLANT BREAKUP",#N/A,FALSE,"E"}</definedName>
    <definedName name="_ccr1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cf2" hidden="1">{#N/A,#N/A,FALSE,"Variables";#N/A,#N/A,FALSE,"NPV Cashflows NZ$";#N/A,#N/A,FALSE,"Cashflows NZ$"}</definedName>
    <definedName name="_cfa1">#REF!</definedName>
    <definedName name="_Cub01">#REF!</definedName>
    <definedName name="_D1112" hidden="1">{"'照明目录'!$A$1:$H$31"}</definedName>
    <definedName name="_d2" localSheetId="1" hidden="1">{#N/A,#N/A,FALSE,"mgtsum.XLS";#N/A,#N/A,FALSE,"CAPONE";#N/A,#N/A,FALSE,"CAPTWO";#N/A,#N/A,FALSE,"CAPTHREE"}</definedName>
    <definedName name="_d2" hidden="1">{#N/A,#N/A,FALSE,"mgtsum.XLS";#N/A,#N/A,FALSE,"CAPONE";#N/A,#N/A,FALSE,"CAPTWO";#N/A,#N/A,FALSE,"CAPTHREE"}</definedName>
    <definedName name="_d2_1" hidden="1">{#N/A,#N/A,FALSE,"mgtsum.XLS";#N/A,#N/A,FALSE,"CAPONE";#N/A,#N/A,FALSE,"CAPTWO";#N/A,#N/A,FALSE,"CAPTHREE"}</definedName>
    <definedName name="_d2_1_1" hidden="1">{#N/A,#N/A,FALSE,"mgtsum.XLS";#N/A,#N/A,FALSE,"CAPONE";#N/A,#N/A,FALSE,"CAPTWO";#N/A,#N/A,FALSE,"CAPTHREE"}</definedName>
    <definedName name="_d2_1_1_1" hidden="1">{#N/A,#N/A,FALSE,"mgtsum.XLS";#N/A,#N/A,FALSE,"CAPONE";#N/A,#N/A,FALSE,"CAPTWO";#N/A,#N/A,FALSE,"CAPTHREE"}</definedName>
    <definedName name="_d2_1_1_1_1" hidden="1">{#N/A,#N/A,FALSE,"mgtsum.XLS";#N/A,#N/A,FALSE,"CAPONE";#N/A,#N/A,FALSE,"CAPTWO";#N/A,#N/A,FALSE,"CAPTHREE"}</definedName>
    <definedName name="_d2_1_1_1_2" hidden="1">{#N/A,#N/A,FALSE,"mgtsum.XLS";#N/A,#N/A,FALSE,"CAPONE";#N/A,#N/A,FALSE,"CAPTWO";#N/A,#N/A,FALSE,"CAPTHREE"}</definedName>
    <definedName name="_d2_1_1_1_3" hidden="1">{#N/A,#N/A,FALSE,"mgtsum.XLS";#N/A,#N/A,FALSE,"CAPONE";#N/A,#N/A,FALSE,"CAPTWO";#N/A,#N/A,FALSE,"CAPTHREE"}</definedName>
    <definedName name="_d2_1_1_1_4" hidden="1">{#N/A,#N/A,FALSE,"mgtsum.XLS";#N/A,#N/A,FALSE,"CAPONE";#N/A,#N/A,FALSE,"CAPTWO";#N/A,#N/A,FALSE,"CAPTHREE"}</definedName>
    <definedName name="_d2_1_1_1_5" hidden="1">{#N/A,#N/A,FALSE,"mgtsum.XLS";#N/A,#N/A,FALSE,"CAPONE";#N/A,#N/A,FALSE,"CAPTWO";#N/A,#N/A,FALSE,"CAPTHREE"}</definedName>
    <definedName name="_d2_1_1_2" hidden="1">{#N/A,#N/A,FALSE,"mgtsum.XLS";#N/A,#N/A,FALSE,"CAPONE";#N/A,#N/A,FALSE,"CAPTWO";#N/A,#N/A,FALSE,"CAPTHREE"}</definedName>
    <definedName name="_d2_1_1_2_1" hidden="1">{#N/A,#N/A,FALSE,"mgtsum.XLS";#N/A,#N/A,FALSE,"CAPONE";#N/A,#N/A,FALSE,"CAPTWO";#N/A,#N/A,FALSE,"CAPTHREE"}</definedName>
    <definedName name="_d2_1_1_2_2" hidden="1">{#N/A,#N/A,FALSE,"mgtsum.XLS";#N/A,#N/A,FALSE,"CAPONE";#N/A,#N/A,FALSE,"CAPTWO";#N/A,#N/A,FALSE,"CAPTHREE"}</definedName>
    <definedName name="_d2_1_1_2_3" hidden="1">{#N/A,#N/A,FALSE,"mgtsum.XLS";#N/A,#N/A,FALSE,"CAPONE";#N/A,#N/A,FALSE,"CAPTWO";#N/A,#N/A,FALSE,"CAPTHREE"}</definedName>
    <definedName name="_d2_1_1_2_4" hidden="1">{#N/A,#N/A,FALSE,"mgtsum.XLS";#N/A,#N/A,FALSE,"CAPONE";#N/A,#N/A,FALSE,"CAPTWO";#N/A,#N/A,FALSE,"CAPTHREE"}</definedName>
    <definedName name="_d2_1_1_2_5" hidden="1">{#N/A,#N/A,FALSE,"mgtsum.XLS";#N/A,#N/A,FALSE,"CAPONE";#N/A,#N/A,FALSE,"CAPTWO";#N/A,#N/A,FALSE,"CAPTHREE"}</definedName>
    <definedName name="_d2_1_1_3" hidden="1">{#N/A,#N/A,FALSE,"mgtsum.XLS";#N/A,#N/A,FALSE,"CAPONE";#N/A,#N/A,FALSE,"CAPTWO";#N/A,#N/A,FALSE,"CAPTHREE"}</definedName>
    <definedName name="_d2_1_1_3_1" hidden="1">{#N/A,#N/A,FALSE,"mgtsum.XLS";#N/A,#N/A,FALSE,"CAPONE";#N/A,#N/A,FALSE,"CAPTWO";#N/A,#N/A,FALSE,"CAPTHREE"}</definedName>
    <definedName name="_d2_1_1_3_2" hidden="1">{#N/A,#N/A,FALSE,"mgtsum.XLS";#N/A,#N/A,FALSE,"CAPONE";#N/A,#N/A,FALSE,"CAPTWO";#N/A,#N/A,FALSE,"CAPTHREE"}</definedName>
    <definedName name="_d2_1_1_3_3" hidden="1">{#N/A,#N/A,FALSE,"mgtsum.XLS";#N/A,#N/A,FALSE,"CAPONE";#N/A,#N/A,FALSE,"CAPTWO";#N/A,#N/A,FALSE,"CAPTHREE"}</definedName>
    <definedName name="_d2_1_1_3_4" hidden="1">{#N/A,#N/A,FALSE,"mgtsum.XLS";#N/A,#N/A,FALSE,"CAPONE";#N/A,#N/A,FALSE,"CAPTWO";#N/A,#N/A,FALSE,"CAPTHREE"}</definedName>
    <definedName name="_d2_1_1_3_5" hidden="1">{#N/A,#N/A,FALSE,"mgtsum.XLS";#N/A,#N/A,FALSE,"CAPONE";#N/A,#N/A,FALSE,"CAPTWO";#N/A,#N/A,FALSE,"CAPTHREE"}</definedName>
    <definedName name="_d2_1_1_4" hidden="1">{#N/A,#N/A,FALSE,"mgtsum.XLS";#N/A,#N/A,FALSE,"CAPONE";#N/A,#N/A,FALSE,"CAPTWO";#N/A,#N/A,FALSE,"CAPTHREE"}</definedName>
    <definedName name="_d2_1_1_5" hidden="1">{#N/A,#N/A,FALSE,"mgtsum.XLS";#N/A,#N/A,FALSE,"CAPONE";#N/A,#N/A,FALSE,"CAPTWO";#N/A,#N/A,FALSE,"CAPTHREE"}</definedName>
    <definedName name="_d2_1_2" hidden="1">{#N/A,#N/A,FALSE,"mgtsum.XLS";#N/A,#N/A,FALSE,"CAPONE";#N/A,#N/A,FALSE,"CAPTWO";#N/A,#N/A,FALSE,"CAPTHREE"}</definedName>
    <definedName name="_d2_1_2_1" hidden="1">{#N/A,#N/A,FALSE,"mgtsum.XLS";#N/A,#N/A,FALSE,"CAPONE";#N/A,#N/A,FALSE,"CAPTWO";#N/A,#N/A,FALSE,"CAPTHREE"}</definedName>
    <definedName name="_d2_1_2_1_1" hidden="1">{#N/A,#N/A,FALSE,"mgtsum.XLS";#N/A,#N/A,FALSE,"CAPONE";#N/A,#N/A,FALSE,"CAPTWO";#N/A,#N/A,FALSE,"CAPTHREE"}</definedName>
    <definedName name="_d2_1_2_1_2" hidden="1">{#N/A,#N/A,FALSE,"mgtsum.XLS";#N/A,#N/A,FALSE,"CAPONE";#N/A,#N/A,FALSE,"CAPTWO";#N/A,#N/A,FALSE,"CAPTHREE"}</definedName>
    <definedName name="_d2_1_2_1_3" hidden="1">{#N/A,#N/A,FALSE,"mgtsum.XLS";#N/A,#N/A,FALSE,"CAPONE";#N/A,#N/A,FALSE,"CAPTWO";#N/A,#N/A,FALSE,"CAPTHREE"}</definedName>
    <definedName name="_d2_1_2_1_4" hidden="1">{#N/A,#N/A,FALSE,"mgtsum.XLS";#N/A,#N/A,FALSE,"CAPONE";#N/A,#N/A,FALSE,"CAPTWO";#N/A,#N/A,FALSE,"CAPTHREE"}</definedName>
    <definedName name="_d2_1_2_1_5" hidden="1">{#N/A,#N/A,FALSE,"mgtsum.XLS";#N/A,#N/A,FALSE,"CAPONE";#N/A,#N/A,FALSE,"CAPTWO";#N/A,#N/A,FALSE,"CAPTHREE"}</definedName>
    <definedName name="_d2_1_2_2" hidden="1">{#N/A,#N/A,FALSE,"mgtsum.XLS";#N/A,#N/A,FALSE,"CAPONE";#N/A,#N/A,FALSE,"CAPTWO";#N/A,#N/A,FALSE,"CAPTHREE"}</definedName>
    <definedName name="_d2_1_2_2_1" hidden="1">{#N/A,#N/A,FALSE,"mgtsum.XLS";#N/A,#N/A,FALSE,"CAPONE";#N/A,#N/A,FALSE,"CAPTWO";#N/A,#N/A,FALSE,"CAPTHREE"}</definedName>
    <definedName name="_d2_1_2_2_2" hidden="1">{#N/A,#N/A,FALSE,"mgtsum.XLS";#N/A,#N/A,FALSE,"CAPONE";#N/A,#N/A,FALSE,"CAPTWO";#N/A,#N/A,FALSE,"CAPTHREE"}</definedName>
    <definedName name="_d2_1_2_2_3" hidden="1">{#N/A,#N/A,FALSE,"mgtsum.XLS";#N/A,#N/A,FALSE,"CAPONE";#N/A,#N/A,FALSE,"CAPTWO";#N/A,#N/A,FALSE,"CAPTHREE"}</definedName>
    <definedName name="_d2_1_2_2_4" hidden="1">{#N/A,#N/A,FALSE,"mgtsum.XLS";#N/A,#N/A,FALSE,"CAPONE";#N/A,#N/A,FALSE,"CAPTWO";#N/A,#N/A,FALSE,"CAPTHREE"}</definedName>
    <definedName name="_d2_1_2_2_5" hidden="1">{#N/A,#N/A,FALSE,"mgtsum.XLS";#N/A,#N/A,FALSE,"CAPONE";#N/A,#N/A,FALSE,"CAPTWO";#N/A,#N/A,FALSE,"CAPTHREE"}</definedName>
    <definedName name="_d2_1_2_3" hidden="1">{#N/A,#N/A,FALSE,"mgtsum.XLS";#N/A,#N/A,FALSE,"CAPONE";#N/A,#N/A,FALSE,"CAPTWO";#N/A,#N/A,FALSE,"CAPTHREE"}</definedName>
    <definedName name="_d2_1_2_4" hidden="1">{#N/A,#N/A,FALSE,"mgtsum.XLS";#N/A,#N/A,FALSE,"CAPONE";#N/A,#N/A,FALSE,"CAPTWO";#N/A,#N/A,FALSE,"CAPTHREE"}</definedName>
    <definedName name="_d2_1_2_5" hidden="1">{#N/A,#N/A,FALSE,"mgtsum.XLS";#N/A,#N/A,FALSE,"CAPONE";#N/A,#N/A,FALSE,"CAPTWO";#N/A,#N/A,FALSE,"CAPTHREE"}</definedName>
    <definedName name="_d2_1_3" hidden="1">{#N/A,#N/A,FALSE,"mgtsum.XLS";#N/A,#N/A,FALSE,"CAPONE";#N/A,#N/A,FALSE,"CAPTWO";#N/A,#N/A,FALSE,"CAPTHREE"}</definedName>
    <definedName name="_d2_1_3_1" hidden="1">{#N/A,#N/A,FALSE,"mgtsum.XLS";#N/A,#N/A,FALSE,"CAPONE";#N/A,#N/A,FALSE,"CAPTWO";#N/A,#N/A,FALSE,"CAPTHREE"}</definedName>
    <definedName name="_d2_1_3_1_1" hidden="1">{#N/A,#N/A,FALSE,"mgtsum.XLS";#N/A,#N/A,FALSE,"CAPONE";#N/A,#N/A,FALSE,"CAPTWO";#N/A,#N/A,FALSE,"CAPTHREE"}</definedName>
    <definedName name="_d2_1_3_1_2" hidden="1">{#N/A,#N/A,FALSE,"mgtsum.XLS";#N/A,#N/A,FALSE,"CAPONE";#N/A,#N/A,FALSE,"CAPTWO";#N/A,#N/A,FALSE,"CAPTHREE"}</definedName>
    <definedName name="_d2_1_3_1_3" hidden="1">{#N/A,#N/A,FALSE,"mgtsum.XLS";#N/A,#N/A,FALSE,"CAPONE";#N/A,#N/A,FALSE,"CAPTWO";#N/A,#N/A,FALSE,"CAPTHREE"}</definedName>
    <definedName name="_d2_1_3_1_4" hidden="1">{#N/A,#N/A,FALSE,"mgtsum.XLS";#N/A,#N/A,FALSE,"CAPONE";#N/A,#N/A,FALSE,"CAPTWO";#N/A,#N/A,FALSE,"CAPTHREE"}</definedName>
    <definedName name="_d2_1_3_1_5" hidden="1">{#N/A,#N/A,FALSE,"mgtsum.XLS";#N/A,#N/A,FALSE,"CAPONE";#N/A,#N/A,FALSE,"CAPTWO";#N/A,#N/A,FALSE,"CAPTHREE"}</definedName>
    <definedName name="_d2_1_3_2" hidden="1">{#N/A,#N/A,FALSE,"mgtsum.XLS";#N/A,#N/A,FALSE,"CAPONE";#N/A,#N/A,FALSE,"CAPTWO";#N/A,#N/A,FALSE,"CAPTHREE"}</definedName>
    <definedName name="_d2_1_3_2_1" hidden="1">{#N/A,#N/A,FALSE,"mgtsum.XLS";#N/A,#N/A,FALSE,"CAPONE";#N/A,#N/A,FALSE,"CAPTWO";#N/A,#N/A,FALSE,"CAPTHREE"}</definedName>
    <definedName name="_d2_1_3_2_2" hidden="1">{#N/A,#N/A,FALSE,"mgtsum.XLS";#N/A,#N/A,FALSE,"CAPONE";#N/A,#N/A,FALSE,"CAPTWO";#N/A,#N/A,FALSE,"CAPTHREE"}</definedName>
    <definedName name="_d2_1_3_2_3" hidden="1">{#N/A,#N/A,FALSE,"mgtsum.XLS";#N/A,#N/A,FALSE,"CAPONE";#N/A,#N/A,FALSE,"CAPTWO";#N/A,#N/A,FALSE,"CAPTHREE"}</definedName>
    <definedName name="_d2_1_3_2_4" hidden="1">{#N/A,#N/A,FALSE,"mgtsum.XLS";#N/A,#N/A,FALSE,"CAPONE";#N/A,#N/A,FALSE,"CAPTWO";#N/A,#N/A,FALSE,"CAPTHREE"}</definedName>
    <definedName name="_d2_1_3_2_5" hidden="1">{#N/A,#N/A,FALSE,"mgtsum.XLS";#N/A,#N/A,FALSE,"CAPONE";#N/A,#N/A,FALSE,"CAPTWO";#N/A,#N/A,FALSE,"CAPTHREE"}</definedName>
    <definedName name="_d2_1_3_3" hidden="1">{#N/A,#N/A,FALSE,"mgtsum.XLS";#N/A,#N/A,FALSE,"CAPONE";#N/A,#N/A,FALSE,"CAPTWO";#N/A,#N/A,FALSE,"CAPTHREE"}</definedName>
    <definedName name="_d2_1_3_4" hidden="1">{#N/A,#N/A,FALSE,"mgtsum.XLS";#N/A,#N/A,FALSE,"CAPONE";#N/A,#N/A,FALSE,"CAPTWO";#N/A,#N/A,FALSE,"CAPTHREE"}</definedName>
    <definedName name="_d2_1_3_5" hidden="1">{#N/A,#N/A,FALSE,"mgtsum.XLS";#N/A,#N/A,FALSE,"CAPONE";#N/A,#N/A,FALSE,"CAPTWO";#N/A,#N/A,FALSE,"CAPTHREE"}</definedName>
    <definedName name="_d2_1_4" hidden="1">{#N/A,#N/A,FALSE,"mgtsum.XLS";#N/A,#N/A,FALSE,"CAPONE";#N/A,#N/A,FALSE,"CAPTWO";#N/A,#N/A,FALSE,"CAPTHREE"}</definedName>
    <definedName name="_d2_1_4_1" hidden="1">{#N/A,#N/A,FALSE,"mgtsum.XLS";#N/A,#N/A,FALSE,"CAPONE";#N/A,#N/A,FALSE,"CAPTWO";#N/A,#N/A,FALSE,"CAPTHREE"}</definedName>
    <definedName name="_d2_1_4_1_1" hidden="1">{#N/A,#N/A,FALSE,"mgtsum.XLS";#N/A,#N/A,FALSE,"CAPONE";#N/A,#N/A,FALSE,"CAPTWO";#N/A,#N/A,FALSE,"CAPTHREE"}</definedName>
    <definedName name="_d2_1_4_1_2" hidden="1">{#N/A,#N/A,FALSE,"mgtsum.XLS";#N/A,#N/A,FALSE,"CAPONE";#N/A,#N/A,FALSE,"CAPTWO";#N/A,#N/A,FALSE,"CAPTHREE"}</definedName>
    <definedName name="_d2_1_4_1_3" hidden="1">{#N/A,#N/A,FALSE,"mgtsum.XLS";#N/A,#N/A,FALSE,"CAPONE";#N/A,#N/A,FALSE,"CAPTWO";#N/A,#N/A,FALSE,"CAPTHREE"}</definedName>
    <definedName name="_d2_1_4_1_4" hidden="1">{#N/A,#N/A,FALSE,"mgtsum.XLS";#N/A,#N/A,FALSE,"CAPONE";#N/A,#N/A,FALSE,"CAPTWO";#N/A,#N/A,FALSE,"CAPTHREE"}</definedName>
    <definedName name="_d2_1_4_1_5" hidden="1">{#N/A,#N/A,FALSE,"mgtsum.XLS";#N/A,#N/A,FALSE,"CAPONE";#N/A,#N/A,FALSE,"CAPTWO";#N/A,#N/A,FALSE,"CAPTHREE"}</definedName>
    <definedName name="_d2_1_4_2" hidden="1">{#N/A,#N/A,FALSE,"mgtsum.XLS";#N/A,#N/A,FALSE,"CAPONE";#N/A,#N/A,FALSE,"CAPTWO";#N/A,#N/A,FALSE,"CAPTHREE"}</definedName>
    <definedName name="_d2_1_4_2_1" hidden="1">{#N/A,#N/A,FALSE,"mgtsum.XLS";#N/A,#N/A,FALSE,"CAPONE";#N/A,#N/A,FALSE,"CAPTWO";#N/A,#N/A,FALSE,"CAPTHREE"}</definedName>
    <definedName name="_d2_1_4_2_2" hidden="1">{#N/A,#N/A,FALSE,"mgtsum.XLS";#N/A,#N/A,FALSE,"CAPONE";#N/A,#N/A,FALSE,"CAPTWO";#N/A,#N/A,FALSE,"CAPTHREE"}</definedName>
    <definedName name="_d2_1_4_2_3" hidden="1">{#N/A,#N/A,FALSE,"mgtsum.XLS";#N/A,#N/A,FALSE,"CAPONE";#N/A,#N/A,FALSE,"CAPTWO";#N/A,#N/A,FALSE,"CAPTHREE"}</definedName>
    <definedName name="_d2_1_4_2_4" hidden="1">{#N/A,#N/A,FALSE,"mgtsum.XLS";#N/A,#N/A,FALSE,"CAPONE";#N/A,#N/A,FALSE,"CAPTWO";#N/A,#N/A,FALSE,"CAPTHREE"}</definedName>
    <definedName name="_d2_1_4_2_5" hidden="1">{#N/A,#N/A,FALSE,"mgtsum.XLS";#N/A,#N/A,FALSE,"CAPONE";#N/A,#N/A,FALSE,"CAPTWO";#N/A,#N/A,FALSE,"CAPTHREE"}</definedName>
    <definedName name="_d2_1_4_3" hidden="1">{#N/A,#N/A,FALSE,"mgtsum.XLS";#N/A,#N/A,FALSE,"CAPONE";#N/A,#N/A,FALSE,"CAPTWO";#N/A,#N/A,FALSE,"CAPTHREE"}</definedName>
    <definedName name="_d2_1_4_4" hidden="1">{#N/A,#N/A,FALSE,"mgtsum.XLS";#N/A,#N/A,FALSE,"CAPONE";#N/A,#N/A,FALSE,"CAPTWO";#N/A,#N/A,FALSE,"CAPTHREE"}</definedName>
    <definedName name="_d2_1_4_5" hidden="1">{#N/A,#N/A,FALSE,"mgtsum.XLS";#N/A,#N/A,FALSE,"CAPONE";#N/A,#N/A,FALSE,"CAPTWO";#N/A,#N/A,FALSE,"CAPTHREE"}</definedName>
    <definedName name="_d2_1_5" hidden="1">{#N/A,#N/A,FALSE,"mgtsum.XLS";#N/A,#N/A,FALSE,"CAPONE";#N/A,#N/A,FALSE,"CAPTWO";#N/A,#N/A,FALSE,"CAPTHREE"}</definedName>
    <definedName name="_d2_1_5_1" hidden="1">{#N/A,#N/A,FALSE,"mgtsum.XLS";#N/A,#N/A,FALSE,"CAPONE";#N/A,#N/A,FALSE,"CAPTWO";#N/A,#N/A,FALSE,"CAPTHREE"}</definedName>
    <definedName name="_d2_1_5_1_1" hidden="1">{#N/A,#N/A,FALSE,"mgtsum.XLS";#N/A,#N/A,FALSE,"CAPONE";#N/A,#N/A,FALSE,"CAPTWO";#N/A,#N/A,FALSE,"CAPTHREE"}</definedName>
    <definedName name="_d2_1_5_1_2" hidden="1">{#N/A,#N/A,FALSE,"mgtsum.XLS";#N/A,#N/A,FALSE,"CAPONE";#N/A,#N/A,FALSE,"CAPTWO";#N/A,#N/A,FALSE,"CAPTHREE"}</definedName>
    <definedName name="_d2_1_5_1_3" hidden="1">{#N/A,#N/A,FALSE,"mgtsum.XLS";#N/A,#N/A,FALSE,"CAPONE";#N/A,#N/A,FALSE,"CAPTWO";#N/A,#N/A,FALSE,"CAPTHREE"}</definedName>
    <definedName name="_d2_1_5_1_4" hidden="1">{#N/A,#N/A,FALSE,"mgtsum.XLS";#N/A,#N/A,FALSE,"CAPONE";#N/A,#N/A,FALSE,"CAPTWO";#N/A,#N/A,FALSE,"CAPTHREE"}</definedName>
    <definedName name="_d2_1_5_1_5" hidden="1">{#N/A,#N/A,FALSE,"mgtsum.XLS";#N/A,#N/A,FALSE,"CAPONE";#N/A,#N/A,FALSE,"CAPTWO";#N/A,#N/A,FALSE,"CAPTHREE"}</definedName>
    <definedName name="_d2_1_5_2" hidden="1">{#N/A,#N/A,FALSE,"mgtsum.XLS";#N/A,#N/A,FALSE,"CAPONE";#N/A,#N/A,FALSE,"CAPTWO";#N/A,#N/A,FALSE,"CAPTHREE"}</definedName>
    <definedName name="_d2_1_5_2_1" hidden="1">{#N/A,#N/A,FALSE,"mgtsum.XLS";#N/A,#N/A,FALSE,"CAPONE";#N/A,#N/A,FALSE,"CAPTWO";#N/A,#N/A,FALSE,"CAPTHREE"}</definedName>
    <definedName name="_d2_1_5_2_2" hidden="1">{#N/A,#N/A,FALSE,"mgtsum.XLS";#N/A,#N/A,FALSE,"CAPONE";#N/A,#N/A,FALSE,"CAPTWO";#N/A,#N/A,FALSE,"CAPTHREE"}</definedName>
    <definedName name="_d2_1_5_2_3" hidden="1">{#N/A,#N/A,FALSE,"mgtsum.XLS";#N/A,#N/A,FALSE,"CAPONE";#N/A,#N/A,FALSE,"CAPTWO";#N/A,#N/A,FALSE,"CAPTHREE"}</definedName>
    <definedName name="_d2_1_5_2_4" hidden="1">{#N/A,#N/A,FALSE,"mgtsum.XLS";#N/A,#N/A,FALSE,"CAPONE";#N/A,#N/A,FALSE,"CAPTWO";#N/A,#N/A,FALSE,"CAPTHREE"}</definedName>
    <definedName name="_d2_1_5_2_5" hidden="1">{#N/A,#N/A,FALSE,"mgtsum.XLS";#N/A,#N/A,FALSE,"CAPONE";#N/A,#N/A,FALSE,"CAPTWO";#N/A,#N/A,FALSE,"CAPTHREE"}</definedName>
    <definedName name="_d2_1_5_3" hidden="1">{#N/A,#N/A,FALSE,"mgtsum.XLS";#N/A,#N/A,FALSE,"CAPONE";#N/A,#N/A,FALSE,"CAPTWO";#N/A,#N/A,FALSE,"CAPTHREE"}</definedName>
    <definedName name="_d2_1_5_4" hidden="1">{#N/A,#N/A,FALSE,"mgtsum.XLS";#N/A,#N/A,FALSE,"CAPONE";#N/A,#N/A,FALSE,"CAPTWO";#N/A,#N/A,FALSE,"CAPTHREE"}</definedName>
    <definedName name="_d2_1_5_5" hidden="1">{#N/A,#N/A,FALSE,"mgtsum.XLS";#N/A,#N/A,FALSE,"CAPONE";#N/A,#N/A,FALSE,"CAPTWO";#N/A,#N/A,FALSE,"CAPTHREE"}</definedName>
    <definedName name="_d2_2" hidden="1">{#N/A,#N/A,FALSE,"mgtsum.XLS";#N/A,#N/A,FALSE,"CAPONE";#N/A,#N/A,FALSE,"CAPTWO";#N/A,#N/A,FALSE,"CAPTHREE"}</definedName>
    <definedName name="_d2_2_1" hidden="1">{#N/A,#N/A,FALSE,"mgtsum.XLS";#N/A,#N/A,FALSE,"CAPONE";#N/A,#N/A,FALSE,"CAPTWO";#N/A,#N/A,FALSE,"CAPTHREE"}</definedName>
    <definedName name="_d2_2_1_1" hidden="1">{#N/A,#N/A,FALSE,"mgtsum.XLS";#N/A,#N/A,FALSE,"CAPONE";#N/A,#N/A,FALSE,"CAPTWO";#N/A,#N/A,FALSE,"CAPTHREE"}</definedName>
    <definedName name="_d2_2_1_1_1" hidden="1">{#N/A,#N/A,FALSE,"mgtsum.XLS";#N/A,#N/A,FALSE,"CAPONE";#N/A,#N/A,FALSE,"CAPTWO";#N/A,#N/A,FALSE,"CAPTHREE"}</definedName>
    <definedName name="_d2_2_1_1_2" hidden="1">{#N/A,#N/A,FALSE,"mgtsum.XLS";#N/A,#N/A,FALSE,"CAPONE";#N/A,#N/A,FALSE,"CAPTWO";#N/A,#N/A,FALSE,"CAPTHREE"}</definedName>
    <definedName name="_d2_2_1_1_3" hidden="1">{#N/A,#N/A,FALSE,"mgtsum.XLS";#N/A,#N/A,FALSE,"CAPONE";#N/A,#N/A,FALSE,"CAPTWO";#N/A,#N/A,FALSE,"CAPTHREE"}</definedName>
    <definedName name="_d2_2_1_1_4" hidden="1">{#N/A,#N/A,FALSE,"mgtsum.XLS";#N/A,#N/A,FALSE,"CAPONE";#N/A,#N/A,FALSE,"CAPTWO";#N/A,#N/A,FALSE,"CAPTHREE"}</definedName>
    <definedName name="_d2_2_1_1_5" hidden="1">{#N/A,#N/A,FALSE,"mgtsum.XLS";#N/A,#N/A,FALSE,"CAPONE";#N/A,#N/A,FALSE,"CAPTWO";#N/A,#N/A,FALSE,"CAPTHREE"}</definedName>
    <definedName name="_d2_2_1_2" hidden="1">{#N/A,#N/A,FALSE,"mgtsum.XLS";#N/A,#N/A,FALSE,"CAPONE";#N/A,#N/A,FALSE,"CAPTWO";#N/A,#N/A,FALSE,"CAPTHREE"}</definedName>
    <definedName name="_d2_2_1_2_1" hidden="1">{#N/A,#N/A,FALSE,"mgtsum.XLS";#N/A,#N/A,FALSE,"CAPONE";#N/A,#N/A,FALSE,"CAPTWO";#N/A,#N/A,FALSE,"CAPTHREE"}</definedName>
    <definedName name="_d2_2_1_2_2" hidden="1">{#N/A,#N/A,FALSE,"mgtsum.XLS";#N/A,#N/A,FALSE,"CAPONE";#N/A,#N/A,FALSE,"CAPTWO";#N/A,#N/A,FALSE,"CAPTHREE"}</definedName>
    <definedName name="_d2_2_1_2_3" hidden="1">{#N/A,#N/A,FALSE,"mgtsum.XLS";#N/A,#N/A,FALSE,"CAPONE";#N/A,#N/A,FALSE,"CAPTWO";#N/A,#N/A,FALSE,"CAPTHREE"}</definedName>
    <definedName name="_d2_2_1_2_4" hidden="1">{#N/A,#N/A,FALSE,"mgtsum.XLS";#N/A,#N/A,FALSE,"CAPONE";#N/A,#N/A,FALSE,"CAPTWO";#N/A,#N/A,FALSE,"CAPTHREE"}</definedName>
    <definedName name="_d2_2_1_2_5" hidden="1">{#N/A,#N/A,FALSE,"mgtsum.XLS";#N/A,#N/A,FALSE,"CAPONE";#N/A,#N/A,FALSE,"CAPTWO";#N/A,#N/A,FALSE,"CAPTHREE"}</definedName>
    <definedName name="_d2_2_1_3" hidden="1">{#N/A,#N/A,FALSE,"mgtsum.XLS";#N/A,#N/A,FALSE,"CAPONE";#N/A,#N/A,FALSE,"CAPTWO";#N/A,#N/A,FALSE,"CAPTHREE"}</definedName>
    <definedName name="_d2_2_1_3_1" hidden="1">{#N/A,#N/A,FALSE,"mgtsum.XLS";#N/A,#N/A,FALSE,"CAPONE";#N/A,#N/A,FALSE,"CAPTWO";#N/A,#N/A,FALSE,"CAPTHREE"}</definedName>
    <definedName name="_d2_2_1_3_2" hidden="1">{#N/A,#N/A,FALSE,"mgtsum.XLS";#N/A,#N/A,FALSE,"CAPONE";#N/A,#N/A,FALSE,"CAPTWO";#N/A,#N/A,FALSE,"CAPTHREE"}</definedName>
    <definedName name="_d2_2_1_3_3" hidden="1">{#N/A,#N/A,FALSE,"mgtsum.XLS";#N/A,#N/A,FALSE,"CAPONE";#N/A,#N/A,FALSE,"CAPTWO";#N/A,#N/A,FALSE,"CAPTHREE"}</definedName>
    <definedName name="_d2_2_1_3_4" hidden="1">{#N/A,#N/A,FALSE,"mgtsum.XLS";#N/A,#N/A,FALSE,"CAPONE";#N/A,#N/A,FALSE,"CAPTWO";#N/A,#N/A,FALSE,"CAPTHREE"}</definedName>
    <definedName name="_d2_2_1_3_5" hidden="1">{#N/A,#N/A,FALSE,"mgtsum.XLS";#N/A,#N/A,FALSE,"CAPONE";#N/A,#N/A,FALSE,"CAPTWO";#N/A,#N/A,FALSE,"CAPTHREE"}</definedName>
    <definedName name="_d2_2_1_4" hidden="1">{#N/A,#N/A,FALSE,"mgtsum.XLS";#N/A,#N/A,FALSE,"CAPONE";#N/A,#N/A,FALSE,"CAPTWO";#N/A,#N/A,FALSE,"CAPTHREE"}</definedName>
    <definedName name="_d2_2_1_5" hidden="1">{#N/A,#N/A,FALSE,"mgtsum.XLS";#N/A,#N/A,FALSE,"CAPONE";#N/A,#N/A,FALSE,"CAPTWO";#N/A,#N/A,FALSE,"CAPTHREE"}</definedName>
    <definedName name="_d2_2_2" hidden="1">{#N/A,#N/A,FALSE,"mgtsum.XLS";#N/A,#N/A,FALSE,"CAPONE";#N/A,#N/A,FALSE,"CAPTWO";#N/A,#N/A,FALSE,"CAPTHREE"}</definedName>
    <definedName name="_d2_2_2_1" hidden="1">{#N/A,#N/A,FALSE,"mgtsum.XLS";#N/A,#N/A,FALSE,"CAPONE";#N/A,#N/A,FALSE,"CAPTWO";#N/A,#N/A,FALSE,"CAPTHREE"}</definedName>
    <definedName name="_d2_2_2_1_1" hidden="1">{#N/A,#N/A,FALSE,"mgtsum.XLS";#N/A,#N/A,FALSE,"CAPONE";#N/A,#N/A,FALSE,"CAPTWO";#N/A,#N/A,FALSE,"CAPTHREE"}</definedName>
    <definedName name="_d2_2_2_1_2" hidden="1">{#N/A,#N/A,FALSE,"mgtsum.XLS";#N/A,#N/A,FALSE,"CAPONE";#N/A,#N/A,FALSE,"CAPTWO";#N/A,#N/A,FALSE,"CAPTHREE"}</definedName>
    <definedName name="_d2_2_2_1_3" hidden="1">{#N/A,#N/A,FALSE,"mgtsum.XLS";#N/A,#N/A,FALSE,"CAPONE";#N/A,#N/A,FALSE,"CAPTWO";#N/A,#N/A,FALSE,"CAPTHREE"}</definedName>
    <definedName name="_d2_2_2_1_4" hidden="1">{#N/A,#N/A,FALSE,"mgtsum.XLS";#N/A,#N/A,FALSE,"CAPONE";#N/A,#N/A,FALSE,"CAPTWO";#N/A,#N/A,FALSE,"CAPTHREE"}</definedName>
    <definedName name="_d2_2_2_1_5" hidden="1">{#N/A,#N/A,FALSE,"mgtsum.XLS";#N/A,#N/A,FALSE,"CAPONE";#N/A,#N/A,FALSE,"CAPTWO";#N/A,#N/A,FALSE,"CAPTHREE"}</definedName>
    <definedName name="_d2_2_2_2" hidden="1">{#N/A,#N/A,FALSE,"mgtsum.XLS";#N/A,#N/A,FALSE,"CAPONE";#N/A,#N/A,FALSE,"CAPTWO";#N/A,#N/A,FALSE,"CAPTHREE"}</definedName>
    <definedName name="_d2_2_2_2_1" hidden="1">{#N/A,#N/A,FALSE,"mgtsum.XLS";#N/A,#N/A,FALSE,"CAPONE";#N/A,#N/A,FALSE,"CAPTWO";#N/A,#N/A,FALSE,"CAPTHREE"}</definedName>
    <definedName name="_d2_2_2_2_2" hidden="1">{#N/A,#N/A,FALSE,"mgtsum.XLS";#N/A,#N/A,FALSE,"CAPONE";#N/A,#N/A,FALSE,"CAPTWO";#N/A,#N/A,FALSE,"CAPTHREE"}</definedName>
    <definedName name="_d2_2_2_2_3" hidden="1">{#N/A,#N/A,FALSE,"mgtsum.XLS";#N/A,#N/A,FALSE,"CAPONE";#N/A,#N/A,FALSE,"CAPTWO";#N/A,#N/A,FALSE,"CAPTHREE"}</definedName>
    <definedName name="_d2_2_2_2_4" hidden="1">{#N/A,#N/A,FALSE,"mgtsum.XLS";#N/A,#N/A,FALSE,"CAPONE";#N/A,#N/A,FALSE,"CAPTWO";#N/A,#N/A,FALSE,"CAPTHREE"}</definedName>
    <definedName name="_d2_2_2_2_5" hidden="1">{#N/A,#N/A,FALSE,"mgtsum.XLS";#N/A,#N/A,FALSE,"CAPONE";#N/A,#N/A,FALSE,"CAPTWO";#N/A,#N/A,FALSE,"CAPTHREE"}</definedName>
    <definedName name="_d2_2_2_3" hidden="1">{#N/A,#N/A,FALSE,"mgtsum.XLS";#N/A,#N/A,FALSE,"CAPONE";#N/A,#N/A,FALSE,"CAPTWO";#N/A,#N/A,FALSE,"CAPTHREE"}</definedName>
    <definedName name="_d2_2_2_4" hidden="1">{#N/A,#N/A,FALSE,"mgtsum.XLS";#N/A,#N/A,FALSE,"CAPONE";#N/A,#N/A,FALSE,"CAPTWO";#N/A,#N/A,FALSE,"CAPTHREE"}</definedName>
    <definedName name="_d2_2_2_5" hidden="1">{#N/A,#N/A,FALSE,"mgtsum.XLS";#N/A,#N/A,FALSE,"CAPONE";#N/A,#N/A,FALSE,"CAPTWO";#N/A,#N/A,FALSE,"CAPTHREE"}</definedName>
    <definedName name="_d2_2_3" hidden="1">{#N/A,#N/A,FALSE,"mgtsum.XLS";#N/A,#N/A,FALSE,"CAPONE";#N/A,#N/A,FALSE,"CAPTWO";#N/A,#N/A,FALSE,"CAPTHREE"}</definedName>
    <definedName name="_d2_2_3_1" hidden="1">{#N/A,#N/A,FALSE,"mgtsum.XLS";#N/A,#N/A,FALSE,"CAPONE";#N/A,#N/A,FALSE,"CAPTWO";#N/A,#N/A,FALSE,"CAPTHREE"}</definedName>
    <definedName name="_d2_2_3_1_1" hidden="1">{#N/A,#N/A,FALSE,"mgtsum.XLS";#N/A,#N/A,FALSE,"CAPONE";#N/A,#N/A,FALSE,"CAPTWO";#N/A,#N/A,FALSE,"CAPTHREE"}</definedName>
    <definedName name="_d2_2_3_1_2" hidden="1">{#N/A,#N/A,FALSE,"mgtsum.XLS";#N/A,#N/A,FALSE,"CAPONE";#N/A,#N/A,FALSE,"CAPTWO";#N/A,#N/A,FALSE,"CAPTHREE"}</definedName>
    <definedName name="_d2_2_3_1_3" hidden="1">{#N/A,#N/A,FALSE,"mgtsum.XLS";#N/A,#N/A,FALSE,"CAPONE";#N/A,#N/A,FALSE,"CAPTWO";#N/A,#N/A,FALSE,"CAPTHREE"}</definedName>
    <definedName name="_d2_2_3_1_4" hidden="1">{#N/A,#N/A,FALSE,"mgtsum.XLS";#N/A,#N/A,FALSE,"CAPONE";#N/A,#N/A,FALSE,"CAPTWO";#N/A,#N/A,FALSE,"CAPTHREE"}</definedName>
    <definedName name="_d2_2_3_1_5" hidden="1">{#N/A,#N/A,FALSE,"mgtsum.XLS";#N/A,#N/A,FALSE,"CAPONE";#N/A,#N/A,FALSE,"CAPTWO";#N/A,#N/A,FALSE,"CAPTHREE"}</definedName>
    <definedName name="_d2_2_3_2" hidden="1">{#N/A,#N/A,FALSE,"mgtsum.XLS";#N/A,#N/A,FALSE,"CAPONE";#N/A,#N/A,FALSE,"CAPTWO";#N/A,#N/A,FALSE,"CAPTHREE"}</definedName>
    <definedName name="_d2_2_3_2_1" hidden="1">{#N/A,#N/A,FALSE,"mgtsum.XLS";#N/A,#N/A,FALSE,"CAPONE";#N/A,#N/A,FALSE,"CAPTWO";#N/A,#N/A,FALSE,"CAPTHREE"}</definedName>
    <definedName name="_d2_2_3_2_2" hidden="1">{#N/A,#N/A,FALSE,"mgtsum.XLS";#N/A,#N/A,FALSE,"CAPONE";#N/A,#N/A,FALSE,"CAPTWO";#N/A,#N/A,FALSE,"CAPTHREE"}</definedName>
    <definedName name="_d2_2_3_2_3" hidden="1">{#N/A,#N/A,FALSE,"mgtsum.XLS";#N/A,#N/A,FALSE,"CAPONE";#N/A,#N/A,FALSE,"CAPTWO";#N/A,#N/A,FALSE,"CAPTHREE"}</definedName>
    <definedName name="_d2_2_3_2_4" hidden="1">{#N/A,#N/A,FALSE,"mgtsum.XLS";#N/A,#N/A,FALSE,"CAPONE";#N/A,#N/A,FALSE,"CAPTWO";#N/A,#N/A,FALSE,"CAPTHREE"}</definedName>
    <definedName name="_d2_2_3_2_5" hidden="1">{#N/A,#N/A,FALSE,"mgtsum.XLS";#N/A,#N/A,FALSE,"CAPONE";#N/A,#N/A,FALSE,"CAPTWO";#N/A,#N/A,FALSE,"CAPTHREE"}</definedName>
    <definedName name="_d2_2_3_3" hidden="1">{#N/A,#N/A,FALSE,"mgtsum.XLS";#N/A,#N/A,FALSE,"CAPONE";#N/A,#N/A,FALSE,"CAPTWO";#N/A,#N/A,FALSE,"CAPTHREE"}</definedName>
    <definedName name="_d2_2_3_4" hidden="1">{#N/A,#N/A,FALSE,"mgtsum.XLS";#N/A,#N/A,FALSE,"CAPONE";#N/A,#N/A,FALSE,"CAPTWO";#N/A,#N/A,FALSE,"CAPTHREE"}</definedName>
    <definedName name="_d2_2_3_5" hidden="1">{#N/A,#N/A,FALSE,"mgtsum.XLS";#N/A,#N/A,FALSE,"CAPONE";#N/A,#N/A,FALSE,"CAPTWO";#N/A,#N/A,FALSE,"CAPTHREE"}</definedName>
    <definedName name="_d2_2_4" hidden="1">{#N/A,#N/A,FALSE,"mgtsum.XLS";#N/A,#N/A,FALSE,"CAPONE";#N/A,#N/A,FALSE,"CAPTWO";#N/A,#N/A,FALSE,"CAPTHREE"}</definedName>
    <definedName name="_d2_2_4_1" hidden="1">{#N/A,#N/A,FALSE,"mgtsum.XLS";#N/A,#N/A,FALSE,"CAPONE";#N/A,#N/A,FALSE,"CAPTWO";#N/A,#N/A,FALSE,"CAPTHREE"}</definedName>
    <definedName name="_d2_2_4_1_1" hidden="1">{#N/A,#N/A,FALSE,"mgtsum.XLS";#N/A,#N/A,FALSE,"CAPONE";#N/A,#N/A,FALSE,"CAPTWO";#N/A,#N/A,FALSE,"CAPTHREE"}</definedName>
    <definedName name="_d2_2_4_1_2" hidden="1">{#N/A,#N/A,FALSE,"mgtsum.XLS";#N/A,#N/A,FALSE,"CAPONE";#N/A,#N/A,FALSE,"CAPTWO";#N/A,#N/A,FALSE,"CAPTHREE"}</definedName>
    <definedName name="_d2_2_4_1_3" hidden="1">{#N/A,#N/A,FALSE,"mgtsum.XLS";#N/A,#N/A,FALSE,"CAPONE";#N/A,#N/A,FALSE,"CAPTWO";#N/A,#N/A,FALSE,"CAPTHREE"}</definedName>
    <definedName name="_d2_2_4_1_4" hidden="1">{#N/A,#N/A,FALSE,"mgtsum.XLS";#N/A,#N/A,FALSE,"CAPONE";#N/A,#N/A,FALSE,"CAPTWO";#N/A,#N/A,FALSE,"CAPTHREE"}</definedName>
    <definedName name="_d2_2_4_1_5" hidden="1">{#N/A,#N/A,FALSE,"mgtsum.XLS";#N/A,#N/A,FALSE,"CAPONE";#N/A,#N/A,FALSE,"CAPTWO";#N/A,#N/A,FALSE,"CAPTHREE"}</definedName>
    <definedName name="_d2_2_4_2" hidden="1">{#N/A,#N/A,FALSE,"mgtsum.XLS";#N/A,#N/A,FALSE,"CAPONE";#N/A,#N/A,FALSE,"CAPTWO";#N/A,#N/A,FALSE,"CAPTHREE"}</definedName>
    <definedName name="_d2_2_4_2_1" hidden="1">{#N/A,#N/A,FALSE,"mgtsum.XLS";#N/A,#N/A,FALSE,"CAPONE";#N/A,#N/A,FALSE,"CAPTWO";#N/A,#N/A,FALSE,"CAPTHREE"}</definedName>
    <definedName name="_d2_2_4_2_2" hidden="1">{#N/A,#N/A,FALSE,"mgtsum.XLS";#N/A,#N/A,FALSE,"CAPONE";#N/A,#N/A,FALSE,"CAPTWO";#N/A,#N/A,FALSE,"CAPTHREE"}</definedName>
    <definedName name="_d2_2_4_2_3" hidden="1">{#N/A,#N/A,FALSE,"mgtsum.XLS";#N/A,#N/A,FALSE,"CAPONE";#N/A,#N/A,FALSE,"CAPTWO";#N/A,#N/A,FALSE,"CAPTHREE"}</definedName>
    <definedName name="_d2_2_4_2_4" hidden="1">{#N/A,#N/A,FALSE,"mgtsum.XLS";#N/A,#N/A,FALSE,"CAPONE";#N/A,#N/A,FALSE,"CAPTWO";#N/A,#N/A,FALSE,"CAPTHREE"}</definedName>
    <definedName name="_d2_2_4_2_5" hidden="1">{#N/A,#N/A,FALSE,"mgtsum.XLS";#N/A,#N/A,FALSE,"CAPONE";#N/A,#N/A,FALSE,"CAPTWO";#N/A,#N/A,FALSE,"CAPTHREE"}</definedName>
    <definedName name="_d2_2_4_3" hidden="1">{#N/A,#N/A,FALSE,"mgtsum.XLS";#N/A,#N/A,FALSE,"CAPONE";#N/A,#N/A,FALSE,"CAPTWO";#N/A,#N/A,FALSE,"CAPTHREE"}</definedName>
    <definedName name="_d2_2_4_4" hidden="1">{#N/A,#N/A,FALSE,"mgtsum.XLS";#N/A,#N/A,FALSE,"CAPONE";#N/A,#N/A,FALSE,"CAPTWO";#N/A,#N/A,FALSE,"CAPTHREE"}</definedName>
    <definedName name="_d2_2_4_5" hidden="1">{#N/A,#N/A,FALSE,"mgtsum.XLS";#N/A,#N/A,FALSE,"CAPONE";#N/A,#N/A,FALSE,"CAPTWO";#N/A,#N/A,FALSE,"CAPTHREE"}</definedName>
    <definedName name="_d2_2_5" hidden="1">{#N/A,#N/A,FALSE,"mgtsum.XLS";#N/A,#N/A,FALSE,"CAPONE";#N/A,#N/A,FALSE,"CAPTWO";#N/A,#N/A,FALSE,"CAPTHREE"}</definedName>
    <definedName name="_d2_2_5_1" hidden="1">{#N/A,#N/A,FALSE,"mgtsum.XLS";#N/A,#N/A,FALSE,"CAPONE";#N/A,#N/A,FALSE,"CAPTWO";#N/A,#N/A,FALSE,"CAPTHREE"}</definedName>
    <definedName name="_d2_2_5_2" hidden="1">{#N/A,#N/A,FALSE,"mgtsum.XLS";#N/A,#N/A,FALSE,"CAPONE";#N/A,#N/A,FALSE,"CAPTWO";#N/A,#N/A,FALSE,"CAPTHREE"}</definedName>
    <definedName name="_d2_2_5_3" hidden="1">{#N/A,#N/A,FALSE,"mgtsum.XLS";#N/A,#N/A,FALSE,"CAPONE";#N/A,#N/A,FALSE,"CAPTWO";#N/A,#N/A,FALSE,"CAPTHREE"}</definedName>
    <definedName name="_d2_2_5_4" hidden="1">{#N/A,#N/A,FALSE,"mgtsum.XLS";#N/A,#N/A,FALSE,"CAPONE";#N/A,#N/A,FALSE,"CAPTWO";#N/A,#N/A,FALSE,"CAPTHREE"}</definedName>
    <definedName name="_d2_2_5_5" hidden="1">{#N/A,#N/A,FALSE,"mgtsum.XLS";#N/A,#N/A,FALSE,"CAPONE";#N/A,#N/A,FALSE,"CAPTWO";#N/A,#N/A,FALSE,"CAPTHREE"}</definedName>
    <definedName name="_d2_3" hidden="1">{#N/A,#N/A,FALSE,"mgtsum.XLS";#N/A,#N/A,FALSE,"CAPONE";#N/A,#N/A,FALSE,"CAPTWO";#N/A,#N/A,FALSE,"CAPTHREE"}</definedName>
    <definedName name="_d2_3_1" hidden="1">{#N/A,#N/A,FALSE,"mgtsum.XLS";#N/A,#N/A,FALSE,"CAPONE";#N/A,#N/A,FALSE,"CAPTWO";#N/A,#N/A,FALSE,"CAPTHREE"}</definedName>
    <definedName name="_d2_3_1_1" hidden="1">{#N/A,#N/A,FALSE,"mgtsum.XLS";#N/A,#N/A,FALSE,"CAPONE";#N/A,#N/A,FALSE,"CAPTWO";#N/A,#N/A,FALSE,"CAPTHREE"}</definedName>
    <definedName name="_d2_3_1_1_1" hidden="1">{#N/A,#N/A,FALSE,"mgtsum.XLS";#N/A,#N/A,FALSE,"CAPONE";#N/A,#N/A,FALSE,"CAPTWO";#N/A,#N/A,FALSE,"CAPTHREE"}</definedName>
    <definedName name="_d2_3_1_1_2" hidden="1">{#N/A,#N/A,FALSE,"mgtsum.XLS";#N/A,#N/A,FALSE,"CAPONE";#N/A,#N/A,FALSE,"CAPTWO";#N/A,#N/A,FALSE,"CAPTHREE"}</definedName>
    <definedName name="_d2_3_1_1_3" hidden="1">{#N/A,#N/A,FALSE,"mgtsum.XLS";#N/A,#N/A,FALSE,"CAPONE";#N/A,#N/A,FALSE,"CAPTWO";#N/A,#N/A,FALSE,"CAPTHREE"}</definedName>
    <definedName name="_d2_3_1_1_4" hidden="1">{#N/A,#N/A,FALSE,"mgtsum.XLS";#N/A,#N/A,FALSE,"CAPONE";#N/A,#N/A,FALSE,"CAPTWO";#N/A,#N/A,FALSE,"CAPTHREE"}</definedName>
    <definedName name="_d2_3_1_1_5" hidden="1">{#N/A,#N/A,FALSE,"mgtsum.XLS";#N/A,#N/A,FALSE,"CAPONE";#N/A,#N/A,FALSE,"CAPTWO";#N/A,#N/A,FALSE,"CAPTHREE"}</definedName>
    <definedName name="_d2_3_1_2" hidden="1">{#N/A,#N/A,FALSE,"mgtsum.XLS";#N/A,#N/A,FALSE,"CAPONE";#N/A,#N/A,FALSE,"CAPTWO";#N/A,#N/A,FALSE,"CAPTHREE"}</definedName>
    <definedName name="_d2_3_1_2_1" hidden="1">{#N/A,#N/A,FALSE,"mgtsum.XLS";#N/A,#N/A,FALSE,"CAPONE";#N/A,#N/A,FALSE,"CAPTWO";#N/A,#N/A,FALSE,"CAPTHREE"}</definedName>
    <definedName name="_d2_3_1_2_2" hidden="1">{#N/A,#N/A,FALSE,"mgtsum.XLS";#N/A,#N/A,FALSE,"CAPONE";#N/A,#N/A,FALSE,"CAPTWO";#N/A,#N/A,FALSE,"CAPTHREE"}</definedName>
    <definedName name="_d2_3_1_2_3" hidden="1">{#N/A,#N/A,FALSE,"mgtsum.XLS";#N/A,#N/A,FALSE,"CAPONE";#N/A,#N/A,FALSE,"CAPTWO";#N/A,#N/A,FALSE,"CAPTHREE"}</definedName>
    <definedName name="_d2_3_1_2_4" hidden="1">{#N/A,#N/A,FALSE,"mgtsum.XLS";#N/A,#N/A,FALSE,"CAPONE";#N/A,#N/A,FALSE,"CAPTWO";#N/A,#N/A,FALSE,"CAPTHREE"}</definedName>
    <definedName name="_d2_3_1_2_5" hidden="1">{#N/A,#N/A,FALSE,"mgtsum.XLS";#N/A,#N/A,FALSE,"CAPONE";#N/A,#N/A,FALSE,"CAPTWO";#N/A,#N/A,FALSE,"CAPTHREE"}</definedName>
    <definedName name="_d2_3_1_3" hidden="1">{#N/A,#N/A,FALSE,"mgtsum.XLS";#N/A,#N/A,FALSE,"CAPONE";#N/A,#N/A,FALSE,"CAPTWO";#N/A,#N/A,FALSE,"CAPTHREE"}</definedName>
    <definedName name="_d2_3_1_3_1" hidden="1">{#N/A,#N/A,FALSE,"mgtsum.XLS";#N/A,#N/A,FALSE,"CAPONE";#N/A,#N/A,FALSE,"CAPTWO";#N/A,#N/A,FALSE,"CAPTHREE"}</definedName>
    <definedName name="_d2_3_1_3_2" hidden="1">{#N/A,#N/A,FALSE,"mgtsum.XLS";#N/A,#N/A,FALSE,"CAPONE";#N/A,#N/A,FALSE,"CAPTWO";#N/A,#N/A,FALSE,"CAPTHREE"}</definedName>
    <definedName name="_d2_3_1_3_3" hidden="1">{#N/A,#N/A,FALSE,"mgtsum.XLS";#N/A,#N/A,FALSE,"CAPONE";#N/A,#N/A,FALSE,"CAPTWO";#N/A,#N/A,FALSE,"CAPTHREE"}</definedName>
    <definedName name="_d2_3_1_3_4" hidden="1">{#N/A,#N/A,FALSE,"mgtsum.XLS";#N/A,#N/A,FALSE,"CAPONE";#N/A,#N/A,FALSE,"CAPTWO";#N/A,#N/A,FALSE,"CAPTHREE"}</definedName>
    <definedName name="_d2_3_1_3_5" hidden="1">{#N/A,#N/A,FALSE,"mgtsum.XLS";#N/A,#N/A,FALSE,"CAPONE";#N/A,#N/A,FALSE,"CAPTWO";#N/A,#N/A,FALSE,"CAPTHREE"}</definedName>
    <definedName name="_d2_3_1_4" hidden="1">{#N/A,#N/A,FALSE,"mgtsum.XLS";#N/A,#N/A,FALSE,"CAPONE";#N/A,#N/A,FALSE,"CAPTWO";#N/A,#N/A,FALSE,"CAPTHREE"}</definedName>
    <definedName name="_d2_3_1_5" hidden="1">{#N/A,#N/A,FALSE,"mgtsum.XLS";#N/A,#N/A,FALSE,"CAPONE";#N/A,#N/A,FALSE,"CAPTWO";#N/A,#N/A,FALSE,"CAPTHREE"}</definedName>
    <definedName name="_d2_3_2" hidden="1">{#N/A,#N/A,FALSE,"mgtsum.XLS";#N/A,#N/A,FALSE,"CAPONE";#N/A,#N/A,FALSE,"CAPTWO";#N/A,#N/A,FALSE,"CAPTHREE"}</definedName>
    <definedName name="_d2_3_2_1" hidden="1">{#N/A,#N/A,FALSE,"mgtsum.XLS";#N/A,#N/A,FALSE,"CAPONE";#N/A,#N/A,FALSE,"CAPTWO";#N/A,#N/A,FALSE,"CAPTHREE"}</definedName>
    <definedName name="_d2_3_2_1_1" hidden="1">{#N/A,#N/A,FALSE,"mgtsum.XLS";#N/A,#N/A,FALSE,"CAPONE";#N/A,#N/A,FALSE,"CAPTWO";#N/A,#N/A,FALSE,"CAPTHREE"}</definedName>
    <definedName name="_d2_3_2_1_2" hidden="1">{#N/A,#N/A,FALSE,"mgtsum.XLS";#N/A,#N/A,FALSE,"CAPONE";#N/A,#N/A,FALSE,"CAPTWO";#N/A,#N/A,FALSE,"CAPTHREE"}</definedName>
    <definedName name="_d2_3_2_1_3" hidden="1">{#N/A,#N/A,FALSE,"mgtsum.XLS";#N/A,#N/A,FALSE,"CAPONE";#N/A,#N/A,FALSE,"CAPTWO";#N/A,#N/A,FALSE,"CAPTHREE"}</definedName>
    <definedName name="_d2_3_2_1_4" hidden="1">{#N/A,#N/A,FALSE,"mgtsum.XLS";#N/A,#N/A,FALSE,"CAPONE";#N/A,#N/A,FALSE,"CAPTWO";#N/A,#N/A,FALSE,"CAPTHREE"}</definedName>
    <definedName name="_d2_3_2_1_5" hidden="1">{#N/A,#N/A,FALSE,"mgtsum.XLS";#N/A,#N/A,FALSE,"CAPONE";#N/A,#N/A,FALSE,"CAPTWO";#N/A,#N/A,FALSE,"CAPTHREE"}</definedName>
    <definedName name="_d2_3_2_2" hidden="1">{#N/A,#N/A,FALSE,"mgtsum.XLS";#N/A,#N/A,FALSE,"CAPONE";#N/A,#N/A,FALSE,"CAPTWO";#N/A,#N/A,FALSE,"CAPTHREE"}</definedName>
    <definedName name="_d2_3_2_2_1" hidden="1">{#N/A,#N/A,FALSE,"mgtsum.XLS";#N/A,#N/A,FALSE,"CAPONE";#N/A,#N/A,FALSE,"CAPTWO";#N/A,#N/A,FALSE,"CAPTHREE"}</definedName>
    <definedName name="_d2_3_2_2_2" hidden="1">{#N/A,#N/A,FALSE,"mgtsum.XLS";#N/A,#N/A,FALSE,"CAPONE";#N/A,#N/A,FALSE,"CAPTWO";#N/A,#N/A,FALSE,"CAPTHREE"}</definedName>
    <definedName name="_d2_3_2_2_3" hidden="1">{#N/A,#N/A,FALSE,"mgtsum.XLS";#N/A,#N/A,FALSE,"CAPONE";#N/A,#N/A,FALSE,"CAPTWO";#N/A,#N/A,FALSE,"CAPTHREE"}</definedName>
    <definedName name="_d2_3_2_2_4" hidden="1">{#N/A,#N/A,FALSE,"mgtsum.XLS";#N/A,#N/A,FALSE,"CAPONE";#N/A,#N/A,FALSE,"CAPTWO";#N/A,#N/A,FALSE,"CAPTHREE"}</definedName>
    <definedName name="_d2_3_2_2_5" hidden="1">{#N/A,#N/A,FALSE,"mgtsum.XLS";#N/A,#N/A,FALSE,"CAPONE";#N/A,#N/A,FALSE,"CAPTWO";#N/A,#N/A,FALSE,"CAPTHREE"}</definedName>
    <definedName name="_d2_3_2_3" hidden="1">{#N/A,#N/A,FALSE,"mgtsum.XLS";#N/A,#N/A,FALSE,"CAPONE";#N/A,#N/A,FALSE,"CAPTWO";#N/A,#N/A,FALSE,"CAPTHREE"}</definedName>
    <definedName name="_d2_3_2_4" hidden="1">{#N/A,#N/A,FALSE,"mgtsum.XLS";#N/A,#N/A,FALSE,"CAPONE";#N/A,#N/A,FALSE,"CAPTWO";#N/A,#N/A,FALSE,"CAPTHREE"}</definedName>
    <definedName name="_d2_3_2_5" hidden="1">{#N/A,#N/A,FALSE,"mgtsum.XLS";#N/A,#N/A,FALSE,"CAPONE";#N/A,#N/A,FALSE,"CAPTWO";#N/A,#N/A,FALSE,"CAPTHREE"}</definedName>
    <definedName name="_d2_3_3" hidden="1">{#N/A,#N/A,FALSE,"mgtsum.XLS";#N/A,#N/A,FALSE,"CAPONE";#N/A,#N/A,FALSE,"CAPTWO";#N/A,#N/A,FALSE,"CAPTHREE"}</definedName>
    <definedName name="_d2_3_3_1" hidden="1">{#N/A,#N/A,FALSE,"mgtsum.XLS";#N/A,#N/A,FALSE,"CAPONE";#N/A,#N/A,FALSE,"CAPTWO";#N/A,#N/A,FALSE,"CAPTHREE"}</definedName>
    <definedName name="_d2_3_3_1_1" hidden="1">{#N/A,#N/A,FALSE,"mgtsum.XLS";#N/A,#N/A,FALSE,"CAPONE";#N/A,#N/A,FALSE,"CAPTWO";#N/A,#N/A,FALSE,"CAPTHREE"}</definedName>
    <definedName name="_d2_3_3_1_2" hidden="1">{#N/A,#N/A,FALSE,"mgtsum.XLS";#N/A,#N/A,FALSE,"CAPONE";#N/A,#N/A,FALSE,"CAPTWO";#N/A,#N/A,FALSE,"CAPTHREE"}</definedName>
    <definedName name="_d2_3_3_1_3" hidden="1">{#N/A,#N/A,FALSE,"mgtsum.XLS";#N/A,#N/A,FALSE,"CAPONE";#N/A,#N/A,FALSE,"CAPTWO";#N/A,#N/A,FALSE,"CAPTHREE"}</definedName>
    <definedName name="_d2_3_3_1_4" hidden="1">{#N/A,#N/A,FALSE,"mgtsum.XLS";#N/A,#N/A,FALSE,"CAPONE";#N/A,#N/A,FALSE,"CAPTWO";#N/A,#N/A,FALSE,"CAPTHREE"}</definedName>
    <definedName name="_d2_3_3_1_5" hidden="1">{#N/A,#N/A,FALSE,"mgtsum.XLS";#N/A,#N/A,FALSE,"CAPONE";#N/A,#N/A,FALSE,"CAPTWO";#N/A,#N/A,FALSE,"CAPTHREE"}</definedName>
    <definedName name="_d2_3_3_2" hidden="1">{#N/A,#N/A,FALSE,"mgtsum.XLS";#N/A,#N/A,FALSE,"CAPONE";#N/A,#N/A,FALSE,"CAPTWO";#N/A,#N/A,FALSE,"CAPTHREE"}</definedName>
    <definedName name="_d2_3_3_2_1" hidden="1">{#N/A,#N/A,FALSE,"mgtsum.XLS";#N/A,#N/A,FALSE,"CAPONE";#N/A,#N/A,FALSE,"CAPTWO";#N/A,#N/A,FALSE,"CAPTHREE"}</definedName>
    <definedName name="_d2_3_3_2_2" hidden="1">{#N/A,#N/A,FALSE,"mgtsum.XLS";#N/A,#N/A,FALSE,"CAPONE";#N/A,#N/A,FALSE,"CAPTWO";#N/A,#N/A,FALSE,"CAPTHREE"}</definedName>
    <definedName name="_d2_3_3_2_3" hidden="1">{#N/A,#N/A,FALSE,"mgtsum.XLS";#N/A,#N/A,FALSE,"CAPONE";#N/A,#N/A,FALSE,"CAPTWO";#N/A,#N/A,FALSE,"CAPTHREE"}</definedName>
    <definedName name="_d2_3_3_2_4" hidden="1">{#N/A,#N/A,FALSE,"mgtsum.XLS";#N/A,#N/A,FALSE,"CAPONE";#N/A,#N/A,FALSE,"CAPTWO";#N/A,#N/A,FALSE,"CAPTHREE"}</definedName>
    <definedName name="_d2_3_3_2_5" hidden="1">{#N/A,#N/A,FALSE,"mgtsum.XLS";#N/A,#N/A,FALSE,"CAPONE";#N/A,#N/A,FALSE,"CAPTWO";#N/A,#N/A,FALSE,"CAPTHREE"}</definedName>
    <definedName name="_d2_3_3_3" hidden="1">{#N/A,#N/A,FALSE,"mgtsum.XLS";#N/A,#N/A,FALSE,"CAPONE";#N/A,#N/A,FALSE,"CAPTWO";#N/A,#N/A,FALSE,"CAPTHREE"}</definedName>
    <definedName name="_d2_3_3_4" hidden="1">{#N/A,#N/A,FALSE,"mgtsum.XLS";#N/A,#N/A,FALSE,"CAPONE";#N/A,#N/A,FALSE,"CAPTWO";#N/A,#N/A,FALSE,"CAPTHREE"}</definedName>
    <definedName name="_d2_3_3_5" hidden="1">{#N/A,#N/A,FALSE,"mgtsum.XLS";#N/A,#N/A,FALSE,"CAPONE";#N/A,#N/A,FALSE,"CAPTWO";#N/A,#N/A,FALSE,"CAPTHREE"}</definedName>
    <definedName name="_d2_3_4" hidden="1">{#N/A,#N/A,FALSE,"mgtsum.XLS";#N/A,#N/A,FALSE,"CAPONE";#N/A,#N/A,FALSE,"CAPTWO";#N/A,#N/A,FALSE,"CAPTHREE"}</definedName>
    <definedName name="_d2_3_4_1" hidden="1">{#N/A,#N/A,FALSE,"mgtsum.XLS";#N/A,#N/A,FALSE,"CAPONE";#N/A,#N/A,FALSE,"CAPTWO";#N/A,#N/A,FALSE,"CAPTHREE"}</definedName>
    <definedName name="_d2_3_4_1_1" hidden="1">{#N/A,#N/A,FALSE,"mgtsum.XLS";#N/A,#N/A,FALSE,"CAPONE";#N/A,#N/A,FALSE,"CAPTWO";#N/A,#N/A,FALSE,"CAPTHREE"}</definedName>
    <definedName name="_d2_3_4_1_2" hidden="1">{#N/A,#N/A,FALSE,"mgtsum.XLS";#N/A,#N/A,FALSE,"CAPONE";#N/A,#N/A,FALSE,"CAPTWO";#N/A,#N/A,FALSE,"CAPTHREE"}</definedName>
    <definedName name="_d2_3_4_1_3" hidden="1">{#N/A,#N/A,FALSE,"mgtsum.XLS";#N/A,#N/A,FALSE,"CAPONE";#N/A,#N/A,FALSE,"CAPTWO";#N/A,#N/A,FALSE,"CAPTHREE"}</definedName>
    <definedName name="_d2_3_4_1_4" hidden="1">{#N/A,#N/A,FALSE,"mgtsum.XLS";#N/A,#N/A,FALSE,"CAPONE";#N/A,#N/A,FALSE,"CAPTWO";#N/A,#N/A,FALSE,"CAPTHREE"}</definedName>
    <definedName name="_d2_3_4_1_5" hidden="1">{#N/A,#N/A,FALSE,"mgtsum.XLS";#N/A,#N/A,FALSE,"CAPONE";#N/A,#N/A,FALSE,"CAPTWO";#N/A,#N/A,FALSE,"CAPTHREE"}</definedName>
    <definedName name="_d2_3_4_2" hidden="1">{#N/A,#N/A,FALSE,"mgtsum.XLS";#N/A,#N/A,FALSE,"CAPONE";#N/A,#N/A,FALSE,"CAPTWO";#N/A,#N/A,FALSE,"CAPTHREE"}</definedName>
    <definedName name="_d2_3_4_2_1" hidden="1">{#N/A,#N/A,FALSE,"mgtsum.XLS";#N/A,#N/A,FALSE,"CAPONE";#N/A,#N/A,FALSE,"CAPTWO";#N/A,#N/A,FALSE,"CAPTHREE"}</definedName>
    <definedName name="_d2_3_4_2_2" hidden="1">{#N/A,#N/A,FALSE,"mgtsum.XLS";#N/A,#N/A,FALSE,"CAPONE";#N/A,#N/A,FALSE,"CAPTWO";#N/A,#N/A,FALSE,"CAPTHREE"}</definedName>
    <definedName name="_d2_3_4_2_3" hidden="1">{#N/A,#N/A,FALSE,"mgtsum.XLS";#N/A,#N/A,FALSE,"CAPONE";#N/A,#N/A,FALSE,"CAPTWO";#N/A,#N/A,FALSE,"CAPTHREE"}</definedName>
    <definedName name="_d2_3_4_2_4" hidden="1">{#N/A,#N/A,FALSE,"mgtsum.XLS";#N/A,#N/A,FALSE,"CAPONE";#N/A,#N/A,FALSE,"CAPTWO";#N/A,#N/A,FALSE,"CAPTHREE"}</definedName>
    <definedName name="_d2_3_4_2_5" hidden="1">{#N/A,#N/A,FALSE,"mgtsum.XLS";#N/A,#N/A,FALSE,"CAPONE";#N/A,#N/A,FALSE,"CAPTWO";#N/A,#N/A,FALSE,"CAPTHREE"}</definedName>
    <definedName name="_d2_3_4_3" hidden="1">{#N/A,#N/A,FALSE,"mgtsum.XLS";#N/A,#N/A,FALSE,"CAPONE";#N/A,#N/A,FALSE,"CAPTWO";#N/A,#N/A,FALSE,"CAPTHREE"}</definedName>
    <definedName name="_d2_3_4_4" hidden="1">{#N/A,#N/A,FALSE,"mgtsum.XLS";#N/A,#N/A,FALSE,"CAPONE";#N/A,#N/A,FALSE,"CAPTWO";#N/A,#N/A,FALSE,"CAPTHREE"}</definedName>
    <definedName name="_d2_3_4_5" hidden="1">{#N/A,#N/A,FALSE,"mgtsum.XLS";#N/A,#N/A,FALSE,"CAPONE";#N/A,#N/A,FALSE,"CAPTWO";#N/A,#N/A,FALSE,"CAPTHREE"}</definedName>
    <definedName name="_d2_3_5" hidden="1">{#N/A,#N/A,FALSE,"mgtsum.XLS";#N/A,#N/A,FALSE,"CAPONE";#N/A,#N/A,FALSE,"CAPTWO";#N/A,#N/A,FALSE,"CAPTHREE"}</definedName>
    <definedName name="_d2_3_5_1" hidden="1">{#N/A,#N/A,FALSE,"mgtsum.XLS";#N/A,#N/A,FALSE,"CAPONE";#N/A,#N/A,FALSE,"CAPTWO";#N/A,#N/A,FALSE,"CAPTHREE"}</definedName>
    <definedName name="_d2_3_5_2" hidden="1">{#N/A,#N/A,FALSE,"mgtsum.XLS";#N/A,#N/A,FALSE,"CAPONE";#N/A,#N/A,FALSE,"CAPTWO";#N/A,#N/A,FALSE,"CAPTHREE"}</definedName>
    <definedName name="_d2_3_5_3" hidden="1">{#N/A,#N/A,FALSE,"mgtsum.XLS";#N/A,#N/A,FALSE,"CAPONE";#N/A,#N/A,FALSE,"CAPTWO";#N/A,#N/A,FALSE,"CAPTHREE"}</definedName>
    <definedName name="_d2_3_5_4" hidden="1">{#N/A,#N/A,FALSE,"mgtsum.XLS";#N/A,#N/A,FALSE,"CAPONE";#N/A,#N/A,FALSE,"CAPTWO";#N/A,#N/A,FALSE,"CAPTHREE"}</definedName>
    <definedName name="_d2_3_5_5" hidden="1">{#N/A,#N/A,FALSE,"mgtsum.XLS";#N/A,#N/A,FALSE,"CAPONE";#N/A,#N/A,FALSE,"CAPTWO";#N/A,#N/A,FALSE,"CAPTHREE"}</definedName>
    <definedName name="_d2_4" hidden="1">{#N/A,#N/A,FALSE,"mgtsum.XLS";#N/A,#N/A,FALSE,"CAPONE";#N/A,#N/A,FALSE,"CAPTWO";#N/A,#N/A,FALSE,"CAPTHREE"}</definedName>
    <definedName name="_d2_4_1" hidden="1">{#N/A,#N/A,FALSE,"mgtsum.XLS";#N/A,#N/A,FALSE,"CAPONE";#N/A,#N/A,FALSE,"CAPTWO";#N/A,#N/A,FALSE,"CAPTHREE"}</definedName>
    <definedName name="_d2_4_1_1" hidden="1">{#N/A,#N/A,FALSE,"mgtsum.XLS";#N/A,#N/A,FALSE,"CAPONE";#N/A,#N/A,FALSE,"CAPTWO";#N/A,#N/A,FALSE,"CAPTHREE"}</definedName>
    <definedName name="_d2_4_1_1_1" hidden="1">{#N/A,#N/A,FALSE,"mgtsum.XLS";#N/A,#N/A,FALSE,"CAPONE";#N/A,#N/A,FALSE,"CAPTWO";#N/A,#N/A,FALSE,"CAPTHREE"}</definedName>
    <definedName name="_d2_4_1_1_2" hidden="1">{#N/A,#N/A,FALSE,"mgtsum.XLS";#N/A,#N/A,FALSE,"CAPONE";#N/A,#N/A,FALSE,"CAPTWO";#N/A,#N/A,FALSE,"CAPTHREE"}</definedName>
    <definedName name="_d2_4_1_1_3" hidden="1">{#N/A,#N/A,FALSE,"mgtsum.XLS";#N/A,#N/A,FALSE,"CAPONE";#N/A,#N/A,FALSE,"CAPTWO";#N/A,#N/A,FALSE,"CAPTHREE"}</definedName>
    <definedName name="_d2_4_1_1_4" hidden="1">{#N/A,#N/A,FALSE,"mgtsum.XLS";#N/A,#N/A,FALSE,"CAPONE";#N/A,#N/A,FALSE,"CAPTWO";#N/A,#N/A,FALSE,"CAPTHREE"}</definedName>
    <definedName name="_d2_4_1_1_5" hidden="1">{#N/A,#N/A,FALSE,"mgtsum.XLS";#N/A,#N/A,FALSE,"CAPONE";#N/A,#N/A,FALSE,"CAPTWO";#N/A,#N/A,FALSE,"CAPTHREE"}</definedName>
    <definedName name="_d2_4_1_2" hidden="1">{#N/A,#N/A,FALSE,"mgtsum.XLS";#N/A,#N/A,FALSE,"CAPONE";#N/A,#N/A,FALSE,"CAPTWO";#N/A,#N/A,FALSE,"CAPTHREE"}</definedName>
    <definedName name="_d2_4_1_2_1" hidden="1">{#N/A,#N/A,FALSE,"mgtsum.XLS";#N/A,#N/A,FALSE,"CAPONE";#N/A,#N/A,FALSE,"CAPTWO";#N/A,#N/A,FALSE,"CAPTHREE"}</definedName>
    <definedName name="_d2_4_1_2_2" hidden="1">{#N/A,#N/A,FALSE,"mgtsum.XLS";#N/A,#N/A,FALSE,"CAPONE";#N/A,#N/A,FALSE,"CAPTWO";#N/A,#N/A,FALSE,"CAPTHREE"}</definedName>
    <definedName name="_d2_4_1_2_3" hidden="1">{#N/A,#N/A,FALSE,"mgtsum.XLS";#N/A,#N/A,FALSE,"CAPONE";#N/A,#N/A,FALSE,"CAPTWO";#N/A,#N/A,FALSE,"CAPTHREE"}</definedName>
    <definedName name="_d2_4_1_2_4" hidden="1">{#N/A,#N/A,FALSE,"mgtsum.XLS";#N/A,#N/A,FALSE,"CAPONE";#N/A,#N/A,FALSE,"CAPTWO";#N/A,#N/A,FALSE,"CAPTHREE"}</definedName>
    <definedName name="_d2_4_1_2_5" hidden="1">{#N/A,#N/A,FALSE,"mgtsum.XLS";#N/A,#N/A,FALSE,"CAPONE";#N/A,#N/A,FALSE,"CAPTWO";#N/A,#N/A,FALSE,"CAPTHREE"}</definedName>
    <definedName name="_d2_4_1_3" hidden="1">{#N/A,#N/A,FALSE,"mgtsum.XLS";#N/A,#N/A,FALSE,"CAPONE";#N/A,#N/A,FALSE,"CAPTWO";#N/A,#N/A,FALSE,"CAPTHREE"}</definedName>
    <definedName name="_d2_4_1_3_1" hidden="1">{#N/A,#N/A,FALSE,"mgtsum.XLS";#N/A,#N/A,FALSE,"CAPONE";#N/A,#N/A,FALSE,"CAPTWO";#N/A,#N/A,FALSE,"CAPTHREE"}</definedName>
    <definedName name="_d2_4_1_3_2" hidden="1">{#N/A,#N/A,FALSE,"mgtsum.XLS";#N/A,#N/A,FALSE,"CAPONE";#N/A,#N/A,FALSE,"CAPTWO";#N/A,#N/A,FALSE,"CAPTHREE"}</definedName>
    <definedName name="_d2_4_1_3_3" hidden="1">{#N/A,#N/A,FALSE,"mgtsum.XLS";#N/A,#N/A,FALSE,"CAPONE";#N/A,#N/A,FALSE,"CAPTWO";#N/A,#N/A,FALSE,"CAPTHREE"}</definedName>
    <definedName name="_d2_4_1_3_4" hidden="1">{#N/A,#N/A,FALSE,"mgtsum.XLS";#N/A,#N/A,FALSE,"CAPONE";#N/A,#N/A,FALSE,"CAPTWO";#N/A,#N/A,FALSE,"CAPTHREE"}</definedName>
    <definedName name="_d2_4_1_3_5" hidden="1">{#N/A,#N/A,FALSE,"mgtsum.XLS";#N/A,#N/A,FALSE,"CAPONE";#N/A,#N/A,FALSE,"CAPTWO";#N/A,#N/A,FALSE,"CAPTHREE"}</definedName>
    <definedName name="_d2_4_1_4" hidden="1">{#N/A,#N/A,FALSE,"mgtsum.XLS";#N/A,#N/A,FALSE,"CAPONE";#N/A,#N/A,FALSE,"CAPTWO";#N/A,#N/A,FALSE,"CAPTHREE"}</definedName>
    <definedName name="_d2_4_1_5" hidden="1">{#N/A,#N/A,FALSE,"mgtsum.XLS";#N/A,#N/A,FALSE,"CAPONE";#N/A,#N/A,FALSE,"CAPTWO";#N/A,#N/A,FALSE,"CAPTHREE"}</definedName>
    <definedName name="_d2_4_2" hidden="1">{#N/A,#N/A,FALSE,"mgtsum.XLS";#N/A,#N/A,FALSE,"CAPONE";#N/A,#N/A,FALSE,"CAPTWO";#N/A,#N/A,FALSE,"CAPTHREE"}</definedName>
    <definedName name="_d2_4_2_1" hidden="1">{#N/A,#N/A,FALSE,"mgtsum.XLS";#N/A,#N/A,FALSE,"CAPONE";#N/A,#N/A,FALSE,"CAPTWO";#N/A,#N/A,FALSE,"CAPTHREE"}</definedName>
    <definedName name="_d2_4_2_2" hidden="1">{#N/A,#N/A,FALSE,"mgtsum.XLS";#N/A,#N/A,FALSE,"CAPONE";#N/A,#N/A,FALSE,"CAPTWO";#N/A,#N/A,FALSE,"CAPTHREE"}</definedName>
    <definedName name="_d2_4_2_3" hidden="1">{#N/A,#N/A,FALSE,"mgtsum.XLS";#N/A,#N/A,FALSE,"CAPONE";#N/A,#N/A,FALSE,"CAPTWO";#N/A,#N/A,FALSE,"CAPTHREE"}</definedName>
    <definedName name="_d2_4_2_4" hidden="1">{#N/A,#N/A,FALSE,"mgtsum.XLS";#N/A,#N/A,FALSE,"CAPONE";#N/A,#N/A,FALSE,"CAPTWO";#N/A,#N/A,FALSE,"CAPTHREE"}</definedName>
    <definedName name="_d2_4_2_5" hidden="1">{#N/A,#N/A,FALSE,"mgtsum.XLS";#N/A,#N/A,FALSE,"CAPONE";#N/A,#N/A,FALSE,"CAPTWO";#N/A,#N/A,FALSE,"CAPTHREE"}</definedName>
    <definedName name="_d2_4_3" hidden="1">{#N/A,#N/A,FALSE,"mgtsum.XLS";#N/A,#N/A,FALSE,"CAPONE";#N/A,#N/A,FALSE,"CAPTWO";#N/A,#N/A,FALSE,"CAPTHREE"}</definedName>
    <definedName name="_d2_4_3_1" hidden="1">{#N/A,#N/A,FALSE,"mgtsum.XLS";#N/A,#N/A,FALSE,"CAPONE";#N/A,#N/A,FALSE,"CAPTWO";#N/A,#N/A,FALSE,"CAPTHREE"}</definedName>
    <definedName name="_d2_4_3_2" hidden="1">{#N/A,#N/A,FALSE,"mgtsum.XLS";#N/A,#N/A,FALSE,"CAPONE";#N/A,#N/A,FALSE,"CAPTWO";#N/A,#N/A,FALSE,"CAPTHREE"}</definedName>
    <definedName name="_d2_4_3_3" hidden="1">{#N/A,#N/A,FALSE,"mgtsum.XLS";#N/A,#N/A,FALSE,"CAPONE";#N/A,#N/A,FALSE,"CAPTWO";#N/A,#N/A,FALSE,"CAPTHREE"}</definedName>
    <definedName name="_d2_4_3_4" hidden="1">{#N/A,#N/A,FALSE,"mgtsum.XLS";#N/A,#N/A,FALSE,"CAPONE";#N/A,#N/A,FALSE,"CAPTWO";#N/A,#N/A,FALSE,"CAPTHREE"}</definedName>
    <definedName name="_d2_4_3_5" hidden="1">{#N/A,#N/A,FALSE,"mgtsum.XLS";#N/A,#N/A,FALSE,"CAPONE";#N/A,#N/A,FALSE,"CAPTWO";#N/A,#N/A,FALSE,"CAPTHREE"}</definedName>
    <definedName name="_d2_4_4" hidden="1">{#N/A,#N/A,FALSE,"mgtsum.XLS";#N/A,#N/A,FALSE,"CAPONE";#N/A,#N/A,FALSE,"CAPTWO";#N/A,#N/A,FALSE,"CAPTHREE"}</definedName>
    <definedName name="_d2_4_5" hidden="1">{#N/A,#N/A,FALSE,"mgtsum.XLS";#N/A,#N/A,FALSE,"CAPONE";#N/A,#N/A,FALSE,"CAPTWO";#N/A,#N/A,FALSE,"CAPTHREE"}</definedName>
    <definedName name="_d2_5" hidden="1">{#N/A,#N/A,FALSE,"mgtsum.XLS";#N/A,#N/A,FALSE,"CAPONE";#N/A,#N/A,FALSE,"CAPTWO";#N/A,#N/A,FALSE,"CAPTHREE"}</definedName>
    <definedName name="_d2_5_1" hidden="1">{#N/A,#N/A,FALSE,"mgtsum.XLS";#N/A,#N/A,FALSE,"CAPONE";#N/A,#N/A,FALSE,"CAPTWO";#N/A,#N/A,FALSE,"CAPTHREE"}</definedName>
    <definedName name="_d2_5_1_1" hidden="1">{#N/A,#N/A,FALSE,"mgtsum.XLS";#N/A,#N/A,FALSE,"CAPONE";#N/A,#N/A,FALSE,"CAPTWO";#N/A,#N/A,FALSE,"CAPTHREE"}</definedName>
    <definedName name="_d2_5_1_2" hidden="1">{#N/A,#N/A,FALSE,"mgtsum.XLS";#N/A,#N/A,FALSE,"CAPONE";#N/A,#N/A,FALSE,"CAPTWO";#N/A,#N/A,FALSE,"CAPTHREE"}</definedName>
    <definedName name="_d2_5_1_3" hidden="1">{#N/A,#N/A,FALSE,"mgtsum.XLS";#N/A,#N/A,FALSE,"CAPONE";#N/A,#N/A,FALSE,"CAPTWO";#N/A,#N/A,FALSE,"CAPTHREE"}</definedName>
    <definedName name="_d2_5_1_4" hidden="1">{#N/A,#N/A,FALSE,"mgtsum.XLS";#N/A,#N/A,FALSE,"CAPONE";#N/A,#N/A,FALSE,"CAPTWO";#N/A,#N/A,FALSE,"CAPTHREE"}</definedName>
    <definedName name="_d2_5_1_5" hidden="1">{#N/A,#N/A,FALSE,"mgtsum.XLS";#N/A,#N/A,FALSE,"CAPONE";#N/A,#N/A,FALSE,"CAPTWO";#N/A,#N/A,FALSE,"CAPTHREE"}</definedName>
    <definedName name="_d2_5_2" hidden="1">{#N/A,#N/A,FALSE,"mgtsum.XLS";#N/A,#N/A,FALSE,"CAPONE";#N/A,#N/A,FALSE,"CAPTWO";#N/A,#N/A,FALSE,"CAPTHREE"}</definedName>
    <definedName name="_d2_5_2_1" hidden="1">{#N/A,#N/A,FALSE,"mgtsum.XLS";#N/A,#N/A,FALSE,"CAPONE";#N/A,#N/A,FALSE,"CAPTWO";#N/A,#N/A,FALSE,"CAPTHREE"}</definedName>
    <definedName name="_d2_5_2_2" hidden="1">{#N/A,#N/A,FALSE,"mgtsum.XLS";#N/A,#N/A,FALSE,"CAPONE";#N/A,#N/A,FALSE,"CAPTWO";#N/A,#N/A,FALSE,"CAPTHREE"}</definedName>
    <definedName name="_d2_5_2_3" hidden="1">{#N/A,#N/A,FALSE,"mgtsum.XLS";#N/A,#N/A,FALSE,"CAPONE";#N/A,#N/A,FALSE,"CAPTWO";#N/A,#N/A,FALSE,"CAPTHREE"}</definedName>
    <definedName name="_d2_5_2_4" hidden="1">{#N/A,#N/A,FALSE,"mgtsum.XLS";#N/A,#N/A,FALSE,"CAPONE";#N/A,#N/A,FALSE,"CAPTWO";#N/A,#N/A,FALSE,"CAPTHREE"}</definedName>
    <definedName name="_d2_5_2_5" hidden="1">{#N/A,#N/A,FALSE,"mgtsum.XLS";#N/A,#N/A,FALSE,"CAPONE";#N/A,#N/A,FALSE,"CAPTWO";#N/A,#N/A,FALSE,"CAPTHREE"}</definedName>
    <definedName name="_d2_5_3" hidden="1">{#N/A,#N/A,FALSE,"mgtsum.XLS";#N/A,#N/A,FALSE,"CAPONE";#N/A,#N/A,FALSE,"CAPTWO";#N/A,#N/A,FALSE,"CAPTHREE"}</definedName>
    <definedName name="_d2_5_4" hidden="1">{#N/A,#N/A,FALSE,"mgtsum.XLS";#N/A,#N/A,FALSE,"CAPONE";#N/A,#N/A,FALSE,"CAPTWO";#N/A,#N/A,FALSE,"CAPTHREE"}</definedName>
    <definedName name="_d2_5_5" hidden="1">{#N/A,#N/A,FALSE,"mgtsum.XLS";#N/A,#N/A,FALSE,"CAPONE";#N/A,#N/A,FALSE,"CAPTWO";#N/A,#N/A,FALSE,"CAPTHREE"}</definedName>
    <definedName name="_DAT0001">#REF!</definedName>
    <definedName name="_DAT3">#REF!</definedName>
    <definedName name="_DAT4">#REF!</definedName>
    <definedName name="_DAT5">#REF!</definedName>
    <definedName name="_dbp10" hidden="1">{"'Leverage'!$B$2:$M$418"}</definedName>
    <definedName name="_dbp12" hidden="1">{"'Leverage'!$B$2:$M$418"}</definedName>
    <definedName name="_dbp9" hidden="1">{"'Leverage'!$B$2:$M$418"}</definedName>
    <definedName name="_dec05" hidden="1">{"'Sheet1'!$A$4386:$N$4591"}</definedName>
    <definedName name="_Dist_Bin" hidden="1">#REF!</definedName>
    <definedName name="_Dist_Values" hidden="1">#REF!</definedName>
    <definedName name="_e" hidden="1">#REF!</definedName>
    <definedName name="_e20000">#REF!</definedName>
    <definedName name="_e99991">#REF!</definedName>
    <definedName name="_EA1116" hidden="1">{"'照明目录'!$A$1:$H$31"}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" hidden="1">#REF!</definedName>
    <definedName name="_Fab01">#REF!</definedName>
    <definedName name="_Fab03">#REF!</definedName>
    <definedName name="_Fab04">#REF!</definedName>
    <definedName name="_Fab05">#REF!</definedName>
    <definedName name="_Fab06">#REF!</definedName>
    <definedName name="_fco2" hidden="1">{#N/A,#N/A,FALSE,"gc (2)"}</definedName>
    <definedName name="_FIL" hidden="1">#REF!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full" hidden="1">#REF!</definedName>
    <definedName name="_GFA2">#REF!</definedName>
    <definedName name="_H3" hidden="1">{"'장비'!$A$3:$M$12"}</definedName>
    <definedName name="_hk4645" hidden="1">{#N/A,#N/A,FALSE,"ihz. icmal";#N/A,#N/A,FALSE,"avans";#N/A,#N/A,FALSE,"mal_FF_icm";#N/A,#N/A,FALSE,"fat_ihz";#N/A,#N/A,FALSE,"söz_fiy_fark";#N/A,#N/A,FALSE,"kap2"}</definedName>
    <definedName name="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i12" hidden="1">OFFSET([0]!Data.Top.Left,1,0)</definedName>
    <definedName name="_jpl1" hidden="1">#REF!</definedName>
    <definedName name="_k1" hidden="1">{"form-D1",#N/A,FALSE,"FORM-D1";"form-D1_amt",#N/A,FALSE,"FORM-D1"}</definedName>
    <definedName name="_k1_1" hidden="1">{"form-D1",#N/A,FALSE,"FORM-D1";"form-D1_amt",#N/A,FALSE,"FORM-D1"}</definedName>
    <definedName name="_k1_2" hidden="1">{"form-D1",#N/A,FALSE,"FORM-D1";"form-D1_amt",#N/A,FALSE,"FORM-D1"}</definedName>
    <definedName name="_k1_3" hidden="1">{"form-D1",#N/A,FALSE,"FORM-D1";"form-D1_amt",#N/A,FALSE,"FORM-D1"}</definedName>
    <definedName name="_k8" hidden="1">{#N/A,#N/A,FALSE,"COVER1.XLS ";#N/A,#N/A,FALSE,"RACT1.XLS";#N/A,#N/A,FALSE,"RACT2.XLS";#N/A,#N/A,FALSE,"ECCMP";#N/A,#N/A,FALSE,"WELDER.XLS"}</definedName>
    <definedName name="_Key" hidden="1">#REF!</definedName>
    <definedName name="_Key_1" hidden="1">#REF!</definedName>
    <definedName name="_Key_2" hidden="1">#REF!</definedName>
    <definedName name="_Key1" hidden="1">#REF!</definedName>
    <definedName name="_key10" hidden="1">#REF!</definedName>
    <definedName name="_Key11" hidden="1">#REF!</definedName>
    <definedName name="_Key2" hidden="1">#REF!</definedName>
    <definedName name="_kEY3" hidden="1">#REF!</definedName>
    <definedName name="_kfkf" hidden="1">#REF!</definedName>
    <definedName name="_kv2" hidden="1">{#N/A,#N/A,FALSE,"COVER1.XLS ";#N/A,#N/A,FALSE,"RACT1.XLS";#N/A,#N/A,FALSE,"RACT2.XLS";#N/A,#N/A,FALSE,"ECCMP";#N/A,#N/A,FALSE,"WELDER.XLS"}</definedName>
    <definedName name="_kvs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7" hidden="1">{#N/A,#N/A,FALSE,"COVER1.XLS 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KVS9" hidden="1">{#N/A,#N/A,FALSE,"COVER1.XLS ";#N/A,#N/A,FALSE,"RACT1.XLS";#N/A,#N/A,FALSE,"RACT2.XLS";#N/A,#N/A,FALSE,"ECCMP";#N/A,#N/A,FALSE,"WELDER.XLS"}</definedName>
    <definedName name="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" hidden="1">{#N/A,#N/A,FALSE,"Summary";#N/A,#N/A,FALSE,"Adj to Option C";#N/A,#N/A,FALSE,"Dividend Analysis";#N/A,#N/A,FALSE,"Reserve Analysis";#N/A,#N/A,FALSE,"Depreciation";#N/A,#N/A,FALSE,"Other Tax Adj"}</definedName>
    <definedName name="_LV5">#REF!</definedName>
    <definedName name="_LV7">#REF!</definedName>
    <definedName name="_man1" hidden="1">#REF!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CC3" hidden="1">{#N/A,#N/A,FALSE,"CCTV"}</definedName>
    <definedName name="_MK2">#REF!</definedName>
    <definedName name="_mu2">#REF!</definedName>
    <definedName name="_mu3">#REF!</definedName>
    <definedName name="_MU4">#REF!</definedName>
    <definedName name="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NA2" hidden="1">#REF!</definedName>
    <definedName name="_NE4">#REF!</definedName>
    <definedName name="_new1" hidden="1">{#N/A,#N/A,TRUE,"Equipment installation bm"}</definedName>
    <definedName name="_new123" hidden="1">OFFSET([0]!Data.Top.Left,1,0)</definedName>
    <definedName name="_new8" hidden="1">#REF!</definedName>
    <definedName name="_No" hidden="1">#REF!</definedName>
    <definedName name="_No1">#REF!</definedName>
    <definedName name="_No2">#REF!</definedName>
    <definedName name="_No3">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ldKey" hidden="1">#REF!</definedName>
    <definedName name="_Order1" hidden="1">255</definedName>
    <definedName name="_Order2" hidden="1">255</definedName>
    <definedName name="_ordr2" hidden="1">0</definedName>
    <definedName name="_ordwre2" hidden="1">0</definedName>
    <definedName name="_out11" hidden="1">OFFSET([0]!Data.Top.Left,1,0)</definedName>
    <definedName name="_out12" hidden="1">OFFSET([0]!Data.Top.Left,1,0)</definedName>
    <definedName name="_out9" hidden="1">OFFSET([0]!Data.Top.Left,1,0)</definedName>
    <definedName name="_own11" hidden="1">OFFSET([0]!Data.Top.Left,1,0)</definedName>
    <definedName name="_own12" hidden="1">OFFSET([0]!Data.Top.Left,1,0)</definedName>
    <definedName name="_own2" hidden="1">OFFSET([0]!Data.Top.Left,1,0)</definedName>
    <definedName name="_own3" hidden="1">OFFSET([0]!Data.Top.Left,1,0)</definedName>
    <definedName name="_own4" hidden="1">OFFSET([0]!Data.Top.Left,1,0)</definedName>
    <definedName name="_own6" hidden="1">OFFSET([0]!Data.Top.Left,1,0)</definedName>
    <definedName name="_own7" hidden="1">OFFSET([0]!Data.Top.Left,1,0)</definedName>
    <definedName name="_own8" hidden="1">OFFSET([0]!Data.Top.Left,1,0)</definedName>
    <definedName name="_own9" hidden="1">OFFSET([0]!Data.Top.Left,1,0)</definedName>
    <definedName name="_Parse_In" hidden="1">#REF!</definedName>
    <definedName name="_Parse_Out" hidden="1">#REF!</definedName>
    <definedName name="_Parse_Out_2" hidden="1">#REF!</definedName>
    <definedName name="_pl1" hidden="1">{"PLANT BREAKUP",#N/A,FALSE,"E"}</definedName>
    <definedName name="_PL22">#REF!</definedName>
    <definedName name="_PL22_3">"#REF!"</definedName>
    <definedName name="_PL23">#REF!</definedName>
    <definedName name="_PL300">#REF!</definedName>
    <definedName name="_po1" hidden="1">{#N/A,#N/A,FALSE,"Summary";#N/A,#N/A,FALSE,"Adj to Option C";#N/A,#N/A,FALSE,"Dividend Analysis";#N/A,#N/A,FALSE,"Reserve Analysis";#N/A,#N/A,FALSE,"Depreciation";#N/A,#N/A,FALSE,"Other Tax Adj"}</definedName>
    <definedName name="_q2" hidden="1">{#N/A,#N/A,FALSE,"COVER1.XLS ";#N/A,#N/A,FALSE,"RACT1.XLS";#N/A,#N/A,FALSE,"RACT2.XLS";#N/A,#N/A,FALSE,"ECCMP";#N/A,#N/A,FALSE,"WELDER.XLS"}</definedName>
    <definedName name="_QA3" hidden="1">#REF!</definedName>
    <definedName name="_QQ1" hidden="1">{#N/A,#N/A,FALSE,"단가표지"}</definedName>
    <definedName name="_QW1" hidden="1">{#N/A,#N/A,FALSE,"단가표지"}</definedName>
    <definedName name="_qw23" hidden="1">#REF!</definedName>
    <definedName name="_RAD14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15" hidden="1">{#VALUE!,#N/A,FALSE,0;#N/A,#N/A,FALSE,0;#N/A,#N/A,FALSE,0;#N/A,#N/A,FALSE,0;#N/A,#N/A,FALSE,0}</definedName>
    <definedName name="_RAD16" hidden="1">{#VALUE!,#N/A,FALSE,0;#N/A,#N/A,FALSE,0;#N/A,#N/A,FALSE,0;#N/A,#N/A,FALSE,0}</definedName>
    <definedName name="_RAD17" hidden="1">{#VALUE!,#N/A,TRUE,0;#N/A,#N/A,TRUE,0;#N/A,#N/A,TRUE,0;#N/A,#N/A,TRUE,0;#N/A,#N/A,TRUE,0;#N/A,#N/A,TRUE,0;#N/A,#N/A,TRUE,0;#N/A,#N/A,TRUE,0}</definedName>
    <definedName name="_RAD18" hidden="1">{#VALUE!,#N/A,FALSE,0;#N/A,#N/A,FALSE,0;#N/A,#N/A,FALSE,0;#N/A,#N/A,FALSE,0;#N/A,#N/A,FALSE,0;#N/A,#N/A,FALSE,0;#N/A,#N/A,FALSE,0;#N/A,#N/A,FALSE,0;#N/A,#N/A,FALSE,0;#N/A,#N/A,FALSE,0;#N/A,#N/A,FALSE,0}</definedName>
    <definedName name="_RAD19" hidden="1">{#VALUE!,#N/A,FALSE,0;#N/A,#N/A,FALSE,0;#N/A,#N/A,FALSE,0;#N/A,#N/A,FALSE,0;#N/A,#N/A,FALSE,0;#N/A,#N/A,FALSE,0}</definedName>
    <definedName name="_RAD20" hidden="1">{#VALUE!,#N/A,FALSE,0;#N/A,#N/A,FALSE,0;#N/A,#N/A,FALSE,0;#N/A,#N/A,FALSE,0;#N/A,#N/A,FALSE,0;#N/A,#N/A,FALSE,0;#N/A,#N/A,FALSE,0;#N/A,#N/A,FALSE,0;#N/A,#N/A,FALSE,0;#N/A,#N/A,FALSE,0;#N/A,#N/A,FALSE,0;#N/A,#N/A,FALSE,0}</definedName>
    <definedName name="_RAD21" hidden="1">{#VALUE!,#N/A,TRUE,0;#N/A,#N/A,TRUE,0;#N/A,#N/A,TRUE,0;#N/A,#N/A,TRUE,0;#N/A,#N/A,TRUE,0;#N/A,#N/A,TRUE,0;#N/A,#N/A,TRUE,0}</definedName>
    <definedName name="_RAD2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23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24" hidden="1">{#VALUE!,#N/A,FALSE,0;#N/A,#N/A,FALSE,0;#N/A,#N/A,FALSE,0;#N/A,#N/A,FALSE,0;#N/A,#N/A,FALSE,0;#N/A,#N/A,FALSE,0;#N/A,#N/A,FALSE,0;#N/A,#N/A,FALSE,0}</definedName>
    <definedName name="_RAD25" hidden="1">{#VALUE!,#N/A,FALSE,0;#N/A,#N/A,FALSE,0;#N/A,#N/A,FALSE,0;#N/A,#N/A,FALSE,0;#N/A,#N/A,FALSE,0;#N/A,#N/A,FALSE,0;#N/A,#N/A,FALSE,0;#N/A,#N/A,FALSE,0}</definedName>
    <definedName name="_RAD26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27" hidden="1">{#VALUE!,#N/A,FALSE,0;#N/A,#N/A,FALSE,0;#N/A,#N/A,FALSE,0;#N/A,#N/A,FALSE,0;#N/A,#N/A,FALSE,0;#N/A,#N/A,FALSE,0;#N/A,#N/A,FALSE,0}</definedName>
    <definedName name="_RAD28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29" hidden="1">{#VALUE!,#N/A,FALSE,0;#N/A,#N/A,FALSE,0;#N/A,#N/A,FALSE,0;#N/A,#N/A,FALSE,0;#N/A,#N/A,FALSE,0;#N/A,#N/A,FALSE,0;#N/A,#N/A,FALSE,0;#N/A,#N/A,FALSE,0;#N/A,#N/A,FALSE,0;#N/A,#N/A,FALSE,0}</definedName>
    <definedName name="_RAD3" hidden="1">{#VALUE!,#N/A,FALSE,0;#N/A,#N/A,FALSE,0;#N/A,#N/A,FALSE,0;#N/A,#N/A,FALSE,0;#N/A,#N/A,FALSE,0}</definedName>
    <definedName name="_RAD3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3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32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33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34" hidden="1">{#VALUE!,#N/A,TRUE,0;#N/A,#N/A,TRUE,0;#N/A,#N/A,TRUE,0}</definedName>
    <definedName name="_RAD35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36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AD4" hidden="1">{#VALUE!,#N/A,FALSE,0;#N/A,#N/A,FALSE,0;#N/A,#N/A,FALSE,0;#N/A,#N/A,FALSE,0;#N/A,#N/A,FALSE,0}</definedName>
    <definedName name="_RAD7" hidden="1">{#VALUE!,#N/A,TRUE,0;#N/A,#N/A,TRUE,0;#N/A,#N/A,TRUE,0;#N/A,#N/A,TRUE,0;#N/A,#N/A,TRUE,0;#N/A,#N/A,TRUE,0;#N/A,#N/A,TRUE,0;#N/A,#N/A,TRUE,0}</definedName>
    <definedName name="_RAD8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_RCP1050">#REF!</definedName>
    <definedName name="_RCP1051">#REF!</definedName>
    <definedName name="_RCP1200">#REF!</definedName>
    <definedName name="_RCP450">#REF!</definedName>
    <definedName name="_RCP525">#REF!</definedName>
    <definedName name="_RCP600">#REF!</definedName>
    <definedName name="_RCP750">#REF!</definedName>
    <definedName name="_RCP900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L1" hidden="1">#REF!</definedName>
    <definedName name="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RUN1">#N/A</definedName>
    <definedName name="_s41" hidden="1">{"form-D1",#N/A,FALSE,"FORM-D1";"form-D1_amt",#N/A,FALSE,"FORM-D1"}</definedName>
    <definedName name="_s41_1" hidden="1">{"form-D1",#N/A,FALSE,"FORM-D1";"form-D1_amt",#N/A,FALSE,"FORM-D1"}</definedName>
    <definedName name="_s41_2" hidden="1">{"form-D1",#N/A,FALSE,"FORM-D1";"form-D1_amt",#N/A,FALSE,"FORM-D1"}</definedName>
    <definedName name="_s41_3" hidden="1">{"form-D1",#N/A,FALSE,"FORM-D1";"form-D1_amt",#N/A,FALSE,"FORM-D1"}</definedName>
    <definedName name="_sb1" hidden="1">OFFSET([0]!Data.Top.Left,1,0)</definedName>
    <definedName name="_sb10" hidden="1">OFFSET([0]!Data.Top.Left,1,0)</definedName>
    <definedName name="_sb11" hidden="1">OFFSET([0]!Data.Top.Left,1,0)</definedName>
    <definedName name="_sb12" hidden="1">OFFSET([0]!Data.Top.Left,1,0)</definedName>
    <definedName name="_SB3" hidden="1">{"'Leverage'!$B$2:$M$418"}</definedName>
    <definedName name="_sb4" hidden="1">OFFSET([0]!Data.Top.Left,1,0)</definedName>
    <definedName name="_sb9" hidden="1">OFFSET([0]!Data.Top.Left,1,0)</definedName>
    <definedName name="_SEA1">#N/A</definedName>
    <definedName name="_sep06" hidden="1">{"FTS",#N/A,FALSE,"E"}</definedName>
    <definedName name="_SF2">#REF!</definedName>
    <definedName name="_SF4">#REF!</definedName>
    <definedName name="_sh1" hidden="1">{"CASH FLOW",#N/A,FALSE,"A"}</definedName>
    <definedName name="_SK1" hidden="1">{"ss",#N/A,FALSE,"MODULE3"}</definedName>
    <definedName name="_Sort" hidden="1">#REF!</definedName>
    <definedName name="_SORT1" hidden="1">#REF!</definedName>
    <definedName name="_Sort2" hidden="1">#REF!</definedName>
    <definedName name="_SSC1" hidden="1">{"'Typical Costs Estimates'!$C$158:$H$161"}</definedName>
    <definedName name="_sss3" hidden="1">{#N/A,#N/A,FALSE,"ihz. icmal";#N/A,#N/A,FALSE,"avans";#N/A,#N/A,FALSE,"mal_FF_icm";#N/A,#N/A,FALSE,"fat_ihz";#N/A,#N/A,FALSE,"söz_fiy_fark";#N/A,#N/A,FALSE,"kap2"}</definedName>
    <definedName name="_sti02" hidden="1">{#N/A,#N/A,FALSE,"gc (2)"}</definedName>
    <definedName name="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able_ou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In3" hidden="1">#REF!</definedName>
    <definedName name="_Table2_Out" hidden="1">#REF!</definedName>
    <definedName name="_Table3_In2" hidden="1">#REF!</definedName>
    <definedName name="_TDS2" hidden="1">{"'Sheet1'!$A$4386:$N$4591"}</definedName>
    <definedName name="_TF1">#REF!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tut2" hidden="1">#REF!</definedName>
    <definedName name="_w2" hidden="1">{#N/A,#N/A,FALSE,"17MAY";#N/A,#N/A,FALSE,"24MAY"}</definedName>
    <definedName name="_WD1">#REF!</definedName>
    <definedName name="_WIN2">#REF!</definedName>
    <definedName name="_WIN22">#REF!</definedName>
    <definedName name="_WIN22_3">"#REF!"</definedName>
    <definedName name="_WIN23">#REF!</definedName>
    <definedName name="_win24">#REF!</definedName>
    <definedName name="_win25">#REF!</definedName>
    <definedName name="_win26">#REF!</definedName>
    <definedName name="_WN7" hidden="1">{#N/A,#N/A,FALSE,"MODULE3"}</definedName>
    <definedName name="_WN7_1" hidden="1">{#N/A,#N/A,FALSE,"MODULE3"}</definedName>
    <definedName name="_WN7_2" hidden="1">{#N/A,#N/A,FALSE,"MODULE3"}</definedName>
    <definedName name="_WN7_3" hidden="1">{#N/A,#N/A,FALSE,"MODULE3"}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yt" hidden="1">#REF!</definedName>
    <definedName name="_ZA2" hidden="1">{"CASH FLOW",#N/A,FALSE,"A"}</definedName>
    <definedName name="_재ㅐ햐" hidden="1">#REF!</definedName>
    <definedName name="_총괄표" hidden="1">#REF!</definedName>
    <definedName name="´cAE°eE¹" hidden="1">#REF!</definedName>
    <definedName name="￠￥cAE¡ÆeEⓒo" hidden="1">#REF!</definedName>
    <definedName name="A">#REF!</definedName>
    <definedName name="A.1">#REF!</definedName>
    <definedName name="a_3" hidden="1">{"'Bill No. 7'!$A$1:$G$32"}</definedName>
    <definedName name="a_3_1" hidden="1">{"'Bill No. 7'!$A$1:$G$32"}</definedName>
    <definedName name="a_3_2" hidden="1">{"'Bill No. 7'!$A$1:$G$32"}</definedName>
    <definedName name="a_3_3" hidden="1">{"'Bill No. 7'!$A$1:$G$32"}</definedName>
    <definedName name="a_4" hidden="1">{"'Bill No. 7'!$A$1:$G$32"}</definedName>
    <definedName name="a_4_1" hidden="1">{"'Bill No. 7'!$A$1:$G$32"}</definedName>
    <definedName name="a_4_2" hidden="1">{"'Bill No. 7'!$A$1:$G$32"}</definedName>
    <definedName name="a_4_3" hidden="1">{"'Bill No. 7'!$A$1:$G$32"}</definedName>
    <definedName name="a_5" hidden="1">{"'Bill No. 7'!$A$1:$G$32"}</definedName>
    <definedName name="a_5_1" hidden="1">{"'Bill No. 7'!$A$1:$G$32"}</definedName>
    <definedName name="a_5_2" hidden="1">{"'Bill No. 7'!$A$1:$G$32"}</definedName>
    <definedName name="a_5_3" hidden="1">{"'Bill No. 7'!$A$1:$G$32"}</definedName>
    <definedName name="A1C1" hidden="1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_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AA_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AA_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aaa" hidden="1">{#N/A,#N/A,FALSE,"mgtsum.XLS";#N/A,#N/A,FALSE,"CAPONE";#N/A,#N/A,FALSE,"CAPTWO";#N/A,#N/A,FALSE,"CAPTHREE"}</definedName>
    <definedName name="aaaa1" hidden="1">{#N/A,#N/A,TRUE,"Basic";#N/A,#N/A,TRUE,"EXT-TABLE";#N/A,#N/A,TRUE,"STEEL";#N/A,#N/A,TRUE,"INT-Table";#N/A,#N/A,TRUE,"STEEL";#N/A,#N/A,TRUE,"Door"}</definedName>
    <definedName name="aaaaa" hidden="1">{#N/A,#N/A,FALSE,"Project Properties";#N/A,#N/A,FALSE,"Eng %";#N/A,#N/A,FALSE,"ENGFORM";#N/A,#N/A,FALSE,"staffing";#N/A,#N/A,FALSE,"spending"}</definedName>
    <definedName name="AAAAAA" hidden="1">{"'000228 出張報告書'!$A$1:$AE$60"}</definedName>
    <definedName name="aaaaaaa" hidden="1">#REF!</definedName>
    <definedName name="aaaaaaa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A" hidden="1">#REF!</definedName>
    <definedName name="aaaaaaaaaaaaaa" hidden="1">{"form-D1",#N/A,FALSE,"FORM-D1";"form-D1_amt",#N/A,FALSE,"FORM-D1"}</definedName>
    <definedName name="aaaaaaaaaaaaaa_1" hidden="1">{"form-D1",#N/A,FALSE,"FORM-D1";"form-D1_amt",#N/A,FALSE,"FORM-D1"}</definedName>
    <definedName name="aaaaaaaaaaaaaa_2" hidden="1">{"form-D1",#N/A,FALSE,"FORM-D1";"form-D1_amt",#N/A,FALSE,"FORM-D1"}</definedName>
    <definedName name="aaaaaaaaaaaaaa_3" hidden="1">{"form-D1",#N/A,FALSE,"FORM-D1";"form-D1_amt",#N/A,FALSE,"FORM-D1"}</definedName>
    <definedName name="AAAAAAAAAAAAAAAAAAA" hidden="1">{#N/A,#N/A,FALSE,"mgtsum.XLS";#N/A,#N/A,FALSE,"CAPONE";#N/A,#N/A,FALSE,"CAPTWO";#N/A,#N/A,FALSE,"CAPTHREE"}</definedName>
    <definedName name="AAAAAAAAAAAAAAAAAAAA" localSheetId="1" hidden="1">{#N/A,#N/A,FALSE,"mgtsum.XLS";#N/A,#N/A,FALSE,"CAPONE";#N/A,#N/A,FALSE,"CAPTWO";#N/A,#N/A,FALSE,"CAPTHREE"}</definedName>
    <definedName name="AAAAAAAAAAAAAAAAAAAA" hidden="1">{#N/A,#N/A,FALSE,"mgtsum.XLS";#N/A,#N/A,FALSE,"CAPONE";#N/A,#N/A,FALSE,"CAPTWO";#N/A,#N/A,FALSE,"CAPTHREE"}</definedName>
    <definedName name="AAAAAAAAAAAAAAAAAAAA_1" hidden="1">{#N/A,#N/A,FALSE,"mgtsum.XLS";#N/A,#N/A,FALSE,"CAPONE";#N/A,#N/A,FALSE,"CAPTWO";#N/A,#N/A,FALSE,"CAPTHREE"}</definedName>
    <definedName name="AAAAAAAAAAAAAAAAAAAA_1_1" hidden="1">{#N/A,#N/A,FALSE,"mgtsum.XLS";#N/A,#N/A,FALSE,"CAPONE";#N/A,#N/A,FALSE,"CAPTWO";#N/A,#N/A,FALSE,"CAPTHREE"}</definedName>
    <definedName name="AAAAAAAAAAAAAAAAAAAA_1_1_1" hidden="1">{#N/A,#N/A,FALSE,"mgtsum.XLS";#N/A,#N/A,FALSE,"CAPONE";#N/A,#N/A,FALSE,"CAPTWO";#N/A,#N/A,FALSE,"CAPTHREE"}</definedName>
    <definedName name="AAAAAAAAAAAAAAAAAAAA_1_1_1_1" hidden="1">{#N/A,#N/A,FALSE,"mgtsum.XLS";#N/A,#N/A,FALSE,"CAPONE";#N/A,#N/A,FALSE,"CAPTWO";#N/A,#N/A,FALSE,"CAPTHREE"}</definedName>
    <definedName name="AAAAAAAAAAAAAAAAAAAA_1_1_1_2" hidden="1">{#N/A,#N/A,FALSE,"mgtsum.XLS";#N/A,#N/A,FALSE,"CAPONE";#N/A,#N/A,FALSE,"CAPTWO";#N/A,#N/A,FALSE,"CAPTHREE"}</definedName>
    <definedName name="AAAAAAAAAAAAAAAAAAAA_1_1_1_3" hidden="1">{#N/A,#N/A,FALSE,"mgtsum.XLS";#N/A,#N/A,FALSE,"CAPONE";#N/A,#N/A,FALSE,"CAPTWO";#N/A,#N/A,FALSE,"CAPTHREE"}</definedName>
    <definedName name="AAAAAAAAAAAAAAAAAAAA_1_1_1_4" hidden="1">{#N/A,#N/A,FALSE,"mgtsum.XLS";#N/A,#N/A,FALSE,"CAPONE";#N/A,#N/A,FALSE,"CAPTWO";#N/A,#N/A,FALSE,"CAPTHREE"}</definedName>
    <definedName name="AAAAAAAAAAAAAAAAAAAA_1_1_1_5" hidden="1">{#N/A,#N/A,FALSE,"mgtsum.XLS";#N/A,#N/A,FALSE,"CAPONE";#N/A,#N/A,FALSE,"CAPTWO";#N/A,#N/A,FALSE,"CAPTHREE"}</definedName>
    <definedName name="AAAAAAAAAAAAAAAAAAAA_1_1_2" hidden="1">{#N/A,#N/A,FALSE,"mgtsum.XLS";#N/A,#N/A,FALSE,"CAPONE";#N/A,#N/A,FALSE,"CAPTWO";#N/A,#N/A,FALSE,"CAPTHREE"}</definedName>
    <definedName name="AAAAAAAAAAAAAAAAAAAA_1_1_2_1" hidden="1">{#N/A,#N/A,FALSE,"mgtsum.XLS";#N/A,#N/A,FALSE,"CAPONE";#N/A,#N/A,FALSE,"CAPTWO";#N/A,#N/A,FALSE,"CAPTHREE"}</definedName>
    <definedName name="AAAAAAAAAAAAAAAAAAAA_1_1_2_2" hidden="1">{#N/A,#N/A,FALSE,"mgtsum.XLS";#N/A,#N/A,FALSE,"CAPONE";#N/A,#N/A,FALSE,"CAPTWO";#N/A,#N/A,FALSE,"CAPTHREE"}</definedName>
    <definedName name="AAAAAAAAAAAAAAAAAAAA_1_1_2_3" hidden="1">{#N/A,#N/A,FALSE,"mgtsum.XLS";#N/A,#N/A,FALSE,"CAPONE";#N/A,#N/A,FALSE,"CAPTWO";#N/A,#N/A,FALSE,"CAPTHREE"}</definedName>
    <definedName name="AAAAAAAAAAAAAAAAAAAA_1_1_2_4" hidden="1">{#N/A,#N/A,FALSE,"mgtsum.XLS";#N/A,#N/A,FALSE,"CAPONE";#N/A,#N/A,FALSE,"CAPTWO";#N/A,#N/A,FALSE,"CAPTHREE"}</definedName>
    <definedName name="AAAAAAAAAAAAAAAAAAAA_1_1_2_5" hidden="1">{#N/A,#N/A,FALSE,"mgtsum.XLS";#N/A,#N/A,FALSE,"CAPONE";#N/A,#N/A,FALSE,"CAPTWO";#N/A,#N/A,FALSE,"CAPTHREE"}</definedName>
    <definedName name="AAAAAAAAAAAAAAAAAAAA_1_1_3" hidden="1">{#N/A,#N/A,FALSE,"mgtsum.XLS";#N/A,#N/A,FALSE,"CAPONE";#N/A,#N/A,FALSE,"CAPTWO";#N/A,#N/A,FALSE,"CAPTHREE"}</definedName>
    <definedName name="AAAAAAAAAAAAAAAAAAAA_1_1_3_1" hidden="1">{#N/A,#N/A,FALSE,"mgtsum.XLS";#N/A,#N/A,FALSE,"CAPONE";#N/A,#N/A,FALSE,"CAPTWO";#N/A,#N/A,FALSE,"CAPTHREE"}</definedName>
    <definedName name="AAAAAAAAAAAAAAAAAAAA_1_1_3_2" hidden="1">{#N/A,#N/A,FALSE,"mgtsum.XLS";#N/A,#N/A,FALSE,"CAPONE";#N/A,#N/A,FALSE,"CAPTWO";#N/A,#N/A,FALSE,"CAPTHREE"}</definedName>
    <definedName name="AAAAAAAAAAAAAAAAAAAA_1_1_3_3" hidden="1">{#N/A,#N/A,FALSE,"mgtsum.XLS";#N/A,#N/A,FALSE,"CAPONE";#N/A,#N/A,FALSE,"CAPTWO";#N/A,#N/A,FALSE,"CAPTHREE"}</definedName>
    <definedName name="AAAAAAAAAAAAAAAAAAAA_1_1_3_4" hidden="1">{#N/A,#N/A,FALSE,"mgtsum.XLS";#N/A,#N/A,FALSE,"CAPONE";#N/A,#N/A,FALSE,"CAPTWO";#N/A,#N/A,FALSE,"CAPTHREE"}</definedName>
    <definedName name="AAAAAAAAAAAAAAAAAAAA_1_1_3_5" hidden="1">{#N/A,#N/A,FALSE,"mgtsum.XLS";#N/A,#N/A,FALSE,"CAPONE";#N/A,#N/A,FALSE,"CAPTWO";#N/A,#N/A,FALSE,"CAPTHREE"}</definedName>
    <definedName name="AAAAAAAAAAAAAAAAAAAA_1_1_4" hidden="1">{#N/A,#N/A,FALSE,"mgtsum.XLS";#N/A,#N/A,FALSE,"CAPONE";#N/A,#N/A,FALSE,"CAPTWO";#N/A,#N/A,FALSE,"CAPTHREE"}</definedName>
    <definedName name="AAAAAAAAAAAAAAAAAAAA_1_1_5" hidden="1">{#N/A,#N/A,FALSE,"mgtsum.XLS";#N/A,#N/A,FALSE,"CAPONE";#N/A,#N/A,FALSE,"CAPTWO";#N/A,#N/A,FALSE,"CAPTHREE"}</definedName>
    <definedName name="AAAAAAAAAAAAAAAAAAAA_1_2" hidden="1">{#N/A,#N/A,FALSE,"mgtsum.XLS";#N/A,#N/A,FALSE,"CAPONE";#N/A,#N/A,FALSE,"CAPTWO";#N/A,#N/A,FALSE,"CAPTHREE"}</definedName>
    <definedName name="AAAAAAAAAAAAAAAAAAAA_1_2_1" hidden="1">{#N/A,#N/A,FALSE,"mgtsum.XLS";#N/A,#N/A,FALSE,"CAPONE";#N/A,#N/A,FALSE,"CAPTWO";#N/A,#N/A,FALSE,"CAPTHREE"}</definedName>
    <definedName name="AAAAAAAAAAAAAAAAAAAA_1_2_1_1" hidden="1">{#N/A,#N/A,FALSE,"mgtsum.XLS";#N/A,#N/A,FALSE,"CAPONE";#N/A,#N/A,FALSE,"CAPTWO";#N/A,#N/A,FALSE,"CAPTHREE"}</definedName>
    <definedName name="AAAAAAAAAAAAAAAAAAAA_1_2_1_2" hidden="1">{#N/A,#N/A,FALSE,"mgtsum.XLS";#N/A,#N/A,FALSE,"CAPONE";#N/A,#N/A,FALSE,"CAPTWO";#N/A,#N/A,FALSE,"CAPTHREE"}</definedName>
    <definedName name="AAAAAAAAAAAAAAAAAAAA_1_2_1_3" hidden="1">{#N/A,#N/A,FALSE,"mgtsum.XLS";#N/A,#N/A,FALSE,"CAPONE";#N/A,#N/A,FALSE,"CAPTWO";#N/A,#N/A,FALSE,"CAPTHREE"}</definedName>
    <definedName name="AAAAAAAAAAAAAAAAAAAA_1_2_1_4" hidden="1">{#N/A,#N/A,FALSE,"mgtsum.XLS";#N/A,#N/A,FALSE,"CAPONE";#N/A,#N/A,FALSE,"CAPTWO";#N/A,#N/A,FALSE,"CAPTHREE"}</definedName>
    <definedName name="AAAAAAAAAAAAAAAAAAAA_1_2_1_5" hidden="1">{#N/A,#N/A,FALSE,"mgtsum.XLS";#N/A,#N/A,FALSE,"CAPONE";#N/A,#N/A,FALSE,"CAPTWO";#N/A,#N/A,FALSE,"CAPTHREE"}</definedName>
    <definedName name="AAAAAAAAAAAAAAAAAAAA_1_2_2" hidden="1">{#N/A,#N/A,FALSE,"mgtsum.XLS";#N/A,#N/A,FALSE,"CAPONE";#N/A,#N/A,FALSE,"CAPTWO";#N/A,#N/A,FALSE,"CAPTHREE"}</definedName>
    <definedName name="AAAAAAAAAAAAAAAAAAAA_1_2_2_1" hidden="1">{#N/A,#N/A,FALSE,"mgtsum.XLS";#N/A,#N/A,FALSE,"CAPONE";#N/A,#N/A,FALSE,"CAPTWO";#N/A,#N/A,FALSE,"CAPTHREE"}</definedName>
    <definedName name="AAAAAAAAAAAAAAAAAAAA_1_2_2_2" hidden="1">{#N/A,#N/A,FALSE,"mgtsum.XLS";#N/A,#N/A,FALSE,"CAPONE";#N/A,#N/A,FALSE,"CAPTWO";#N/A,#N/A,FALSE,"CAPTHREE"}</definedName>
    <definedName name="AAAAAAAAAAAAAAAAAAAA_1_2_2_3" hidden="1">{#N/A,#N/A,FALSE,"mgtsum.XLS";#N/A,#N/A,FALSE,"CAPONE";#N/A,#N/A,FALSE,"CAPTWO";#N/A,#N/A,FALSE,"CAPTHREE"}</definedName>
    <definedName name="AAAAAAAAAAAAAAAAAAAA_1_2_2_4" hidden="1">{#N/A,#N/A,FALSE,"mgtsum.XLS";#N/A,#N/A,FALSE,"CAPONE";#N/A,#N/A,FALSE,"CAPTWO";#N/A,#N/A,FALSE,"CAPTHREE"}</definedName>
    <definedName name="AAAAAAAAAAAAAAAAAAAA_1_2_2_5" hidden="1">{#N/A,#N/A,FALSE,"mgtsum.XLS";#N/A,#N/A,FALSE,"CAPONE";#N/A,#N/A,FALSE,"CAPTWO";#N/A,#N/A,FALSE,"CAPTHREE"}</definedName>
    <definedName name="AAAAAAAAAAAAAAAAAAAA_1_2_3" hidden="1">{#N/A,#N/A,FALSE,"mgtsum.XLS";#N/A,#N/A,FALSE,"CAPONE";#N/A,#N/A,FALSE,"CAPTWO";#N/A,#N/A,FALSE,"CAPTHREE"}</definedName>
    <definedName name="AAAAAAAAAAAAAAAAAAAA_1_2_4" hidden="1">{#N/A,#N/A,FALSE,"mgtsum.XLS";#N/A,#N/A,FALSE,"CAPONE";#N/A,#N/A,FALSE,"CAPTWO";#N/A,#N/A,FALSE,"CAPTHREE"}</definedName>
    <definedName name="AAAAAAAAAAAAAAAAAAAA_1_2_5" hidden="1">{#N/A,#N/A,FALSE,"mgtsum.XLS";#N/A,#N/A,FALSE,"CAPONE";#N/A,#N/A,FALSE,"CAPTWO";#N/A,#N/A,FALSE,"CAPTHREE"}</definedName>
    <definedName name="AAAAAAAAAAAAAAAAAAAA_1_3" hidden="1">{#N/A,#N/A,FALSE,"mgtsum.XLS";#N/A,#N/A,FALSE,"CAPONE";#N/A,#N/A,FALSE,"CAPTWO";#N/A,#N/A,FALSE,"CAPTHREE"}</definedName>
    <definedName name="AAAAAAAAAAAAAAAAAAAA_1_3_1" hidden="1">{#N/A,#N/A,FALSE,"mgtsum.XLS";#N/A,#N/A,FALSE,"CAPONE";#N/A,#N/A,FALSE,"CAPTWO";#N/A,#N/A,FALSE,"CAPTHREE"}</definedName>
    <definedName name="AAAAAAAAAAAAAAAAAAAA_1_3_1_1" hidden="1">{#N/A,#N/A,FALSE,"mgtsum.XLS";#N/A,#N/A,FALSE,"CAPONE";#N/A,#N/A,FALSE,"CAPTWO";#N/A,#N/A,FALSE,"CAPTHREE"}</definedName>
    <definedName name="AAAAAAAAAAAAAAAAAAAA_1_3_1_2" hidden="1">{#N/A,#N/A,FALSE,"mgtsum.XLS";#N/A,#N/A,FALSE,"CAPONE";#N/A,#N/A,FALSE,"CAPTWO";#N/A,#N/A,FALSE,"CAPTHREE"}</definedName>
    <definedName name="AAAAAAAAAAAAAAAAAAAA_1_3_1_3" hidden="1">{#N/A,#N/A,FALSE,"mgtsum.XLS";#N/A,#N/A,FALSE,"CAPONE";#N/A,#N/A,FALSE,"CAPTWO";#N/A,#N/A,FALSE,"CAPTHREE"}</definedName>
    <definedName name="AAAAAAAAAAAAAAAAAAAA_1_3_1_4" hidden="1">{#N/A,#N/A,FALSE,"mgtsum.XLS";#N/A,#N/A,FALSE,"CAPONE";#N/A,#N/A,FALSE,"CAPTWO";#N/A,#N/A,FALSE,"CAPTHREE"}</definedName>
    <definedName name="AAAAAAAAAAAAAAAAAAAA_1_3_1_5" hidden="1">{#N/A,#N/A,FALSE,"mgtsum.XLS";#N/A,#N/A,FALSE,"CAPONE";#N/A,#N/A,FALSE,"CAPTWO";#N/A,#N/A,FALSE,"CAPTHREE"}</definedName>
    <definedName name="AAAAAAAAAAAAAAAAAAAA_1_3_2" hidden="1">{#N/A,#N/A,FALSE,"mgtsum.XLS";#N/A,#N/A,FALSE,"CAPONE";#N/A,#N/A,FALSE,"CAPTWO";#N/A,#N/A,FALSE,"CAPTHREE"}</definedName>
    <definedName name="AAAAAAAAAAAAAAAAAAAA_1_3_2_1" hidden="1">{#N/A,#N/A,FALSE,"mgtsum.XLS";#N/A,#N/A,FALSE,"CAPONE";#N/A,#N/A,FALSE,"CAPTWO";#N/A,#N/A,FALSE,"CAPTHREE"}</definedName>
    <definedName name="AAAAAAAAAAAAAAAAAAAA_1_3_2_2" hidden="1">{#N/A,#N/A,FALSE,"mgtsum.XLS";#N/A,#N/A,FALSE,"CAPONE";#N/A,#N/A,FALSE,"CAPTWO";#N/A,#N/A,FALSE,"CAPTHREE"}</definedName>
    <definedName name="AAAAAAAAAAAAAAAAAAAA_1_3_2_3" hidden="1">{#N/A,#N/A,FALSE,"mgtsum.XLS";#N/A,#N/A,FALSE,"CAPONE";#N/A,#N/A,FALSE,"CAPTWO";#N/A,#N/A,FALSE,"CAPTHREE"}</definedName>
    <definedName name="AAAAAAAAAAAAAAAAAAAA_1_3_2_4" hidden="1">{#N/A,#N/A,FALSE,"mgtsum.XLS";#N/A,#N/A,FALSE,"CAPONE";#N/A,#N/A,FALSE,"CAPTWO";#N/A,#N/A,FALSE,"CAPTHREE"}</definedName>
    <definedName name="AAAAAAAAAAAAAAAAAAAA_1_3_2_5" hidden="1">{#N/A,#N/A,FALSE,"mgtsum.XLS";#N/A,#N/A,FALSE,"CAPONE";#N/A,#N/A,FALSE,"CAPTWO";#N/A,#N/A,FALSE,"CAPTHREE"}</definedName>
    <definedName name="AAAAAAAAAAAAAAAAAAAA_1_3_3" hidden="1">{#N/A,#N/A,FALSE,"mgtsum.XLS";#N/A,#N/A,FALSE,"CAPONE";#N/A,#N/A,FALSE,"CAPTWO";#N/A,#N/A,FALSE,"CAPTHREE"}</definedName>
    <definedName name="AAAAAAAAAAAAAAAAAAAA_1_3_4" hidden="1">{#N/A,#N/A,FALSE,"mgtsum.XLS";#N/A,#N/A,FALSE,"CAPONE";#N/A,#N/A,FALSE,"CAPTWO";#N/A,#N/A,FALSE,"CAPTHREE"}</definedName>
    <definedName name="AAAAAAAAAAAAAAAAAAAA_1_3_5" hidden="1">{#N/A,#N/A,FALSE,"mgtsum.XLS";#N/A,#N/A,FALSE,"CAPONE";#N/A,#N/A,FALSE,"CAPTWO";#N/A,#N/A,FALSE,"CAPTHREE"}</definedName>
    <definedName name="AAAAAAAAAAAAAAAAAAAA_1_4" hidden="1">{#N/A,#N/A,FALSE,"mgtsum.XLS";#N/A,#N/A,FALSE,"CAPONE";#N/A,#N/A,FALSE,"CAPTWO";#N/A,#N/A,FALSE,"CAPTHREE"}</definedName>
    <definedName name="AAAAAAAAAAAAAAAAAAAA_1_4_1" hidden="1">{#N/A,#N/A,FALSE,"mgtsum.XLS";#N/A,#N/A,FALSE,"CAPONE";#N/A,#N/A,FALSE,"CAPTWO";#N/A,#N/A,FALSE,"CAPTHREE"}</definedName>
    <definedName name="AAAAAAAAAAAAAAAAAAAA_1_4_1_1" hidden="1">{#N/A,#N/A,FALSE,"mgtsum.XLS";#N/A,#N/A,FALSE,"CAPONE";#N/A,#N/A,FALSE,"CAPTWO";#N/A,#N/A,FALSE,"CAPTHREE"}</definedName>
    <definedName name="AAAAAAAAAAAAAAAAAAAA_1_4_1_2" hidden="1">{#N/A,#N/A,FALSE,"mgtsum.XLS";#N/A,#N/A,FALSE,"CAPONE";#N/A,#N/A,FALSE,"CAPTWO";#N/A,#N/A,FALSE,"CAPTHREE"}</definedName>
    <definedName name="AAAAAAAAAAAAAAAAAAAA_1_4_1_3" hidden="1">{#N/A,#N/A,FALSE,"mgtsum.XLS";#N/A,#N/A,FALSE,"CAPONE";#N/A,#N/A,FALSE,"CAPTWO";#N/A,#N/A,FALSE,"CAPTHREE"}</definedName>
    <definedName name="AAAAAAAAAAAAAAAAAAAA_1_4_1_4" hidden="1">{#N/A,#N/A,FALSE,"mgtsum.XLS";#N/A,#N/A,FALSE,"CAPONE";#N/A,#N/A,FALSE,"CAPTWO";#N/A,#N/A,FALSE,"CAPTHREE"}</definedName>
    <definedName name="AAAAAAAAAAAAAAAAAAAA_1_4_1_5" hidden="1">{#N/A,#N/A,FALSE,"mgtsum.XLS";#N/A,#N/A,FALSE,"CAPONE";#N/A,#N/A,FALSE,"CAPTWO";#N/A,#N/A,FALSE,"CAPTHREE"}</definedName>
    <definedName name="AAAAAAAAAAAAAAAAAAAA_1_4_2" hidden="1">{#N/A,#N/A,FALSE,"mgtsum.XLS";#N/A,#N/A,FALSE,"CAPONE";#N/A,#N/A,FALSE,"CAPTWO";#N/A,#N/A,FALSE,"CAPTHREE"}</definedName>
    <definedName name="AAAAAAAAAAAAAAAAAAAA_1_4_2_1" hidden="1">{#N/A,#N/A,FALSE,"mgtsum.XLS";#N/A,#N/A,FALSE,"CAPONE";#N/A,#N/A,FALSE,"CAPTWO";#N/A,#N/A,FALSE,"CAPTHREE"}</definedName>
    <definedName name="AAAAAAAAAAAAAAAAAAAA_1_4_2_2" hidden="1">{#N/A,#N/A,FALSE,"mgtsum.XLS";#N/A,#N/A,FALSE,"CAPONE";#N/A,#N/A,FALSE,"CAPTWO";#N/A,#N/A,FALSE,"CAPTHREE"}</definedName>
    <definedName name="AAAAAAAAAAAAAAAAAAAA_1_4_2_3" hidden="1">{#N/A,#N/A,FALSE,"mgtsum.XLS";#N/A,#N/A,FALSE,"CAPONE";#N/A,#N/A,FALSE,"CAPTWO";#N/A,#N/A,FALSE,"CAPTHREE"}</definedName>
    <definedName name="AAAAAAAAAAAAAAAAAAAA_1_4_2_4" hidden="1">{#N/A,#N/A,FALSE,"mgtsum.XLS";#N/A,#N/A,FALSE,"CAPONE";#N/A,#N/A,FALSE,"CAPTWO";#N/A,#N/A,FALSE,"CAPTHREE"}</definedName>
    <definedName name="AAAAAAAAAAAAAAAAAAAA_1_4_2_5" hidden="1">{#N/A,#N/A,FALSE,"mgtsum.XLS";#N/A,#N/A,FALSE,"CAPONE";#N/A,#N/A,FALSE,"CAPTWO";#N/A,#N/A,FALSE,"CAPTHREE"}</definedName>
    <definedName name="AAAAAAAAAAAAAAAAAAAA_1_4_3" hidden="1">{#N/A,#N/A,FALSE,"mgtsum.XLS";#N/A,#N/A,FALSE,"CAPONE";#N/A,#N/A,FALSE,"CAPTWO";#N/A,#N/A,FALSE,"CAPTHREE"}</definedName>
    <definedName name="AAAAAAAAAAAAAAAAAAAA_1_4_4" hidden="1">{#N/A,#N/A,FALSE,"mgtsum.XLS";#N/A,#N/A,FALSE,"CAPONE";#N/A,#N/A,FALSE,"CAPTWO";#N/A,#N/A,FALSE,"CAPTHREE"}</definedName>
    <definedName name="AAAAAAAAAAAAAAAAAAAA_1_4_5" hidden="1">{#N/A,#N/A,FALSE,"mgtsum.XLS";#N/A,#N/A,FALSE,"CAPONE";#N/A,#N/A,FALSE,"CAPTWO";#N/A,#N/A,FALSE,"CAPTHREE"}</definedName>
    <definedName name="AAAAAAAAAAAAAAAAAAAA_1_5" hidden="1">{#N/A,#N/A,FALSE,"mgtsum.XLS";#N/A,#N/A,FALSE,"CAPONE";#N/A,#N/A,FALSE,"CAPTWO";#N/A,#N/A,FALSE,"CAPTHREE"}</definedName>
    <definedName name="AAAAAAAAAAAAAAAAAAAA_1_5_1" hidden="1">{#N/A,#N/A,FALSE,"mgtsum.XLS";#N/A,#N/A,FALSE,"CAPONE";#N/A,#N/A,FALSE,"CAPTWO";#N/A,#N/A,FALSE,"CAPTHREE"}</definedName>
    <definedName name="AAAAAAAAAAAAAAAAAAAA_1_5_1_1" hidden="1">{#N/A,#N/A,FALSE,"mgtsum.XLS";#N/A,#N/A,FALSE,"CAPONE";#N/A,#N/A,FALSE,"CAPTWO";#N/A,#N/A,FALSE,"CAPTHREE"}</definedName>
    <definedName name="AAAAAAAAAAAAAAAAAAAA_1_5_1_2" hidden="1">{#N/A,#N/A,FALSE,"mgtsum.XLS";#N/A,#N/A,FALSE,"CAPONE";#N/A,#N/A,FALSE,"CAPTWO";#N/A,#N/A,FALSE,"CAPTHREE"}</definedName>
    <definedName name="AAAAAAAAAAAAAAAAAAAA_1_5_1_3" hidden="1">{#N/A,#N/A,FALSE,"mgtsum.XLS";#N/A,#N/A,FALSE,"CAPONE";#N/A,#N/A,FALSE,"CAPTWO";#N/A,#N/A,FALSE,"CAPTHREE"}</definedName>
    <definedName name="AAAAAAAAAAAAAAAAAAAA_1_5_1_4" hidden="1">{#N/A,#N/A,FALSE,"mgtsum.XLS";#N/A,#N/A,FALSE,"CAPONE";#N/A,#N/A,FALSE,"CAPTWO";#N/A,#N/A,FALSE,"CAPTHREE"}</definedName>
    <definedName name="AAAAAAAAAAAAAAAAAAAA_1_5_1_5" hidden="1">{#N/A,#N/A,FALSE,"mgtsum.XLS";#N/A,#N/A,FALSE,"CAPONE";#N/A,#N/A,FALSE,"CAPTWO";#N/A,#N/A,FALSE,"CAPTHREE"}</definedName>
    <definedName name="AAAAAAAAAAAAAAAAAAAA_1_5_2" hidden="1">{#N/A,#N/A,FALSE,"mgtsum.XLS";#N/A,#N/A,FALSE,"CAPONE";#N/A,#N/A,FALSE,"CAPTWO";#N/A,#N/A,FALSE,"CAPTHREE"}</definedName>
    <definedName name="AAAAAAAAAAAAAAAAAAAA_1_5_2_1" hidden="1">{#N/A,#N/A,FALSE,"mgtsum.XLS";#N/A,#N/A,FALSE,"CAPONE";#N/A,#N/A,FALSE,"CAPTWO";#N/A,#N/A,FALSE,"CAPTHREE"}</definedName>
    <definedName name="AAAAAAAAAAAAAAAAAAAA_1_5_2_2" hidden="1">{#N/A,#N/A,FALSE,"mgtsum.XLS";#N/A,#N/A,FALSE,"CAPONE";#N/A,#N/A,FALSE,"CAPTWO";#N/A,#N/A,FALSE,"CAPTHREE"}</definedName>
    <definedName name="AAAAAAAAAAAAAAAAAAAA_1_5_2_3" hidden="1">{#N/A,#N/A,FALSE,"mgtsum.XLS";#N/A,#N/A,FALSE,"CAPONE";#N/A,#N/A,FALSE,"CAPTWO";#N/A,#N/A,FALSE,"CAPTHREE"}</definedName>
    <definedName name="AAAAAAAAAAAAAAAAAAAA_1_5_2_4" hidden="1">{#N/A,#N/A,FALSE,"mgtsum.XLS";#N/A,#N/A,FALSE,"CAPONE";#N/A,#N/A,FALSE,"CAPTWO";#N/A,#N/A,FALSE,"CAPTHREE"}</definedName>
    <definedName name="AAAAAAAAAAAAAAAAAAAA_1_5_2_5" hidden="1">{#N/A,#N/A,FALSE,"mgtsum.XLS";#N/A,#N/A,FALSE,"CAPONE";#N/A,#N/A,FALSE,"CAPTWO";#N/A,#N/A,FALSE,"CAPTHREE"}</definedName>
    <definedName name="AAAAAAAAAAAAAAAAAAAA_1_5_3" hidden="1">{#N/A,#N/A,FALSE,"mgtsum.XLS";#N/A,#N/A,FALSE,"CAPONE";#N/A,#N/A,FALSE,"CAPTWO";#N/A,#N/A,FALSE,"CAPTHREE"}</definedName>
    <definedName name="AAAAAAAAAAAAAAAAAAAA_1_5_4" hidden="1">{#N/A,#N/A,FALSE,"mgtsum.XLS";#N/A,#N/A,FALSE,"CAPONE";#N/A,#N/A,FALSE,"CAPTWO";#N/A,#N/A,FALSE,"CAPTHREE"}</definedName>
    <definedName name="AAAAAAAAAAAAAAAAAAAA_1_5_5" hidden="1">{#N/A,#N/A,FALSE,"mgtsum.XLS";#N/A,#N/A,FALSE,"CAPONE";#N/A,#N/A,FALSE,"CAPTWO";#N/A,#N/A,FALSE,"CAPTHREE"}</definedName>
    <definedName name="AAAAAAAAAAAAAAAAAAAA_2" hidden="1">{#N/A,#N/A,FALSE,"mgtsum.XLS";#N/A,#N/A,FALSE,"CAPONE";#N/A,#N/A,FALSE,"CAPTWO";#N/A,#N/A,FALSE,"CAPTHREE"}</definedName>
    <definedName name="AAAAAAAAAAAAAAAAAAAA_2_1" hidden="1">{#N/A,#N/A,FALSE,"mgtsum.XLS";#N/A,#N/A,FALSE,"CAPONE";#N/A,#N/A,FALSE,"CAPTWO";#N/A,#N/A,FALSE,"CAPTHREE"}</definedName>
    <definedName name="AAAAAAAAAAAAAAAAAAAA_2_1_1" hidden="1">{#N/A,#N/A,FALSE,"mgtsum.XLS";#N/A,#N/A,FALSE,"CAPONE";#N/A,#N/A,FALSE,"CAPTWO";#N/A,#N/A,FALSE,"CAPTHREE"}</definedName>
    <definedName name="AAAAAAAAAAAAAAAAAAAA_2_1_1_1" hidden="1">{#N/A,#N/A,FALSE,"mgtsum.XLS";#N/A,#N/A,FALSE,"CAPONE";#N/A,#N/A,FALSE,"CAPTWO";#N/A,#N/A,FALSE,"CAPTHREE"}</definedName>
    <definedName name="AAAAAAAAAAAAAAAAAAAA_2_1_1_2" hidden="1">{#N/A,#N/A,FALSE,"mgtsum.XLS";#N/A,#N/A,FALSE,"CAPONE";#N/A,#N/A,FALSE,"CAPTWO";#N/A,#N/A,FALSE,"CAPTHREE"}</definedName>
    <definedName name="AAAAAAAAAAAAAAAAAAAA_2_1_1_3" hidden="1">{#N/A,#N/A,FALSE,"mgtsum.XLS";#N/A,#N/A,FALSE,"CAPONE";#N/A,#N/A,FALSE,"CAPTWO";#N/A,#N/A,FALSE,"CAPTHREE"}</definedName>
    <definedName name="AAAAAAAAAAAAAAAAAAAA_2_1_1_4" hidden="1">{#N/A,#N/A,FALSE,"mgtsum.XLS";#N/A,#N/A,FALSE,"CAPONE";#N/A,#N/A,FALSE,"CAPTWO";#N/A,#N/A,FALSE,"CAPTHREE"}</definedName>
    <definedName name="AAAAAAAAAAAAAAAAAAAA_2_1_1_5" hidden="1">{#N/A,#N/A,FALSE,"mgtsum.XLS";#N/A,#N/A,FALSE,"CAPONE";#N/A,#N/A,FALSE,"CAPTWO";#N/A,#N/A,FALSE,"CAPTHREE"}</definedName>
    <definedName name="AAAAAAAAAAAAAAAAAAAA_2_1_2" hidden="1">{#N/A,#N/A,FALSE,"mgtsum.XLS";#N/A,#N/A,FALSE,"CAPONE";#N/A,#N/A,FALSE,"CAPTWO";#N/A,#N/A,FALSE,"CAPTHREE"}</definedName>
    <definedName name="AAAAAAAAAAAAAAAAAAAA_2_1_2_1" hidden="1">{#N/A,#N/A,FALSE,"mgtsum.XLS";#N/A,#N/A,FALSE,"CAPONE";#N/A,#N/A,FALSE,"CAPTWO";#N/A,#N/A,FALSE,"CAPTHREE"}</definedName>
    <definedName name="AAAAAAAAAAAAAAAAAAAA_2_1_2_2" hidden="1">{#N/A,#N/A,FALSE,"mgtsum.XLS";#N/A,#N/A,FALSE,"CAPONE";#N/A,#N/A,FALSE,"CAPTWO";#N/A,#N/A,FALSE,"CAPTHREE"}</definedName>
    <definedName name="AAAAAAAAAAAAAAAAAAAA_2_1_2_3" hidden="1">{#N/A,#N/A,FALSE,"mgtsum.XLS";#N/A,#N/A,FALSE,"CAPONE";#N/A,#N/A,FALSE,"CAPTWO";#N/A,#N/A,FALSE,"CAPTHREE"}</definedName>
    <definedName name="AAAAAAAAAAAAAAAAAAAA_2_1_2_4" hidden="1">{#N/A,#N/A,FALSE,"mgtsum.XLS";#N/A,#N/A,FALSE,"CAPONE";#N/A,#N/A,FALSE,"CAPTWO";#N/A,#N/A,FALSE,"CAPTHREE"}</definedName>
    <definedName name="AAAAAAAAAAAAAAAAAAAA_2_1_2_5" hidden="1">{#N/A,#N/A,FALSE,"mgtsum.XLS";#N/A,#N/A,FALSE,"CAPONE";#N/A,#N/A,FALSE,"CAPTWO";#N/A,#N/A,FALSE,"CAPTHREE"}</definedName>
    <definedName name="AAAAAAAAAAAAAAAAAAAA_2_1_3" hidden="1">{#N/A,#N/A,FALSE,"mgtsum.XLS";#N/A,#N/A,FALSE,"CAPONE";#N/A,#N/A,FALSE,"CAPTWO";#N/A,#N/A,FALSE,"CAPTHREE"}</definedName>
    <definedName name="AAAAAAAAAAAAAAAAAAAA_2_1_3_1" hidden="1">{#N/A,#N/A,FALSE,"mgtsum.XLS";#N/A,#N/A,FALSE,"CAPONE";#N/A,#N/A,FALSE,"CAPTWO";#N/A,#N/A,FALSE,"CAPTHREE"}</definedName>
    <definedName name="AAAAAAAAAAAAAAAAAAAA_2_1_3_2" hidden="1">{#N/A,#N/A,FALSE,"mgtsum.XLS";#N/A,#N/A,FALSE,"CAPONE";#N/A,#N/A,FALSE,"CAPTWO";#N/A,#N/A,FALSE,"CAPTHREE"}</definedName>
    <definedName name="AAAAAAAAAAAAAAAAAAAA_2_1_3_3" hidden="1">{#N/A,#N/A,FALSE,"mgtsum.XLS";#N/A,#N/A,FALSE,"CAPONE";#N/A,#N/A,FALSE,"CAPTWO";#N/A,#N/A,FALSE,"CAPTHREE"}</definedName>
    <definedName name="AAAAAAAAAAAAAAAAAAAA_2_1_3_4" hidden="1">{#N/A,#N/A,FALSE,"mgtsum.XLS";#N/A,#N/A,FALSE,"CAPONE";#N/A,#N/A,FALSE,"CAPTWO";#N/A,#N/A,FALSE,"CAPTHREE"}</definedName>
    <definedName name="AAAAAAAAAAAAAAAAAAAA_2_1_3_5" hidden="1">{#N/A,#N/A,FALSE,"mgtsum.XLS";#N/A,#N/A,FALSE,"CAPONE";#N/A,#N/A,FALSE,"CAPTWO";#N/A,#N/A,FALSE,"CAPTHREE"}</definedName>
    <definedName name="AAAAAAAAAAAAAAAAAAAA_2_1_4" hidden="1">{#N/A,#N/A,FALSE,"mgtsum.XLS";#N/A,#N/A,FALSE,"CAPONE";#N/A,#N/A,FALSE,"CAPTWO";#N/A,#N/A,FALSE,"CAPTHREE"}</definedName>
    <definedName name="AAAAAAAAAAAAAAAAAAAA_2_1_5" hidden="1">{#N/A,#N/A,FALSE,"mgtsum.XLS";#N/A,#N/A,FALSE,"CAPONE";#N/A,#N/A,FALSE,"CAPTWO";#N/A,#N/A,FALSE,"CAPTHREE"}</definedName>
    <definedName name="AAAAAAAAAAAAAAAAAAAA_2_2" hidden="1">{#N/A,#N/A,FALSE,"mgtsum.XLS";#N/A,#N/A,FALSE,"CAPONE";#N/A,#N/A,FALSE,"CAPTWO";#N/A,#N/A,FALSE,"CAPTHREE"}</definedName>
    <definedName name="AAAAAAAAAAAAAAAAAAAA_2_2_1" hidden="1">{#N/A,#N/A,FALSE,"mgtsum.XLS";#N/A,#N/A,FALSE,"CAPONE";#N/A,#N/A,FALSE,"CAPTWO";#N/A,#N/A,FALSE,"CAPTHREE"}</definedName>
    <definedName name="AAAAAAAAAAAAAAAAAAAA_2_2_1_1" hidden="1">{#N/A,#N/A,FALSE,"mgtsum.XLS";#N/A,#N/A,FALSE,"CAPONE";#N/A,#N/A,FALSE,"CAPTWO";#N/A,#N/A,FALSE,"CAPTHREE"}</definedName>
    <definedName name="AAAAAAAAAAAAAAAAAAAA_2_2_1_2" hidden="1">{#N/A,#N/A,FALSE,"mgtsum.XLS";#N/A,#N/A,FALSE,"CAPONE";#N/A,#N/A,FALSE,"CAPTWO";#N/A,#N/A,FALSE,"CAPTHREE"}</definedName>
    <definedName name="AAAAAAAAAAAAAAAAAAAA_2_2_1_3" hidden="1">{#N/A,#N/A,FALSE,"mgtsum.XLS";#N/A,#N/A,FALSE,"CAPONE";#N/A,#N/A,FALSE,"CAPTWO";#N/A,#N/A,FALSE,"CAPTHREE"}</definedName>
    <definedName name="AAAAAAAAAAAAAAAAAAAA_2_2_1_4" hidden="1">{#N/A,#N/A,FALSE,"mgtsum.XLS";#N/A,#N/A,FALSE,"CAPONE";#N/A,#N/A,FALSE,"CAPTWO";#N/A,#N/A,FALSE,"CAPTHREE"}</definedName>
    <definedName name="AAAAAAAAAAAAAAAAAAAA_2_2_1_5" hidden="1">{#N/A,#N/A,FALSE,"mgtsum.XLS";#N/A,#N/A,FALSE,"CAPONE";#N/A,#N/A,FALSE,"CAPTWO";#N/A,#N/A,FALSE,"CAPTHREE"}</definedName>
    <definedName name="AAAAAAAAAAAAAAAAAAAA_2_2_2" hidden="1">{#N/A,#N/A,FALSE,"mgtsum.XLS";#N/A,#N/A,FALSE,"CAPONE";#N/A,#N/A,FALSE,"CAPTWO";#N/A,#N/A,FALSE,"CAPTHREE"}</definedName>
    <definedName name="AAAAAAAAAAAAAAAAAAAA_2_2_2_1" hidden="1">{#N/A,#N/A,FALSE,"mgtsum.XLS";#N/A,#N/A,FALSE,"CAPONE";#N/A,#N/A,FALSE,"CAPTWO";#N/A,#N/A,FALSE,"CAPTHREE"}</definedName>
    <definedName name="AAAAAAAAAAAAAAAAAAAA_2_2_2_2" hidden="1">{#N/A,#N/A,FALSE,"mgtsum.XLS";#N/A,#N/A,FALSE,"CAPONE";#N/A,#N/A,FALSE,"CAPTWO";#N/A,#N/A,FALSE,"CAPTHREE"}</definedName>
    <definedName name="AAAAAAAAAAAAAAAAAAAA_2_2_2_3" hidden="1">{#N/A,#N/A,FALSE,"mgtsum.XLS";#N/A,#N/A,FALSE,"CAPONE";#N/A,#N/A,FALSE,"CAPTWO";#N/A,#N/A,FALSE,"CAPTHREE"}</definedName>
    <definedName name="AAAAAAAAAAAAAAAAAAAA_2_2_2_4" hidden="1">{#N/A,#N/A,FALSE,"mgtsum.XLS";#N/A,#N/A,FALSE,"CAPONE";#N/A,#N/A,FALSE,"CAPTWO";#N/A,#N/A,FALSE,"CAPTHREE"}</definedName>
    <definedName name="AAAAAAAAAAAAAAAAAAAA_2_2_2_5" hidden="1">{#N/A,#N/A,FALSE,"mgtsum.XLS";#N/A,#N/A,FALSE,"CAPONE";#N/A,#N/A,FALSE,"CAPTWO";#N/A,#N/A,FALSE,"CAPTHREE"}</definedName>
    <definedName name="AAAAAAAAAAAAAAAAAAAA_2_2_3" hidden="1">{#N/A,#N/A,FALSE,"mgtsum.XLS";#N/A,#N/A,FALSE,"CAPONE";#N/A,#N/A,FALSE,"CAPTWO";#N/A,#N/A,FALSE,"CAPTHREE"}</definedName>
    <definedName name="AAAAAAAAAAAAAAAAAAAA_2_2_4" hidden="1">{#N/A,#N/A,FALSE,"mgtsum.XLS";#N/A,#N/A,FALSE,"CAPONE";#N/A,#N/A,FALSE,"CAPTWO";#N/A,#N/A,FALSE,"CAPTHREE"}</definedName>
    <definedName name="AAAAAAAAAAAAAAAAAAAA_2_2_5" hidden="1">{#N/A,#N/A,FALSE,"mgtsum.XLS";#N/A,#N/A,FALSE,"CAPONE";#N/A,#N/A,FALSE,"CAPTWO";#N/A,#N/A,FALSE,"CAPTHREE"}</definedName>
    <definedName name="AAAAAAAAAAAAAAAAAAAA_2_3" hidden="1">{#N/A,#N/A,FALSE,"mgtsum.XLS";#N/A,#N/A,FALSE,"CAPONE";#N/A,#N/A,FALSE,"CAPTWO";#N/A,#N/A,FALSE,"CAPTHREE"}</definedName>
    <definedName name="AAAAAAAAAAAAAAAAAAAA_2_3_1" hidden="1">{#N/A,#N/A,FALSE,"mgtsum.XLS";#N/A,#N/A,FALSE,"CAPONE";#N/A,#N/A,FALSE,"CAPTWO";#N/A,#N/A,FALSE,"CAPTHREE"}</definedName>
    <definedName name="AAAAAAAAAAAAAAAAAAAA_2_3_1_1" hidden="1">{#N/A,#N/A,FALSE,"mgtsum.XLS";#N/A,#N/A,FALSE,"CAPONE";#N/A,#N/A,FALSE,"CAPTWO";#N/A,#N/A,FALSE,"CAPTHREE"}</definedName>
    <definedName name="AAAAAAAAAAAAAAAAAAAA_2_3_1_2" hidden="1">{#N/A,#N/A,FALSE,"mgtsum.XLS";#N/A,#N/A,FALSE,"CAPONE";#N/A,#N/A,FALSE,"CAPTWO";#N/A,#N/A,FALSE,"CAPTHREE"}</definedName>
    <definedName name="AAAAAAAAAAAAAAAAAAAA_2_3_1_3" hidden="1">{#N/A,#N/A,FALSE,"mgtsum.XLS";#N/A,#N/A,FALSE,"CAPONE";#N/A,#N/A,FALSE,"CAPTWO";#N/A,#N/A,FALSE,"CAPTHREE"}</definedName>
    <definedName name="AAAAAAAAAAAAAAAAAAAA_2_3_1_4" hidden="1">{#N/A,#N/A,FALSE,"mgtsum.XLS";#N/A,#N/A,FALSE,"CAPONE";#N/A,#N/A,FALSE,"CAPTWO";#N/A,#N/A,FALSE,"CAPTHREE"}</definedName>
    <definedName name="AAAAAAAAAAAAAAAAAAAA_2_3_1_5" hidden="1">{#N/A,#N/A,FALSE,"mgtsum.XLS";#N/A,#N/A,FALSE,"CAPONE";#N/A,#N/A,FALSE,"CAPTWO";#N/A,#N/A,FALSE,"CAPTHREE"}</definedName>
    <definedName name="AAAAAAAAAAAAAAAAAAAA_2_3_2" hidden="1">{#N/A,#N/A,FALSE,"mgtsum.XLS";#N/A,#N/A,FALSE,"CAPONE";#N/A,#N/A,FALSE,"CAPTWO";#N/A,#N/A,FALSE,"CAPTHREE"}</definedName>
    <definedName name="AAAAAAAAAAAAAAAAAAAA_2_3_2_1" hidden="1">{#N/A,#N/A,FALSE,"mgtsum.XLS";#N/A,#N/A,FALSE,"CAPONE";#N/A,#N/A,FALSE,"CAPTWO";#N/A,#N/A,FALSE,"CAPTHREE"}</definedName>
    <definedName name="AAAAAAAAAAAAAAAAAAAA_2_3_2_2" hidden="1">{#N/A,#N/A,FALSE,"mgtsum.XLS";#N/A,#N/A,FALSE,"CAPONE";#N/A,#N/A,FALSE,"CAPTWO";#N/A,#N/A,FALSE,"CAPTHREE"}</definedName>
    <definedName name="AAAAAAAAAAAAAAAAAAAA_2_3_2_3" hidden="1">{#N/A,#N/A,FALSE,"mgtsum.XLS";#N/A,#N/A,FALSE,"CAPONE";#N/A,#N/A,FALSE,"CAPTWO";#N/A,#N/A,FALSE,"CAPTHREE"}</definedName>
    <definedName name="AAAAAAAAAAAAAAAAAAAA_2_3_2_4" hidden="1">{#N/A,#N/A,FALSE,"mgtsum.XLS";#N/A,#N/A,FALSE,"CAPONE";#N/A,#N/A,FALSE,"CAPTWO";#N/A,#N/A,FALSE,"CAPTHREE"}</definedName>
    <definedName name="AAAAAAAAAAAAAAAAAAAA_2_3_2_5" hidden="1">{#N/A,#N/A,FALSE,"mgtsum.XLS";#N/A,#N/A,FALSE,"CAPONE";#N/A,#N/A,FALSE,"CAPTWO";#N/A,#N/A,FALSE,"CAPTHREE"}</definedName>
    <definedName name="AAAAAAAAAAAAAAAAAAAA_2_3_3" hidden="1">{#N/A,#N/A,FALSE,"mgtsum.XLS";#N/A,#N/A,FALSE,"CAPONE";#N/A,#N/A,FALSE,"CAPTWO";#N/A,#N/A,FALSE,"CAPTHREE"}</definedName>
    <definedName name="AAAAAAAAAAAAAAAAAAAA_2_3_4" hidden="1">{#N/A,#N/A,FALSE,"mgtsum.XLS";#N/A,#N/A,FALSE,"CAPONE";#N/A,#N/A,FALSE,"CAPTWO";#N/A,#N/A,FALSE,"CAPTHREE"}</definedName>
    <definedName name="AAAAAAAAAAAAAAAAAAAA_2_3_5" hidden="1">{#N/A,#N/A,FALSE,"mgtsum.XLS";#N/A,#N/A,FALSE,"CAPONE";#N/A,#N/A,FALSE,"CAPTWO";#N/A,#N/A,FALSE,"CAPTHREE"}</definedName>
    <definedName name="AAAAAAAAAAAAAAAAAAAA_2_4" hidden="1">{#N/A,#N/A,FALSE,"mgtsum.XLS";#N/A,#N/A,FALSE,"CAPONE";#N/A,#N/A,FALSE,"CAPTWO";#N/A,#N/A,FALSE,"CAPTHREE"}</definedName>
    <definedName name="AAAAAAAAAAAAAAAAAAAA_2_4_1" hidden="1">{#N/A,#N/A,FALSE,"mgtsum.XLS";#N/A,#N/A,FALSE,"CAPONE";#N/A,#N/A,FALSE,"CAPTWO";#N/A,#N/A,FALSE,"CAPTHREE"}</definedName>
    <definedName name="AAAAAAAAAAAAAAAAAAAA_2_4_1_1" hidden="1">{#N/A,#N/A,FALSE,"mgtsum.XLS";#N/A,#N/A,FALSE,"CAPONE";#N/A,#N/A,FALSE,"CAPTWO";#N/A,#N/A,FALSE,"CAPTHREE"}</definedName>
    <definedName name="AAAAAAAAAAAAAAAAAAAA_2_4_1_2" hidden="1">{#N/A,#N/A,FALSE,"mgtsum.XLS";#N/A,#N/A,FALSE,"CAPONE";#N/A,#N/A,FALSE,"CAPTWO";#N/A,#N/A,FALSE,"CAPTHREE"}</definedName>
    <definedName name="AAAAAAAAAAAAAAAAAAAA_2_4_1_3" hidden="1">{#N/A,#N/A,FALSE,"mgtsum.XLS";#N/A,#N/A,FALSE,"CAPONE";#N/A,#N/A,FALSE,"CAPTWO";#N/A,#N/A,FALSE,"CAPTHREE"}</definedName>
    <definedName name="AAAAAAAAAAAAAAAAAAAA_2_4_1_4" hidden="1">{#N/A,#N/A,FALSE,"mgtsum.XLS";#N/A,#N/A,FALSE,"CAPONE";#N/A,#N/A,FALSE,"CAPTWO";#N/A,#N/A,FALSE,"CAPTHREE"}</definedName>
    <definedName name="AAAAAAAAAAAAAAAAAAAA_2_4_1_5" hidden="1">{#N/A,#N/A,FALSE,"mgtsum.XLS";#N/A,#N/A,FALSE,"CAPONE";#N/A,#N/A,FALSE,"CAPTWO";#N/A,#N/A,FALSE,"CAPTHREE"}</definedName>
    <definedName name="AAAAAAAAAAAAAAAAAAAA_2_4_2" hidden="1">{#N/A,#N/A,FALSE,"mgtsum.XLS";#N/A,#N/A,FALSE,"CAPONE";#N/A,#N/A,FALSE,"CAPTWO";#N/A,#N/A,FALSE,"CAPTHREE"}</definedName>
    <definedName name="AAAAAAAAAAAAAAAAAAAA_2_4_2_1" hidden="1">{#N/A,#N/A,FALSE,"mgtsum.XLS";#N/A,#N/A,FALSE,"CAPONE";#N/A,#N/A,FALSE,"CAPTWO";#N/A,#N/A,FALSE,"CAPTHREE"}</definedName>
    <definedName name="AAAAAAAAAAAAAAAAAAAA_2_4_2_2" hidden="1">{#N/A,#N/A,FALSE,"mgtsum.XLS";#N/A,#N/A,FALSE,"CAPONE";#N/A,#N/A,FALSE,"CAPTWO";#N/A,#N/A,FALSE,"CAPTHREE"}</definedName>
    <definedName name="AAAAAAAAAAAAAAAAAAAA_2_4_2_3" hidden="1">{#N/A,#N/A,FALSE,"mgtsum.XLS";#N/A,#N/A,FALSE,"CAPONE";#N/A,#N/A,FALSE,"CAPTWO";#N/A,#N/A,FALSE,"CAPTHREE"}</definedName>
    <definedName name="AAAAAAAAAAAAAAAAAAAA_2_4_2_4" hidden="1">{#N/A,#N/A,FALSE,"mgtsum.XLS";#N/A,#N/A,FALSE,"CAPONE";#N/A,#N/A,FALSE,"CAPTWO";#N/A,#N/A,FALSE,"CAPTHREE"}</definedName>
    <definedName name="AAAAAAAAAAAAAAAAAAAA_2_4_2_5" hidden="1">{#N/A,#N/A,FALSE,"mgtsum.XLS";#N/A,#N/A,FALSE,"CAPONE";#N/A,#N/A,FALSE,"CAPTWO";#N/A,#N/A,FALSE,"CAPTHREE"}</definedName>
    <definedName name="AAAAAAAAAAAAAAAAAAAA_2_4_3" hidden="1">{#N/A,#N/A,FALSE,"mgtsum.XLS";#N/A,#N/A,FALSE,"CAPONE";#N/A,#N/A,FALSE,"CAPTWO";#N/A,#N/A,FALSE,"CAPTHREE"}</definedName>
    <definedName name="AAAAAAAAAAAAAAAAAAAA_2_4_4" hidden="1">{#N/A,#N/A,FALSE,"mgtsum.XLS";#N/A,#N/A,FALSE,"CAPONE";#N/A,#N/A,FALSE,"CAPTWO";#N/A,#N/A,FALSE,"CAPTHREE"}</definedName>
    <definedName name="AAAAAAAAAAAAAAAAAAAA_2_4_5" hidden="1">{#N/A,#N/A,FALSE,"mgtsum.XLS";#N/A,#N/A,FALSE,"CAPONE";#N/A,#N/A,FALSE,"CAPTWO";#N/A,#N/A,FALSE,"CAPTHREE"}</definedName>
    <definedName name="AAAAAAAAAAAAAAAAAAAA_2_5" hidden="1">{#N/A,#N/A,FALSE,"mgtsum.XLS";#N/A,#N/A,FALSE,"CAPONE";#N/A,#N/A,FALSE,"CAPTWO";#N/A,#N/A,FALSE,"CAPTHREE"}</definedName>
    <definedName name="AAAAAAAAAAAAAAAAAAAA_2_5_1" hidden="1">{#N/A,#N/A,FALSE,"mgtsum.XLS";#N/A,#N/A,FALSE,"CAPONE";#N/A,#N/A,FALSE,"CAPTWO";#N/A,#N/A,FALSE,"CAPTHREE"}</definedName>
    <definedName name="AAAAAAAAAAAAAAAAAAAA_2_5_2" hidden="1">{#N/A,#N/A,FALSE,"mgtsum.XLS";#N/A,#N/A,FALSE,"CAPONE";#N/A,#N/A,FALSE,"CAPTWO";#N/A,#N/A,FALSE,"CAPTHREE"}</definedName>
    <definedName name="AAAAAAAAAAAAAAAAAAAA_2_5_3" hidden="1">{#N/A,#N/A,FALSE,"mgtsum.XLS";#N/A,#N/A,FALSE,"CAPONE";#N/A,#N/A,FALSE,"CAPTWO";#N/A,#N/A,FALSE,"CAPTHREE"}</definedName>
    <definedName name="AAAAAAAAAAAAAAAAAAAA_2_5_4" hidden="1">{#N/A,#N/A,FALSE,"mgtsum.XLS";#N/A,#N/A,FALSE,"CAPONE";#N/A,#N/A,FALSE,"CAPTWO";#N/A,#N/A,FALSE,"CAPTHREE"}</definedName>
    <definedName name="AAAAAAAAAAAAAAAAAAAA_2_5_5" hidden="1">{#N/A,#N/A,FALSE,"mgtsum.XLS";#N/A,#N/A,FALSE,"CAPONE";#N/A,#N/A,FALSE,"CAPTWO";#N/A,#N/A,FALSE,"CAPTHREE"}</definedName>
    <definedName name="AAAAAAAAAAAAAAAAAAAA_3" hidden="1">{#N/A,#N/A,FALSE,"mgtsum.XLS";#N/A,#N/A,FALSE,"CAPONE";#N/A,#N/A,FALSE,"CAPTWO";#N/A,#N/A,FALSE,"CAPTHREE"}</definedName>
    <definedName name="AAAAAAAAAAAAAAAAAAAA_3_1" hidden="1">{#N/A,#N/A,FALSE,"mgtsum.XLS";#N/A,#N/A,FALSE,"CAPONE";#N/A,#N/A,FALSE,"CAPTWO";#N/A,#N/A,FALSE,"CAPTHREE"}</definedName>
    <definedName name="AAAAAAAAAAAAAAAAAAAA_3_1_1" hidden="1">{#N/A,#N/A,FALSE,"mgtsum.XLS";#N/A,#N/A,FALSE,"CAPONE";#N/A,#N/A,FALSE,"CAPTWO";#N/A,#N/A,FALSE,"CAPTHREE"}</definedName>
    <definedName name="AAAAAAAAAAAAAAAAAAAA_3_1_1_1" hidden="1">{#N/A,#N/A,FALSE,"mgtsum.XLS";#N/A,#N/A,FALSE,"CAPONE";#N/A,#N/A,FALSE,"CAPTWO";#N/A,#N/A,FALSE,"CAPTHREE"}</definedName>
    <definedName name="AAAAAAAAAAAAAAAAAAAA_3_1_1_2" hidden="1">{#N/A,#N/A,FALSE,"mgtsum.XLS";#N/A,#N/A,FALSE,"CAPONE";#N/A,#N/A,FALSE,"CAPTWO";#N/A,#N/A,FALSE,"CAPTHREE"}</definedName>
    <definedName name="AAAAAAAAAAAAAAAAAAAA_3_1_1_3" hidden="1">{#N/A,#N/A,FALSE,"mgtsum.XLS";#N/A,#N/A,FALSE,"CAPONE";#N/A,#N/A,FALSE,"CAPTWO";#N/A,#N/A,FALSE,"CAPTHREE"}</definedName>
    <definedName name="AAAAAAAAAAAAAAAAAAAA_3_1_1_4" hidden="1">{#N/A,#N/A,FALSE,"mgtsum.XLS";#N/A,#N/A,FALSE,"CAPONE";#N/A,#N/A,FALSE,"CAPTWO";#N/A,#N/A,FALSE,"CAPTHREE"}</definedName>
    <definedName name="AAAAAAAAAAAAAAAAAAAA_3_1_1_5" hidden="1">{#N/A,#N/A,FALSE,"mgtsum.XLS";#N/A,#N/A,FALSE,"CAPONE";#N/A,#N/A,FALSE,"CAPTWO";#N/A,#N/A,FALSE,"CAPTHREE"}</definedName>
    <definedName name="AAAAAAAAAAAAAAAAAAAA_3_1_2" hidden="1">{#N/A,#N/A,FALSE,"mgtsum.XLS";#N/A,#N/A,FALSE,"CAPONE";#N/A,#N/A,FALSE,"CAPTWO";#N/A,#N/A,FALSE,"CAPTHREE"}</definedName>
    <definedName name="AAAAAAAAAAAAAAAAAAAA_3_1_2_1" hidden="1">{#N/A,#N/A,FALSE,"mgtsum.XLS";#N/A,#N/A,FALSE,"CAPONE";#N/A,#N/A,FALSE,"CAPTWO";#N/A,#N/A,FALSE,"CAPTHREE"}</definedName>
    <definedName name="AAAAAAAAAAAAAAAAAAAA_3_1_2_2" hidden="1">{#N/A,#N/A,FALSE,"mgtsum.XLS";#N/A,#N/A,FALSE,"CAPONE";#N/A,#N/A,FALSE,"CAPTWO";#N/A,#N/A,FALSE,"CAPTHREE"}</definedName>
    <definedName name="AAAAAAAAAAAAAAAAAAAA_3_1_2_3" hidden="1">{#N/A,#N/A,FALSE,"mgtsum.XLS";#N/A,#N/A,FALSE,"CAPONE";#N/A,#N/A,FALSE,"CAPTWO";#N/A,#N/A,FALSE,"CAPTHREE"}</definedName>
    <definedName name="AAAAAAAAAAAAAAAAAAAA_3_1_2_4" hidden="1">{#N/A,#N/A,FALSE,"mgtsum.XLS";#N/A,#N/A,FALSE,"CAPONE";#N/A,#N/A,FALSE,"CAPTWO";#N/A,#N/A,FALSE,"CAPTHREE"}</definedName>
    <definedName name="AAAAAAAAAAAAAAAAAAAA_3_1_2_5" hidden="1">{#N/A,#N/A,FALSE,"mgtsum.XLS";#N/A,#N/A,FALSE,"CAPONE";#N/A,#N/A,FALSE,"CAPTWO";#N/A,#N/A,FALSE,"CAPTHREE"}</definedName>
    <definedName name="AAAAAAAAAAAAAAAAAAAA_3_1_3" hidden="1">{#N/A,#N/A,FALSE,"mgtsum.XLS";#N/A,#N/A,FALSE,"CAPONE";#N/A,#N/A,FALSE,"CAPTWO";#N/A,#N/A,FALSE,"CAPTHREE"}</definedName>
    <definedName name="AAAAAAAAAAAAAAAAAAAA_3_1_3_1" hidden="1">{#N/A,#N/A,FALSE,"mgtsum.XLS";#N/A,#N/A,FALSE,"CAPONE";#N/A,#N/A,FALSE,"CAPTWO";#N/A,#N/A,FALSE,"CAPTHREE"}</definedName>
    <definedName name="AAAAAAAAAAAAAAAAAAAA_3_1_3_2" hidden="1">{#N/A,#N/A,FALSE,"mgtsum.XLS";#N/A,#N/A,FALSE,"CAPONE";#N/A,#N/A,FALSE,"CAPTWO";#N/A,#N/A,FALSE,"CAPTHREE"}</definedName>
    <definedName name="AAAAAAAAAAAAAAAAAAAA_3_1_3_3" hidden="1">{#N/A,#N/A,FALSE,"mgtsum.XLS";#N/A,#N/A,FALSE,"CAPONE";#N/A,#N/A,FALSE,"CAPTWO";#N/A,#N/A,FALSE,"CAPTHREE"}</definedName>
    <definedName name="AAAAAAAAAAAAAAAAAAAA_3_1_3_4" hidden="1">{#N/A,#N/A,FALSE,"mgtsum.XLS";#N/A,#N/A,FALSE,"CAPONE";#N/A,#N/A,FALSE,"CAPTWO";#N/A,#N/A,FALSE,"CAPTHREE"}</definedName>
    <definedName name="AAAAAAAAAAAAAAAAAAAA_3_1_3_5" hidden="1">{#N/A,#N/A,FALSE,"mgtsum.XLS";#N/A,#N/A,FALSE,"CAPONE";#N/A,#N/A,FALSE,"CAPTWO";#N/A,#N/A,FALSE,"CAPTHREE"}</definedName>
    <definedName name="AAAAAAAAAAAAAAAAAAAA_3_1_4" hidden="1">{#N/A,#N/A,FALSE,"mgtsum.XLS";#N/A,#N/A,FALSE,"CAPONE";#N/A,#N/A,FALSE,"CAPTWO";#N/A,#N/A,FALSE,"CAPTHREE"}</definedName>
    <definedName name="AAAAAAAAAAAAAAAAAAAA_3_1_5" hidden="1">{#N/A,#N/A,FALSE,"mgtsum.XLS";#N/A,#N/A,FALSE,"CAPONE";#N/A,#N/A,FALSE,"CAPTWO";#N/A,#N/A,FALSE,"CAPTHREE"}</definedName>
    <definedName name="AAAAAAAAAAAAAAAAAAAA_3_2" hidden="1">{#N/A,#N/A,FALSE,"mgtsum.XLS";#N/A,#N/A,FALSE,"CAPONE";#N/A,#N/A,FALSE,"CAPTWO";#N/A,#N/A,FALSE,"CAPTHREE"}</definedName>
    <definedName name="AAAAAAAAAAAAAAAAAAAA_3_2_1" hidden="1">{#N/A,#N/A,FALSE,"mgtsum.XLS";#N/A,#N/A,FALSE,"CAPONE";#N/A,#N/A,FALSE,"CAPTWO";#N/A,#N/A,FALSE,"CAPTHREE"}</definedName>
    <definedName name="AAAAAAAAAAAAAAAAAAAA_3_2_1_1" hidden="1">{#N/A,#N/A,FALSE,"mgtsum.XLS";#N/A,#N/A,FALSE,"CAPONE";#N/A,#N/A,FALSE,"CAPTWO";#N/A,#N/A,FALSE,"CAPTHREE"}</definedName>
    <definedName name="AAAAAAAAAAAAAAAAAAAA_3_2_1_2" hidden="1">{#N/A,#N/A,FALSE,"mgtsum.XLS";#N/A,#N/A,FALSE,"CAPONE";#N/A,#N/A,FALSE,"CAPTWO";#N/A,#N/A,FALSE,"CAPTHREE"}</definedName>
    <definedName name="AAAAAAAAAAAAAAAAAAAA_3_2_1_3" hidden="1">{#N/A,#N/A,FALSE,"mgtsum.XLS";#N/A,#N/A,FALSE,"CAPONE";#N/A,#N/A,FALSE,"CAPTWO";#N/A,#N/A,FALSE,"CAPTHREE"}</definedName>
    <definedName name="AAAAAAAAAAAAAAAAAAAA_3_2_1_4" hidden="1">{#N/A,#N/A,FALSE,"mgtsum.XLS";#N/A,#N/A,FALSE,"CAPONE";#N/A,#N/A,FALSE,"CAPTWO";#N/A,#N/A,FALSE,"CAPTHREE"}</definedName>
    <definedName name="AAAAAAAAAAAAAAAAAAAA_3_2_1_5" hidden="1">{#N/A,#N/A,FALSE,"mgtsum.XLS";#N/A,#N/A,FALSE,"CAPONE";#N/A,#N/A,FALSE,"CAPTWO";#N/A,#N/A,FALSE,"CAPTHREE"}</definedName>
    <definedName name="AAAAAAAAAAAAAAAAAAAA_3_2_2" hidden="1">{#N/A,#N/A,FALSE,"mgtsum.XLS";#N/A,#N/A,FALSE,"CAPONE";#N/A,#N/A,FALSE,"CAPTWO";#N/A,#N/A,FALSE,"CAPTHREE"}</definedName>
    <definedName name="AAAAAAAAAAAAAAAAAAAA_3_2_2_1" hidden="1">{#N/A,#N/A,FALSE,"mgtsum.XLS";#N/A,#N/A,FALSE,"CAPONE";#N/A,#N/A,FALSE,"CAPTWO";#N/A,#N/A,FALSE,"CAPTHREE"}</definedName>
    <definedName name="AAAAAAAAAAAAAAAAAAAA_3_2_2_2" hidden="1">{#N/A,#N/A,FALSE,"mgtsum.XLS";#N/A,#N/A,FALSE,"CAPONE";#N/A,#N/A,FALSE,"CAPTWO";#N/A,#N/A,FALSE,"CAPTHREE"}</definedName>
    <definedName name="AAAAAAAAAAAAAAAAAAAA_3_2_2_3" hidden="1">{#N/A,#N/A,FALSE,"mgtsum.XLS";#N/A,#N/A,FALSE,"CAPONE";#N/A,#N/A,FALSE,"CAPTWO";#N/A,#N/A,FALSE,"CAPTHREE"}</definedName>
    <definedName name="AAAAAAAAAAAAAAAAAAAA_3_2_2_4" hidden="1">{#N/A,#N/A,FALSE,"mgtsum.XLS";#N/A,#N/A,FALSE,"CAPONE";#N/A,#N/A,FALSE,"CAPTWO";#N/A,#N/A,FALSE,"CAPTHREE"}</definedName>
    <definedName name="AAAAAAAAAAAAAAAAAAAA_3_2_2_5" hidden="1">{#N/A,#N/A,FALSE,"mgtsum.XLS";#N/A,#N/A,FALSE,"CAPONE";#N/A,#N/A,FALSE,"CAPTWO";#N/A,#N/A,FALSE,"CAPTHREE"}</definedName>
    <definedName name="AAAAAAAAAAAAAAAAAAAA_3_2_3" hidden="1">{#N/A,#N/A,FALSE,"mgtsum.XLS";#N/A,#N/A,FALSE,"CAPONE";#N/A,#N/A,FALSE,"CAPTWO";#N/A,#N/A,FALSE,"CAPTHREE"}</definedName>
    <definedName name="AAAAAAAAAAAAAAAAAAAA_3_2_4" hidden="1">{#N/A,#N/A,FALSE,"mgtsum.XLS";#N/A,#N/A,FALSE,"CAPONE";#N/A,#N/A,FALSE,"CAPTWO";#N/A,#N/A,FALSE,"CAPTHREE"}</definedName>
    <definedName name="AAAAAAAAAAAAAAAAAAAA_3_2_5" hidden="1">{#N/A,#N/A,FALSE,"mgtsum.XLS";#N/A,#N/A,FALSE,"CAPONE";#N/A,#N/A,FALSE,"CAPTWO";#N/A,#N/A,FALSE,"CAPTHREE"}</definedName>
    <definedName name="AAAAAAAAAAAAAAAAAAAA_3_3" hidden="1">{#N/A,#N/A,FALSE,"mgtsum.XLS";#N/A,#N/A,FALSE,"CAPONE";#N/A,#N/A,FALSE,"CAPTWO";#N/A,#N/A,FALSE,"CAPTHREE"}</definedName>
    <definedName name="AAAAAAAAAAAAAAAAAAAA_3_3_1" hidden="1">{#N/A,#N/A,FALSE,"mgtsum.XLS";#N/A,#N/A,FALSE,"CAPONE";#N/A,#N/A,FALSE,"CAPTWO";#N/A,#N/A,FALSE,"CAPTHREE"}</definedName>
    <definedName name="AAAAAAAAAAAAAAAAAAAA_3_3_1_1" hidden="1">{#N/A,#N/A,FALSE,"mgtsum.XLS";#N/A,#N/A,FALSE,"CAPONE";#N/A,#N/A,FALSE,"CAPTWO";#N/A,#N/A,FALSE,"CAPTHREE"}</definedName>
    <definedName name="AAAAAAAAAAAAAAAAAAAA_3_3_1_2" hidden="1">{#N/A,#N/A,FALSE,"mgtsum.XLS";#N/A,#N/A,FALSE,"CAPONE";#N/A,#N/A,FALSE,"CAPTWO";#N/A,#N/A,FALSE,"CAPTHREE"}</definedName>
    <definedName name="AAAAAAAAAAAAAAAAAAAA_3_3_1_3" hidden="1">{#N/A,#N/A,FALSE,"mgtsum.XLS";#N/A,#N/A,FALSE,"CAPONE";#N/A,#N/A,FALSE,"CAPTWO";#N/A,#N/A,FALSE,"CAPTHREE"}</definedName>
    <definedName name="AAAAAAAAAAAAAAAAAAAA_3_3_1_4" hidden="1">{#N/A,#N/A,FALSE,"mgtsum.XLS";#N/A,#N/A,FALSE,"CAPONE";#N/A,#N/A,FALSE,"CAPTWO";#N/A,#N/A,FALSE,"CAPTHREE"}</definedName>
    <definedName name="AAAAAAAAAAAAAAAAAAAA_3_3_1_5" hidden="1">{#N/A,#N/A,FALSE,"mgtsum.XLS";#N/A,#N/A,FALSE,"CAPONE";#N/A,#N/A,FALSE,"CAPTWO";#N/A,#N/A,FALSE,"CAPTHREE"}</definedName>
    <definedName name="AAAAAAAAAAAAAAAAAAAA_3_3_2" hidden="1">{#N/A,#N/A,FALSE,"mgtsum.XLS";#N/A,#N/A,FALSE,"CAPONE";#N/A,#N/A,FALSE,"CAPTWO";#N/A,#N/A,FALSE,"CAPTHREE"}</definedName>
    <definedName name="AAAAAAAAAAAAAAAAAAAA_3_3_2_1" hidden="1">{#N/A,#N/A,FALSE,"mgtsum.XLS";#N/A,#N/A,FALSE,"CAPONE";#N/A,#N/A,FALSE,"CAPTWO";#N/A,#N/A,FALSE,"CAPTHREE"}</definedName>
    <definedName name="AAAAAAAAAAAAAAAAAAAA_3_3_2_2" hidden="1">{#N/A,#N/A,FALSE,"mgtsum.XLS";#N/A,#N/A,FALSE,"CAPONE";#N/A,#N/A,FALSE,"CAPTWO";#N/A,#N/A,FALSE,"CAPTHREE"}</definedName>
    <definedName name="AAAAAAAAAAAAAAAAAAAA_3_3_2_3" hidden="1">{#N/A,#N/A,FALSE,"mgtsum.XLS";#N/A,#N/A,FALSE,"CAPONE";#N/A,#N/A,FALSE,"CAPTWO";#N/A,#N/A,FALSE,"CAPTHREE"}</definedName>
    <definedName name="AAAAAAAAAAAAAAAAAAAA_3_3_2_4" hidden="1">{#N/A,#N/A,FALSE,"mgtsum.XLS";#N/A,#N/A,FALSE,"CAPONE";#N/A,#N/A,FALSE,"CAPTWO";#N/A,#N/A,FALSE,"CAPTHREE"}</definedName>
    <definedName name="AAAAAAAAAAAAAAAAAAAA_3_3_2_5" hidden="1">{#N/A,#N/A,FALSE,"mgtsum.XLS";#N/A,#N/A,FALSE,"CAPONE";#N/A,#N/A,FALSE,"CAPTWO";#N/A,#N/A,FALSE,"CAPTHREE"}</definedName>
    <definedName name="AAAAAAAAAAAAAAAAAAAA_3_3_3" hidden="1">{#N/A,#N/A,FALSE,"mgtsum.XLS";#N/A,#N/A,FALSE,"CAPONE";#N/A,#N/A,FALSE,"CAPTWO";#N/A,#N/A,FALSE,"CAPTHREE"}</definedName>
    <definedName name="AAAAAAAAAAAAAAAAAAAA_3_3_4" hidden="1">{#N/A,#N/A,FALSE,"mgtsum.XLS";#N/A,#N/A,FALSE,"CAPONE";#N/A,#N/A,FALSE,"CAPTWO";#N/A,#N/A,FALSE,"CAPTHREE"}</definedName>
    <definedName name="AAAAAAAAAAAAAAAAAAAA_3_3_5" hidden="1">{#N/A,#N/A,FALSE,"mgtsum.XLS";#N/A,#N/A,FALSE,"CAPONE";#N/A,#N/A,FALSE,"CAPTWO";#N/A,#N/A,FALSE,"CAPTHREE"}</definedName>
    <definedName name="AAAAAAAAAAAAAAAAAAAA_3_4" hidden="1">{#N/A,#N/A,FALSE,"mgtsum.XLS";#N/A,#N/A,FALSE,"CAPONE";#N/A,#N/A,FALSE,"CAPTWO";#N/A,#N/A,FALSE,"CAPTHREE"}</definedName>
    <definedName name="AAAAAAAAAAAAAAAAAAAA_3_4_1" hidden="1">{#N/A,#N/A,FALSE,"mgtsum.XLS";#N/A,#N/A,FALSE,"CAPONE";#N/A,#N/A,FALSE,"CAPTWO";#N/A,#N/A,FALSE,"CAPTHREE"}</definedName>
    <definedName name="AAAAAAAAAAAAAAAAAAAA_3_4_1_1" hidden="1">{#N/A,#N/A,FALSE,"mgtsum.XLS";#N/A,#N/A,FALSE,"CAPONE";#N/A,#N/A,FALSE,"CAPTWO";#N/A,#N/A,FALSE,"CAPTHREE"}</definedName>
    <definedName name="AAAAAAAAAAAAAAAAAAAA_3_4_1_2" hidden="1">{#N/A,#N/A,FALSE,"mgtsum.XLS";#N/A,#N/A,FALSE,"CAPONE";#N/A,#N/A,FALSE,"CAPTWO";#N/A,#N/A,FALSE,"CAPTHREE"}</definedName>
    <definedName name="AAAAAAAAAAAAAAAAAAAA_3_4_1_3" hidden="1">{#N/A,#N/A,FALSE,"mgtsum.XLS";#N/A,#N/A,FALSE,"CAPONE";#N/A,#N/A,FALSE,"CAPTWO";#N/A,#N/A,FALSE,"CAPTHREE"}</definedName>
    <definedName name="AAAAAAAAAAAAAAAAAAAA_3_4_1_4" hidden="1">{#N/A,#N/A,FALSE,"mgtsum.XLS";#N/A,#N/A,FALSE,"CAPONE";#N/A,#N/A,FALSE,"CAPTWO";#N/A,#N/A,FALSE,"CAPTHREE"}</definedName>
    <definedName name="AAAAAAAAAAAAAAAAAAAA_3_4_1_5" hidden="1">{#N/A,#N/A,FALSE,"mgtsum.XLS";#N/A,#N/A,FALSE,"CAPONE";#N/A,#N/A,FALSE,"CAPTWO";#N/A,#N/A,FALSE,"CAPTHREE"}</definedName>
    <definedName name="AAAAAAAAAAAAAAAAAAAA_3_4_2" hidden="1">{#N/A,#N/A,FALSE,"mgtsum.XLS";#N/A,#N/A,FALSE,"CAPONE";#N/A,#N/A,FALSE,"CAPTWO";#N/A,#N/A,FALSE,"CAPTHREE"}</definedName>
    <definedName name="AAAAAAAAAAAAAAAAAAAA_3_4_2_1" hidden="1">{#N/A,#N/A,FALSE,"mgtsum.XLS";#N/A,#N/A,FALSE,"CAPONE";#N/A,#N/A,FALSE,"CAPTWO";#N/A,#N/A,FALSE,"CAPTHREE"}</definedName>
    <definedName name="AAAAAAAAAAAAAAAAAAAA_3_4_2_2" hidden="1">{#N/A,#N/A,FALSE,"mgtsum.XLS";#N/A,#N/A,FALSE,"CAPONE";#N/A,#N/A,FALSE,"CAPTWO";#N/A,#N/A,FALSE,"CAPTHREE"}</definedName>
    <definedName name="AAAAAAAAAAAAAAAAAAAA_3_4_2_3" hidden="1">{#N/A,#N/A,FALSE,"mgtsum.XLS";#N/A,#N/A,FALSE,"CAPONE";#N/A,#N/A,FALSE,"CAPTWO";#N/A,#N/A,FALSE,"CAPTHREE"}</definedName>
    <definedName name="AAAAAAAAAAAAAAAAAAAA_3_4_2_4" hidden="1">{#N/A,#N/A,FALSE,"mgtsum.XLS";#N/A,#N/A,FALSE,"CAPONE";#N/A,#N/A,FALSE,"CAPTWO";#N/A,#N/A,FALSE,"CAPTHREE"}</definedName>
    <definedName name="AAAAAAAAAAAAAAAAAAAA_3_4_2_5" hidden="1">{#N/A,#N/A,FALSE,"mgtsum.XLS";#N/A,#N/A,FALSE,"CAPONE";#N/A,#N/A,FALSE,"CAPTWO";#N/A,#N/A,FALSE,"CAPTHREE"}</definedName>
    <definedName name="AAAAAAAAAAAAAAAAAAAA_3_4_3" hidden="1">{#N/A,#N/A,FALSE,"mgtsum.XLS";#N/A,#N/A,FALSE,"CAPONE";#N/A,#N/A,FALSE,"CAPTWO";#N/A,#N/A,FALSE,"CAPTHREE"}</definedName>
    <definedName name="AAAAAAAAAAAAAAAAAAAA_3_4_4" hidden="1">{#N/A,#N/A,FALSE,"mgtsum.XLS";#N/A,#N/A,FALSE,"CAPONE";#N/A,#N/A,FALSE,"CAPTWO";#N/A,#N/A,FALSE,"CAPTHREE"}</definedName>
    <definedName name="AAAAAAAAAAAAAAAAAAAA_3_4_5" hidden="1">{#N/A,#N/A,FALSE,"mgtsum.XLS";#N/A,#N/A,FALSE,"CAPONE";#N/A,#N/A,FALSE,"CAPTWO";#N/A,#N/A,FALSE,"CAPTHREE"}</definedName>
    <definedName name="AAAAAAAAAAAAAAAAAAAA_3_5" hidden="1">{#N/A,#N/A,FALSE,"mgtsum.XLS";#N/A,#N/A,FALSE,"CAPONE";#N/A,#N/A,FALSE,"CAPTWO";#N/A,#N/A,FALSE,"CAPTHREE"}</definedName>
    <definedName name="AAAAAAAAAAAAAAAAAAAA_3_5_1" hidden="1">{#N/A,#N/A,FALSE,"mgtsum.XLS";#N/A,#N/A,FALSE,"CAPONE";#N/A,#N/A,FALSE,"CAPTWO";#N/A,#N/A,FALSE,"CAPTHREE"}</definedName>
    <definedName name="AAAAAAAAAAAAAAAAAAAA_3_5_2" hidden="1">{#N/A,#N/A,FALSE,"mgtsum.XLS";#N/A,#N/A,FALSE,"CAPONE";#N/A,#N/A,FALSE,"CAPTWO";#N/A,#N/A,FALSE,"CAPTHREE"}</definedName>
    <definedName name="AAAAAAAAAAAAAAAAAAAA_3_5_3" hidden="1">{#N/A,#N/A,FALSE,"mgtsum.XLS";#N/A,#N/A,FALSE,"CAPONE";#N/A,#N/A,FALSE,"CAPTWO";#N/A,#N/A,FALSE,"CAPTHREE"}</definedName>
    <definedName name="AAAAAAAAAAAAAAAAAAAA_3_5_4" hidden="1">{#N/A,#N/A,FALSE,"mgtsum.XLS";#N/A,#N/A,FALSE,"CAPONE";#N/A,#N/A,FALSE,"CAPTWO";#N/A,#N/A,FALSE,"CAPTHREE"}</definedName>
    <definedName name="AAAAAAAAAAAAAAAAAAAA_3_5_5" hidden="1">{#N/A,#N/A,FALSE,"mgtsum.XLS";#N/A,#N/A,FALSE,"CAPONE";#N/A,#N/A,FALSE,"CAPTWO";#N/A,#N/A,FALSE,"CAPTHREE"}</definedName>
    <definedName name="AAAAAAAAAAAAAAAAAAAA_4" hidden="1">{#N/A,#N/A,FALSE,"mgtsum.XLS";#N/A,#N/A,FALSE,"CAPONE";#N/A,#N/A,FALSE,"CAPTWO";#N/A,#N/A,FALSE,"CAPTHREE"}</definedName>
    <definedName name="AAAAAAAAAAAAAAAAAAAA_4_1" hidden="1">{#N/A,#N/A,FALSE,"mgtsum.XLS";#N/A,#N/A,FALSE,"CAPONE";#N/A,#N/A,FALSE,"CAPTWO";#N/A,#N/A,FALSE,"CAPTHREE"}</definedName>
    <definedName name="AAAAAAAAAAAAAAAAAAAA_4_1_1" hidden="1">{#N/A,#N/A,FALSE,"mgtsum.XLS";#N/A,#N/A,FALSE,"CAPONE";#N/A,#N/A,FALSE,"CAPTWO";#N/A,#N/A,FALSE,"CAPTHREE"}</definedName>
    <definedName name="AAAAAAAAAAAAAAAAAAAA_4_1_1_1" hidden="1">{#N/A,#N/A,FALSE,"mgtsum.XLS";#N/A,#N/A,FALSE,"CAPONE";#N/A,#N/A,FALSE,"CAPTWO";#N/A,#N/A,FALSE,"CAPTHREE"}</definedName>
    <definedName name="AAAAAAAAAAAAAAAAAAAA_4_1_1_2" hidden="1">{#N/A,#N/A,FALSE,"mgtsum.XLS";#N/A,#N/A,FALSE,"CAPONE";#N/A,#N/A,FALSE,"CAPTWO";#N/A,#N/A,FALSE,"CAPTHREE"}</definedName>
    <definedName name="AAAAAAAAAAAAAAAAAAAA_4_1_1_3" hidden="1">{#N/A,#N/A,FALSE,"mgtsum.XLS";#N/A,#N/A,FALSE,"CAPONE";#N/A,#N/A,FALSE,"CAPTWO";#N/A,#N/A,FALSE,"CAPTHREE"}</definedName>
    <definedName name="AAAAAAAAAAAAAAAAAAAA_4_1_1_4" hidden="1">{#N/A,#N/A,FALSE,"mgtsum.XLS";#N/A,#N/A,FALSE,"CAPONE";#N/A,#N/A,FALSE,"CAPTWO";#N/A,#N/A,FALSE,"CAPTHREE"}</definedName>
    <definedName name="AAAAAAAAAAAAAAAAAAAA_4_1_1_5" hidden="1">{#N/A,#N/A,FALSE,"mgtsum.XLS";#N/A,#N/A,FALSE,"CAPONE";#N/A,#N/A,FALSE,"CAPTWO";#N/A,#N/A,FALSE,"CAPTHREE"}</definedName>
    <definedName name="AAAAAAAAAAAAAAAAAAAA_4_1_2" hidden="1">{#N/A,#N/A,FALSE,"mgtsum.XLS";#N/A,#N/A,FALSE,"CAPONE";#N/A,#N/A,FALSE,"CAPTWO";#N/A,#N/A,FALSE,"CAPTHREE"}</definedName>
    <definedName name="AAAAAAAAAAAAAAAAAAAA_4_1_2_1" hidden="1">{#N/A,#N/A,FALSE,"mgtsum.XLS";#N/A,#N/A,FALSE,"CAPONE";#N/A,#N/A,FALSE,"CAPTWO";#N/A,#N/A,FALSE,"CAPTHREE"}</definedName>
    <definedName name="AAAAAAAAAAAAAAAAAAAA_4_1_2_2" hidden="1">{#N/A,#N/A,FALSE,"mgtsum.XLS";#N/A,#N/A,FALSE,"CAPONE";#N/A,#N/A,FALSE,"CAPTWO";#N/A,#N/A,FALSE,"CAPTHREE"}</definedName>
    <definedName name="AAAAAAAAAAAAAAAAAAAA_4_1_2_3" hidden="1">{#N/A,#N/A,FALSE,"mgtsum.XLS";#N/A,#N/A,FALSE,"CAPONE";#N/A,#N/A,FALSE,"CAPTWO";#N/A,#N/A,FALSE,"CAPTHREE"}</definedName>
    <definedName name="AAAAAAAAAAAAAAAAAAAA_4_1_2_4" hidden="1">{#N/A,#N/A,FALSE,"mgtsum.XLS";#N/A,#N/A,FALSE,"CAPONE";#N/A,#N/A,FALSE,"CAPTWO";#N/A,#N/A,FALSE,"CAPTHREE"}</definedName>
    <definedName name="AAAAAAAAAAAAAAAAAAAA_4_1_2_5" hidden="1">{#N/A,#N/A,FALSE,"mgtsum.XLS";#N/A,#N/A,FALSE,"CAPONE";#N/A,#N/A,FALSE,"CAPTWO";#N/A,#N/A,FALSE,"CAPTHREE"}</definedName>
    <definedName name="AAAAAAAAAAAAAAAAAAAA_4_1_3" hidden="1">{#N/A,#N/A,FALSE,"mgtsum.XLS";#N/A,#N/A,FALSE,"CAPONE";#N/A,#N/A,FALSE,"CAPTWO";#N/A,#N/A,FALSE,"CAPTHREE"}</definedName>
    <definedName name="AAAAAAAAAAAAAAAAAAAA_4_1_3_1" hidden="1">{#N/A,#N/A,FALSE,"mgtsum.XLS";#N/A,#N/A,FALSE,"CAPONE";#N/A,#N/A,FALSE,"CAPTWO";#N/A,#N/A,FALSE,"CAPTHREE"}</definedName>
    <definedName name="AAAAAAAAAAAAAAAAAAAA_4_1_3_2" hidden="1">{#N/A,#N/A,FALSE,"mgtsum.XLS";#N/A,#N/A,FALSE,"CAPONE";#N/A,#N/A,FALSE,"CAPTWO";#N/A,#N/A,FALSE,"CAPTHREE"}</definedName>
    <definedName name="AAAAAAAAAAAAAAAAAAAA_4_1_3_3" hidden="1">{#N/A,#N/A,FALSE,"mgtsum.XLS";#N/A,#N/A,FALSE,"CAPONE";#N/A,#N/A,FALSE,"CAPTWO";#N/A,#N/A,FALSE,"CAPTHREE"}</definedName>
    <definedName name="AAAAAAAAAAAAAAAAAAAA_4_1_3_4" hidden="1">{#N/A,#N/A,FALSE,"mgtsum.XLS";#N/A,#N/A,FALSE,"CAPONE";#N/A,#N/A,FALSE,"CAPTWO";#N/A,#N/A,FALSE,"CAPTHREE"}</definedName>
    <definedName name="AAAAAAAAAAAAAAAAAAAA_4_1_3_5" hidden="1">{#N/A,#N/A,FALSE,"mgtsum.XLS";#N/A,#N/A,FALSE,"CAPONE";#N/A,#N/A,FALSE,"CAPTWO";#N/A,#N/A,FALSE,"CAPTHREE"}</definedName>
    <definedName name="AAAAAAAAAAAAAAAAAAAA_4_1_4" hidden="1">{#N/A,#N/A,FALSE,"mgtsum.XLS";#N/A,#N/A,FALSE,"CAPONE";#N/A,#N/A,FALSE,"CAPTWO";#N/A,#N/A,FALSE,"CAPTHREE"}</definedName>
    <definedName name="AAAAAAAAAAAAAAAAAAAA_4_1_5" hidden="1">{#N/A,#N/A,FALSE,"mgtsum.XLS";#N/A,#N/A,FALSE,"CAPONE";#N/A,#N/A,FALSE,"CAPTWO";#N/A,#N/A,FALSE,"CAPTHREE"}</definedName>
    <definedName name="AAAAAAAAAAAAAAAAAAAA_4_2" hidden="1">{#N/A,#N/A,FALSE,"mgtsum.XLS";#N/A,#N/A,FALSE,"CAPONE";#N/A,#N/A,FALSE,"CAPTWO";#N/A,#N/A,FALSE,"CAPTHREE"}</definedName>
    <definedName name="AAAAAAAAAAAAAAAAAAAA_4_2_1" hidden="1">{#N/A,#N/A,FALSE,"mgtsum.XLS";#N/A,#N/A,FALSE,"CAPONE";#N/A,#N/A,FALSE,"CAPTWO";#N/A,#N/A,FALSE,"CAPTHREE"}</definedName>
    <definedName name="AAAAAAAAAAAAAAAAAAAA_4_2_2" hidden="1">{#N/A,#N/A,FALSE,"mgtsum.XLS";#N/A,#N/A,FALSE,"CAPONE";#N/A,#N/A,FALSE,"CAPTWO";#N/A,#N/A,FALSE,"CAPTHREE"}</definedName>
    <definedName name="AAAAAAAAAAAAAAAAAAAA_4_2_3" hidden="1">{#N/A,#N/A,FALSE,"mgtsum.XLS";#N/A,#N/A,FALSE,"CAPONE";#N/A,#N/A,FALSE,"CAPTWO";#N/A,#N/A,FALSE,"CAPTHREE"}</definedName>
    <definedName name="AAAAAAAAAAAAAAAAAAAA_4_2_4" hidden="1">{#N/A,#N/A,FALSE,"mgtsum.XLS";#N/A,#N/A,FALSE,"CAPONE";#N/A,#N/A,FALSE,"CAPTWO";#N/A,#N/A,FALSE,"CAPTHREE"}</definedName>
    <definedName name="AAAAAAAAAAAAAAAAAAAA_4_2_5" hidden="1">{#N/A,#N/A,FALSE,"mgtsum.XLS";#N/A,#N/A,FALSE,"CAPONE";#N/A,#N/A,FALSE,"CAPTWO";#N/A,#N/A,FALSE,"CAPTHREE"}</definedName>
    <definedName name="AAAAAAAAAAAAAAAAAAAA_4_3" hidden="1">{#N/A,#N/A,FALSE,"mgtsum.XLS";#N/A,#N/A,FALSE,"CAPONE";#N/A,#N/A,FALSE,"CAPTWO";#N/A,#N/A,FALSE,"CAPTHREE"}</definedName>
    <definedName name="AAAAAAAAAAAAAAAAAAAA_4_3_1" hidden="1">{#N/A,#N/A,FALSE,"mgtsum.XLS";#N/A,#N/A,FALSE,"CAPONE";#N/A,#N/A,FALSE,"CAPTWO";#N/A,#N/A,FALSE,"CAPTHREE"}</definedName>
    <definedName name="AAAAAAAAAAAAAAAAAAAA_4_3_2" hidden="1">{#N/A,#N/A,FALSE,"mgtsum.XLS";#N/A,#N/A,FALSE,"CAPONE";#N/A,#N/A,FALSE,"CAPTWO";#N/A,#N/A,FALSE,"CAPTHREE"}</definedName>
    <definedName name="AAAAAAAAAAAAAAAAAAAA_4_3_3" hidden="1">{#N/A,#N/A,FALSE,"mgtsum.XLS";#N/A,#N/A,FALSE,"CAPONE";#N/A,#N/A,FALSE,"CAPTWO";#N/A,#N/A,FALSE,"CAPTHREE"}</definedName>
    <definedName name="AAAAAAAAAAAAAAAAAAAA_4_3_4" hidden="1">{#N/A,#N/A,FALSE,"mgtsum.XLS";#N/A,#N/A,FALSE,"CAPONE";#N/A,#N/A,FALSE,"CAPTWO";#N/A,#N/A,FALSE,"CAPTHREE"}</definedName>
    <definedName name="AAAAAAAAAAAAAAAAAAAA_4_3_5" hidden="1">{#N/A,#N/A,FALSE,"mgtsum.XLS";#N/A,#N/A,FALSE,"CAPONE";#N/A,#N/A,FALSE,"CAPTWO";#N/A,#N/A,FALSE,"CAPTHREE"}</definedName>
    <definedName name="AAAAAAAAAAAAAAAAAAAA_4_4" hidden="1">{#N/A,#N/A,FALSE,"mgtsum.XLS";#N/A,#N/A,FALSE,"CAPONE";#N/A,#N/A,FALSE,"CAPTWO";#N/A,#N/A,FALSE,"CAPTHREE"}</definedName>
    <definedName name="AAAAAAAAAAAAAAAAAAAA_4_5" hidden="1">{#N/A,#N/A,FALSE,"mgtsum.XLS";#N/A,#N/A,FALSE,"CAPONE";#N/A,#N/A,FALSE,"CAPTWO";#N/A,#N/A,FALSE,"CAPTHREE"}</definedName>
    <definedName name="AAAAAAAAAAAAAAAAAAAA_5" hidden="1">{#N/A,#N/A,FALSE,"mgtsum.XLS";#N/A,#N/A,FALSE,"CAPONE";#N/A,#N/A,FALSE,"CAPTWO";#N/A,#N/A,FALSE,"CAPTHREE"}</definedName>
    <definedName name="AAAAAAAAAAAAAAAAAAAA_5_1" hidden="1">{#N/A,#N/A,FALSE,"mgtsum.XLS";#N/A,#N/A,FALSE,"CAPONE";#N/A,#N/A,FALSE,"CAPTWO";#N/A,#N/A,FALSE,"CAPTHREE"}</definedName>
    <definedName name="AAAAAAAAAAAAAAAAAAAA_5_1_1" hidden="1">{#N/A,#N/A,FALSE,"mgtsum.XLS";#N/A,#N/A,FALSE,"CAPONE";#N/A,#N/A,FALSE,"CAPTWO";#N/A,#N/A,FALSE,"CAPTHREE"}</definedName>
    <definedName name="AAAAAAAAAAAAAAAAAAAA_5_1_2" hidden="1">{#N/A,#N/A,FALSE,"mgtsum.XLS";#N/A,#N/A,FALSE,"CAPONE";#N/A,#N/A,FALSE,"CAPTWO";#N/A,#N/A,FALSE,"CAPTHREE"}</definedName>
    <definedName name="AAAAAAAAAAAAAAAAAAAA_5_1_3" hidden="1">{#N/A,#N/A,FALSE,"mgtsum.XLS";#N/A,#N/A,FALSE,"CAPONE";#N/A,#N/A,FALSE,"CAPTWO";#N/A,#N/A,FALSE,"CAPTHREE"}</definedName>
    <definedName name="AAAAAAAAAAAAAAAAAAAA_5_1_4" hidden="1">{#N/A,#N/A,FALSE,"mgtsum.XLS";#N/A,#N/A,FALSE,"CAPONE";#N/A,#N/A,FALSE,"CAPTWO";#N/A,#N/A,FALSE,"CAPTHREE"}</definedName>
    <definedName name="AAAAAAAAAAAAAAAAAAAA_5_1_5" hidden="1">{#N/A,#N/A,FALSE,"mgtsum.XLS";#N/A,#N/A,FALSE,"CAPONE";#N/A,#N/A,FALSE,"CAPTWO";#N/A,#N/A,FALSE,"CAPTHREE"}</definedName>
    <definedName name="AAAAAAAAAAAAAAAAAAAA_5_2" hidden="1">{#N/A,#N/A,FALSE,"mgtsum.XLS";#N/A,#N/A,FALSE,"CAPONE";#N/A,#N/A,FALSE,"CAPTWO";#N/A,#N/A,FALSE,"CAPTHREE"}</definedName>
    <definedName name="AAAAAAAAAAAAAAAAAAAA_5_2_1" hidden="1">{#N/A,#N/A,FALSE,"mgtsum.XLS";#N/A,#N/A,FALSE,"CAPONE";#N/A,#N/A,FALSE,"CAPTWO";#N/A,#N/A,FALSE,"CAPTHREE"}</definedName>
    <definedName name="AAAAAAAAAAAAAAAAAAAA_5_2_2" hidden="1">{#N/A,#N/A,FALSE,"mgtsum.XLS";#N/A,#N/A,FALSE,"CAPONE";#N/A,#N/A,FALSE,"CAPTWO";#N/A,#N/A,FALSE,"CAPTHREE"}</definedName>
    <definedName name="AAAAAAAAAAAAAAAAAAAA_5_2_3" hidden="1">{#N/A,#N/A,FALSE,"mgtsum.XLS";#N/A,#N/A,FALSE,"CAPONE";#N/A,#N/A,FALSE,"CAPTWO";#N/A,#N/A,FALSE,"CAPTHREE"}</definedName>
    <definedName name="AAAAAAAAAAAAAAAAAAAA_5_2_4" hidden="1">{#N/A,#N/A,FALSE,"mgtsum.XLS";#N/A,#N/A,FALSE,"CAPONE";#N/A,#N/A,FALSE,"CAPTWO";#N/A,#N/A,FALSE,"CAPTHREE"}</definedName>
    <definedName name="AAAAAAAAAAAAAAAAAAAA_5_2_5" hidden="1">{#N/A,#N/A,FALSE,"mgtsum.XLS";#N/A,#N/A,FALSE,"CAPONE";#N/A,#N/A,FALSE,"CAPTWO";#N/A,#N/A,FALSE,"CAPTHREE"}</definedName>
    <definedName name="AAAAAAAAAAAAAAAAAAAA_5_3" hidden="1">{#N/A,#N/A,FALSE,"mgtsum.XLS";#N/A,#N/A,FALSE,"CAPONE";#N/A,#N/A,FALSE,"CAPTWO";#N/A,#N/A,FALSE,"CAPTHREE"}</definedName>
    <definedName name="AAAAAAAAAAAAAAAAAAAA_5_4" hidden="1">{#N/A,#N/A,FALSE,"mgtsum.XLS";#N/A,#N/A,FALSE,"CAPONE";#N/A,#N/A,FALSE,"CAPTWO";#N/A,#N/A,FALSE,"CAPTHREE"}</definedName>
    <definedName name="AAAAAAAAAAAAAAAAAAAA_5_5" hidden="1">{#N/A,#N/A,FALSE,"mgtsum.XLS";#N/A,#N/A,FALSE,"CAPONE";#N/A,#N/A,FALSE,"CAPTWO";#N/A,#N/A,FALSE,"CAPTHREE"}</definedName>
    <definedName name="aaaab" hidden="1">{#N/A,#N/A,FALSE,"Project Properties";#N/A,#N/A,FALSE,"Eng %";#N/A,#N/A,FALSE,"ENGFORM";#N/A,#N/A,FALSE,"staffing";#N/A,#N/A,FALSE,"spending"}</definedName>
    <definedName name="aae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kdf" localSheetId="1" hidden="1">{#N/A,#N/A,FALSE,"mgtsum.XLS";#N/A,#N/A,FALSE,"CAPONE";#N/A,#N/A,FALSE,"CAPTWO";#N/A,#N/A,FALSE,"CAPTHREE"}</definedName>
    <definedName name="aakdf" hidden="1">{#N/A,#N/A,FALSE,"mgtsum.XLS";#N/A,#N/A,FALSE,"CAPONE";#N/A,#N/A,FALSE,"CAPTWO";#N/A,#N/A,FALSE,"CAPTHREE"}</definedName>
    <definedName name="aakdf_1" hidden="1">{#N/A,#N/A,FALSE,"mgtsum.XLS";#N/A,#N/A,FALSE,"CAPONE";#N/A,#N/A,FALSE,"CAPTWO";#N/A,#N/A,FALSE,"CAPTHREE"}</definedName>
    <definedName name="aakdf_1_1" hidden="1">{#N/A,#N/A,FALSE,"mgtsum.XLS";#N/A,#N/A,FALSE,"CAPONE";#N/A,#N/A,FALSE,"CAPTWO";#N/A,#N/A,FALSE,"CAPTHREE"}</definedName>
    <definedName name="aakdf_1_1_1" hidden="1">{#N/A,#N/A,FALSE,"mgtsum.XLS";#N/A,#N/A,FALSE,"CAPONE";#N/A,#N/A,FALSE,"CAPTWO";#N/A,#N/A,FALSE,"CAPTHREE"}</definedName>
    <definedName name="aakdf_1_1_1_1" hidden="1">{#N/A,#N/A,FALSE,"mgtsum.XLS";#N/A,#N/A,FALSE,"CAPONE";#N/A,#N/A,FALSE,"CAPTWO";#N/A,#N/A,FALSE,"CAPTHREE"}</definedName>
    <definedName name="aakdf_1_1_1_2" hidden="1">{#N/A,#N/A,FALSE,"mgtsum.XLS";#N/A,#N/A,FALSE,"CAPONE";#N/A,#N/A,FALSE,"CAPTWO";#N/A,#N/A,FALSE,"CAPTHREE"}</definedName>
    <definedName name="aakdf_1_1_1_3" hidden="1">{#N/A,#N/A,FALSE,"mgtsum.XLS";#N/A,#N/A,FALSE,"CAPONE";#N/A,#N/A,FALSE,"CAPTWO";#N/A,#N/A,FALSE,"CAPTHREE"}</definedName>
    <definedName name="aakdf_1_1_1_4" hidden="1">{#N/A,#N/A,FALSE,"mgtsum.XLS";#N/A,#N/A,FALSE,"CAPONE";#N/A,#N/A,FALSE,"CAPTWO";#N/A,#N/A,FALSE,"CAPTHREE"}</definedName>
    <definedName name="aakdf_1_1_1_5" hidden="1">{#N/A,#N/A,FALSE,"mgtsum.XLS";#N/A,#N/A,FALSE,"CAPONE";#N/A,#N/A,FALSE,"CAPTWO";#N/A,#N/A,FALSE,"CAPTHREE"}</definedName>
    <definedName name="aakdf_1_1_2" hidden="1">{#N/A,#N/A,FALSE,"mgtsum.XLS";#N/A,#N/A,FALSE,"CAPONE";#N/A,#N/A,FALSE,"CAPTWO";#N/A,#N/A,FALSE,"CAPTHREE"}</definedName>
    <definedName name="aakdf_1_1_2_1" hidden="1">{#N/A,#N/A,FALSE,"mgtsum.XLS";#N/A,#N/A,FALSE,"CAPONE";#N/A,#N/A,FALSE,"CAPTWO";#N/A,#N/A,FALSE,"CAPTHREE"}</definedName>
    <definedName name="aakdf_1_1_2_2" hidden="1">{#N/A,#N/A,FALSE,"mgtsum.XLS";#N/A,#N/A,FALSE,"CAPONE";#N/A,#N/A,FALSE,"CAPTWO";#N/A,#N/A,FALSE,"CAPTHREE"}</definedName>
    <definedName name="aakdf_1_1_2_3" hidden="1">{#N/A,#N/A,FALSE,"mgtsum.XLS";#N/A,#N/A,FALSE,"CAPONE";#N/A,#N/A,FALSE,"CAPTWO";#N/A,#N/A,FALSE,"CAPTHREE"}</definedName>
    <definedName name="aakdf_1_1_2_4" hidden="1">{#N/A,#N/A,FALSE,"mgtsum.XLS";#N/A,#N/A,FALSE,"CAPONE";#N/A,#N/A,FALSE,"CAPTWO";#N/A,#N/A,FALSE,"CAPTHREE"}</definedName>
    <definedName name="aakdf_1_1_2_5" hidden="1">{#N/A,#N/A,FALSE,"mgtsum.XLS";#N/A,#N/A,FALSE,"CAPONE";#N/A,#N/A,FALSE,"CAPTWO";#N/A,#N/A,FALSE,"CAPTHREE"}</definedName>
    <definedName name="aakdf_1_1_3" hidden="1">{#N/A,#N/A,FALSE,"mgtsum.XLS";#N/A,#N/A,FALSE,"CAPONE";#N/A,#N/A,FALSE,"CAPTWO";#N/A,#N/A,FALSE,"CAPTHREE"}</definedName>
    <definedName name="aakdf_1_1_3_1" hidden="1">{#N/A,#N/A,FALSE,"mgtsum.XLS";#N/A,#N/A,FALSE,"CAPONE";#N/A,#N/A,FALSE,"CAPTWO";#N/A,#N/A,FALSE,"CAPTHREE"}</definedName>
    <definedName name="aakdf_1_1_3_2" hidden="1">{#N/A,#N/A,FALSE,"mgtsum.XLS";#N/A,#N/A,FALSE,"CAPONE";#N/A,#N/A,FALSE,"CAPTWO";#N/A,#N/A,FALSE,"CAPTHREE"}</definedName>
    <definedName name="aakdf_1_1_3_3" hidden="1">{#N/A,#N/A,FALSE,"mgtsum.XLS";#N/A,#N/A,FALSE,"CAPONE";#N/A,#N/A,FALSE,"CAPTWO";#N/A,#N/A,FALSE,"CAPTHREE"}</definedName>
    <definedName name="aakdf_1_1_3_4" hidden="1">{#N/A,#N/A,FALSE,"mgtsum.XLS";#N/A,#N/A,FALSE,"CAPONE";#N/A,#N/A,FALSE,"CAPTWO";#N/A,#N/A,FALSE,"CAPTHREE"}</definedName>
    <definedName name="aakdf_1_1_3_5" hidden="1">{#N/A,#N/A,FALSE,"mgtsum.XLS";#N/A,#N/A,FALSE,"CAPONE";#N/A,#N/A,FALSE,"CAPTWO";#N/A,#N/A,FALSE,"CAPTHREE"}</definedName>
    <definedName name="aakdf_1_1_4" hidden="1">{#N/A,#N/A,FALSE,"mgtsum.XLS";#N/A,#N/A,FALSE,"CAPONE";#N/A,#N/A,FALSE,"CAPTWO";#N/A,#N/A,FALSE,"CAPTHREE"}</definedName>
    <definedName name="aakdf_1_1_5" hidden="1">{#N/A,#N/A,FALSE,"mgtsum.XLS";#N/A,#N/A,FALSE,"CAPONE";#N/A,#N/A,FALSE,"CAPTWO";#N/A,#N/A,FALSE,"CAPTHREE"}</definedName>
    <definedName name="aakdf_1_2" hidden="1">{#N/A,#N/A,FALSE,"mgtsum.XLS";#N/A,#N/A,FALSE,"CAPONE";#N/A,#N/A,FALSE,"CAPTWO";#N/A,#N/A,FALSE,"CAPTHREE"}</definedName>
    <definedName name="aakdf_1_2_1" hidden="1">{#N/A,#N/A,FALSE,"mgtsum.XLS";#N/A,#N/A,FALSE,"CAPONE";#N/A,#N/A,FALSE,"CAPTWO";#N/A,#N/A,FALSE,"CAPTHREE"}</definedName>
    <definedName name="aakdf_1_2_1_1" hidden="1">{#N/A,#N/A,FALSE,"mgtsum.XLS";#N/A,#N/A,FALSE,"CAPONE";#N/A,#N/A,FALSE,"CAPTWO";#N/A,#N/A,FALSE,"CAPTHREE"}</definedName>
    <definedName name="aakdf_1_2_1_2" hidden="1">{#N/A,#N/A,FALSE,"mgtsum.XLS";#N/A,#N/A,FALSE,"CAPONE";#N/A,#N/A,FALSE,"CAPTWO";#N/A,#N/A,FALSE,"CAPTHREE"}</definedName>
    <definedName name="aakdf_1_2_1_3" hidden="1">{#N/A,#N/A,FALSE,"mgtsum.XLS";#N/A,#N/A,FALSE,"CAPONE";#N/A,#N/A,FALSE,"CAPTWO";#N/A,#N/A,FALSE,"CAPTHREE"}</definedName>
    <definedName name="aakdf_1_2_1_4" hidden="1">{#N/A,#N/A,FALSE,"mgtsum.XLS";#N/A,#N/A,FALSE,"CAPONE";#N/A,#N/A,FALSE,"CAPTWO";#N/A,#N/A,FALSE,"CAPTHREE"}</definedName>
    <definedName name="aakdf_1_2_1_5" hidden="1">{#N/A,#N/A,FALSE,"mgtsum.XLS";#N/A,#N/A,FALSE,"CAPONE";#N/A,#N/A,FALSE,"CAPTWO";#N/A,#N/A,FALSE,"CAPTHREE"}</definedName>
    <definedName name="aakdf_1_2_2" hidden="1">{#N/A,#N/A,FALSE,"mgtsum.XLS";#N/A,#N/A,FALSE,"CAPONE";#N/A,#N/A,FALSE,"CAPTWO";#N/A,#N/A,FALSE,"CAPTHREE"}</definedName>
    <definedName name="aakdf_1_2_2_1" hidden="1">{#N/A,#N/A,FALSE,"mgtsum.XLS";#N/A,#N/A,FALSE,"CAPONE";#N/A,#N/A,FALSE,"CAPTWO";#N/A,#N/A,FALSE,"CAPTHREE"}</definedName>
    <definedName name="aakdf_1_2_2_2" hidden="1">{#N/A,#N/A,FALSE,"mgtsum.XLS";#N/A,#N/A,FALSE,"CAPONE";#N/A,#N/A,FALSE,"CAPTWO";#N/A,#N/A,FALSE,"CAPTHREE"}</definedName>
    <definedName name="aakdf_1_2_2_3" hidden="1">{#N/A,#N/A,FALSE,"mgtsum.XLS";#N/A,#N/A,FALSE,"CAPONE";#N/A,#N/A,FALSE,"CAPTWO";#N/A,#N/A,FALSE,"CAPTHREE"}</definedName>
    <definedName name="aakdf_1_2_2_4" hidden="1">{#N/A,#N/A,FALSE,"mgtsum.XLS";#N/A,#N/A,FALSE,"CAPONE";#N/A,#N/A,FALSE,"CAPTWO";#N/A,#N/A,FALSE,"CAPTHREE"}</definedName>
    <definedName name="aakdf_1_2_2_5" hidden="1">{#N/A,#N/A,FALSE,"mgtsum.XLS";#N/A,#N/A,FALSE,"CAPONE";#N/A,#N/A,FALSE,"CAPTWO";#N/A,#N/A,FALSE,"CAPTHREE"}</definedName>
    <definedName name="aakdf_1_2_3" hidden="1">{#N/A,#N/A,FALSE,"mgtsum.XLS";#N/A,#N/A,FALSE,"CAPONE";#N/A,#N/A,FALSE,"CAPTWO";#N/A,#N/A,FALSE,"CAPTHREE"}</definedName>
    <definedName name="aakdf_1_2_4" hidden="1">{#N/A,#N/A,FALSE,"mgtsum.XLS";#N/A,#N/A,FALSE,"CAPONE";#N/A,#N/A,FALSE,"CAPTWO";#N/A,#N/A,FALSE,"CAPTHREE"}</definedName>
    <definedName name="aakdf_1_2_5" hidden="1">{#N/A,#N/A,FALSE,"mgtsum.XLS";#N/A,#N/A,FALSE,"CAPONE";#N/A,#N/A,FALSE,"CAPTWO";#N/A,#N/A,FALSE,"CAPTHREE"}</definedName>
    <definedName name="aakdf_1_3" hidden="1">{#N/A,#N/A,FALSE,"mgtsum.XLS";#N/A,#N/A,FALSE,"CAPONE";#N/A,#N/A,FALSE,"CAPTWO";#N/A,#N/A,FALSE,"CAPTHREE"}</definedName>
    <definedName name="aakdf_1_3_1" hidden="1">{#N/A,#N/A,FALSE,"mgtsum.XLS";#N/A,#N/A,FALSE,"CAPONE";#N/A,#N/A,FALSE,"CAPTWO";#N/A,#N/A,FALSE,"CAPTHREE"}</definedName>
    <definedName name="aakdf_1_3_1_1" hidden="1">{#N/A,#N/A,FALSE,"mgtsum.XLS";#N/A,#N/A,FALSE,"CAPONE";#N/A,#N/A,FALSE,"CAPTWO";#N/A,#N/A,FALSE,"CAPTHREE"}</definedName>
    <definedName name="aakdf_1_3_1_2" hidden="1">{#N/A,#N/A,FALSE,"mgtsum.XLS";#N/A,#N/A,FALSE,"CAPONE";#N/A,#N/A,FALSE,"CAPTWO";#N/A,#N/A,FALSE,"CAPTHREE"}</definedName>
    <definedName name="aakdf_1_3_1_3" hidden="1">{#N/A,#N/A,FALSE,"mgtsum.XLS";#N/A,#N/A,FALSE,"CAPONE";#N/A,#N/A,FALSE,"CAPTWO";#N/A,#N/A,FALSE,"CAPTHREE"}</definedName>
    <definedName name="aakdf_1_3_1_4" hidden="1">{#N/A,#N/A,FALSE,"mgtsum.XLS";#N/A,#N/A,FALSE,"CAPONE";#N/A,#N/A,FALSE,"CAPTWO";#N/A,#N/A,FALSE,"CAPTHREE"}</definedName>
    <definedName name="aakdf_1_3_1_5" hidden="1">{#N/A,#N/A,FALSE,"mgtsum.XLS";#N/A,#N/A,FALSE,"CAPONE";#N/A,#N/A,FALSE,"CAPTWO";#N/A,#N/A,FALSE,"CAPTHREE"}</definedName>
    <definedName name="aakdf_1_3_2" hidden="1">{#N/A,#N/A,FALSE,"mgtsum.XLS";#N/A,#N/A,FALSE,"CAPONE";#N/A,#N/A,FALSE,"CAPTWO";#N/A,#N/A,FALSE,"CAPTHREE"}</definedName>
    <definedName name="aakdf_1_3_2_1" hidden="1">{#N/A,#N/A,FALSE,"mgtsum.XLS";#N/A,#N/A,FALSE,"CAPONE";#N/A,#N/A,FALSE,"CAPTWO";#N/A,#N/A,FALSE,"CAPTHREE"}</definedName>
    <definedName name="aakdf_1_3_2_2" hidden="1">{#N/A,#N/A,FALSE,"mgtsum.XLS";#N/A,#N/A,FALSE,"CAPONE";#N/A,#N/A,FALSE,"CAPTWO";#N/A,#N/A,FALSE,"CAPTHREE"}</definedName>
    <definedName name="aakdf_1_3_2_3" hidden="1">{#N/A,#N/A,FALSE,"mgtsum.XLS";#N/A,#N/A,FALSE,"CAPONE";#N/A,#N/A,FALSE,"CAPTWO";#N/A,#N/A,FALSE,"CAPTHREE"}</definedName>
    <definedName name="aakdf_1_3_2_4" hidden="1">{#N/A,#N/A,FALSE,"mgtsum.XLS";#N/A,#N/A,FALSE,"CAPONE";#N/A,#N/A,FALSE,"CAPTWO";#N/A,#N/A,FALSE,"CAPTHREE"}</definedName>
    <definedName name="aakdf_1_3_2_5" hidden="1">{#N/A,#N/A,FALSE,"mgtsum.XLS";#N/A,#N/A,FALSE,"CAPONE";#N/A,#N/A,FALSE,"CAPTWO";#N/A,#N/A,FALSE,"CAPTHREE"}</definedName>
    <definedName name="aakdf_1_3_3" hidden="1">{#N/A,#N/A,FALSE,"mgtsum.XLS";#N/A,#N/A,FALSE,"CAPONE";#N/A,#N/A,FALSE,"CAPTWO";#N/A,#N/A,FALSE,"CAPTHREE"}</definedName>
    <definedName name="aakdf_1_3_4" hidden="1">{#N/A,#N/A,FALSE,"mgtsum.XLS";#N/A,#N/A,FALSE,"CAPONE";#N/A,#N/A,FALSE,"CAPTWO";#N/A,#N/A,FALSE,"CAPTHREE"}</definedName>
    <definedName name="aakdf_1_3_5" hidden="1">{#N/A,#N/A,FALSE,"mgtsum.XLS";#N/A,#N/A,FALSE,"CAPONE";#N/A,#N/A,FALSE,"CAPTWO";#N/A,#N/A,FALSE,"CAPTHREE"}</definedName>
    <definedName name="aakdf_1_4" hidden="1">{#N/A,#N/A,FALSE,"mgtsum.XLS";#N/A,#N/A,FALSE,"CAPONE";#N/A,#N/A,FALSE,"CAPTWO";#N/A,#N/A,FALSE,"CAPTHREE"}</definedName>
    <definedName name="aakdf_1_4_1" hidden="1">{#N/A,#N/A,FALSE,"mgtsum.XLS";#N/A,#N/A,FALSE,"CAPONE";#N/A,#N/A,FALSE,"CAPTWO";#N/A,#N/A,FALSE,"CAPTHREE"}</definedName>
    <definedName name="aakdf_1_4_1_1" hidden="1">{#N/A,#N/A,FALSE,"mgtsum.XLS";#N/A,#N/A,FALSE,"CAPONE";#N/A,#N/A,FALSE,"CAPTWO";#N/A,#N/A,FALSE,"CAPTHREE"}</definedName>
    <definedName name="aakdf_1_4_1_2" hidden="1">{#N/A,#N/A,FALSE,"mgtsum.XLS";#N/A,#N/A,FALSE,"CAPONE";#N/A,#N/A,FALSE,"CAPTWO";#N/A,#N/A,FALSE,"CAPTHREE"}</definedName>
    <definedName name="aakdf_1_4_1_3" hidden="1">{#N/A,#N/A,FALSE,"mgtsum.XLS";#N/A,#N/A,FALSE,"CAPONE";#N/A,#N/A,FALSE,"CAPTWO";#N/A,#N/A,FALSE,"CAPTHREE"}</definedName>
    <definedName name="aakdf_1_4_1_4" hidden="1">{#N/A,#N/A,FALSE,"mgtsum.XLS";#N/A,#N/A,FALSE,"CAPONE";#N/A,#N/A,FALSE,"CAPTWO";#N/A,#N/A,FALSE,"CAPTHREE"}</definedName>
    <definedName name="aakdf_1_4_1_5" hidden="1">{#N/A,#N/A,FALSE,"mgtsum.XLS";#N/A,#N/A,FALSE,"CAPONE";#N/A,#N/A,FALSE,"CAPTWO";#N/A,#N/A,FALSE,"CAPTHREE"}</definedName>
    <definedName name="aakdf_1_4_2" hidden="1">{#N/A,#N/A,FALSE,"mgtsum.XLS";#N/A,#N/A,FALSE,"CAPONE";#N/A,#N/A,FALSE,"CAPTWO";#N/A,#N/A,FALSE,"CAPTHREE"}</definedName>
    <definedName name="aakdf_1_4_2_1" hidden="1">{#N/A,#N/A,FALSE,"mgtsum.XLS";#N/A,#N/A,FALSE,"CAPONE";#N/A,#N/A,FALSE,"CAPTWO";#N/A,#N/A,FALSE,"CAPTHREE"}</definedName>
    <definedName name="aakdf_1_4_2_2" hidden="1">{#N/A,#N/A,FALSE,"mgtsum.XLS";#N/A,#N/A,FALSE,"CAPONE";#N/A,#N/A,FALSE,"CAPTWO";#N/A,#N/A,FALSE,"CAPTHREE"}</definedName>
    <definedName name="aakdf_1_4_2_3" hidden="1">{#N/A,#N/A,FALSE,"mgtsum.XLS";#N/A,#N/A,FALSE,"CAPONE";#N/A,#N/A,FALSE,"CAPTWO";#N/A,#N/A,FALSE,"CAPTHREE"}</definedName>
    <definedName name="aakdf_1_4_2_4" hidden="1">{#N/A,#N/A,FALSE,"mgtsum.XLS";#N/A,#N/A,FALSE,"CAPONE";#N/A,#N/A,FALSE,"CAPTWO";#N/A,#N/A,FALSE,"CAPTHREE"}</definedName>
    <definedName name="aakdf_1_4_2_5" hidden="1">{#N/A,#N/A,FALSE,"mgtsum.XLS";#N/A,#N/A,FALSE,"CAPONE";#N/A,#N/A,FALSE,"CAPTWO";#N/A,#N/A,FALSE,"CAPTHREE"}</definedName>
    <definedName name="aakdf_1_4_3" hidden="1">{#N/A,#N/A,FALSE,"mgtsum.XLS";#N/A,#N/A,FALSE,"CAPONE";#N/A,#N/A,FALSE,"CAPTWO";#N/A,#N/A,FALSE,"CAPTHREE"}</definedName>
    <definedName name="aakdf_1_4_4" hidden="1">{#N/A,#N/A,FALSE,"mgtsum.XLS";#N/A,#N/A,FALSE,"CAPONE";#N/A,#N/A,FALSE,"CAPTWO";#N/A,#N/A,FALSE,"CAPTHREE"}</definedName>
    <definedName name="aakdf_1_4_5" hidden="1">{#N/A,#N/A,FALSE,"mgtsum.XLS";#N/A,#N/A,FALSE,"CAPONE";#N/A,#N/A,FALSE,"CAPTWO";#N/A,#N/A,FALSE,"CAPTHREE"}</definedName>
    <definedName name="aakdf_1_5" hidden="1">{#N/A,#N/A,FALSE,"mgtsum.XLS";#N/A,#N/A,FALSE,"CAPONE";#N/A,#N/A,FALSE,"CAPTWO";#N/A,#N/A,FALSE,"CAPTHREE"}</definedName>
    <definedName name="aakdf_1_5_1" hidden="1">{#N/A,#N/A,FALSE,"mgtsum.XLS";#N/A,#N/A,FALSE,"CAPONE";#N/A,#N/A,FALSE,"CAPTWO";#N/A,#N/A,FALSE,"CAPTHREE"}</definedName>
    <definedName name="aakdf_1_5_1_1" hidden="1">{#N/A,#N/A,FALSE,"mgtsum.XLS";#N/A,#N/A,FALSE,"CAPONE";#N/A,#N/A,FALSE,"CAPTWO";#N/A,#N/A,FALSE,"CAPTHREE"}</definedName>
    <definedName name="aakdf_1_5_1_2" hidden="1">{#N/A,#N/A,FALSE,"mgtsum.XLS";#N/A,#N/A,FALSE,"CAPONE";#N/A,#N/A,FALSE,"CAPTWO";#N/A,#N/A,FALSE,"CAPTHREE"}</definedName>
    <definedName name="aakdf_1_5_1_3" hidden="1">{#N/A,#N/A,FALSE,"mgtsum.XLS";#N/A,#N/A,FALSE,"CAPONE";#N/A,#N/A,FALSE,"CAPTWO";#N/A,#N/A,FALSE,"CAPTHREE"}</definedName>
    <definedName name="aakdf_1_5_1_4" hidden="1">{#N/A,#N/A,FALSE,"mgtsum.XLS";#N/A,#N/A,FALSE,"CAPONE";#N/A,#N/A,FALSE,"CAPTWO";#N/A,#N/A,FALSE,"CAPTHREE"}</definedName>
    <definedName name="aakdf_1_5_1_5" hidden="1">{#N/A,#N/A,FALSE,"mgtsum.XLS";#N/A,#N/A,FALSE,"CAPONE";#N/A,#N/A,FALSE,"CAPTWO";#N/A,#N/A,FALSE,"CAPTHREE"}</definedName>
    <definedName name="aakdf_1_5_2" hidden="1">{#N/A,#N/A,FALSE,"mgtsum.XLS";#N/A,#N/A,FALSE,"CAPONE";#N/A,#N/A,FALSE,"CAPTWO";#N/A,#N/A,FALSE,"CAPTHREE"}</definedName>
    <definedName name="aakdf_1_5_2_1" hidden="1">{#N/A,#N/A,FALSE,"mgtsum.XLS";#N/A,#N/A,FALSE,"CAPONE";#N/A,#N/A,FALSE,"CAPTWO";#N/A,#N/A,FALSE,"CAPTHREE"}</definedName>
    <definedName name="aakdf_1_5_2_2" hidden="1">{#N/A,#N/A,FALSE,"mgtsum.XLS";#N/A,#N/A,FALSE,"CAPONE";#N/A,#N/A,FALSE,"CAPTWO";#N/A,#N/A,FALSE,"CAPTHREE"}</definedName>
    <definedName name="aakdf_1_5_2_3" hidden="1">{#N/A,#N/A,FALSE,"mgtsum.XLS";#N/A,#N/A,FALSE,"CAPONE";#N/A,#N/A,FALSE,"CAPTWO";#N/A,#N/A,FALSE,"CAPTHREE"}</definedName>
    <definedName name="aakdf_1_5_2_4" hidden="1">{#N/A,#N/A,FALSE,"mgtsum.XLS";#N/A,#N/A,FALSE,"CAPONE";#N/A,#N/A,FALSE,"CAPTWO";#N/A,#N/A,FALSE,"CAPTHREE"}</definedName>
    <definedName name="aakdf_1_5_2_5" hidden="1">{#N/A,#N/A,FALSE,"mgtsum.XLS";#N/A,#N/A,FALSE,"CAPONE";#N/A,#N/A,FALSE,"CAPTWO";#N/A,#N/A,FALSE,"CAPTHREE"}</definedName>
    <definedName name="aakdf_1_5_3" hidden="1">{#N/A,#N/A,FALSE,"mgtsum.XLS";#N/A,#N/A,FALSE,"CAPONE";#N/A,#N/A,FALSE,"CAPTWO";#N/A,#N/A,FALSE,"CAPTHREE"}</definedName>
    <definedName name="aakdf_1_5_4" hidden="1">{#N/A,#N/A,FALSE,"mgtsum.XLS";#N/A,#N/A,FALSE,"CAPONE";#N/A,#N/A,FALSE,"CAPTWO";#N/A,#N/A,FALSE,"CAPTHREE"}</definedName>
    <definedName name="aakdf_1_5_5" hidden="1">{#N/A,#N/A,FALSE,"mgtsum.XLS";#N/A,#N/A,FALSE,"CAPONE";#N/A,#N/A,FALSE,"CAPTWO";#N/A,#N/A,FALSE,"CAPTHREE"}</definedName>
    <definedName name="aakdf_2" hidden="1">{#N/A,#N/A,FALSE,"mgtsum.XLS";#N/A,#N/A,FALSE,"CAPONE";#N/A,#N/A,FALSE,"CAPTWO";#N/A,#N/A,FALSE,"CAPTHREE"}</definedName>
    <definedName name="aakdf_2_1" hidden="1">{#N/A,#N/A,FALSE,"mgtsum.XLS";#N/A,#N/A,FALSE,"CAPONE";#N/A,#N/A,FALSE,"CAPTWO";#N/A,#N/A,FALSE,"CAPTHREE"}</definedName>
    <definedName name="aakdf_2_1_1" hidden="1">{#N/A,#N/A,FALSE,"mgtsum.XLS";#N/A,#N/A,FALSE,"CAPONE";#N/A,#N/A,FALSE,"CAPTWO";#N/A,#N/A,FALSE,"CAPTHREE"}</definedName>
    <definedName name="aakdf_2_1_1_1" hidden="1">{#N/A,#N/A,FALSE,"mgtsum.XLS";#N/A,#N/A,FALSE,"CAPONE";#N/A,#N/A,FALSE,"CAPTWO";#N/A,#N/A,FALSE,"CAPTHREE"}</definedName>
    <definedName name="aakdf_2_1_1_2" hidden="1">{#N/A,#N/A,FALSE,"mgtsum.XLS";#N/A,#N/A,FALSE,"CAPONE";#N/A,#N/A,FALSE,"CAPTWO";#N/A,#N/A,FALSE,"CAPTHREE"}</definedName>
    <definedName name="aakdf_2_1_1_3" hidden="1">{#N/A,#N/A,FALSE,"mgtsum.XLS";#N/A,#N/A,FALSE,"CAPONE";#N/A,#N/A,FALSE,"CAPTWO";#N/A,#N/A,FALSE,"CAPTHREE"}</definedName>
    <definedName name="aakdf_2_1_1_4" hidden="1">{#N/A,#N/A,FALSE,"mgtsum.XLS";#N/A,#N/A,FALSE,"CAPONE";#N/A,#N/A,FALSE,"CAPTWO";#N/A,#N/A,FALSE,"CAPTHREE"}</definedName>
    <definedName name="aakdf_2_1_1_5" hidden="1">{#N/A,#N/A,FALSE,"mgtsum.XLS";#N/A,#N/A,FALSE,"CAPONE";#N/A,#N/A,FALSE,"CAPTWO";#N/A,#N/A,FALSE,"CAPTHREE"}</definedName>
    <definedName name="aakdf_2_1_2" hidden="1">{#N/A,#N/A,FALSE,"mgtsum.XLS";#N/A,#N/A,FALSE,"CAPONE";#N/A,#N/A,FALSE,"CAPTWO";#N/A,#N/A,FALSE,"CAPTHREE"}</definedName>
    <definedName name="aakdf_2_1_2_1" hidden="1">{#N/A,#N/A,FALSE,"mgtsum.XLS";#N/A,#N/A,FALSE,"CAPONE";#N/A,#N/A,FALSE,"CAPTWO";#N/A,#N/A,FALSE,"CAPTHREE"}</definedName>
    <definedName name="aakdf_2_1_2_2" hidden="1">{#N/A,#N/A,FALSE,"mgtsum.XLS";#N/A,#N/A,FALSE,"CAPONE";#N/A,#N/A,FALSE,"CAPTWO";#N/A,#N/A,FALSE,"CAPTHREE"}</definedName>
    <definedName name="aakdf_2_1_2_3" hidden="1">{#N/A,#N/A,FALSE,"mgtsum.XLS";#N/A,#N/A,FALSE,"CAPONE";#N/A,#N/A,FALSE,"CAPTWO";#N/A,#N/A,FALSE,"CAPTHREE"}</definedName>
    <definedName name="aakdf_2_1_2_4" hidden="1">{#N/A,#N/A,FALSE,"mgtsum.XLS";#N/A,#N/A,FALSE,"CAPONE";#N/A,#N/A,FALSE,"CAPTWO";#N/A,#N/A,FALSE,"CAPTHREE"}</definedName>
    <definedName name="aakdf_2_1_2_5" hidden="1">{#N/A,#N/A,FALSE,"mgtsum.XLS";#N/A,#N/A,FALSE,"CAPONE";#N/A,#N/A,FALSE,"CAPTWO";#N/A,#N/A,FALSE,"CAPTHREE"}</definedName>
    <definedName name="aakdf_2_1_3" hidden="1">{#N/A,#N/A,FALSE,"mgtsum.XLS";#N/A,#N/A,FALSE,"CAPONE";#N/A,#N/A,FALSE,"CAPTWO";#N/A,#N/A,FALSE,"CAPTHREE"}</definedName>
    <definedName name="aakdf_2_1_3_1" hidden="1">{#N/A,#N/A,FALSE,"mgtsum.XLS";#N/A,#N/A,FALSE,"CAPONE";#N/A,#N/A,FALSE,"CAPTWO";#N/A,#N/A,FALSE,"CAPTHREE"}</definedName>
    <definedName name="aakdf_2_1_3_2" hidden="1">{#N/A,#N/A,FALSE,"mgtsum.XLS";#N/A,#N/A,FALSE,"CAPONE";#N/A,#N/A,FALSE,"CAPTWO";#N/A,#N/A,FALSE,"CAPTHREE"}</definedName>
    <definedName name="aakdf_2_1_3_3" hidden="1">{#N/A,#N/A,FALSE,"mgtsum.XLS";#N/A,#N/A,FALSE,"CAPONE";#N/A,#N/A,FALSE,"CAPTWO";#N/A,#N/A,FALSE,"CAPTHREE"}</definedName>
    <definedName name="aakdf_2_1_3_4" hidden="1">{#N/A,#N/A,FALSE,"mgtsum.XLS";#N/A,#N/A,FALSE,"CAPONE";#N/A,#N/A,FALSE,"CAPTWO";#N/A,#N/A,FALSE,"CAPTHREE"}</definedName>
    <definedName name="aakdf_2_1_3_5" hidden="1">{#N/A,#N/A,FALSE,"mgtsum.XLS";#N/A,#N/A,FALSE,"CAPONE";#N/A,#N/A,FALSE,"CAPTWO";#N/A,#N/A,FALSE,"CAPTHREE"}</definedName>
    <definedName name="aakdf_2_1_4" hidden="1">{#N/A,#N/A,FALSE,"mgtsum.XLS";#N/A,#N/A,FALSE,"CAPONE";#N/A,#N/A,FALSE,"CAPTWO";#N/A,#N/A,FALSE,"CAPTHREE"}</definedName>
    <definedName name="aakdf_2_1_5" hidden="1">{#N/A,#N/A,FALSE,"mgtsum.XLS";#N/A,#N/A,FALSE,"CAPONE";#N/A,#N/A,FALSE,"CAPTWO";#N/A,#N/A,FALSE,"CAPTHREE"}</definedName>
    <definedName name="aakdf_2_2" hidden="1">{#N/A,#N/A,FALSE,"mgtsum.XLS";#N/A,#N/A,FALSE,"CAPONE";#N/A,#N/A,FALSE,"CAPTWO";#N/A,#N/A,FALSE,"CAPTHREE"}</definedName>
    <definedName name="aakdf_2_2_1" hidden="1">{#N/A,#N/A,FALSE,"mgtsum.XLS";#N/A,#N/A,FALSE,"CAPONE";#N/A,#N/A,FALSE,"CAPTWO";#N/A,#N/A,FALSE,"CAPTHREE"}</definedName>
    <definedName name="aakdf_2_2_1_1" hidden="1">{#N/A,#N/A,FALSE,"mgtsum.XLS";#N/A,#N/A,FALSE,"CAPONE";#N/A,#N/A,FALSE,"CAPTWO";#N/A,#N/A,FALSE,"CAPTHREE"}</definedName>
    <definedName name="aakdf_2_2_1_2" hidden="1">{#N/A,#N/A,FALSE,"mgtsum.XLS";#N/A,#N/A,FALSE,"CAPONE";#N/A,#N/A,FALSE,"CAPTWO";#N/A,#N/A,FALSE,"CAPTHREE"}</definedName>
    <definedName name="aakdf_2_2_1_3" hidden="1">{#N/A,#N/A,FALSE,"mgtsum.XLS";#N/A,#N/A,FALSE,"CAPONE";#N/A,#N/A,FALSE,"CAPTWO";#N/A,#N/A,FALSE,"CAPTHREE"}</definedName>
    <definedName name="aakdf_2_2_1_4" hidden="1">{#N/A,#N/A,FALSE,"mgtsum.XLS";#N/A,#N/A,FALSE,"CAPONE";#N/A,#N/A,FALSE,"CAPTWO";#N/A,#N/A,FALSE,"CAPTHREE"}</definedName>
    <definedName name="aakdf_2_2_1_5" hidden="1">{#N/A,#N/A,FALSE,"mgtsum.XLS";#N/A,#N/A,FALSE,"CAPONE";#N/A,#N/A,FALSE,"CAPTWO";#N/A,#N/A,FALSE,"CAPTHREE"}</definedName>
    <definedName name="aakdf_2_2_2" hidden="1">{#N/A,#N/A,FALSE,"mgtsum.XLS";#N/A,#N/A,FALSE,"CAPONE";#N/A,#N/A,FALSE,"CAPTWO";#N/A,#N/A,FALSE,"CAPTHREE"}</definedName>
    <definedName name="aakdf_2_2_2_1" hidden="1">{#N/A,#N/A,FALSE,"mgtsum.XLS";#N/A,#N/A,FALSE,"CAPONE";#N/A,#N/A,FALSE,"CAPTWO";#N/A,#N/A,FALSE,"CAPTHREE"}</definedName>
    <definedName name="aakdf_2_2_2_2" hidden="1">{#N/A,#N/A,FALSE,"mgtsum.XLS";#N/A,#N/A,FALSE,"CAPONE";#N/A,#N/A,FALSE,"CAPTWO";#N/A,#N/A,FALSE,"CAPTHREE"}</definedName>
    <definedName name="aakdf_2_2_2_3" hidden="1">{#N/A,#N/A,FALSE,"mgtsum.XLS";#N/A,#N/A,FALSE,"CAPONE";#N/A,#N/A,FALSE,"CAPTWO";#N/A,#N/A,FALSE,"CAPTHREE"}</definedName>
    <definedName name="aakdf_2_2_2_4" hidden="1">{#N/A,#N/A,FALSE,"mgtsum.XLS";#N/A,#N/A,FALSE,"CAPONE";#N/A,#N/A,FALSE,"CAPTWO";#N/A,#N/A,FALSE,"CAPTHREE"}</definedName>
    <definedName name="aakdf_2_2_2_5" hidden="1">{#N/A,#N/A,FALSE,"mgtsum.XLS";#N/A,#N/A,FALSE,"CAPONE";#N/A,#N/A,FALSE,"CAPTWO";#N/A,#N/A,FALSE,"CAPTHREE"}</definedName>
    <definedName name="aakdf_2_2_3" hidden="1">{#N/A,#N/A,FALSE,"mgtsum.XLS";#N/A,#N/A,FALSE,"CAPONE";#N/A,#N/A,FALSE,"CAPTWO";#N/A,#N/A,FALSE,"CAPTHREE"}</definedName>
    <definedName name="aakdf_2_2_4" hidden="1">{#N/A,#N/A,FALSE,"mgtsum.XLS";#N/A,#N/A,FALSE,"CAPONE";#N/A,#N/A,FALSE,"CAPTWO";#N/A,#N/A,FALSE,"CAPTHREE"}</definedName>
    <definedName name="aakdf_2_2_5" hidden="1">{#N/A,#N/A,FALSE,"mgtsum.XLS";#N/A,#N/A,FALSE,"CAPONE";#N/A,#N/A,FALSE,"CAPTWO";#N/A,#N/A,FALSE,"CAPTHREE"}</definedName>
    <definedName name="aakdf_2_3" hidden="1">{#N/A,#N/A,FALSE,"mgtsum.XLS";#N/A,#N/A,FALSE,"CAPONE";#N/A,#N/A,FALSE,"CAPTWO";#N/A,#N/A,FALSE,"CAPTHREE"}</definedName>
    <definedName name="aakdf_2_3_1" hidden="1">{#N/A,#N/A,FALSE,"mgtsum.XLS";#N/A,#N/A,FALSE,"CAPONE";#N/A,#N/A,FALSE,"CAPTWO";#N/A,#N/A,FALSE,"CAPTHREE"}</definedName>
    <definedName name="aakdf_2_3_1_1" hidden="1">{#N/A,#N/A,FALSE,"mgtsum.XLS";#N/A,#N/A,FALSE,"CAPONE";#N/A,#N/A,FALSE,"CAPTWO";#N/A,#N/A,FALSE,"CAPTHREE"}</definedName>
    <definedName name="aakdf_2_3_1_2" hidden="1">{#N/A,#N/A,FALSE,"mgtsum.XLS";#N/A,#N/A,FALSE,"CAPONE";#N/A,#N/A,FALSE,"CAPTWO";#N/A,#N/A,FALSE,"CAPTHREE"}</definedName>
    <definedName name="aakdf_2_3_1_3" hidden="1">{#N/A,#N/A,FALSE,"mgtsum.XLS";#N/A,#N/A,FALSE,"CAPONE";#N/A,#N/A,FALSE,"CAPTWO";#N/A,#N/A,FALSE,"CAPTHREE"}</definedName>
    <definedName name="aakdf_2_3_1_4" hidden="1">{#N/A,#N/A,FALSE,"mgtsum.XLS";#N/A,#N/A,FALSE,"CAPONE";#N/A,#N/A,FALSE,"CAPTWO";#N/A,#N/A,FALSE,"CAPTHREE"}</definedName>
    <definedName name="aakdf_2_3_1_5" hidden="1">{#N/A,#N/A,FALSE,"mgtsum.XLS";#N/A,#N/A,FALSE,"CAPONE";#N/A,#N/A,FALSE,"CAPTWO";#N/A,#N/A,FALSE,"CAPTHREE"}</definedName>
    <definedName name="aakdf_2_3_2" hidden="1">{#N/A,#N/A,FALSE,"mgtsum.XLS";#N/A,#N/A,FALSE,"CAPONE";#N/A,#N/A,FALSE,"CAPTWO";#N/A,#N/A,FALSE,"CAPTHREE"}</definedName>
    <definedName name="aakdf_2_3_2_1" hidden="1">{#N/A,#N/A,FALSE,"mgtsum.XLS";#N/A,#N/A,FALSE,"CAPONE";#N/A,#N/A,FALSE,"CAPTWO";#N/A,#N/A,FALSE,"CAPTHREE"}</definedName>
    <definedName name="aakdf_2_3_2_2" hidden="1">{#N/A,#N/A,FALSE,"mgtsum.XLS";#N/A,#N/A,FALSE,"CAPONE";#N/A,#N/A,FALSE,"CAPTWO";#N/A,#N/A,FALSE,"CAPTHREE"}</definedName>
    <definedName name="aakdf_2_3_2_3" hidden="1">{#N/A,#N/A,FALSE,"mgtsum.XLS";#N/A,#N/A,FALSE,"CAPONE";#N/A,#N/A,FALSE,"CAPTWO";#N/A,#N/A,FALSE,"CAPTHREE"}</definedName>
    <definedName name="aakdf_2_3_2_4" hidden="1">{#N/A,#N/A,FALSE,"mgtsum.XLS";#N/A,#N/A,FALSE,"CAPONE";#N/A,#N/A,FALSE,"CAPTWO";#N/A,#N/A,FALSE,"CAPTHREE"}</definedName>
    <definedName name="aakdf_2_3_2_5" hidden="1">{#N/A,#N/A,FALSE,"mgtsum.XLS";#N/A,#N/A,FALSE,"CAPONE";#N/A,#N/A,FALSE,"CAPTWO";#N/A,#N/A,FALSE,"CAPTHREE"}</definedName>
    <definedName name="aakdf_2_3_3" hidden="1">{#N/A,#N/A,FALSE,"mgtsum.XLS";#N/A,#N/A,FALSE,"CAPONE";#N/A,#N/A,FALSE,"CAPTWO";#N/A,#N/A,FALSE,"CAPTHREE"}</definedName>
    <definedName name="aakdf_2_3_4" hidden="1">{#N/A,#N/A,FALSE,"mgtsum.XLS";#N/A,#N/A,FALSE,"CAPONE";#N/A,#N/A,FALSE,"CAPTWO";#N/A,#N/A,FALSE,"CAPTHREE"}</definedName>
    <definedName name="aakdf_2_3_5" hidden="1">{#N/A,#N/A,FALSE,"mgtsum.XLS";#N/A,#N/A,FALSE,"CAPONE";#N/A,#N/A,FALSE,"CAPTWO";#N/A,#N/A,FALSE,"CAPTHREE"}</definedName>
    <definedName name="aakdf_2_4" hidden="1">{#N/A,#N/A,FALSE,"mgtsum.XLS";#N/A,#N/A,FALSE,"CAPONE";#N/A,#N/A,FALSE,"CAPTWO";#N/A,#N/A,FALSE,"CAPTHREE"}</definedName>
    <definedName name="aakdf_2_4_1" hidden="1">{#N/A,#N/A,FALSE,"mgtsum.XLS";#N/A,#N/A,FALSE,"CAPONE";#N/A,#N/A,FALSE,"CAPTWO";#N/A,#N/A,FALSE,"CAPTHREE"}</definedName>
    <definedName name="aakdf_2_4_1_1" hidden="1">{#N/A,#N/A,FALSE,"mgtsum.XLS";#N/A,#N/A,FALSE,"CAPONE";#N/A,#N/A,FALSE,"CAPTWO";#N/A,#N/A,FALSE,"CAPTHREE"}</definedName>
    <definedName name="aakdf_2_4_1_2" hidden="1">{#N/A,#N/A,FALSE,"mgtsum.XLS";#N/A,#N/A,FALSE,"CAPONE";#N/A,#N/A,FALSE,"CAPTWO";#N/A,#N/A,FALSE,"CAPTHREE"}</definedName>
    <definedName name="aakdf_2_4_1_3" hidden="1">{#N/A,#N/A,FALSE,"mgtsum.XLS";#N/A,#N/A,FALSE,"CAPONE";#N/A,#N/A,FALSE,"CAPTWO";#N/A,#N/A,FALSE,"CAPTHREE"}</definedName>
    <definedName name="aakdf_2_4_1_4" hidden="1">{#N/A,#N/A,FALSE,"mgtsum.XLS";#N/A,#N/A,FALSE,"CAPONE";#N/A,#N/A,FALSE,"CAPTWO";#N/A,#N/A,FALSE,"CAPTHREE"}</definedName>
    <definedName name="aakdf_2_4_1_5" hidden="1">{#N/A,#N/A,FALSE,"mgtsum.XLS";#N/A,#N/A,FALSE,"CAPONE";#N/A,#N/A,FALSE,"CAPTWO";#N/A,#N/A,FALSE,"CAPTHREE"}</definedName>
    <definedName name="aakdf_2_4_2" hidden="1">{#N/A,#N/A,FALSE,"mgtsum.XLS";#N/A,#N/A,FALSE,"CAPONE";#N/A,#N/A,FALSE,"CAPTWO";#N/A,#N/A,FALSE,"CAPTHREE"}</definedName>
    <definedName name="aakdf_2_4_2_1" hidden="1">{#N/A,#N/A,FALSE,"mgtsum.XLS";#N/A,#N/A,FALSE,"CAPONE";#N/A,#N/A,FALSE,"CAPTWO";#N/A,#N/A,FALSE,"CAPTHREE"}</definedName>
    <definedName name="aakdf_2_4_2_2" hidden="1">{#N/A,#N/A,FALSE,"mgtsum.XLS";#N/A,#N/A,FALSE,"CAPONE";#N/A,#N/A,FALSE,"CAPTWO";#N/A,#N/A,FALSE,"CAPTHREE"}</definedName>
    <definedName name="aakdf_2_4_2_3" hidden="1">{#N/A,#N/A,FALSE,"mgtsum.XLS";#N/A,#N/A,FALSE,"CAPONE";#N/A,#N/A,FALSE,"CAPTWO";#N/A,#N/A,FALSE,"CAPTHREE"}</definedName>
    <definedName name="aakdf_2_4_2_4" hidden="1">{#N/A,#N/A,FALSE,"mgtsum.XLS";#N/A,#N/A,FALSE,"CAPONE";#N/A,#N/A,FALSE,"CAPTWO";#N/A,#N/A,FALSE,"CAPTHREE"}</definedName>
    <definedName name="aakdf_2_4_2_5" hidden="1">{#N/A,#N/A,FALSE,"mgtsum.XLS";#N/A,#N/A,FALSE,"CAPONE";#N/A,#N/A,FALSE,"CAPTWO";#N/A,#N/A,FALSE,"CAPTHREE"}</definedName>
    <definedName name="aakdf_2_4_3" hidden="1">{#N/A,#N/A,FALSE,"mgtsum.XLS";#N/A,#N/A,FALSE,"CAPONE";#N/A,#N/A,FALSE,"CAPTWO";#N/A,#N/A,FALSE,"CAPTHREE"}</definedName>
    <definedName name="aakdf_2_4_4" hidden="1">{#N/A,#N/A,FALSE,"mgtsum.XLS";#N/A,#N/A,FALSE,"CAPONE";#N/A,#N/A,FALSE,"CAPTWO";#N/A,#N/A,FALSE,"CAPTHREE"}</definedName>
    <definedName name="aakdf_2_4_5" hidden="1">{#N/A,#N/A,FALSE,"mgtsum.XLS";#N/A,#N/A,FALSE,"CAPONE";#N/A,#N/A,FALSE,"CAPTWO";#N/A,#N/A,FALSE,"CAPTHREE"}</definedName>
    <definedName name="aakdf_2_5" hidden="1">{#N/A,#N/A,FALSE,"mgtsum.XLS";#N/A,#N/A,FALSE,"CAPONE";#N/A,#N/A,FALSE,"CAPTWO";#N/A,#N/A,FALSE,"CAPTHREE"}</definedName>
    <definedName name="aakdf_2_5_1" hidden="1">{#N/A,#N/A,FALSE,"mgtsum.XLS";#N/A,#N/A,FALSE,"CAPONE";#N/A,#N/A,FALSE,"CAPTWO";#N/A,#N/A,FALSE,"CAPTHREE"}</definedName>
    <definedName name="aakdf_2_5_2" hidden="1">{#N/A,#N/A,FALSE,"mgtsum.XLS";#N/A,#N/A,FALSE,"CAPONE";#N/A,#N/A,FALSE,"CAPTWO";#N/A,#N/A,FALSE,"CAPTHREE"}</definedName>
    <definedName name="aakdf_2_5_3" hidden="1">{#N/A,#N/A,FALSE,"mgtsum.XLS";#N/A,#N/A,FALSE,"CAPONE";#N/A,#N/A,FALSE,"CAPTWO";#N/A,#N/A,FALSE,"CAPTHREE"}</definedName>
    <definedName name="aakdf_2_5_4" hidden="1">{#N/A,#N/A,FALSE,"mgtsum.XLS";#N/A,#N/A,FALSE,"CAPONE";#N/A,#N/A,FALSE,"CAPTWO";#N/A,#N/A,FALSE,"CAPTHREE"}</definedName>
    <definedName name="aakdf_2_5_5" hidden="1">{#N/A,#N/A,FALSE,"mgtsum.XLS";#N/A,#N/A,FALSE,"CAPONE";#N/A,#N/A,FALSE,"CAPTWO";#N/A,#N/A,FALSE,"CAPTHREE"}</definedName>
    <definedName name="aakdf_3" hidden="1">{#N/A,#N/A,FALSE,"mgtsum.XLS";#N/A,#N/A,FALSE,"CAPONE";#N/A,#N/A,FALSE,"CAPTWO";#N/A,#N/A,FALSE,"CAPTHREE"}</definedName>
    <definedName name="aakdf_3_1" hidden="1">{#N/A,#N/A,FALSE,"mgtsum.XLS";#N/A,#N/A,FALSE,"CAPONE";#N/A,#N/A,FALSE,"CAPTWO";#N/A,#N/A,FALSE,"CAPTHREE"}</definedName>
    <definedName name="aakdf_3_1_1" hidden="1">{#N/A,#N/A,FALSE,"mgtsum.XLS";#N/A,#N/A,FALSE,"CAPONE";#N/A,#N/A,FALSE,"CAPTWO";#N/A,#N/A,FALSE,"CAPTHREE"}</definedName>
    <definedName name="aakdf_3_1_1_1" hidden="1">{#N/A,#N/A,FALSE,"mgtsum.XLS";#N/A,#N/A,FALSE,"CAPONE";#N/A,#N/A,FALSE,"CAPTWO";#N/A,#N/A,FALSE,"CAPTHREE"}</definedName>
    <definedName name="aakdf_3_1_1_2" hidden="1">{#N/A,#N/A,FALSE,"mgtsum.XLS";#N/A,#N/A,FALSE,"CAPONE";#N/A,#N/A,FALSE,"CAPTWO";#N/A,#N/A,FALSE,"CAPTHREE"}</definedName>
    <definedName name="aakdf_3_1_1_3" hidden="1">{#N/A,#N/A,FALSE,"mgtsum.XLS";#N/A,#N/A,FALSE,"CAPONE";#N/A,#N/A,FALSE,"CAPTWO";#N/A,#N/A,FALSE,"CAPTHREE"}</definedName>
    <definedName name="aakdf_3_1_1_4" hidden="1">{#N/A,#N/A,FALSE,"mgtsum.XLS";#N/A,#N/A,FALSE,"CAPONE";#N/A,#N/A,FALSE,"CAPTWO";#N/A,#N/A,FALSE,"CAPTHREE"}</definedName>
    <definedName name="aakdf_3_1_1_5" hidden="1">{#N/A,#N/A,FALSE,"mgtsum.XLS";#N/A,#N/A,FALSE,"CAPONE";#N/A,#N/A,FALSE,"CAPTWO";#N/A,#N/A,FALSE,"CAPTHREE"}</definedName>
    <definedName name="aakdf_3_1_2" hidden="1">{#N/A,#N/A,FALSE,"mgtsum.XLS";#N/A,#N/A,FALSE,"CAPONE";#N/A,#N/A,FALSE,"CAPTWO";#N/A,#N/A,FALSE,"CAPTHREE"}</definedName>
    <definedName name="aakdf_3_1_2_1" hidden="1">{#N/A,#N/A,FALSE,"mgtsum.XLS";#N/A,#N/A,FALSE,"CAPONE";#N/A,#N/A,FALSE,"CAPTWO";#N/A,#N/A,FALSE,"CAPTHREE"}</definedName>
    <definedName name="aakdf_3_1_2_2" hidden="1">{#N/A,#N/A,FALSE,"mgtsum.XLS";#N/A,#N/A,FALSE,"CAPONE";#N/A,#N/A,FALSE,"CAPTWO";#N/A,#N/A,FALSE,"CAPTHREE"}</definedName>
    <definedName name="aakdf_3_1_2_3" hidden="1">{#N/A,#N/A,FALSE,"mgtsum.XLS";#N/A,#N/A,FALSE,"CAPONE";#N/A,#N/A,FALSE,"CAPTWO";#N/A,#N/A,FALSE,"CAPTHREE"}</definedName>
    <definedName name="aakdf_3_1_2_4" hidden="1">{#N/A,#N/A,FALSE,"mgtsum.XLS";#N/A,#N/A,FALSE,"CAPONE";#N/A,#N/A,FALSE,"CAPTWO";#N/A,#N/A,FALSE,"CAPTHREE"}</definedName>
    <definedName name="aakdf_3_1_2_5" hidden="1">{#N/A,#N/A,FALSE,"mgtsum.XLS";#N/A,#N/A,FALSE,"CAPONE";#N/A,#N/A,FALSE,"CAPTWO";#N/A,#N/A,FALSE,"CAPTHREE"}</definedName>
    <definedName name="aakdf_3_1_3" hidden="1">{#N/A,#N/A,FALSE,"mgtsum.XLS";#N/A,#N/A,FALSE,"CAPONE";#N/A,#N/A,FALSE,"CAPTWO";#N/A,#N/A,FALSE,"CAPTHREE"}</definedName>
    <definedName name="aakdf_3_1_3_1" hidden="1">{#N/A,#N/A,FALSE,"mgtsum.XLS";#N/A,#N/A,FALSE,"CAPONE";#N/A,#N/A,FALSE,"CAPTWO";#N/A,#N/A,FALSE,"CAPTHREE"}</definedName>
    <definedName name="aakdf_3_1_3_2" hidden="1">{#N/A,#N/A,FALSE,"mgtsum.XLS";#N/A,#N/A,FALSE,"CAPONE";#N/A,#N/A,FALSE,"CAPTWO";#N/A,#N/A,FALSE,"CAPTHREE"}</definedName>
    <definedName name="aakdf_3_1_3_3" hidden="1">{#N/A,#N/A,FALSE,"mgtsum.XLS";#N/A,#N/A,FALSE,"CAPONE";#N/A,#N/A,FALSE,"CAPTWO";#N/A,#N/A,FALSE,"CAPTHREE"}</definedName>
    <definedName name="aakdf_3_1_3_4" hidden="1">{#N/A,#N/A,FALSE,"mgtsum.XLS";#N/A,#N/A,FALSE,"CAPONE";#N/A,#N/A,FALSE,"CAPTWO";#N/A,#N/A,FALSE,"CAPTHREE"}</definedName>
    <definedName name="aakdf_3_1_3_5" hidden="1">{#N/A,#N/A,FALSE,"mgtsum.XLS";#N/A,#N/A,FALSE,"CAPONE";#N/A,#N/A,FALSE,"CAPTWO";#N/A,#N/A,FALSE,"CAPTHREE"}</definedName>
    <definedName name="aakdf_3_1_4" hidden="1">{#N/A,#N/A,FALSE,"mgtsum.XLS";#N/A,#N/A,FALSE,"CAPONE";#N/A,#N/A,FALSE,"CAPTWO";#N/A,#N/A,FALSE,"CAPTHREE"}</definedName>
    <definedName name="aakdf_3_1_5" hidden="1">{#N/A,#N/A,FALSE,"mgtsum.XLS";#N/A,#N/A,FALSE,"CAPONE";#N/A,#N/A,FALSE,"CAPTWO";#N/A,#N/A,FALSE,"CAPTHREE"}</definedName>
    <definedName name="aakdf_3_2" hidden="1">{#N/A,#N/A,FALSE,"mgtsum.XLS";#N/A,#N/A,FALSE,"CAPONE";#N/A,#N/A,FALSE,"CAPTWO";#N/A,#N/A,FALSE,"CAPTHREE"}</definedName>
    <definedName name="aakdf_3_2_1" hidden="1">{#N/A,#N/A,FALSE,"mgtsum.XLS";#N/A,#N/A,FALSE,"CAPONE";#N/A,#N/A,FALSE,"CAPTWO";#N/A,#N/A,FALSE,"CAPTHREE"}</definedName>
    <definedName name="aakdf_3_2_1_1" hidden="1">{#N/A,#N/A,FALSE,"mgtsum.XLS";#N/A,#N/A,FALSE,"CAPONE";#N/A,#N/A,FALSE,"CAPTWO";#N/A,#N/A,FALSE,"CAPTHREE"}</definedName>
    <definedName name="aakdf_3_2_1_2" hidden="1">{#N/A,#N/A,FALSE,"mgtsum.XLS";#N/A,#N/A,FALSE,"CAPONE";#N/A,#N/A,FALSE,"CAPTWO";#N/A,#N/A,FALSE,"CAPTHREE"}</definedName>
    <definedName name="aakdf_3_2_1_3" hidden="1">{#N/A,#N/A,FALSE,"mgtsum.XLS";#N/A,#N/A,FALSE,"CAPONE";#N/A,#N/A,FALSE,"CAPTWO";#N/A,#N/A,FALSE,"CAPTHREE"}</definedName>
    <definedName name="aakdf_3_2_1_4" hidden="1">{#N/A,#N/A,FALSE,"mgtsum.XLS";#N/A,#N/A,FALSE,"CAPONE";#N/A,#N/A,FALSE,"CAPTWO";#N/A,#N/A,FALSE,"CAPTHREE"}</definedName>
    <definedName name="aakdf_3_2_1_5" hidden="1">{#N/A,#N/A,FALSE,"mgtsum.XLS";#N/A,#N/A,FALSE,"CAPONE";#N/A,#N/A,FALSE,"CAPTWO";#N/A,#N/A,FALSE,"CAPTHREE"}</definedName>
    <definedName name="aakdf_3_2_2" hidden="1">{#N/A,#N/A,FALSE,"mgtsum.XLS";#N/A,#N/A,FALSE,"CAPONE";#N/A,#N/A,FALSE,"CAPTWO";#N/A,#N/A,FALSE,"CAPTHREE"}</definedName>
    <definedName name="aakdf_3_2_2_1" hidden="1">{#N/A,#N/A,FALSE,"mgtsum.XLS";#N/A,#N/A,FALSE,"CAPONE";#N/A,#N/A,FALSE,"CAPTWO";#N/A,#N/A,FALSE,"CAPTHREE"}</definedName>
    <definedName name="aakdf_3_2_2_2" hidden="1">{#N/A,#N/A,FALSE,"mgtsum.XLS";#N/A,#N/A,FALSE,"CAPONE";#N/A,#N/A,FALSE,"CAPTWO";#N/A,#N/A,FALSE,"CAPTHREE"}</definedName>
    <definedName name="aakdf_3_2_2_3" hidden="1">{#N/A,#N/A,FALSE,"mgtsum.XLS";#N/A,#N/A,FALSE,"CAPONE";#N/A,#N/A,FALSE,"CAPTWO";#N/A,#N/A,FALSE,"CAPTHREE"}</definedName>
    <definedName name="aakdf_3_2_2_4" hidden="1">{#N/A,#N/A,FALSE,"mgtsum.XLS";#N/A,#N/A,FALSE,"CAPONE";#N/A,#N/A,FALSE,"CAPTWO";#N/A,#N/A,FALSE,"CAPTHREE"}</definedName>
    <definedName name="aakdf_3_2_2_5" hidden="1">{#N/A,#N/A,FALSE,"mgtsum.XLS";#N/A,#N/A,FALSE,"CAPONE";#N/A,#N/A,FALSE,"CAPTWO";#N/A,#N/A,FALSE,"CAPTHREE"}</definedName>
    <definedName name="aakdf_3_2_3" hidden="1">{#N/A,#N/A,FALSE,"mgtsum.XLS";#N/A,#N/A,FALSE,"CAPONE";#N/A,#N/A,FALSE,"CAPTWO";#N/A,#N/A,FALSE,"CAPTHREE"}</definedName>
    <definedName name="aakdf_3_2_4" hidden="1">{#N/A,#N/A,FALSE,"mgtsum.XLS";#N/A,#N/A,FALSE,"CAPONE";#N/A,#N/A,FALSE,"CAPTWO";#N/A,#N/A,FALSE,"CAPTHREE"}</definedName>
    <definedName name="aakdf_3_2_5" hidden="1">{#N/A,#N/A,FALSE,"mgtsum.XLS";#N/A,#N/A,FALSE,"CAPONE";#N/A,#N/A,FALSE,"CAPTWO";#N/A,#N/A,FALSE,"CAPTHREE"}</definedName>
    <definedName name="aakdf_3_3" hidden="1">{#N/A,#N/A,FALSE,"mgtsum.XLS";#N/A,#N/A,FALSE,"CAPONE";#N/A,#N/A,FALSE,"CAPTWO";#N/A,#N/A,FALSE,"CAPTHREE"}</definedName>
    <definedName name="aakdf_3_3_1" hidden="1">{#N/A,#N/A,FALSE,"mgtsum.XLS";#N/A,#N/A,FALSE,"CAPONE";#N/A,#N/A,FALSE,"CAPTWO";#N/A,#N/A,FALSE,"CAPTHREE"}</definedName>
    <definedName name="aakdf_3_3_1_1" hidden="1">{#N/A,#N/A,FALSE,"mgtsum.XLS";#N/A,#N/A,FALSE,"CAPONE";#N/A,#N/A,FALSE,"CAPTWO";#N/A,#N/A,FALSE,"CAPTHREE"}</definedName>
    <definedName name="aakdf_3_3_1_2" hidden="1">{#N/A,#N/A,FALSE,"mgtsum.XLS";#N/A,#N/A,FALSE,"CAPONE";#N/A,#N/A,FALSE,"CAPTWO";#N/A,#N/A,FALSE,"CAPTHREE"}</definedName>
    <definedName name="aakdf_3_3_1_3" hidden="1">{#N/A,#N/A,FALSE,"mgtsum.XLS";#N/A,#N/A,FALSE,"CAPONE";#N/A,#N/A,FALSE,"CAPTWO";#N/A,#N/A,FALSE,"CAPTHREE"}</definedName>
    <definedName name="aakdf_3_3_1_4" hidden="1">{#N/A,#N/A,FALSE,"mgtsum.XLS";#N/A,#N/A,FALSE,"CAPONE";#N/A,#N/A,FALSE,"CAPTWO";#N/A,#N/A,FALSE,"CAPTHREE"}</definedName>
    <definedName name="aakdf_3_3_1_5" hidden="1">{#N/A,#N/A,FALSE,"mgtsum.XLS";#N/A,#N/A,FALSE,"CAPONE";#N/A,#N/A,FALSE,"CAPTWO";#N/A,#N/A,FALSE,"CAPTHREE"}</definedName>
    <definedName name="aakdf_3_3_2" hidden="1">{#N/A,#N/A,FALSE,"mgtsum.XLS";#N/A,#N/A,FALSE,"CAPONE";#N/A,#N/A,FALSE,"CAPTWO";#N/A,#N/A,FALSE,"CAPTHREE"}</definedName>
    <definedName name="aakdf_3_3_2_1" hidden="1">{#N/A,#N/A,FALSE,"mgtsum.XLS";#N/A,#N/A,FALSE,"CAPONE";#N/A,#N/A,FALSE,"CAPTWO";#N/A,#N/A,FALSE,"CAPTHREE"}</definedName>
    <definedName name="aakdf_3_3_2_2" hidden="1">{#N/A,#N/A,FALSE,"mgtsum.XLS";#N/A,#N/A,FALSE,"CAPONE";#N/A,#N/A,FALSE,"CAPTWO";#N/A,#N/A,FALSE,"CAPTHREE"}</definedName>
    <definedName name="aakdf_3_3_2_3" hidden="1">{#N/A,#N/A,FALSE,"mgtsum.XLS";#N/A,#N/A,FALSE,"CAPONE";#N/A,#N/A,FALSE,"CAPTWO";#N/A,#N/A,FALSE,"CAPTHREE"}</definedName>
    <definedName name="aakdf_3_3_2_4" hidden="1">{#N/A,#N/A,FALSE,"mgtsum.XLS";#N/A,#N/A,FALSE,"CAPONE";#N/A,#N/A,FALSE,"CAPTWO";#N/A,#N/A,FALSE,"CAPTHREE"}</definedName>
    <definedName name="aakdf_3_3_2_5" hidden="1">{#N/A,#N/A,FALSE,"mgtsum.XLS";#N/A,#N/A,FALSE,"CAPONE";#N/A,#N/A,FALSE,"CAPTWO";#N/A,#N/A,FALSE,"CAPTHREE"}</definedName>
    <definedName name="aakdf_3_3_3" hidden="1">{#N/A,#N/A,FALSE,"mgtsum.XLS";#N/A,#N/A,FALSE,"CAPONE";#N/A,#N/A,FALSE,"CAPTWO";#N/A,#N/A,FALSE,"CAPTHREE"}</definedName>
    <definedName name="aakdf_3_3_4" hidden="1">{#N/A,#N/A,FALSE,"mgtsum.XLS";#N/A,#N/A,FALSE,"CAPONE";#N/A,#N/A,FALSE,"CAPTWO";#N/A,#N/A,FALSE,"CAPTHREE"}</definedName>
    <definedName name="aakdf_3_3_5" hidden="1">{#N/A,#N/A,FALSE,"mgtsum.XLS";#N/A,#N/A,FALSE,"CAPONE";#N/A,#N/A,FALSE,"CAPTWO";#N/A,#N/A,FALSE,"CAPTHREE"}</definedName>
    <definedName name="aakdf_3_4" hidden="1">{#N/A,#N/A,FALSE,"mgtsum.XLS";#N/A,#N/A,FALSE,"CAPONE";#N/A,#N/A,FALSE,"CAPTWO";#N/A,#N/A,FALSE,"CAPTHREE"}</definedName>
    <definedName name="aakdf_3_4_1" hidden="1">{#N/A,#N/A,FALSE,"mgtsum.XLS";#N/A,#N/A,FALSE,"CAPONE";#N/A,#N/A,FALSE,"CAPTWO";#N/A,#N/A,FALSE,"CAPTHREE"}</definedName>
    <definedName name="aakdf_3_4_1_1" hidden="1">{#N/A,#N/A,FALSE,"mgtsum.XLS";#N/A,#N/A,FALSE,"CAPONE";#N/A,#N/A,FALSE,"CAPTWO";#N/A,#N/A,FALSE,"CAPTHREE"}</definedName>
    <definedName name="aakdf_3_4_1_2" hidden="1">{#N/A,#N/A,FALSE,"mgtsum.XLS";#N/A,#N/A,FALSE,"CAPONE";#N/A,#N/A,FALSE,"CAPTWO";#N/A,#N/A,FALSE,"CAPTHREE"}</definedName>
    <definedName name="aakdf_3_4_1_3" hidden="1">{#N/A,#N/A,FALSE,"mgtsum.XLS";#N/A,#N/A,FALSE,"CAPONE";#N/A,#N/A,FALSE,"CAPTWO";#N/A,#N/A,FALSE,"CAPTHREE"}</definedName>
    <definedName name="aakdf_3_4_1_4" hidden="1">{#N/A,#N/A,FALSE,"mgtsum.XLS";#N/A,#N/A,FALSE,"CAPONE";#N/A,#N/A,FALSE,"CAPTWO";#N/A,#N/A,FALSE,"CAPTHREE"}</definedName>
    <definedName name="aakdf_3_4_1_5" hidden="1">{#N/A,#N/A,FALSE,"mgtsum.XLS";#N/A,#N/A,FALSE,"CAPONE";#N/A,#N/A,FALSE,"CAPTWO";#N/A,#N/A,FALSE,"CAPTHREE"}</definedName>
    <definedName name="aakdf_3_4_2" hidden="1">{#N/A,#N/A,FALSE,"mgtsum.XLS";#N/A,#N/A,FALSE,"CAPONE";#N/A,#N/A,FALSE,"CAPTWO";#N/A,#N/A,FALSE,"CAPTHREE"}</definedName>
    <definedName name="aakdf_3_4_2_1" hidden="1">{#N/A,#N/A,FALSE,"mgtsum.XLS";#N/A,#N/A,FALSE,"CAPONE";#N/A,#N/A,FALSE,"CAPTWO";#N/A,#N/A,FALSE,"CAPTHREE"}</definedName>
    <definedName name="aakdf_3_4_2_2" hidden="1">{#N/A,#N/A,FALSE,"mgtsum.XLS";#N/A,#N/A,FALSE,"CAPONE";#N/A,#N/A,FALSE,"CAPTWO";#N/A,#N/A,FALSE,"CAPTHREE"}</definedName>
    <definedName name="aakdf_3_4_2_3" hidden="1">{#N/A,#N/A,FALSE,"mgtsum.XLS";#N/A,#N/A,FALSE,"CAPONE";#N/A,#N/A,FALSE,"CAPTWO";#N/A,#N/A,FALSE,"CAPTHREE"}</definedName>
    <definedName name="aakdf_3_4_2_4" hidden="1">{#N/A,#N/A,FALSE,"mgtsum.XLS";#N/A,#N/A,FALSE,"CAPONE";#N/A,#N/A,FALSE,"CAPTWO";#N/A,#N/A,FALSE,"CAPTHREE"}</definedName>
    <definedName name="aakdf_3_4_2_5" hidden="1">{#N/A,#N/A,FALSE,"mgtsum.XLS";#N/A,#N/A,FALSE,"CAPONE";#N/A,#N/A,FALSE,"CAPTWO";#N/A,#N/A,FALSE,"CAPTHREE"}</definedName>
    <definedName name="aakdf_3_4_3" hidden="1">{#N/A,#N/A,FALSE,"mgtsum.XLS";#N/A,#N/A,FALSE,"CAPONE";#N/A,#N/A,FALSE,"CAPTWO";#N/A,#N/A,FALSE,"CAPTHREE"}</definedName>
    <definedName name="aakdf_3_4_4" hidden="1">{#N/A,#N/A,FALSE,"mgtsum.XLS";#N/A,#N/A,FALSE,"CAPONE";#N/A,#N/A,FALSE,"CAPTWO";#N/A,#N/A,FALSE,"CAPTHREE"}</definedName>
    <definedName name="aakdf_3_4_5" hidden="1">{#N/A,#N/A,FALSE,"mgtsum.XLS";#N/A,#N/A,FALSE,"CAPONE";#N/A,#N/A,FALSE,"CAPTWO";#N/A,#N/A,FALSE,"CAPTHREE"}</definedName>
    <definedName name="aakdf_3_5" hidden="1">{#N/A,#N/A,FALSE,"mgtsum.XLS";#N/A,#N/A,FALSE,"CAPONE";#N/A,#N/A,FALSE,"CAPTWO";#N/A,#N/A,FALSE,"CAPTHREE"}</definedName>
    <definedName name="aakdf_3_5_1" hidden="1">{#N/A,#N/A,FALSE,"mgtsum.XLS";#N/A,#N/A,FALSE,"CAPONE";#N/A,#N/A,FALSE,"CAPTWO";#N/A,#N/A,FALSE,"CAPTHREE"}</definedName>
    <definedName name="aakdf_3_5_2" hidden="1">{#N/A,#N/A,FALSE,"mgtsum.XLS";#N/A,#N/A,FALSE,"CAPONE";#N/A,#N/A,FALSE,"CAPTWO";#N/A,#N/A,FALSE,"CAPTHREE"}</definedName>
    <definedName name="aakdf_3_5_3" hidden="1">{#N/A,#N/A,FALSE,"mgtsum.XLS";#N/A,#N/A,FALSE,"CAPONE";#N/A,#N/A,FALSE,"CAPTWO";#N/A,#N/A,FALSE,"CAPTHREE"}</definedName>
    <definedName name="aakdf_3_5_4" hidden="1">{#N/A,#N/A,FALSE,"mgtsum.XLS";#N/A,#N/A,FALSE,"CAPONE";#N/A,#N/A,FALSE,"CAPTWO";#N/A,#N/A,FALSE,"CAPTHREE"}</definedName>
    <definedName name="aakdf_3_5_5" hidden="1">{#N/A,#N/A,FALSE,"mgtsum.XLS";#N/A,#N/A,FALSE,"CAPONE";#N/A,#N/A,FALSE,"CAPTWO";#N/A,#N/A,FALSE,"CAPTHREE"}</definedName>
    <definedName name="aakdf_4" hidden="1">{#N/A,#N/A,FALSE,"mgtsum.XLS";#N/A,#N/A,FALSE,"CAPONE";#N/A,#N/A,FALSE,"CAPTWO";#N/A,#N/A,FALSE,"CAPTHREE"}</definedName>
    <definedName name="aakdf_4_1" hidden="1">{#N/A,#N/A,FALSE,"mgtsum.XLS";#N/A,#N/A,FALSE,"CAPONE";#N/A,#N/A,FALSE,"CAPTWO";#N/A,#N/A,FALSE,"CAPTHREE"}</definedName>
    <definedName name="aakdf_4_1_1" hidden="1">{#N/A,#N/A,FALSE,"mgtsum.XLS";#N/A,#N/A,FALSE,"CAPONE";#N/A,#N/A,FALSE,"CAPTWO";#N/A,#N/A,FALSE,"CAPTHREE"}</definedName>
    <definedName name="aakdf_4_1_1_1" hidden="1">{#N/A,#N/A,FALSE,"mgtsum.XLS";#N/A,#N/A,FALSE,"CAPONE";#N/A,#N/A,FALSE,"CAPTWO";#N/A,#N/A,FALSE,"CAPTHREE"}</definedName>
    <definedName name="aakdf_4_1_1_2" hidden="1">{#N/A,#N/A,FALSE,"mgtsum.XLS";#N/A,#N/A,FALSE,"CAPONE";#N/A,#N/A,FALSE,"CAPTWO";#N/A,#N/A,FALSE,"CAPTHREE"}</definedName>
    <definedName name="aakdf_4_1_1_3" hidden="1">{#N/A,#N/A,FALSE,"mgtsum.XLS";#N/A,#N/A,FALSE,"CAPONE";#N/A,#N/A,FALSE,"CAPTWO";#N/A,#N/A,FALSE,"CAPTHREE"}</definedName>
    <definedName name="aakdf_4_1_1_4" hidden="1">{#N/A,#N/A,FALSE,"mgtsum.XLS";#N/A,#N/A,FALSE,"CAPONE";#N/A,#N/A,FALSE,"CAPTWO";#N/A,#N/A,FALSE,"CAPTHREE"}</definedName>
    <definedName name="aakdf_4_1_1_5" hidden="1">{#N/A,#N/A,FALSE,"mgtsum.XLS";#N/A,#N/A,FALSE,"CAPONE";#N/A,#N/A,FALSE,"CAPTWO";#N/A,#N/A,FALSE,"CAPTHREE"}</definedName>
    <definedName name="aakdf_4_1_2" hidden="1">{#N/A,#N/A,FALSE,"mgtsum.XLS";#N/A,#N/A,FALSE,"CAPONE";#N/A,#N/A,FALSE,"CAPTWO";#N/A,#N/A,FALSE,"CAPTHREE"}</definedName>
    <definedName name="aakdf_4_1_2_1" hidden="1">{#N/A,#N/A,FALSE,"mgtsum.XLS";#N/A,#N/A,FALSE,"CAPONE";#N/A,#N/A,FALSE,"CAPTWO";#N/A,#N/A,FALSE,"CAPTHREE"}</definedName>
    <definedName name="aakdf_4_1_2_2" hidden="1">{#N/A,#N/A,FALSE,"mgtsum.XLS";#N/A,#N/A,FALSE,"CAPONE";#N/A,#N/A,FALSE,"CAPTWO";#N/A,#N/A,FALSE,"CAPTHREE"}</definedName>
    <definedName name="aakdf_4_1_2_3" hidden="1">{#N/A,#N/A,FALSE,"mgtsum.XLS";#N/A,#N/A,FALSE,"CAPONE";#N/A,#N/A,FALSE,"CAPTWO";#N/A,#N/A,FALSE,"CAPTHREE"}</definedName>
    <definedName name="aakdf_4_1_2_4" hidden="1">{#N/A,#N/A,FALSE,"mgtsum.XLS";#N/A,#N/A,FALSE,"CAPONE";#N/A,#N/A,FALSE,"CAPTWO";#N/A,#N/A,FALSE,"CAPTHREE"}</definedName>
    <definedName name="aakdf_4_1_2_5" hidden="1">{#N/A,#N/A,FALSE,"mgtsum.XLS";#N/A,#N/A,FALSE,"CAPONE";#N/A,#N/A,FALSE,"CAPTWO";#N/A,#N/A,FALSE,"CAPTHREE"}</definedName>
    <definedName name="aakdf_4_1_3" hidden="1">{#N/A,#N/A,FALSE,"mgtsum.XLS";#N/A,#N/A,FALSE,"CAPONE";#N/A,#N/A,FALSE,"CAPTWO";#N/A,#N/A,FALSE,"CAPTHREE"}</definedName>
    <definedName name="aakdf_4_1_3_1" hidden="1">{#N/A,#N/A,FALSE,"mgtsum.XLS";#N/A,#N/A,FALSE,"CAPONE";#N/A,#N/A,FALSE,"CAPTWO";#N/A,#N/A,FALSE,"CAPTHREE"}</definedName>
    <definedName name="aakdf_4_1_3_2" hidden="1">{#N/A,#N/A,FALSE,"mgtsum.XLS";#N/A,#N/A,FALSE,"CAPONE";#N/A,#N/A,FALSE,"CAPTWO";#N/A,#N/A,FALSE,"CAPTHREE"}</definedName>
    <definedName name="aakdf_4_1_3_3" hidden="1">{#N/A,#N/A,FALSE,"mgtsum.XLS";#N/A,#N/A,FALSE,"CAPONE";#N/A,#N/A,FALSE,"CAPTWO";#N/A,#N/A,FALSE,"CAPTHREE"}</definedName>
    <definedName name="aakdf_4_1_3_4" hidden="1">{#N/A,#N/A,FALSE,"mgtsum.XLS";#N/A,#N/A,FALSE,"CAPONE";#N/A,#N/A,FALSE,"CAPTWO";#N/A,#N/A,FALSE,"CAPTHREE"}</definedName>
    <definedName name="aakdf_4_1_3_5" hidden="1">{#N/A,#N/A,FALSE,"mgtsum.XLS";#N/A,#N/A,FALSE,"CAPONE";#N/A,#N/A,FALSE,"CAPTWO";#N/A,#N/A,FALSE,"CAPTHREE"}</definedName>
    <definedName name="aakdf_4_1_4" hidden="1">{#N/A,#N/A,FALSE,"mgtsum.XLS";#N/A,#N/A,FALSE,"CAPONE";#N/A,#N/A,FALSE,"CAPTWO";#N/A,#N/A,FALSE,"CAPTHREE"}</definedName>
    <definedName name="aakdf_4_1_5" hidden="1">{#N/A,#N/A,FALSE,"mgtsum.XLS";#N/A,#N/A,FALSE,"CAPONE";#N/A,#N/A,FALSE,"CAPTWO";#N/A,#N/A,FALSE,"CAPTHREE"}</definedName>
    <definedName name="aakdf_4_2" hidden="1">{#N/A,#N/A,FALSE,"mgtsum.XLS";#N/A,#N/A,FALSE,"CAPONE";#N/A,#N/A,FALSE,"CAPTWO";#N/A,#N/A,FALSE,"CAPTHREE"}</definedName>
    <definedName name="aakdf_4_2_1" hidden="1">{#N/A,#N/A,FALSE,"mgtsum.XLS";#N/A,#N/A,FALSE,"CAPONE";#N/A,#N/A,FALSE,"CAPTWO";#N/A,#N/A,FALSE,"CAPTHREE"}</definedName>
    <definedName name="aakdf_4_2_2" hidden="1">{#N/A,#N/A,FALSE,"mgtsum.XLS";#N/A,#N/A,FALSE,"CAPONE";#N/A,#N/A,FALSE,"CAPTWO";#N/A,#N/A,FALSE,"CAPTHREE"}</definedName>
    <definedName name="aakdf_4_2_3" hidden="1">{#N/A,#N/A,FALSE,"mgtsum.XLS";#N/A,#N/A,FALSE,"CAPONE";#N/A,#N/A,FALSE,"CAPTWO";#N/A,#N/A,FALSE,"CAPTHREE"}</definedName>
    <definedName name="aakdf_4_2_4" hidden="1">{#N/A,#N/A,FALSE,"mgtsum.XLS";#N/A,#N/A,FALSE,"CAPONE";#N/A,#N/A,FALSE,"CAPTWO";#N/A,#N/A,FALSE,"CAPTHREE"}</definedName>
    <definedName name="aakdf_4_2_5" hidden="1">{#N/A,#N/A,FALSE,"mgtsum.XLS";#N/A,#N/A,FALSE,"CAPONE";#N/A,#N/A,FALSE,"CAPTWO";#N/A,#N/A,FALSE,"CAPTHREE"}</definedName>
    <definedName name="aakdf_4_3" hidden="1">{#N/A,#N/A,FALSE,"mgtsum.XLS";#N/A,#N/A,FALSE,"CAPONE";#N/A,#N/A,FALSE,"CAPTWO";#N/A,#N/A,FALSE,"CAPTHREE"}</definedName>
    <definedName name="aakdf_4_3_1" hidden="1">{#N/A,#N/A,FALSE,"mgtsum.XLS";#N/A,#N/A,FALSE,"CAPONE";#N/A,#N/A,FALSE,"CAPTWO";#N/A,#N/A,FALSE,"CAPTHREE"}</definedName>
    <definedName name="aakdf_4_3_2" hidden="1">{#N/A,#N/A,FALSE,"mgtsum.XLS";#N/A,#N/A,FALSE,"CAPONE";#N/A,#N/A,FALSE,"CAPTWO";#N/A,#N/A,FALSE,"CAPTHREE"}</definedName>
    <definedName name="aakdf_4_3_3" hidden="1">{#N/A,#N/A,FALSE,"mgtsum.XLS";#N/A,#N/A,FALSE,"CAPONE";#N/A,#N/A,FALSE,"CAPTWO";#N/A,#N/A,FALSE,"CAPTHREE"}</definedName>
    <definedName name="aakdf_4_3_4" hidden="1">{#N/A,#N/A,FALSE,"mgtsum.XLS";#N/A,#N/A,FALSE,"CAPONE";#N/A,#N/A,FALSE,"CAPTWO";#N/A,#N/A,FALSE,"CAPTHREE"}</definedName>
    <definedName name="aakdf_4_3_5" hidden="1">{#N/A,#N/A,FALSE,"mgtsum.XLS";#N/A,#N/A,FALSE,"CAPONE";#N/A,#N/A,FALSE,"CAPTWO";#N/A,#N/A,FALSE,"CAPTHREE"}</definedName>
    <definedName name="aakdf_4_4" hidden="1">{#N/A,#N/A,FALSE,"mgtsum.XLS";#N/A,#N/A,FALSE,"CAPONE";#N/A,#N/A,FALSE,"CAPTWO";#N/A,#N/A,FALSE,"CAPTHREE"}</definedName>
    <definedName name="aakdf_4_5" hidden="1">{#N/A,#N/A,FALSE,"mgtsum.XLS";#N/A,#N/A,FALSE,"CAPONE";#N/A,#N/A,FALSE,"CAPTWO";#N/A,#N/A,FALSE,"CAPTHREE"}</definedName>
    <definedName name="aakdf_5" hidden="1">{#N/A,#N/A,FALSE,"mgtsum.XLS";#N/A,#N/A,FALSE,"CAPONE";#N/A,#N/A,FALSE,"CAPTWO";#N/A,#N/A,FALSE,"CAPTHREE"}</definedName>
    <definedName name="aakdf_5_1" hidden="1">{#N/A,#N/A,FALSE,"mgtsum.XLS";#N/A,#N/A,FALSE,"CAPONE";#N/A,#N/A,FALSE,"CAPTWO";#N/A,#N/A,FALSE,"CAPTHREE"}</definedName>
    <definedName name="aakdf_5_1_1" hidden="1">{#N/A,#N/A,FALSE,"mgtsum.XLS";#N/A,#N/A,FALSE,"CAPONE";#N/A,#N/A,FALSE,"CAPTWO";#N/A,#N/A,FALSE,"CAPTHREE"}</definedName>
    <definedName name="aakdf_5_1_2" hidden="1">{#N/A,#N/A,FALSE,"mgtsum.XLS";#N/A,#N/A,FALSE,"CAPONE";#N/A,#N/A,FALSE,"CAPTWO";#N/A,#N/A,FALSE,"CAPTHREE"}</definedName>
    <definedName name="aakdf_5_1_3" hidden="1">{#N/A,#N/A,FALSE,"mgtsum.XLS";#N/A,#N/A,FALSE,"CAPONE";#N/A,#N/A,FALSE,"CAPTWO";#N/A,#N/A,FALSE,"CAPTHREE"}</definedName>
    <definedName name="aakdf_5_1_4" hidden="1">{#N/A,#N/A,FALSE,"mgtsum.XLS";#N/A,#N/A,FALSE,"CAPONE";#N/A,#N/A,FALSE,"CAPTWO";#N/A,#N/A,FALSE,"CAPTHREE"}</definedName>
    <definedName name="aakdf_5_1_5" hidden="1">{#N/A,#N/A,FALSE,"mgtsum.XLS";#N/A,#N/A,FALSE,"CAPONE";#N/A,#N/A,FALSE,"CAPTWO";#N/A,#N/A,FALSE,"CAPTHREE"}</definedName>
    <definedName name="aakdf_5_2" hidden="1">{#N/A,#N/A,FALSE,"mgtsum.XLS";#N/A,#N/A,FALSE,"CAPONE";#N/A,#N/A,FALSE,"CAPTWO";#N/A,#N/A,FALSE,"CAPTHREE"}</definedName>
    <definedName name="aakdf_5_2_1" hidden="1">{#N/A,#N/A,FALSE,"mgtsum.XLS";#N/A,#N/A,FALSE,"CAPONE";#N/A,#N/A,FALSE,"CAPTWO";#N/A,#N/A,FALSE,"CAPTHREE"}</definedName>
    <definedName name="aakdf_5_2_2" hidden="1">{#N/A,#N/A,FALSE,"mgtsum.XLS";#N/A,#N/A,FALSE,"CAPONE";#N/A,#N/A,FALSE,"CAPTWO";#N/A,#N/A,FALSE,"CAPTHREE"}</definedName>
    <definedName name="aakdf_5_2_3" hidden="1">{#N/A,#N/A,FALSE,"mgtsum.XLS";#N/A,#N/A,FALSE,"CAPONE";#N/A,#N/A,FALSE,"CAPTWO";#N/A,#N/A,FALSE,"CAPTHREE"}</definedName>
    <definedName name="aakdf_5_2_4" hidden="1">{#N/A,#N/A,FALSE,"mgtsum.XLS";#N/A,#N/A,FALSE,"CAPONE";#N/A,#N/A,FALSE,"CAPTWO";#N/A,#N/A,FALSE,"CAPTHREE"}</definedName>
    <definedName name="aakdf_5_2_5" hidden="1">{#N/A,#N/A,FALSE,"mgtsum.XLS";#N/A,#N/A,FALSE,"CAPONE";#N/A,#N/A,FALSE,"CAPTWO";#N/A,#N/A,FALSE,"CAPTHREE"}</definedName>
    <definedName name="aakdf_5_3" hidden="1">{#N/A,#N/A,FALSE,"mgtsum.XLS";#N/A,#N/A,FALSE,"CAPONE";#N/A,#N/A,FALSE,"CAPTWO";#N/A,#N/A,FALSE,"CAPTHREE"}</definedName>
    <definedName name="aakdf_5_4" hidden="1">{#N/A,#N/A,FALSE,"mgtsum.XLS";#N/A,#N/A,FALSE,"CAPONE";#N/A,#N/A,FALSE,"CAPTWO";#N/A,#N/A,FALSE,"CAPTHREE"}</definedName>
    <definedName name="aakdf_5_5" hidden="1">{#N/A,#N/A,FALSE,"mgtsum.XLS";#N/A,#N/A,FALSE,"CAPONE";#N/A,#N/A,FALSE,"CAPTWO";#N/A,#N/A,FALSE,"CAPTHREE"}</definedName>
    <definedName name="aarvee" hidden="1">{"PLANNING",#N/A,FALSE,"A"}</definedName>
    <definedName name="aas" hidden="1">#REF!</definedName>
    <definedName name="aasasa" hidden="1">{#N/A,#N/A,FALSE,"mgtsum.XLS";#N/A,#N/A,FALSE,"CAPONE";#N/A,#N/A,FALSE,"CAPTWO";#N/A,#N/A,FALSE,"CAPTHREE"}</definedName>
    <definedName name="aass" hidden="1">#REF!</definedName>
    <definedName name="a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ABA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BADB" hidden="1">{#N/A,#N/A,FALSE,"TELEFON"}</definedName>
    <definedName name="abc" hidden="1">{#N/A,#N/A,TRUE,"Basic";#N/A,#N/A,TRUE,"EXT-TABLE";#N/A,#N/A,TRUE,"STEEL";#N/A,#N/A,TRUE,"INT-Table";#N/A,#N/A,TRUE,"STEEL";#N/A,#N/A,TRUE,"Door"}</definedName>
    <definedName name="ABCD" hidden="1">#REF!</definedName>
    <definedName name="abcdef" hidden="1">{"'Break down'!$A$4"}</definedName>
    <definedName name="abcdefg" localSheetId="1" hidden="1">{#N/A,#N/A,FALSE,"mgtsum.XLS";#N/A,#N/A,FALSE,"CAPONE";#N/A,#N/A,FALSE,"CAPTWO";#N/A,#N/A,FALSE,"CAPTHREE"}</definedName>
    <definedName name="abcdefg" hidden="1">{#N/A,#N/A,FALSE,"mgtsum.XLS";#N/A,#N/A,FALSE,"CAPONE";#N/A,#N/A,FALSE,"CAPTWO";#N/A,#N/A,FALSE,"CAPTHREE"}</definedName>
    <definedName name="abcdefg_1" hidden="1">{#N/A,#N/A,FALSE,"mgtsum.XLS";#N/A,#N/A,FALSE,"CAPONE";#N/A,#N/A,FALSE,"CAPTWO";#N/A,#N/A,FALSE,"CAPTHREE"}</definedName>
    <definedName name="abcdefg_1_1" hidden="1">{#N/A,#N/A,FALSE,"mgtsum.XLS";#N/A,#N/A,FALSE,"CAPONE";#N/A,#N/A,FALSE,"CAPTWO";#N/A,#N/A,FALSE,"CAPTHREE"}</definedName>
    <definedName name="abcdefg_1_1_1" hidden="1">{#N/A,#N/A,FALSE,"mgtsum.XLS";#N/A,#N/A,FALSE,"CAPONE";#N/A,#N/A,FALSE,"CAPTWO";#N/A,#N/A,FALSE,"CAPTHREE"}</definedName>
    <definedName name="abcdefg_1_1_1_1" hidden="1">{#N/A,#N/A,FALSE,"mgtsum.XLS";#N/A,#N/A,FALSE,"CAPONE";#N/A,#N/A,FALSE,"CAPTWO";#N/A,#N/A,FALSE,"CAPTHREE"}</definedName>
    <definedName name="abcdefg_1_1_1_2" hidden="1">{#N/A,#N/A,FALSE,"mgtsum.XLS";#N/A,#N/A,FALSE,"CAPONE";#N/A,#N/A,FALSE,"CAPTWO";#N/A,#N/A,FALSE,"CAPTHREE"}</definedName>
    <definedName name="abcdefg_1_1_1_3" hidden="1">{#N/A,#N/A,FALSE,"mgtsum.XLS";#N/A,#N/A,FALSE,"CAPONE";#N/A,#N/A,FALSE,"CAPTWO";#N/A,#N/A,FALSE,"CAPTHREE"}</definedName>
    <definedName name="abcdefg_1_1_1_4" hidden="1">{#N/A,#N/A,FALSE,"mgtsum.XLS";#N/A,#N/A,FALSE,"CAPONE";#N/A,#N/A,FALSE,"CAPTWO";#N/A,#N/A,FALSE,"CAPTHREE"}</definedName>
    <definedName name="abcdefg_1_1_1_5" hidden="1">{#N/A,#N/A,FALSE,"mgtsum.XLS";#N/A,#N/A,FALSE,"CAPONE";#N/A,#N/A,FALSE,"CAPTWO";#N/A,#N/A,FALSE,"CAPTHREE"}</definedName>
    <definedName name="abcdefg_1_1_2" hidden="1">{#N/A,#N/A,FALSE,"mgtsum.XLS";#N/A,#N/A,FALSE,"CAPONE";#N/A,#N/A,FALSE,"CAPTWO";#N/A,#N/A,FALSE,"CAPTHREE"}</definedName>
    <definedName name="abcdefg_1_1_2_1" hidden="1">{#N/A,#N/A,FALSE,"mgtsum.XLS";#N/A,#N/A,FALSE,"CAPONE";#N/A,#N/A,FALSE,"CAPTWO";#N/A,#N/A,FALSE,"CAPTHREE"}</definedName>
    <definedName name="abcdefg_1_1_2_2" hidden="1">{#N/A,#N/A,FALSE,"mgtsum.XLS";#N/A,#N/A,FALSE,"CAPONE";#N/A,#N/A,FALSE,"CAPTWO";#N/A,#N/A,FALSE,"CAPTHREE"}</definedName>
    <definedName name="abcdefg_1_1_2_3" hidden="1">{#N/A,#N/A,FALSE,"mgtsum.XLS";#N/A,#N/A,FALSE,"CAPONE";#N/A,#N/A,FALSE,"CAPTWO";#N/A,#N/A,FALSE,"CAPTHREE"}</definedName>
    <definedName name="abcdefg_1_1_2_4" hidden="1">{#N/A,#N/A,FALSE,"mgtsum.XLS";#N/A,#N/A,FALSE,"CAPONE";#N/A,#N/A,FALSE,"CAPTWO";#N/A,#N/A,FALSE,"CAPTHREE"}</definedName>
    <definedName name="abcdefg_1_1_2_5" hidden="1">{#N/A,#N/A,FALSE,"mgtsum.XLS";#N/A,#N/A,FALSE,"CAPONE";#N/A,#N/A,FALSE,"CAPTWO";#N/A,#N/A,FALSE,"CAPTHREE"}</definedName>
    <definedName name="abcdefg_1_1_3" hidden="1">{#N/A,#N/A,FALSE,"mgtsum.XLS";#N/A,#N/A,FALSE,"CAPONE";#N/A,#N/A,FALSE,"CAPTWO";#N/A,#N/A,FALSE,"CAPTHREE"}</definedName>
    <definedName name="abcdefg_1_1_3_1" hidden="1">{#N/A,#N/A,FALSE,"mgtsum.XLS";#N/A,#N/A,FALSE,"CAPONE";#N/A,#N/A,FALSE,"CAPTWO";#N/A,#N/A,FALSE,"CAPTHREE"}</definedName>
    <definedName name="abcdefg_1_1_3_2" hidden="1">{#N/A,#N/A,FALSE,"mgtsum.XLS";#N/A,#N/A,FALSE,"CAPONE";#N/A,#N/A,FALSE,"CAPTWO";#N/A,#N/A,FALSE,"CAPTHREE"}</definedName>
    <definedName name="abcdefg_1_1_3_3" hidden="1">{#N/A,#N/A,FALSE,"mgtsum.XLS";#N/A,#N/A,FALSE,"CAPONE";#N/A,#N/A,FALSE,"CAPTWO";#N/A,#N/A,FALSE,"CAPTHREE"}</definedName>
    <definedName name="abcdefg_1_1_3_4" hidden="1">{#N/A,#N/A,FALSE,"mgtsum.XLS";#N/A,#N/A,FALSE,"CAPONE";#N/A,#N/A,FALSE,"CAPTWO";#N/A,#N/A,FALSE,"CAPTHREE"}</definedName>
    <definedName name="abcdefg_1_1_3_5" hidden="1">{#N/A,#N/A,FALSE,"mgtsum.XLS";#N/A,#N/A,FALSE,"CAPONE";#N/A,#N/A,FALSE,"CAPTWO";#N/A,#N/A,FALSE,"CAPTHREE"}</definedName>
    <definedName name="abcdefg_1_1_4" hidden="1">{#N/A,#N/A,FALSE,"mgtsum.XLS";#N/A,#N/A,FALSE,"CAPONE";#N/A,#N/A,FALSE,"CAPTWO";#N/A,#N/A,FALSE,"CAPTHREE"}</definedName>
    <definedName name="abcdefg_1_1_5" hidden="1">{#N/A,#N/A,FALSE,"mgtsum.XLS";#N/A,#N/A,FALSE,"CAPONE";#N/A,#N/A,FALSE,"CAPTWO";#N/A,#N/A,FALSE,"CAPTHREE"}</definedName>
    <definedName name="abcdefg_1_2" hidden="1">{#N/A,#N/A,FALSE,"mgtsum.XLS";#N/A,#N/A,FALSE,"CAPONE";#N/A,#N/A,FALSE,"CAPTWO";#N/A,#N/A,FALSE,"CAPTHREE"}</definedName>
    <definedName name="abcdefg_1_2_1" hidden="1">{#N/A,#N/A,FALSE,"mgtsum.XLS";#N/A,#N/A,FALSE,"CAPONE";#N/A,#N/A,FALSE,"CAPTWO";#N/A,#N/A,FALSE,"CAPTHREE"}</definedName>
    <definedName name="abcdefg_1_2_1_1" hidden="1">{#N/A,#N/A,FALSE,"mgtsum.XLS";#N/A,#N/A,FALSE,"CAPONE";#N/A,#N/A,FALSE,"CAPTWO";#N/A,#N/A,FALSE,"CAPTHREE"}</definedName>
    <definedName name="abcdefg_1_2_1_2" hidden="1">{#N/A,#N/A,FALSE,"mgtsum.XLS";#N/A,#N/A,FALSE,"CAPONE";#N/A,#N/A,FALSE,"CAPTWO";#N/A,#N/A,FALSE,"CAPTHREE"}</definedName>
    <definedName name="abcdefg_1_2_1_3" hidden="1">{#N/A,#N/A,FALSE,"mgtsum.XLS";#N/A,#N/A,FALSE,"CAPONE";#N/A,#N/A,FALSE,"CAPTWO";#N/A,#N/A,FALSE,"CAPTHREE"}</definedName>
    <definedName name="abcdefg_1_2_1_4" hidden="1">{#N/A,#N/A,FALSE,"mgtsum.XLS";#N/A,#N/A,FALSE,"CAPONE";#N/A,#N/A,FALSE,"CAPTWO";#N/A,#N/A,FALSE,"CAPTHREE"}</definedName>
    <definedName name="abcdefg_1_2_1_5" hidden="1">{#N/A,#N/A,FALSE,"mgtsum.XLS";#N/A,#N/A,FALSE,"CAPONE";#N/A,#N/A,FALSE,"CAPTWO";#N/A,#N/A,FALSE,"CAPTHREE"}</definedName>
    <definedName name="abcdefg_1_2_2" hidden="1">{#N/A,#N/A,FALSE,"mgtsum.XLS";#N/A,#N/A,FALSE,"CAPONE";#N/A,#N/A,FALSE,"CAPTWO";#N/A,#N/A,FALSE,"CAPTHREE"}</definedName>
    <definedName name="abcdefg_1_2_2_1" hidden="1">{#N/A,#N/A,FALSE,"mgtsum.XLS";#N/A,#N/A,FALSE,"CAPONE";#N/A,#N/A,FALSE,"CAPTWO";#N/A,#N/A,FALSE,"CAPTHREE"}</definedName>
    <definedName name="abcdefg_1_2_2_2" hidden="1">{#N/A,#N/A,FALSE,"mgtsum.XLS";#N/A,#N/A,FALSE,"CAPONE";#N/A,#N/A,FALSE,"CAPTWO";#N/A,#N/A,FALSE,"CAPTHREE"}</definedName>
    <definedName name="abcdefg_1_2_2_3" hidden="1">{#N/A,#N/A,FALSE,"mgtsum.XLS";#N/A,#N/A,FALSE,"CAPONE";#N/A,#N/A,FALSE,"CAPTWO";#N/A,#N/A,FALSE,"CAPTHREE"}</definedName>
    <definedName name="abcdefg_1_2_2_4" hidden="1">{#N/A,#N/A,FALSE,"mgtsum.XLS";#N/A,#N/A,FALSE,"CAPONE";#N/A,#N/A,FALSE,"CAPTWO";#N/A,#N/A,FALSE,"CAPTHREE"}</definedName>
    <definedName name="abcdefg_1_2_2_5" hidden="1">{#N/A,#N/A,FALSE,"mgtsum.XLS";#N/A,#N/A,FALSE,"CAPONE";#N/A,#N/A,FALSE,"CAPTWO";#N/A,#N/A,FALSE,"CAPTHREE"}</definedName>
    <definedName name="abcdefg_1_2_3" hidden="1">{#N/A,#N/A,FALSE,"mgtsum.XLS";#N/A,#N/A,FALSE,"CAPONE";#N/A,#N/A,FALSE,"CAPTWO";#N/A,#N/A,FALSE,"CAPTHREE"}</definedName>
    <definedName name="abcdefg_1_2_4" hidden="1">{#N/A,#N/A,FALSE,"mgtsum.XLS";#N/A,#N/A,FALSE,"CAPONE";#N/A,#N/A,FALSE,"CAPTWO";#N/A,#N/A,FALSE,"CAPTHREE"}</definedName>
    <definedName name="abcdefg_1_2_5" hidden="1">{#N/A,#N/A,FALSE,"mgtsum.XLS";#N/A,#N/A,FALSE,"CAPONE";#N/A,#N/A,FALSE,"CAPTWO";#N/A,#N/A,FALSE,"CAPTHREE"}</definedName>
    <definedName name="abcdefg_1_3" hidden="1">{#N/A,#N/A,FALSE,"mgtsum.XLS";#N/A,#N/A,FALSE,"CAPONE";#N/A,#N/A,FALSE,"CAPTWO";#N/A,#N/A,FALSE,"CAPTHREE"}</definedName>
    <definedName name="abcdefg_1_3_1" hidden="1">{#N/A,#N/A,FALSE,"mgtsum.XLS";#N/A,#N/A,FALSE,"CAPONE";#N/A,#N/A,FALSE,"CAPTWO";#N/A,#N/A,FALSE,"CAPTHREE"}</definedName>
    <definedName name="abcdefg_1_3_1_1" hidden="1">{#N/A,#N/A,FALSE,"mgtsum.XLS";#N/A,#N/A,FALSE,"CAPONE";#N/A,#N/A,FALSE,"CAPTWO";#N/A,#N/A,FALSE,"CAPTHREE"}</definedName>
    <definedName name="abcdefg_1_3_1_2" hidden="1">{#N/A,#N/A,FALSE,"mgtsum.XLS";#N/A,#N/A,FALSE,"CAPONE";#N/A,#N/A,FALSE,"CAPTWO";#N/A,#N/A,FALSE,"CAPTHREE"}</definedName>
    <definedName name="abcdefg_1_3_1_3" hidden="1">{#N/A,#N/A,FALSE,"mgtsum.XLS";#N/A,#N/A,FALSE,"CAPONE";#N/A,#N/A,FALSE,"CAPTWO";#N/A,#N/A,FALSE,"CAPTHREE"}</definedName>
    <definedName name="abcdefg_1_3_1_4" hidden="1">{#N/A,#N/A,FALSE,"mgtsum.XLS";#N/A,#N/A,FALSE,"CAPONE";#N/A,#N/A,FALSE,"CAPTWO";#N/A,#N/A,FALSE,"CAPTHREE"}</definedName>
    <definedName name="abcdefg_1_3_1_5" hidden="1">{#N/A,#N/A,FALSE,"mgtsum.XLS";#N/A,#N/A,FALSE,"CAPONE";#N/A,#N/A,FALSE,"CAPTWO";#N/A,#N/A,FALSE,"CAPTHREE"}</definedName>
    <definedName name="abcdefg_1_3_2" hidden="1">{#N/A,#N/A,FALSE,"mgtsum.XLS";#N/A,#N/A,FALSE,"CAPONE";#N/A,#N/A,FALSE,"CAPTWO";#N/A,#N/A,FALSE,"CAPTHREE"}</definedName>
    <definedName name="abcdefg_1_3_2_1" hidden="1">{#N/A,#N/A,FALSE,"mgtsum.XLS";#N/A,#N/A,FALSE,"CAPONE";#N/A,#N/A,FALSE,"CAPTWO";#N/A,#N/A,FALSE,"CAPTHREE"}</definedName>
    <definedName name="abcdefg_1_3_2_2" hidden="1">{#N/A,#N/A,FALSE,"mgtsum.XLS";#N/A,#N/A,FALSE,"CAPONE";#N/A,#N/A,FALSE,"CAPTWO";#N/A,#N/A,FALSE,"CAPTHREE"}</definedName>
    <definedName name="abcdefg_1_3_2_3" hidden="1">{#N/A,#N/A,FALSE,"mgtsum.XLS";#N/A,#N/A,FALSE,"CAPONE";#N/A,#N/A,FALSE,"CAPTWO";#N/A,#N/A,FALSE,"CAPTHREE"}</definedName>
    <definedName name="abcdefg_1_3_2_4" hidden="1">{#N/A,#N/A,FALSE,"mgtsum.XLS";#N/A,#N/A,FALSE,"CAPONE";#N/A,#N/A,FALSE,"CAPTWO";#N/A,#N/A,FALSE,"CAPTHREE"}</definedName>
    <definedName name="abcdefg_1_3_2_5" hidden="1">{#N/A,#N/A,FALSE,"mgtsum.XLS";#N/A,#N/A,FALSE,"CAPONE";#N/A,#N/A,FALSE,"CAPTWO";#N/A,#N/A,FALSE,"CAPTHREE"}</definedName>
    <definedName name="abcdefg_1_3_3" hidden="1">{#N/A,#N/A,FALSE,"mgtsum.XLS";#N/A,#N/A,FALSE,"CAPONE";#N/A,#N/A,FALSE,"CAPTWO";#N/A,#N/A,FALSE,"CAPTHREE"}</definedName>
    <definedName name="abcdefg_1_3_4" hidden="1">{#N/A,#N/A,FALSE,"mgtsum.XLS";#N/A,#N/A,FALSE,"CAPONE";#N/A,#N/A,FALSE,"CAPTWO";#N/A,#N/A,FALSE,"CAPTHREE"}</definedName>
    <definedName name="abcdefg_1_3_5" hidden="1">{#N/A,#N/A,FALSE,"mgtsum.XLS";#N/A,#N/A,FALSE,"CAPONE";#N/A,#N/A,FALSE,"CAPTWO";#N/A,#N/A,FALSE,"CAPTHREE"}</definedName>
    <definedName name="abcdefg_1_4" hidden="1">{#N/A,#N/A,FALSE,"mgtsum.XLS";#N/A,#N/A,FALSE,"CAPONE";#N/A,#N/A,FALSE,"CAPTWO";#N/A,#N/A,FALSE,"CAPTHREE"}</definedName>
    <definedName name="abcdefg_1_4_1" hidden="1">{#N/A,#N/A,FALSE,"mgtsum.XLS";#N/A,#N/A,FALSE,"CAPONE";#N/A,#N/A,FALSE,"CAPTWO";#N/A,#N/A,FALSE,"CAPTHREE"}</definedName>
    <definedName name="abcdefg_1_4_1_1" hidden="1">{#N/A,#N/A,FALSE,"mgtsum.XLS";#N/A,#N/A,FALSE,"CAPONE";#N/A,#N/A,FALSE,"CAPTWO";#N/A,#N/A,FALSE,"CAPTHREE"}</definedName>
    <definedName name="abcdefg_1_4_1_2" hidden="1">{#N/A,#N/A,FALSE,"mgtsum.XLS";#N/A,#N/A,FALSE,"CAPONE";#N/A,#N/A,FALSE,"CAPTWO";#N/A,#N/A,FALSE,"CAPTHREE"}</definedName>
    <definedName name="abcdefg_1_4_1_3" hidden="1">{#N/A,#N/A,FALSE,"mgtsum.XLS";#N/A,#N/A,FALSE,"CAPONE";#N/A,#N/A,FALSE,"CAPTWO";#N/A,#N/A,FALSE,"CAPTHREE"}</definedName>
    <definedName name="abcdefg_1_4_1_4" hidden="1">{#N/A,#N/A,FALSE,"mgtsum.XLS";#N/A,#N/A,FALSE,"CAPONE";#N/A,#N/A,FALSE,"CAPTWO";#N/A,#N/A,FALSE,"CAPTHREE"}</definedName>
    <definedName name="abcdefg_1_4_1_5" hidden="1">{#N/A,#N/A,FALSE,"mgtsum.XLS";#N/A,#N/A,FALSE,"CAPONE";#N/A,#N/A,FALSE,"CAPTWO";#N/A,#N/A,FALSE,"CAPTHREE"}</definedName>
    <definedName name="abcdefg_1_4_2" hidden="1">{#N/A,#N/A,FALSE,"mgtsum.XLS";#N/A,#N/A,FALSE,"CAPONE";#N/A,#N/A,FALSE,"CAPTWO";#N/A,#N/A,FALSE,"CAPTHREE"}</definedName>
    <definedName name="abcdefg_1_4_2_1" hidden="1">{#N/A,#N/A,FALSE,"mgtsum.XLS";#N/A,#N/A,FALSE,"CAPONE";#N/A,#N/A,FALSE,"CAPTWO";#N/A,#N/A,FALSE,"CAPTHREE"}</definedName>
    <definedName name="abcdefg_1_4_2_2" hidden="1">{#N/A,#N/A,FALSE,"mgtsum.XLS";#N/A,#N/A,FALSE,"CAPONE";#N/A,#N/A,FALSE,"CAPTWO";#N/A,#N/A,FALSE,"CAPTHREE"}</definedName>
    <definedName name="abcdefg_1_4_2_3" hidden="1">{#N/A,#N/A,FALSE,"mgtsum.XLS";#N/A,#N/A,FALSE,"CAPONE";#N/A,#N/A,FALSE,"CAPTWO";#N/A,#N/A,FALSE,"CAPTHREE"}</definedName>
    <definedName name="abcdefg_1_4_2_4" hidden="1">{#N/A,#N/A,FALSE,"mgtsum.XLS";#N/A,#N/A,FALSE,"CAPONE";#N/A,#N/A,FALSE,"CAPTWO";#N/A,#N/A,FALSE,"CAPTHREE"}</definedName>
    <definedName name="abcdefg_1_4_2_5" hidden="1">{#N/A,#N/A,FALSE,"mgtsum.XLS";#N/A,#N/A,FALSE,"CAPONE";#N/A,#N/A,FALSE,"CAPTWO";#N/A,#N/A,FALSE,"CAPTHREE"}</definedName>
    <definedName name="abcdefg_1_4_3" hidden="1">{#N/A,#N/A,FALSE,"mgtsum.XLS";#N/A,#N/A,FALSE,"CAPONE";#N/A,#N/A,FALSE,"CAPTWO";#N/A,#N/A,FALSE,"CAPTHREE"}</definedName>
    <definedName name="abcdefg_1_4_4" hidden="1">{#N/A,#N/A,FALSE,"mgtsum.XLS";#N/A,#N/A,FALSE,"CAPONE";#N/A,#N/A,FALSE,"CAPTWO";#N/A,#N/A,FALSE,"CAPTHREE"}</definedName>
    <definedName name="abcdefg_1_4_5" hidden="1">{#N/A,#N/A,FALSE,"mgtsum.XLS";#N/A,#N/A,FALSE,"CAPONE";#N/A,#N/A,FALSE,"CAPTWO";#N/A,#N/A,FALSE,"CAPTHREE"}</definedName>
    <definedName name="abcdefg_1_5" hidden="1">{#N/A,#N/A,FALSE,"mgtsum.XLS";#N/A,#N/A,FALSE,"CAPONE";#N/A,#N/A,FALSE,"CAPTWO";#N/A,#N/A,FALSE,"CAPTHREE"}</definedName>
    <definedName name="abcdefg_1_5_1" hidden="1">{#N/A,#N/A,FALSE,"mgtsum.XLS";#N/A,#N/A,FALSE,"CAPONE";#N/A,#N/A,FALSE,"CAPTWO";#N/A,#N/A,FALSE,"CAPTHREE"}</definedName>
    <definedName name="abcdefg_1_5_1_1" hidden="1">{#N/A,#N/A,FALSE,"mgtsum.XLS";#N/A,#N/A,FALSE,"CAPONE";#N/A,#N/A,FALSE,"CAPTWO";#N/A,#N/A,FALSE,"CAPTHREE"}</definedName>
    <definedName name="abcdefg_1_5_1_2" hidden="1">{#N/A,#N/A,FALSE,"mgtsum.XLS";#N/A,#N/A,FALSE,"CAPONE";#N/A,#N/A,FALSE,"CAPTWO";#N/A,#N/A,FALSE,"CAPTHREE"}</definedName>
    <definedName name="abcdefg_1_5_1_3" hidden="1">{#N/A,#N/A,FALSE,"mgtsum.XLS";#N/A,#N/A,FALSE,"CAPONE";#N/A,#N/A,FALSE,"CAPTWO";#N/A,#N/A,FALSE,"CAPTHREE"}</definedName>
    <definedName name="abcdefg_1_5_1_4" hidden="1">{#N/A,#N/A,FALSE,"mgtsum.XLS";#N/A,#N/A,FALSE,"CAPONE";#N/A,#N/A,FALSE,"CAPTWO";#N/A,#N/A,FALSE,"CAPTHREE"}</definedName>
    <definedName name="abcdefg_1_5_1_5" hidden="1">{#N/A,#N/A,FALSE,"mgtsum.XLS";#N/A,#N/A,FALSE,"CAPONE";#N/A,#N/A,FALSE,"CAPTWO";#N/A,#N/A,FALSE,"CAPTHREE"}</definedName>
    <definedName name="abcdefg_1_5_2" hidden="1">{#N/A,#N/A,FALSE,"mgtsum.XLS";#N/A,#N/A,FALSE,"CAPONE";#N/A,#N/A,FALSE,"CAPTWO";#N/A,#N/A,FALSE,"CAPTHREE"}</definedName>
    <definedName name="abcdefg_1_5_2_1" hidden="1">{#N/A,#N/A,FALSE,"mgtsum.XLS";#N/A,#N/A,FALSE,"CAPONE";#N/A,#N/A,FALSE,"CAPTWO";#N/A,#N/A,FALSE,"CAPTHREE"}</definedName>
    <definedName name="abcdefg_1_5_2_2" hidden="1">{#N/A,#N/A,FALSE,"mgtsum.XLS";#N/A,#N/A,FALSE,"CAPONE";#N/A,#N/A,FALSE,"CAPTWO";#N/A,#N/A,FALSE,"CAPTHREE"}</definedName>
    <definedName name="abcdefg_1_5_2_3" hidden="1">{#N/A,#N/A,FALSE,"mgtsum.XLS";#N/A,#N/A,FALSE,"CAPONE";#N/A,#N/A,FALSE,"CAPTWO";#N/A,#N/A,FALSE,"CAPTHREE"}</definedName>
    <definedName name="abcdefg_1_5_2_4" hidden="1">{#N/A,#N/A,FALSE,"mgtsum.XLS";#N/A,#N/A,FALSE,"CAPONE";#N/A,#N/A,FALSE,"CAPTWO";#N/A,#N/A,FALSE,"CAPTHREE"}</definedName>
    <definedName name="abcdefg_1_5_2_5" hidden="1">{#N/A,#N/A,FALSE,"mgtsum.XLS";#N/A,#N/A,FALSE,"CAPONE";#N/A,#N/A,FALSE,"CAPTWO";#N/A,#N/A,FALSE,"CAPTHREE"}</definedName>
    <definedName name="abcdefg_1_5_3" hidden="1">{#N/A,#N/A,FALSE,"mgtsum.XLS";#N/A,#N/A,FALSE,"CAPONE";#N/A,#N/A,FALSE,"CAPTWO";#N/A,#N/A,FALSE,"CAPTHREE"}</definedName>
    <definedName name="abcdefg_1_5_4" hidden="1">{#N/A,#N/A,FALSE,"mgtsum.XLS";#N/A,#N/A,FALSE,"CAPONE";#N/A,#N/A,FALSE,"CAPTWO";#N/A,#N/A,FALSE,"CAPTHREE"}</definedName>
    <definedName name="abcdefg_1_5_5" hidden="1">{#N/A,#N/A,FALSE,"mgtsum.XLS";#N/A,#N/A,FALSE,"CAPONE";#N/A,#N/A,FALSE,"CAPTWO";#N/A,#N/A,FALSE,"CAPTHREE"}</definedName>
    <definedName name="abcdefg_2" hidden="1">{#N/A,#N/A,FALSE,"mgtsum.XLS";#N/A,#N/A,FALSE,"CAPONE";#N/A,#N/A,FALSE,"CAPTWO";#N/A,#N/A,FALSE,"CAPTHREE"}</definedName>
    <definedName name="abcdefg_2_1" hidden="1">{#N/A,#N/A,FALSE,"mgtsum.XLS";#N/A,#N/A,FALSE,"CAPONE";#N/A,#N/A,FALSE,"CAPTWO";#N/A,#N/A,FALSE,"CAPTHREE"}</definedName>
    <definedName name="abcdefg_2_1_1" hidden="1">{#N/A,#N/A,FALSE,"mgtsum.XLS";#N/A,#N/A,FALSE,"CAPONE";#N/A,#N/A,FALSE,"CAPTWO";#N/A,#N/A,FALSE,"CAPTHREE"}</definedName>
    <definedName name="abcdefg_2_1_1_1" hidden="1">{#N/A,#N/A,FALSE,"mgtsum.XLS";#N/A,#N/A,FALSE,"CAPONE";#N/A,#N/A,FALSE,"CAPTWO";#N/A,#N/A,FALSE,"CAPTHREE"}</definedName>
    <definedName name="abcdefg_2_1_1_2" hidden="1">{#N/A,#N/A,FALSE,"mgtsum.XLS";#N/A,#N/A,FALSE,"CAPONE";#N/A,#N/A,FALSE,"CAPTWO";#N/A,#N/A,FALSE,"CAPTHREE"}</definedName>
    <definedName name="abcdefg_2_1_1_3" hidden="1">{#N/A,#N/A,FALSE,"mgtsum.XLS";#N/A,#N/A,FALSE,"CAPONE";#N/A,#N/A,FALSE,"CAPTWO";#N/A,#N/A,FALSE,"CAPTHREE"}</definedName>
    <definedName name="abcdefg_2_1_1_4" hidden="1">{#N/A,#N/A,FALSE,"mgtsum.XLS";#N/A,#N/A,FALSE,"CAPONE";#N/A,#N/A,FALSE,"CAPTWO";#N/A,#N/A,FALSE,"CAPTHREE"}</definedName>
    <definedName name="abcdefg_2_1_1_5" hidden="1">{#N/A,#N/A,FALSE,"mgtsum.XLS";#N/A,#N/A,FALSE,"CAPONE";#N/A,#N/A,FALSE,"CAPTWO";#N/A,#N/A,FALSE,"CAPTHREE"}</definedName>
    <definedName name="abcdefg_2_1_2" hidden="1">{#N/A,#N/A,FALSE,"mgtsum.XLS";#N/A,#N/A,FALSE,"CAPONE";#N/A,#N/A,FALSE,"CAPTWO";#N/A,#N/A,FALSE,"CAPTHREE"}</definedName>
    <definedName name="abcdefg_2_1_2_1" hidden="1">{#N/A,#N/A,FALSE,"mgtsum.XLS";#N/A,#N/A,FALSE,"CAPONE";#N/A,#N/A,FALSE,"CAPTWO";#N/A,#N/A,FALSE,"CAPTHREE"}</definedName>
    <definedName name="abcdefg_2_1_2_2" hidden="1">{#N/A,#N/A,FALSE,"mgtsum.XLS";#N/A,#N/A,FALSE,"CAPONE";#N/A,#N/A,FALSE,"CAPTWO";#N/A,#N/A,FALSE,"CAPTHREE"}</definedName>
    <definedName name="abcdefg_2_1_2_3" hidden="1">{#N/A,#N/A,FALSE,"mgtsum.XLS";#N/A,#N/A,FALSE,"CAPONE";#N/A,#N/A,FALSE,"CAPTWO";#N/A,#N/A,FALSE,"CAPTHREE"}</definedName>
    <definedName name="abcdefg_2_1_2_4" hidden="1">{#N/A,#N/A,FALSE,"mgtsum.XLS";#N/A,#N/A,FALSE,"CAPONE";#N/A,#N/A,FALSE,"CAPTWO";#N/A,#N/A,FALSE,"CAPTHREE"}</definedName>
    <definedName name="abcdefg_2_1_2_5" hidden="1">{#N/A,#N/A,FALSE,"mgtsum.XLS";#N/A,#N/A,FALSE,"CAPONE";#N/A,#N/A,FALSE,"CAPTWO";#N/A,#N/A,FALSE,"CAPTHREE"}</definedName>
    <definedName name="abcdefg_2_1_3" hidden="1">{#N/A,#N/A,FALSE,"mgtsum.XLS";#N/A,#N/A,FALSE,"CAPONE";#N/A,#N/A,FALSE,"CAPTWO";#N/A,#N/A,FALSE,"CAPTHREE"}</definedName>
    <definedName name="abcdefg_2_1_3_1" hidden="1">{#N/A,#N/A,FALSE,"mgtsum.XLS";#N/A,#N/A,FALSE,"CAPONE";#N/A,#N/A,FALSE,"CAPTWO";#N/A,#N/A,FALSE,"CAPTHREE"}</definedName>
    <definedName name="abcdefg_2_1_3_2" hidden="1">{#N/A,#N/A,FALSE,"mgtsum.XLS";#N/A,#N/A,FALSE,"CAPONE";#N/A,#N/A,FALSE,"CAPTWO";#N/A,#N/A,FALSE,"CAPTHREE"}</definedName>
    <definedName name="abcdefg_2_1_3_3" hidden="1">{#N/A,#N/A,FALSE,"mgtsum.XLS";#N/A,#N/A,FALSE,"CAPONE";#N/A,#N/A,FALSE,"CAPTWO";#N/A,#N/A,FALSE,"CAPTHREE"}</definedName>
    <definedName name="abcdefg_2_1_3_4" hidden="1">{#N/A,#N/A,FALSE,"mgtsum.XLS";#N/A,#N/A,FALSE,"CAPONE";#N/A,#N/A,FALSE,"CAPTWO";#N/A,#N/A,FALSE,"CAPTHREE"}</definedName>
    <definedName name="abcdefg_2_1_3_5" hidden="1">{#N/A,#N/A,FALSE,"mgtsum.XLS";#N/A,#N/A,FALSE,"CAPONE";#N/A,#N/A,FALSE,"CAPTWO";#N/A,#N/A,FALSE,"CAPTHREE"}</definedName>
    <definedName name="abcdefg_2_1_4" hidden="1">{#N/A,#N/A,FALSE,"mgtsum.XLS";#N/A,#N/A,FALSE,"CAPONE";#N/A,#N/A,FALSE,"CAPTWO";#N/A,#N/A,FALSE,"CAPTHREE"}</definedName>
    <definedName name="abcdefg_2_1_5" hidden="1">{#N/A,#N/A,FALSE,"mgtsum.XLS";#N/A,#N/A,FALSE,"CAPONE";#N/A,#N/A,FALSE,"CAPTWO";#N/A,#N/A,FALSE,"CAPTHREE"}</definedName>
    <definedName name="abcdefg_2_2" hidden="1">{#N/A,#N/A,FALSE,"mgtsum.XLS";#N/A,#N/A,FALSE,"CAPONE";#N/A,#N/A,FALSE,"CAPTWO";#N/A,#N/A,FALSE,"CAPTHREE"}</definedName>
    <definedName name="abcdefg_2_2_1" hidden="1">{#N/A,#N/A,FALSE,"mgtsum.XLS";#N/A,#N/A,FALSE,"CAPONE";#N/A,#N/A,FALSE,"CAPTWO";#N/A,#N/A,FALSE,"CAPTHREE"}</definedName>
    <definedName name="abcdefg_2_2_1_1" hidden="1">{#N/A,#N/A,FALSE,"mgtsum.XLS";#N/A,#N/A,FALSE,"CAPONE";#N/A,#N/A,FALSE,"CAPTWO";#N/A,#N/A,FALSE,"CAPTHREE"}</definedName>
    <definedName name="abcdefg_2_2_1_2" hidden="1">{#N/A,#N/A,FALSE,"mgtsum.XLS";#N/A,#N/A,FALSE,"CAPONE";#N/A,#N/A,FALSE,"CAPTWO";#N/A,#N/A,FALSE,"CAPTHREE"}</definedName>
    <definedName name="abcdefg_2_2_1_3" hidden="1">{#N/A,#N/A,FALSE,"mgtsum.XLS";#N/A,#N/A,FALSE,"CAPONE";#N/A,#N/A,FALSE,"CAPTWO";#N/A,#N/A,FALSE,"CAPTHREE"}</definedName>
    <definedName name="abcdefg_2_2_1_4" hidden="1">{#N/A,#N/A,FALSE,"mgtsum.XLS";#N/A,#N/A,FALSE,"CAPONE";#N/A,#N/A,FALSE,"CAPTWO";#N/A,#N/A,FALSE,"CAPTHREE"}</definedName>
    <definedName name="abcdefg_2_2_1_5" hidden="1">{#N/A,#N/A,FALSE,"mgtsum.XLS";#N/A,#N/A,FALSE,"CAPONE";#N/A,#N/A,FALSE,"CAPTWO";#N/A,#N/A,FALSE,"CAPTHREE"}</definedName>
    <definedName name="abcdefg_2_2_2" hidden="1">{#N/A,#N/A,FALSE,"mgtsum.XLS";#N/A,#N/A,FALSE,"CAPONE";#N/A,#N/A,FALSE,"CAPTWO";#N/A,#N/A,FALSE,"CAPTHREE"}</definedName>
    <definedName name="abcdefg_2_2_2_1" hidden="1">{#N/A,#N/A,FALSE,"mgtsum.XLS";#N/A,#N/A,FALSE,"CAPONE";#N/A,#N/A,FALSE,"CAPTWO";#N/A,#N/A,FALSE,"CAPTHREE"}</definedName>
    <definedName name="abcdefg_2_2_2_2" hidden="1">{#N/A,#N/A,FALSE,"mgtsum.XLS";#N/A,#N/A,FALSE,"CAPONE";#N/A,#N/A,FALSE,"CAPTWO";#N/A,#N/A,FALSE,"CAPTHREE"}</definedName>
    <definedName name="abcdefg_2_2_2_3" hidden="1">{#N/A,#N/A,FALSE,"mgtsum.XLS";#N/A,#N/A,FALSE,"CAPONE";#N/A,#N/A,FALSE,"CAPTWO";#N/A,#N/A,FALSE,"CAPTHREE"}</definedName>
    <definedName name="abcdefg_2_2_2_4" hidden="1">{#N/A,#N/A,FALSE,"mgtsum.XLS";#N/A,#N/A,FALSE,"CAPONE";#N/A,#N/A,FALSE,"CAPTWO";#N/A,#N/A,FALSE,"CAPTHREE"}</definedName>
    <definedName name="abcdefg_2_2_2_5" hidden="1">{#N/A,#N/A,FALSE,"mgtsum.XLS";#N/A,#N/A,FALSE,"CAPONE";#N/A,#N/A,FALSE,"CAPTWO";#N/A,#N/A,FALSE,"CAPTHREE"}</definedName>
    <definedName name="abcdefg_2_2_3" hidden="1">{#N/A,#N/A,FALSE,"mgtsum.XLS";#N/A,#N/A,FALSE,"CAPONE";#N/A,#N/A,FALSE,"CAPTWO";#N/A,#N/A,FALSE,"CAPTHREE"}</definedName>
    <definedName name="abcdefg_2_2_4" hidden="1">{#N/A,#N/A,FALSE,"mgtsum.XLS";#N/A,#N/A,FALSE,"CAPONE";#N/A,#N/A,FALSE,"CAPTWO";#N/A,#N/A,FALSE,"CAPTHREE"}</definedName>
    <definedName name="abcdefg_2_2_5" hidden="1">{#N/A,#N/A,FALSE,"mgtsum.XLS";#N/A,#N/A,FALSE,"CAPONE";#N/A,#N/A,FALSE,"CAPTWO";#N/A,#N/A,FALSE,"CAPTHREE"}</definedName>
    <definedName name="abcdefg_2_3" hidden="1">{#N/A,#N/A,FALSE,"mgtsum.XLS";#N/A,#N/A,FALSE,"CAPONE";#N/A,#N/A,FALSE,"CAPTWO";#N/A,#N/A,FALSE,"CAPTHREE"}</definedName>
    <definedName name="abcdefg_2_3_1" hidden="1">{#N/A,#N/A,FALSE,"mgtsum.XLS";#N/A,#N/A,FALSE,"CAPONE";#N/A,#N/A,FALSE,"CAPTWO";#N/A,#N/A,FALSE,"CAPTHREE"}</definedName>
    <definedName name="abcdefg_2_3_1_1" hidden="1">{#N/A,#N/A,FALSE,"mgtsum.XLS";#N/A,#N/A,FALSE,"CAPONE";#N/A,#N/A,FALSE,"CAPTWO";#N/A,#N/A,FALSE,"CAPTHREE"}</definedName>
    <definedName name="abcdefg_2_3_1_2" hidden="1">{#N/A,#N/A,FALSE,"mgtsum.XLS";#N/A,#N/A,FALSE,"CAPONE";#N/A,#N/A,FALSE,"CAPTWO";#N/A,#N/A,FALSE,"CAPTHREE"}</definedName>
    <definedName name="abcdefg_2_3_1_3" hidden="1">{#N/A,#N/A,FALSE,"mgtsum.XLS";#N/A,#N/A,FALSE,"CAPONE";#N/A,#N/A,FALSE,"CAPTWO";#N/A,#N/A,FALSE,"CAPTHREE"}</definedName>
    <definedName name="abcdefg_2_3_1_4" hidden="1">{#N/A,#N/A,FALSE,"mgtsum.XLS";#N/A,#N/A,FALSE,"CAPONE";#N/A,#N/A,FALSE,"CAPTWO";#N/A,#N/A,FALSE,"CAPTHREE"}</definedName>
    <definedName name="abcdefg_2_3_1_5" hidden="1">{#N/A,#N/A,FALSE,"mgtsum.XLS";#N/A,#N/A,FALSE,"CAPONE";#N/A,#N/A,FALSE,"CAPTWO";#N/A,#N/A,FALSE,"CAPTHREE"}</definedName>
    <definedName name="abcdefg_2_3_2" hidden="1">{#N/A,#N/A,FALSE,"mgtsum.XLS";#N/A,#N/A,FALSE,"CAPONE";#N/A,#N/A,FALSE,"CAPTWO";#N/A,#N/A,FALSE,"CAPTHREE"}</definedName>
    <definedName name="abcdefg_2_3_2_1" hidden="1">{#N/A,#N/A,FALSE,"mgtsum.XLS";#N/A,#N/A,FALSE,"CAPONE";#N/A,#N/A,FALSE,"CAPTWO";#N/A,#N/A,FALSE,"CAPTHREE"}</definedName>
    <definedName name="abcdefg_2_3_2_2" hidden="1">{#N/A,#N/A,FALSE,"mgtsum.XLS";#N/A,#N/A,FALSE,"CAPONE";#N/A,#N/A,FALSE,"CAPTWO";#N/A,#N/A,FALSE,"CAPTHREE"}</definedName>
    <definedName name="abcdefg_2_3_2_3" hidden="1">{#N/A,#N/A,FALSE,"mgtsum.XLS";#N/A,#N/A,FALSE,"CAPONE";#N/A,#N/A,FALSE,"CAPTWO";#N/A,#N/A,FALSE,"CAPTHREE"}</definedName>
    <definedName name="abcdefg_2_3_2_4" hidden="1">{#N/A,#N/A,FALSE,"mgtsum.XLS";#N/A,#N/A,FALSE,"CAPONE";#N/A,#N/A,FALSE,"CAPTWO";#N/A,#N/A,FALSE,"CAPTHREE"}</definedName>
    <definedName name="abcdefg_2_3_2_5" hidden="1">{#N/A,#N/A,FALSE,"mgtsum.XLS";#N/A,#N/A,FALSE,"CAPONE";#N/A,#N/A,FALSE,"CAPTWO";#N/A,#N/A,FALSE,"CAPTHREE"}</definedName>
    <definedName name="abcdefg_2_3_3" hidden="1">{#N/A,#N/A,FALSE,"mgtsum.XLS";#N/A,#N/A,FALSE,"CAPONE";#N/A,#N/A,FALSE,"CAPTWO";#N/A,#N/A,FALSE,"CAPTHREE"}</definedName>
    <definedName name="abcdefg_2_3_4" hidden="1">{#N/A,#N/A,FALSE,"mgtsum.XLS";#N/A,#N/A,FALSE,"CAPONE";#N/A,#N/A,FALSE,"CAPTWO";#N/A,#N/A,FALSE,"CAPTHREE"}</definedName>
    <definedName name="abcdefg_2_3_5" hidden="1">{#N/A,#N/A,FALSE,"mgtsum.XLS";#N/A,#N/A,FALSE,"CAPONE";#N/A,#N/A,FALSE,"CAPTWO";#N/A,#N/A,FALSE,"CAPTHREE"}</definedName>
    <definedName name="abcdefg_2_4" hidden="1">{#N/A,#N/A,FALSE,"mgtsum.XLS";#N/A,#N/A,FALSE,"CAPONE";#N/A,#N/A,FALSE,"CAPTWO";#N/A,#N/A,FALSE,"CAPTHREE"}</definedName>
    <definedName name="abcdefg_2_4_1" hidden="1">{#N/A,#N/A,FALSE,"mgtsum.XLS";#N/A,#N/A,FALSE,"CAPONE";#N/A,#N/A,FALSE,"CAPTWO";#N/A,#N/A,FALSE,"CAPTHREE"}</definedName>
    <definedName name="abcdefg_2_4_1_1" hidden="1">{#N/A,#N/A,FALSE,"mgtsum.XLS";#N/A,#N/A,FALSE,"CAPONE";#N/A,#N/A,FALSE,"CAPTWO";#N/A,#N/A,FALSE,"CAPTHREE"}</definedName>
    <definedName name="abcdefg_2_4_1_2" hidden="1">{#N/A,#N/A,FALSE,"mgtsum.XLS";#N/A,#N/A,FALSE,"CAPONE";#N/A,#N/A,FALSE,"CAPTWO";#N/A,#N/A,FALSE,"CAPTHREE"}</definedName>
    <definedName name="abcdefg_2_4_1_3" hidden="1">{#N/A,#N/A,FALSE,"mgtsum.XLS";#N/A,#N/A,FALSE,"CAPONE";#N/A,#N/A,FALSE,"CAPTWO";#N/A,#N/A,FALSE,"CAPTHREE"}</definedName>
    <definedName name="abcdefg_2_4_1_4" hidden="1">{#N/A,#N/A,FALSE,"mgtsum.XLS";#N/A,#N/A,FALSE,"CAPONE";#N/A,#N/A,FALSE,"CAPTWO";#N/A,#N/A,FALSE,"CAPTHREE"}</definedName>
    <definedName name="abcdefg_2_4_1_5" hidden="1">{#N/A,#N/A,FALSE,"mgtsum.XLS";#N/A,#N/A,FALSE,"CAPONE";#N/A,#N/A,FALSE,"CAPTWO";#N/A,#N/A,FALSE,"CAPTHREE"}</definedName>
    <definedName name="abcdefg_2_4_2" hidden="1">{#N/A,#N/A,FALSE,"mgtsum.XLS";#N/A,#N/A,FALSE,"CAPONE";#N/A,#N/A,FALSE,"CAPTWO";#N/A,#N/A,FALSE,"CAPTHREE"}</definedName>
    <definedName name="abcdefg_2_4_2_1" hidden="1">{#N/A,#N/A,FALSE,"mgtsum.XLS";#N/A,#N/A,FALSE,"CAPONE";#N/A,#N/A,FALSE,"CAPTWO";#N/A,#N/A,FALSE,"CAPTHREE"}</definedName>
    <definedName name="abcdefg_2_4_2_2" hidden="1">{#N/A,#N/A,FALSE,"mgtsum.XLS";#N/A,#N/A,FALSE,"CAPONE";#N/A,#N/A,FALSE,"CAPTWO";#N/A,#N/A,FALSE,"CAPTHREE"}</definedName>
    <definedName name="abcdefg_2_4_2_3" hidden="1">{#N/A,#N/A,FALSE,"mgtsum.XLS";#N/A,#N/A,FALSE,"CAPONE";#N/A,#N/A,FALSE,"CAPTWO";#N/A,#N/A,FALSE,"CAPTHREE"}</definedName>
    <definedName name="abcdefg_2_4_2_4" hidden="1">{#N/A,#N/A,FALSE,"mgtsum.XLS";#N/A,#N/A,FALSE,"CAPONE";#N/A,#N/A,FALSE,"CAPTWO";#N/A,#N/A,FALSE,"CAPTHREE"}</definedName>
    <definedName name="abcdefg_2_4_2_5" hidden="1">{#N/A,#N/A,FALSE,"mgtsum.XLS";#N/A,#N/A,FALSE,"CAPONE";#N/A,#N/A,FALSE,"CAPTWO";#N/A,#N/A,FALSE,"CAPTHREE"}</definedName>
    <definedName name="abcdefg_2_4_3" hidden="1">{#N/A,#N/A,FALSE,"mgtsum.XLS";#N/A,#N/A,FALSE,"CAPONE";#N/A,#N/A,FALSE,"CAPTWO";#N/A,#N/A,FALSE,"CAPTHREE"}</definedName>
    <definedName name="abcdefg_2_4_4" hidden="1">{#N/A,#N/A,FALSE,"mgtsum.XLS";#N/A,#N/A,FALSE,"CAPONE";#N/A,#N/A,FALSE,"CAPTWO";#N/A,#N/A,FALSE,"CAPTHREE"}</definedName>
    <definedName name="abcdefg_2_4_5" hidden="1">{#N/A,#N/A,FALSE,"mgtsum.XLS";#N/A,#N/A,FALSE,"CAPONE";#N/A,#N/A,FALSE,"CAPTWO";#N/A,#N/A,FALSE,"CAPTHREE"}</definedName>
    <definedName name="abcdefg_2_5" hidden="1">{#N/A,#N/A,FALSE,"mgtsum.XLS";#N/A,#N/A,FALSE,"CAPONE";#N/A,#N/A,FALSE,"CAPTWO";#N/A,#N/A,FALSE,"CAPTHREE"}</definedName>
    <definedName name="abcdefg_2_5_1" hidden="1">{#N/A,#N/A,FALSE,"mgtsum.XLS";#N/A,#N/A,FALSE,"CAPONE";#N/A,#N/A,FALSE,"CAPTWO";#N/A,#N/A,FALSE,"CAPTHREE"}</definedName>
    <definedName name="abcdefg_2_5_2" hidden="1">{#N/A,#N/A,FALSE,"mgtsum.XLS";#N/A,#N/A,FALSE,"CAPONE";#N/A,#N/A,FALSE,"CAPTWO";#N/A,#N/A,FALSE,"CAPTHREE"}</definedName>
    <definedName name="abcdefg_2_5_3" hidden="1">{#N/A,#N/A,FALSE,"mgtsum.XLS";#N/A,#N/A,FALSE,"CAPONE";#N/A,#N/A,FALSE,"CAPTWO";#N/A,#N/A,FALSE,"CAPTHREE"}</definedName>
    <definedName name="abcdefg_2_5_4" hidden="1">{#N/A,#N/A,FALSE,"mgtsum.XLS";#N/A,#N/A,FALSE,"CAPONE";#N/A,#N/A,FALSE,"CAPTWO";#N/A,#N/A,FALSE,"CAPTHREE"}</definedName>
    <definedName name="abcdefg_2_5_5" hidden="1">{#N/A,#N/A,FALSE,"mgtsum.XLS";#N/A,#N/A,FALSE,"CAPONE";#N/A,#N/A,FALSE,"CAPTWO";#N/A,#N/A,FALSE,"CAPTHREE"}</definedName>
    <definedName name="abcdefg_3" hidden="1">{#N/A,#N/A,FALSE,"mgtsum.XLS";#N/A,#N/A,FALSE,"CAPONE";#N/A,#N/A,FALSE,"CAPTWO";#N/A,#N/A,FALSE,"CAPTHREE"}</definedName>
    <definedName name="abcdefg_3_1" hidden="1">{#N/A,#N/A,FALSE,"mgtsum.XLS";#N/A,#N/A,FALSE,"CAPONE";#N/A,#N/A,FALSE,"CAPTWO";#N/A,#N/A,FALSE,"CAPTHREE"}</definedName>
    <definedName name="abcdefg_3_1_1" hidden="1">{#N/A,#N/A,FALSE,"mgtsum.XLS";#N/A,#N/A,FALSE,"CAPONE";#N/A,#N/A,FALSE,"CAPTWO";#N/A,#N/A,FALSE,"CAPTHREE"}</definedName>
    <definedName name="abcdefg_3_1_1_1" hidden="1">{#N/A,#N/A,FALSE,"mgtsum.XLS";#N/A,#N/A,FALSE,"CAPONE";#N/A,#N/A,FALSE,"CAPTWO";#N/A,#N/A,FALSE,"CAPTHREE"}</definedName>
    <definedName name="abcdefg_3_1_1_2" hidden="1">{#N/A,#N/A,FALSE,"mgtsum.XLS";#N/A,#N/A,FALSE,"CAPONE";#N/A,#N/A,FALSE,"CAPTWO";#N/A,#N/A,FALSE,"CAPTHREE"}</definedName>
    <definedName name="abcdefg_3_1_1_3" hidden="1">{#N/A,#N/A,FALSE,"mgtsum.XLS";#N/A,#N/A,FALSE,"CAPONE";#N/A,#N/A,FALSE,"CAPTWO";#N/A,#N/A,FALSE,"CAPTHREE"}</definedName>
    <definedName name="abcdefg_3_1_1_4" hidden="1">{#N/A,#N/A,FALSE,"mgtsum.XLS";#N/A,#N/A,FALSE,"CAPONE";#N/A,#N/A,FALSE,"CAPTWO";#N/A,#N/A,FALSE,"CAPTHREE"}</definedName>
    <definedName name="abcdefg_3_1_1_5" hidden="1">{#N/A,#N/A,FALSE,"mgtsum.XLS";#N/A,#N/A,FALSE,"CAPONE";#N/A,#N/A,FALSE,"CAPTWO";#N/A,#N/A,FALSE,"CAPTHREE"}</definedName>
    <definedName name="abcdefg_3_1_2" hidden="1">{#N/A,#N/A,FALSE,"mgtsum.XLS";#N/A,#N/A,FALSE,"CAPONE";#N/A,#N/A,FALSE,"CAPTWO";#N/A,#N/A,FALSE,"CAPTHREE"}</definedName>
    <definedName name="abcdefg_3_1_2_1" hidden="1">{#N/A,#N/A,FALSE,"mgtsum.XLS";#N/A,#N/A,FALSE,"CAPONE";#N/A,#N/A,FALSE,"CAPTWO";#N/A,#N/A,FALSE,"CAPTHREE"}</definedName>
    <definedName name="abcdefg_3_1_2_2" hidden="1">{#N/A,#N/A,FALSE,"mgtsum.XLS";#N/A,#N/A,FALSE,"CAPONE";#N/A,#N/A,FALSE,"CAPTWO";#N/A,#N/A,FALSE,"CAPTHREE"}</definedName>
    <definedName name="abcdefg_3_1_2_3" hidden="1">{#N/A,#N/A,FALSE,"mgtsum.XLS";#N/A,#N/A,FALSE,"CAPONE";#N/A,#N/A,FALSE,"CAPTWO";#N/A,#N/A,FALSE,"CAPTHREE"}</definedName>
    <definedName name="abcdefg_3_1_2_4" hidden="1">{#N/A,#N/A,FALSE,"mgtsum.XLS";#N/A,#N/A,FALSE,"CAPONE";#N/A,#N/A,FALSE,"CAPTWO";#N/A,#N/A,FALSE,"CAPTHREE"}</definedName>
    <definedName name="abcdefg_3_1_2_5" hidden="1">{#N/A,#N/A,FALSE,"mgtsum.XLS";#N/A,#N/A,FALSE,"CAPONE";#N/A,#N/A,FALSE,"CAPTWO";#N/A,#N/A,FALSE,"CAPTHREE"}</definedName>
    <definedName name="abcdefg_3_1_3" hidden="1">{#N/A,#N/A,FALSE,"mgtsum.XLS";#N/A,#N/A,FALSE,"CAPONE";#N/A,#N/A,FALSE,"CAPTWO";#N/A,#N/A,FALSE,"CAPTHREE"}</definedName>
    <definedName name="abcdefg_3_1_3_1" hidden="1">{#N/A,#N/A,FALSE,"mgtsum.XLS";#N/A,#N/A,FALSE,"CAPONE";#N/A,#N/A,FALSE,"CAPTWO";#N/A,#N/A,FALSE,"CAPTHREE"}</definedName>
    <definedName name="abcdefg_3_1_3_2" hidden="1">{#N/A,#N/A,FALSE,"mgtsum.XLS";#N/A,#N/A,FALSE,"CAPONE";#N/A,#N/A,FALSE,"CAPTWO";#N/A,#N/A,FALSE,"CAPTHREE"}</definedName>
    <definedName name="abcdefg_3_1_3_3" hidden="1">{#N/A,#N/A,FALSE,"mgtsum.XLS";#N/A,#N/A,FALSE,"CAPONE";#N/A,#N/A,FALSE,"CAPTWO";#N/A,#N/A,FALSE,"CAPTHREE"}</definedName>
    <definedName name="abcdefg_3_1_3_4" hidden="1">{#N/A,#N/A,FALSE,"mgtsum.XLS";#N/A,#N/A,FALSE,"CAPONE";#N/A,#N/A,FALSE,"CAPTWO";#N/A,#N/A,FALSE,"CAPTHREE"}</definedName>
    <definedName name="abcdefg_3_1_3_5" hidden="1">{#N/A,#N/A,FALSE,"mgtsum.XLS";#N/A,#N/A,FALSE,"CAPONE";#N/A,#N/A,FALSE,"CAPTWO";#N/A,#N/A,FALSE,"CAPTHREE"}</definedName>
    <definedName name="abcdefg_3_1_4" hidden="1">{#N/A,#N/A,FALSE,"mgtsum.XLS";#N/A,#N/A,FALSE,"CAPONE";#N/A,#N/A,FALSE,"CAPTWO";#N/A,#N/A,FALSE,"CAPTHREE"}</definedName>
    <definedName name="abcdefg_3_1_5" hidden="1">{#N/A,#N/A,FALSE,"mgtsum.XLS";#N/A,#N/A,FALSE,"CAPONE";#N/A,#N/A,FALSE,"CAPTWO";#N/A,#N/A,FALSE,"CAPTHREE"}</definedName>
    <definedName name="abcdefg_3_2" hidden="1">{#N/A,#N/A,FALSE,"mgtsum.XLS";#N/A,#N/A,FALSE,"CAPONE";#N/A,#N/A,FALSE,"CAPTWO";#N/A,#N/A,FALSE,"CAPTHREE"}</definedName>
    <definedName name="abcdefg_3_2_1" hidden="1">{#N/A,#N/A,FALSE,"mgtsum.XLS";#N/A,#N/A,FALSE,"CAPONE";#N/A,#N/A,FALSE,"CAPTWO";#N/A,#N/A,FALSE,"CAPTHREE"}</definedName>
    <definedName name="abcdefg_3_2_1_1" hidden="1">{#N/A,#N/A,FALSE,"mgtsum.XLS";#N/A,#N/A,FALSE,"CAPONE";#N/A,#N/A,FALSE,"CAPTWO";#N/A,#N/A,FALSE,"CAPTHREE"}</definedName>
    <definedName name="abcdefg_3_2_1_2" hidden="1">{#N/A,#N/A,FALSE,"mgtsum.XLS";#N/A,#N/A,FALSE,"CAPONE";#N/A,#N/A,FALSE,"CAPTWO";#N/A,#N/A,FALSE,"CAPTHREE"}</definedName>
    <definedName name="abcdefg_3_2_1_3" hidden="1">{#N/A,#N/A,FALSE,"mgtsum.XLS";#N/A,#N/A,FALSE,"CAPONE";#N/A,#N/A,FALSE,"CAPTWO";#N/A,#N/A,FALSE,"CAPTHREE"}</definedName>
    <definedName name="abcdefg_3_2_1_4" hidden="1">{#N/A,#N/A,FALSE,"mgtsum.XLS";#N/A,#N/A,FALSE,"CAPONE";#N/A,#N/A,FALSE,"CAPTWO";#N/A,#N/A,FALSE,"CAPTHREE"}</definedName>
    <definedName name="abcdefg_3_2_1_5" hidden="1">{#N/A,#N/A,FALSE,"mgtsum.XLS";#N/A,#N/A,FALSE,"CAPONE";#N/A,#N/A,FALSE,"CAPTWO";#N/A,#N/A,FALSE,"CAPTHREE"}</definedName>
    <definedName name="abcdefg_3_2_2" hidden="1">{#N/A,#N/A,FALSE,"mgtsum.XLS";#N/A,#N/A,FALSE,"CAPONE";#N/A,#N/A,FALSE,"CAPTWO";#N/A,#N/A,FALSE,"CAPTHREE"}</definedName>
    <definedName name="abcdefg_3_2_2_1" hidden="1">{#N/A,#N/A,FALSE,"mgtsum.XLS";#N/A,#N/A,FALSE,"CAPONE";#N/A,#N/A,FALSE,"CAPTWO";#N/A,#N/A,FALSE,"CAPTHREE"}</definedName>
    <definedName name="abcdefg_3_2_2_2" hidden="1">{#N/A,#N/A,FALSE,"mgtsum.XLS";#N/A,#N/A,FALSE,"CAPONE";#N/A,#N/A,FALSE,"CAPTWO";#N/A,#N/A,FALSE,"CAPTHREE"}</definedName>
    <definedName name="abcdefg_3_2_2_3" hidden="1">{#N/A,#N/A,FALSE,"mgtsum.XLS";#N/A,#N/A,FALSE,"CAPONE";#N/A,#N/A,FALSE,"CAPTWO";#N/A,#N/A,FALSE,"CAPTHREE"}</definedName>
    <definedName name="abcdefg_3_2_2_4" hidden="1">{#N/A,#N/A,FALSE,"mgtsum.XLS";#N/A,#N/A,FALSE,"CAPONE";#N/A,#N/A,FALSE,"CAPTWO";#N/A,#N/A,FALSE,"CAPTHREE"}</definedName>
    <definedName name="abcdefg_3_2_2_5" hidden="1">{#N/A,#N/A,FALSE,"mgtsum.XLS";#N/A,#N/A,FALSE,"CAPONE";#N/A,#N/A,FALSE,"CAPTWO";#N/A,#N/A,FALSE,"CAPTHREE"}</definedName>
    <definedName name="abcdefg_3_2_3" hidden="1">{#N/A,#N/A,FALSE,"mgtsum.XLS";#N/A,#N/A,FALSE,"CAPONE";#N/A,#N/A,FALSE,"CAPTWO";#N/A,#N/A,FALSE,"CAPTHREE"}</definedName>
    <definedName name="abcdefg_3_2_4" hidden="1">{#N/A,#N/A,FALSE,"mgtsum.XLS";#N/A,#N/A,FALSE,"CAPONE";#N/A,#N/A,FALSE,"CAPTWO";#N/A,#N/A,FALSE,"CAPTHREE"}</definedName>
    <definedName name="abcdefg_3_2_5" hidden="1">{#N/A,#N/A,FALSE,"mgtsum.XLS";#N/A,#N/A,FALSE,"CAPONE";#N/A,#N/A,FALSE,"CAPTWO";#N/A,#N/A,FALSE,"CAPTHREE"}</definedName>
    <definedName name="abcdefg_3_3" hidden="1">{#N/A,#N/A,FALSE,"mgtsum.XLS";#N/A,#N/A,FALSE,"CAPONE";#N/A,#N/A,FALSE,"CAPTWO";#N/A,#N/A,FALSE,"CAPTHREE"}</definedName>
    <definedName name="abcdefg_3_3_1" hidden="1">{#N/A,#N/A,FALSE,"mgtsum.XLS";#N/A,#N/A,FALSE,"CAPONE";#N/A,#N/A,FALSE,"CAPTWO";#N/A,#N/A,FALSE,"CAPTHREE"}</definedName>
    <definedName name="abcdefg_3_3_1_1" hidden="1">{#N/A,#N/A,FALSE,"mgtsum.XLS";#N/A,#N/A,FALSE,"CAPONE";#N/A,#N/A,FALSE,"CAPTWO";#N/A,#N/A,FALSE,"CAPTHREE"}</definedName>
    <definedName name="abcdefg_3_3_1_2" hidden="1">{#N/A,#N/A,FALSE,"mgtsum.XLS";#N/A,#N/A,FALSE,"CAPONE";#N/A,#N/A,FALSE,"CAPTWO";#N/A,#N/A,FALSE,"CAPTHREE"}</definedName>
    <definedName name="abcdefg_3_3_1_3" hidden="1">{#N/A,#N/A,FALSE,"mgtsum.XLS";#N/A,#N/A,FALSE,"CAPONE";#N/A,#N/A,FALSE,"CAPTWO";#N/A,#N/A,FALSE,"CAPTHREE"}</definedName>
    <definedName name="abcdefg_3_3_1_4" hidden="1">{#N/A,#N/A,FALSE,"mgtsum.XLS";#N/A,#N/A,FALSE,"CAPONE";#N/A,#N/A,FALSE,"CAPTWO";#N/A,#N/A,FALSE,"CAPTHREE"}</definedName>
    <definedName name="abcdefg_3_3_1_5" hidden="1">{#N/A,#N/A,FALSE,"mgtsum.XLS";#N/A,#N/A,FALSE,"CAPONE";#N/A,#N/A,FALSE,"CAPTWO";#N/A,#N/A,FALSE,"CAPTHREE"}</definedName>
    <definedName name="abcdefg_3_3_2" hidden="1">{#N/A,#N/A,FALSE,"mgtsum.XLS";#N/A,#N/A,FALSE,"CAPONE";#N/A,#N/A,FALSE,"CAPTWO";#N/A,#N/A,FALSE,"CAPTHREE"}</definedName>
    <definedName name="abcdefg_3_3_2_1" hidden="1">{#N/A,#N/A,FALSE,"mgtsum.XLS";#N/A,#N/A,FALSE,"CAPONE";#N/A,#N/A,FALSE,"CAPTWO";#N/A,#N/A,FALSE,"CAPTHREE"}</definedName>
    <definedName name="abcdefg_3_3_2_2" hidden="1">{#N/A,#N/A,FALSE,"mgtsum.XLS";#N/A,#N/A,FALSE,"CAPONE";#N/A,#N/A,FALSE,"CAPTWO";#N/A,#N/A,FALSE,"CAPTHREE"}</definedName>
    <definedName name="abcdefg_3_3_2_3" hidden="1">{#N/A,#N/A,FALSE,"mgtsum.XLS";#N/A,#N/A,FALSE,"CAPONE";#N/A,#N/A,FALSE,"CAPTWO";#N/A,#N/A,FALSE,"CAPTHREE"}</definedName>
    <definedName name="abcdefg_3_3_2_4" hidden="1">{#N/A,#N/A,FALSE,"mgtsum.XLS";#N/A,#N/A,FALSE,"CAPONE";#N/A,#N/A,FALSE,"CAPTWO";#N/A,#N/A,FALSE,"CAPTHREE"}</definedName>
    <definedName name="abcdefg_3_3_2_5" hidden="1">{#N/A,#N/A,FALSE,"mgtsum.XLS";#N/A,#N/A,FALSE,"CAPONE";#N/A,#N/A,FALSE,"CAPTWO";#N/A,#N/A,FALSE,"CAPTHREE"}</definedName>
    <definedName name="abcdefg_3_3_3" hidden="1">{#N/A,#N/A,FALSE,"mgtsum.XLS";#N/A,#N/A,FALSE,"CAPONE";#N/A,#N/A,FALSE,"CAPTWO";#N/A,#N/A,FALSE,"CAPTHREE"}</definedName>
    <definedName name="abcdefg_3_3_4" hidden="1">{#N/A,#N/A,FALSE,"mgtsum.XLS";#N/A,#N/A,FALSE,"CAPONE";#N/A,#N/A,FALSE,"CAPTWO";#N/A,#N/A,FALSE,"CAPTHREE"}</definedName>
    <definedName name="abcdefg_3_3_5" hidden="1">{#N/A,#N/A,FALSE,"mgtsum.XLS";#N/A,#N/A,FALSE,"CAPONE";#N/A,#N/A,FALSE,"CAPTWO";#N/A,#N/A,FALSE,"CAPTHREE"}</definedName>
    <definedName name="abcdefg_3_4" hidden="1">{#N/A,#N/A,FALSE,"mgtsum.XLS";#N/A,#N/A,FALSE,"CAPONE";#N/A,#N/A,FALSE,"CAPTWO";#N/A,#N/A,FALSE,"CAPTHREE"}</definedName>
    <definedName name="abcdefg_3_4_1" hidden="1">{#N/A,#N/A,FALSE,"mgtsum.XLS";#N/A,#N/A,FALSE,"CAPONE";#N/A,#N/A,FALSE,"CAPTWO";#N/A,#N/A,FALSE,"CAPTHREE"}</definedName>
    <definedName name="abcdefg_3_4_1_1" hidden="1">{#N/A,#N/A,FALSE,"mgtsum.XLS";#N/A,#N/A,FALSE,"CAPONE";#N/A,#N/A,FALSE,"CAPTWO";#N/A,#N/A,FALSE,"CAPTHREE"}</definedName>
    <definedName name="abcdefg_3_4_1_2" hidden="1">{#N/A,#N/A,FALSE,"mgtsum.XLS";#N/A,#N/A,FALSE,"CAPONE";#N/A,#N/A,FALSE,"CAPTWO";#N/A,#N/A,FALSE,"CAPTHREE"}</definedName>
    <definedName name="abcdefg_3_4_1_3" hidden="1">{#N/A,#N/A,FALSE,"mgtsum.XLS";#N/A,#N/A,FALSE,"CAPONE";#N/A,#N/A,FALSE,"CAPTWO";#N/A,#N/A,FALSE,"CAPTHREE"}</definedName>
    <definedName name="abcdefg_3_4_1_4" hidden="1">{#N/A,#N/A,FALSE,"mgtsum.XLS";#N/A,#N/A,FALSE,"CAPONE";#N/A,#N/A,FALSE,"CAPTWO";#N/A,#N/A,FALSE,"CAPTHREE"}</definedName>
    <definedName name="abcdefg_3_4_1_5" hidden="1">{#N/A,#N/A,FALSE,"mgtsum.XLS";#N/A,#N/A,FALSE,"CAPONE";#N/A,#N/A,FALSE,"CAPTWO";#N/A,#N/A,FALSE,"CAPTHREE"}</definedName>
    <definedName name="abcdefg_3_4_2" hidden="1">{#N/A,#N/A,FALSE,"mgtsum.XLS";#N/A,#N/A,FALSE,"CAPONE";#N/A,#N/A,FALSE,"CAPTWO";#N/A,#N/A,FALSE,"CAPTHREE"}</definedName>
    <definedName name="abcdefg_3_4_2_1" hidden="1">{#N/A,#N/A,FALSE,"mgtsum.XLS";#N/A,#N/A,FALSE,"CAPONE";#N/A,#N/A,FALSE,"CAPTWO";#N/A,#N/A,FALSE,"CAPTHREE"}</definedName>
    <definedName name="abcdefg_3_4_2_2" hidden="1">{#N/A,#N/A,FALSE,"mgtsum.XLS";#N/A,#N/A,FALSE,"CAPONE";#N/A,#N/A,FALSE,"CAPTWO";#N/A,#N/A,FALSE,"CAPTHREE"}</definedName>
    <definedName name="abcdefg_3_4_2_3" hidden="1">{#N/A,#N/A,FALSE,"mgtsum.XLS";#N/A,#N/A,FALSE,"CAPONE";#N/A,#N/A,FALSE,"CAPTWO";#N/A,#N/A,FALSE,"CAPTHREE"}</definedName>
    <definedName name="abcdefg_3_4_2_4" hidden="1">{#N/A,#N/A,FALSE,"mgtsum.XLS";#N/A,#N/A,FALSE,"CAPONE";#N/A,#N/A,FALSE,"CAPTWO";#N/A,#N/A,FALSE,"CAPTHREE"}</definedName>
    <definedName name="abcdefg_3_4_2_5" hidden="1">{#N/A,#N/A,FALSE,"mgtsum.XLS";#N/A,#N/A,FALSE,"CAPONE";#N/A,#N/A,FALSE,"CAPTWO";#N/A,#N/A,FALSE,"CAPTHREE"}</definedName>
    <definedName name="abcdefg_3_4_3" hidden="1">{#N/A,#N/A,FALSE,"mgtsum.XLS";#N/A,#N/A,FALSE,"CAPONE";#N/A,#N/A,FALSE,"CAPTWO";#N/A,#N/A,FALSE,"CAPTHREE"}</definedName>
    <definedName name="abcdefg_3_4_4" hidden="1">{#N/A,#N/A,FALSE,"mgtsum.XLS";#N/A,#N/A,FALSE,"CAPONE";#N/A,#N/A,FALSE,"CAPTWO";#N/A,#N/A,FALSE,"CAPTHREE"}</definedName>
    <definedName name="abcdefg_3_4_5" hidden="1">{#N/A,#N/A,FALSE,"mgtsum.XLS";#N/A,#N/A,FALSE,"CAPONE";#N/A,#N/A,FALSE,"CAPTWO";#N/A,#N/A,FALSE,"CAPTHREE"}</definedName>
    <definedName name="abcdefg_3_5" hidden="1">{#N/A,#N/A,FALSE,"mgtsum.XLS";#N/A,#N/A,FALSE,"CAPONE";#N/A,#N/A,FALSE,"CAPTWO";#N/A,#N/A,FALSE,"CAPTHREE"}</definedName>
    <definedName name="abcdefg_3_5_1" hidden="1">{#N/A,#N/A,FALSE,"mgtsum.XLS";#N/A,#N/A,FALSE,"CAPONE";#N/A,#N/A,FALSE,"CAPTWO";#N/A,#N/A,FALSE,"CAPTHREE"}</definedName>
    <definedName name="abcdefg_3_5_2" hidden="1">{#N/A,#N/A,FALSE,"mgtsum.XLS";#N/A,#N/A,FALSE,"CAPONE";#N/A,#N/A,FALSE,"CAPTWO";#N/A,#N/A,FALSE,"CAPTHREE"}</definedName>
    <definedName name="abcdefg_3_5_3" hidden="1">{#N/A,#N/A,FALSE,"mgtsum.XLS";#N/A,#N/A,FALSE,"CAPONE";#N/A,#N/A,FALSE,"CAPTWO";#N/A,#N/A,FALSE,"CAPTHREE"}</definedName>
    <definedName name="abcdefg_3_5_4" hidden="1">{#N/A,#N/A,FALSE,"mgtsum.XLS";#N/A,#N/A,FALSE,"CAPONE";#N/A,#N/A,FALSE,"CAPTWO";#N/A,#N/A,FALSE,"CAPTHREE"}</definedName>
    <definedName name="abcdefg_3_5_5" hidden="1">{#N/A,#N/A,FALSE,"mgtsum.XLS";#N/A,#N/A,FALSE,"CAPONE";#N/A,#N/A,FALSE,"CAPTWO";#N/A,#N/A,FALSE,"CAPTHREE"}</definedName>
    <definedName name="abcdefg_4" hidden="1">{#N/A,#N/A,FALSE,"mgtsum.XLS";#N/A,#N/A,FALSE,"CAPONE";#N/A,#N/A,FALSE,"CAPTWO";#N/A,#N/A,FALSE,"CAPTHREE"}</definedName>
    <definedName name="abcdefg_4_1" hidden="1">{#N/A,#N/A,FALSE,"mgtsum.XLS";#N/A,#N/A,FALSE,"CAPONE";#N/A,#N/A,FALSE,"CAPTWO";#N/A,#N/A,FALSE,"CAPTHREE"}</definedName>
    <definedName name="abcdefg_4_1_1" hidden="1">{#N/A,#N/A,FALSE,"mgtsum.XLS";#N/A,#N/A,FALSE,"CAPONE";#N/A,#N/A,FALSE,"CAPTWO";#N/A,#N/A,FALSE,"CAPTHREE"}</definedName>
    <definedName name="abcdefg_4_1_1_1" hidden="1">{#N/A,#N/A,FALSE,"mgtsum.XLS";#N/A,#N/A,FALSE,"CAPONE";#N/A,#N/A,FALSE,"CAPTWO";#N/A,#N/A,FALSE,"CAPTHREE"}</definedName>
    <definedName name="abcdefg_4_1_1_2" hidden="1">{#N/A,#N/A,FALSE,"mgtsum.XLS";#N/A,#N/A,FALSE,"CAPONE";#N/A,#N/A,FALSE,"CAPTWO";#N/A,#N/A,FALSE,"CAPTHREE"}</definedName>
    <definedName name="abcdefg_4_1_1_3" hidden="1">{#N/A,#N/A,FALSE,"mgtsum.XLS";#N/A,#N/A,FALSE,"CAPONE";#N/A,#N/A,FALSE,"CAPTWO";#N/A,#N/A,FALSE,"CAPTHREE"}</definedName>
    <definedName name="abcdefg_4_1_1_4" hidden="1">{#N/A,#N/A,FALSE,"mgtsum.XLS";#N/A,#N/A,FALSE,"CAPONE";#N/A,#N/A,FALSE,"CAPTWO";#N/A,#N/A,FALSE,"CAPTHREE"}</definedName>
    <definedName name="abcdefg_4_1_1_5" hidden="1">{#N/A,#N/A,FALSE,"mgtsum.XLS";#N/A,#N/A,FALSE,"CAPONE";#N/A,#N/A,FALSE,"CAPTWO";#N/A,#N/A,FALSE,"CAPTHREE"}</definedName>
    <definedName name="abcdefg_4_1_2" hidden="1">{#N/A,#N/A,FALSE,"mgtsum.XLS";#N/A,#N/A,FALSE,"CAPONE";#N/A,#N/A,FALSE,"CAPTWO";#N/A,#N/A,FALSE,"CAPTHREE"}</definedName>
    <definedName name="abcdefg_4_1_2_1" hidden="1">{#N/A,#N/A,FALSE,"mgtsum.XLS";#N/A,#N/A,FALSE,"CAPONE";#N/A,#N/A,FALSE,"CAPTWO";#N/A,#N/A,FALSE,"CAPTHREE"}</definedName>
    <definedName name="abcdefg_4_1_2_2" hidden="1">{#N/A,#N/A,FALSE,"mgtsum.XLS";#N/A,#N/A,FALSE,"CAPONE";#N/A,#N/A,FALSE,"CAPTWO";#N/A,#N/A,FALSE,"CAPTHREE"}</definedName>
    <definedName name="abcdefg_4_1_2_3" hidden="1">{#N/A,#N/A,FALSE,"mgtsum.XLS";#N/A,#N/A,FALSE,"CAPONE";#N/A,#N/A,FALSE,"CAPTWO";#N/A,#N/A,FALSE,"CAPTHREE"}</definedName>
    <definedName name="abcdefg_4_1_2_4" hidden="1">{#N/A,#N/A,FALSE,"mgtsum.XLS";#N/A,#N/A,FALSE,"CAPONE";#N/A,#N/A,FALSE,"CAPTWO";#N/A,#N/A,FALSE,"CAPTHREE"}</definedName>
    <definedName name="abcdefg_4_1_2_5" hidden="1">{#N/A,#N/A,FALSE,"mgtsum.XLS";#N/A,#N/A,FALSE,"CAPONE";#N/A,#N/A,FALSE,"CAPTWO";#N/A,#N/A,FALSE,"CAPTHREE"}</definedName>
    <definedName name="abcdefg_4_1_3" hidden="1">{#N/A,#N/A,FALSE,"mgtsum.XLS";#N/A,#N/A,FALSE,"CAPONE";#N/A,#N/A,FALSE,"CAPTWO";#N/A,#N/A,FALSE,"CAPTHREE"}</definedName>
    <definedName name="abcdefg_4_1_3_1" hidden="1">{#N/A,#N/A,FALSE,"mgtsum.XLS";#N/A,#N/A,FALSE,"CAPONE";#N/A,#N/A,FALSE,"CAPTWO";#N/A,#N/A,FALSE,"CAPTHREE"}</definedName>
    <definedName name="abcdefg_4_1_3_2" hidden="1">{#N/A,#N/A,FALSE,"mgtsum.XLS";#N/A,#N/A,FALSE,"CAPONE";#N/A,#N/A,FALSE,"CAPTWO";#N/A,#N/A,FALSE,"CAPTHREE"}</definedName>
    <definedName name="abcdefg_4_1_3_3" hidden="1">{#N/A,#N/A,FALSE,"mgtsum.XLS";#N/A,#N/A,FALSE,"CAPONE";#N/A,#N/A,FALSE,"CAPTWO";#N/A,#N/A,FALSE,"CAPTHREE"}</definedName>
    <definedName name="abcdefg_4_1_3_4" hidden="1">{#N/A,#N/A,FALSE,"mgtsum.XLS";#N/A,#N/A,FALSE,"CAPONE";#N/A,#N/A,FALSE,"CAPTWO";#N/A,#N/A,FALSE,"CAPTHREE"}</definedName>
    <definedName name="abcdefg_4_1_3_5" hidden="1">{#N/A,#N/A,FALSE,"mgtsum.XLS";#N/A,#N/A,FALSE,"CAPONE";#N/A,#N/A,FALSE,"CAPTWO";#N/A,#N/A,FALSE,"CAPTHREE"}</definedName>
    <definedName name="abcdefg_4_1_4" hidden="1">{#N/A,#N/A,FALSE,"mgtsum.XLS";#N/A,#N/A,FALSE,"CAPONE";#N/A,#N/A,FALSE,"CAPTWO";#N/A,#N/A,FALSE,"CAPTHREE"}</definedName>
    <definedName name="abcdefg_4_1_5" hidden="1">{#N/A,#N/A,FALSE,"mgtsum.XLS";#N/A,#N/A,FALSE,"CAPONE";#N/A,#N/A,FALSE,"CAPTWO";#N/A,#N/A,FALSE,"CAPTHREE"}</definedName>
    <definedName name="abcdefg_4_2" hidden="1">{#N/A,#N/A,FALSE,"mgtsum.XLS";#N/A,#N/A,FALSE,"CAPONE";#N/A,#N/A,FALSE,"CAPTWO";#N/A,#N/A,FALSE,"CAPTHREE"}</definedName>
    <definedName name="abcdefg_4_2_1" hidden="1">{#N/A,#N/A,FALSE,"mgtsum.XLS";#N/A,#N/A,FALSE,"CAPONE";#N/A,#N/A,FALSE,"CAPTWO";#N/A,#N/A,FALSE,"CAPTHREE"}</definedName>
    <definedName name="abcdefg_4_2_2" hidden="1">{#N/A,#N/A,FALSE,"mgtsum.XLS";#N/A,#N/A,FALSE,"CAPONE";#N/A,#N/A,FALSE,"CAPTWO";#N/A,#N/A,FALSE,"CAPTHREE"}</definedName>
    <definedName name="abcdefg_4_2_3" hidden="1">{#N/A,#N/A,FALSE,"mgtsum.XLS";#N/A,#N/A,FALSE,"CAPONE";#N/A,#N/A,FALSE,"CAPTWO";#N/A,#N/A,FALSE,"CAPTHREE"}</definedName>
    <definedName name="abcdefg_4_2_4" hidden="1">{#N/A,#N/A,FALSE,"mgtsum.XLS";#N/A,#N/A,FALSE,"CAPONE";#N/A,#N/A,FALSE,"CAPTWO";#N/A,#N/A,FALSE,"CAPTHREE"}</definedName>
    <definedName name="abcdefg_4_2_5" hidden="1">{#N/A,#N/A,FALSE,"mgtsum.XLS";#N/A,#N/A,FALSE,"CAPONE";#N/A,#N/A,FALSE,"CAPTWO";#N/A,#N/A,FALSE,"CAPTHREE"}</definedName>
    <definedName name="abcdefg_4_3" hidden="1">{#N/A,#N/A,FALSE,"mgtsum.XLS";#N/A,#N/A,FALSE,"CAPONE";#N/A,#N/A,FALSE,"CAPTWO";#N/A,#N/A,FALSE,"CAPTHREE"}</definedName>
    <definedName name="abcdefg_4_3_1" hidden="1">{#N/A,#N/A,FALSE,"mgtsum.XLS";#N/A,#N/A,FALSE,"CAPONE";#N/A,#N/A,FALSE,"CAPTWO";#N/A,#N/A,FALSE,"CAPTHREE"}</definedName>
    <definedName name="abcdefg_4_3_2" hidden="1">{#N/A,#N/A,FALSE,"mgtsum.XLS";#N/A,#N/A,FALSE,"CAPONE";#N/A,#N/A,FALSE,"CAPTWO";#N/A,#N/A,FALSE,"CAPTHREE"}</definedName>
    <definedName name="abcdefg_4_3_3" hidden="1">{#N/A,#N/A,FALSE,"mgtsum.XLS";#N/A,#N/A,FALSE,"CAPONE";#N/A,#N/A,FALSE,"CAPTWO";#N/A,#N/A,FALSE,"CAPTHREE"}</definedName>
    <definedName name="abcdefg_4_3_4" hidden="1">{#N/A,#N/A,FALSE,"mgtsum.XLS";#N/A,#N/A,FALSE,"CAPONE";#N/A,#N/A,FALSE,"CAPTWO";#N/A,#N/A,FALSE,"CAPTHREE"}</definedName>
    <definedName name="abcdefg_4_3_5" hidden="1">{#N/A,#N/A,FALSE,"mgtsum.XLS";#N/A,#N/A,FALSE,"CAPONE";#N/A,#N/A,FALSE,"CAPTWO";#N/A,#N/A,FALSE,"CAPTHREE"}</definedName>
    <definedName name="abcdefg_4_4" hidden="1">{#N/A,#N/A,FALSE,"mgtsum.XLS";#N/A,#N/A,FALSE,"CAPONE";#N/A,#N/A,FALSE,"CAPTWO";#N/A,#N/A,FALSE,"CAPTHREE"}</definedName>
    <definedName name="abcdefg_4_5" hidden="1">{#N/A,#N/A,FALSE,"mgtsum.XLS";#N/A,#N/A,FALSE,"CAPONE";#N/A,#N/A,FALSE,"CAPTWO";#N/A,#N/A,FALSE,"CAPTHREE"}</definedName>
    <definedName name="abcdefg_5" hidden="1">{#N/A,#N/A,FALSE,"mgtsum.XLS";#N/A,#N/A,FALSE,"CAPONE";#N/A,#N/A,FALSE,"CAPTWO";#N/A,#N/A,FALSE,"CAPTHREE"}</definedName>
    <definedName name="abcdefg_5_1" hidden="1">{#N/A,#N/A,FALSE,"mgtsum.XLS";#N/A,#N/A,FALSE,"CAPONE";#N/A,#N/A,FALSE,"CAPTWO";#N/A,#N/A,FALSE,"CAPTHREE"}</definedName>
    <definedName name="abcdefg_5_1_1" hidden="1">{#N/A,#N/A,FALSE,"mgtsum.XLS";#N/A,#N/A,FALSE,"CAPONE";#N/A,#N/A,FALSE,"CAPTWO";#N/A,#N/A,FALSE,"CAPTHREE"}</definedName>
    <definedName name="abcdefg_5_1_2" hidden="1">{#N/A,#N/A,FALSE,"mgtsum.XLS";#N/A,#N/A,FALSE,"CAPONE";#N/A,#N/A,FALSE,"CAPTWO";#N/A,#N/A,FALSE,"CAPTHREE"}</definedName>
    <definedName name="abcdefg_5_1_3" hidden="1">{#N/A,#N/A,FALSE,"mgtsum.XLS";#N/A,#N/A,FALSE,"CAPONE";#N/A,#N/A,FALSE,"CAPTWO";#N/A,#N/A,FALSE,"CAPTHREE"}</definedName>
    <definedName name="abcdefg_5_1_4" hidden="1">{#N/A,#N/A,FALSE,"mgtsum.XLS";#N/A,#N/A,FALSE,"CAPONE";#N/A,#N/A,FALSE,"CAPTWO";#N/A,#N/A,FALSE,"CAPTHREE"}</definedName>
    <definedName name="abcdefg_5_1_5" hidden="1">{#N/A,#N/A,FALSE,"mgtsum.XLS";#N/A,#N/A,FALSE,"CAPONE";#N/A,#N/A,FALSE,"CAPTWO";#N/A,#N/A,FALSE,"CAPTHREE"}</definedName>
    <definedName name="abcdefg_5_2" hidden="1">{#N/A,#N/A,FALSE,"mgtsum.XLS";#N/A,#N/A,FALSE,"CAPONE";#N/A,#N/A,FALSE,"CAPTWO";#N/A,#N/A,FALSE,"CAPTHREE"}</definedName>
    <definedName name="abcdefg_5_2_1" hidden="1">{#N/A,#N/A,FALSE,"mgtsum.XLS";#N/A,#N/A,FALSE,"CAPONE";#N/A,#N/A,FALSE,"CAPTWO";#N/A,#N/A,FALSE,"CAPTHREE"}</definedName>
    <definedName name="abcdefg_5_2_2" hidden="1">{#N/A,#N/A,FALSE,"mgtsum.XLS";#N/A,#N/A,FALSE,"CAPONE";#N/A,#N/A,FALSE,"CAPTWO";#N/A,#N/A,FALSE,"CAPTHREE"}</definedName>
    <definedName name="abcdefg_5_2_3" hidden="1">{#N/A,#N/A,FALSE,"mgtsum.XLS";#N/A,#N/A,FALSE,"CAPONE";#N/A,#N/A,FALSE,"CAPTWO";#N/A,#N/A,FALSE,"CAPTHREE"}</definedName>
    <definedName name="abcdefg_5_2_4" hidden="1">{#N/A,#N/A,FALSE,"mgtsum.XLS";#N/A,#N/A,FALSE,"CAPONE";#N/A,#N/A,FALSE,"CAPTWO";#N/A,#N/A,FALSE,"CAPTHREE"}</definedName>
    <definedName name="abcdefg_5_2_5" hidden="1">{#N/A,#N/A,FALSE,"mgtsum.XLS";#N/A,#N/A,FALSE,"CAPONE";#N/A,#N/A,FALSE,"CAPTWO";#N/A,#N/A,FALSE,"CAPTHREE"}</definedName>
    <definedName name="abcdefg_5_3" hidden="1">{#N/A,#N/A,FALSE,"mgtsum.XLS";#N/A,#N/A,FALSE,"CAPONE";#N/A,#N/A,FALSE,"CAPTWO";#N/A,#N/A,FALSE,"CAPTHREE"}</definedName>
    <definedName name="abcdefg_5_4" hidden="1">{#N/A,#N/A,FALSE,"mgtsum.XLS";#N/A,#N/A,FALSE,"CAPONE";#N/A,#N/A,FALSE,"CAPTWO";#N/A,#N/A,FALSE,"CAPTHREE"}</definedName>
    <definedName name="abcdefg_5_5" hidden="1">{#N/A,#N/A,FALSE,"mgtsum.XLS";#N/A,#N/A,FALSE,"CAPONE";#N/A,#N/A,FALSE,"CAPTWO";#N/A,#N/A,FALSE,"CAPTHREE"}</definedName>
    <definedName name="abcs" hidden="1">{"'Break down'!$A$4"}</definedName>
    <definedName name="abcxyz" localSheetId="1" hidden="1">{#N/A,#N/A,FALSE,"mgtsum.XLS";#N/A,#N/A,FALSE,"CAPONE";#N/A,#N/A,FALSE,"CAPTWO";#N/A,#N/A,FALSE,"CAPTHREE"}</definedName>
    <definedName name="abcxyz" hidden="1">{#N/A,#N/A,FALSE,"mgtsum.XLS";#N/A,#N/A,FALSE,"CAPONE";#N/A,#N/A,FALSE,"CAPTWO";#N/A,#N/A,FALSE,"CAPTHREE"}</definedName>
    <definedName name="abcxyz_1" hidden="1">{#N/A,#N/A,FALSE,"mgtsum.XLS";#N/A,#N/A,FALSE,"CAPONE";#N/A,#N/A,FALSE,"CAPTWO";#N/A,#N/A,FALSE,"CAPTHREE"}</definedName>
    <definedName name="abcxyz_1_1" hidden="1">{#N/A,#N/A,FALSE,"mgtsum.XLS";#N/A,#N/A,FALSE,"CAPONE";#N/A,#N/A,FALSE,"CAPTWO";#N/A,#N/A,FALSE,"CAPTHREE"}</definedName>
    <definedName name="abcxyz_1_1_1" hidden="1">{#N/A,#N/A,FALSE,"mgtsum.XLS";#N/A,#N/A,FALSE,"CAPONE";#N/A,#N/A,FALSE,"CAPTWO";#N/A,#N/A,FALSE,"CAPTHREE"}</definedName>
    <definedName name="abcxyz_1_1_1_1" hidden="1">{#N/A,#N/A,FALSE,"mgtsum.XLS";#N/A,#N/A,FALSE,"CAPONE";#N/A,#N/A,FALSE,"CAPTWO";#N/A,#N/A,FALSE,"CAPTHREE"}</definedName>
    <definedName name="abcxyz_1_1_1_2" hidden="1">{#N/A,#N/A,FALSE,"mgtsum.XLS";#N/A,#N/A,FALSE,"CAPONE";#N/A,#N/A,FALSE,"CAPTWO";#N/A,#N/A,FALSE,"CAPTHREE"}</definedName>
    <definedName name="abcxyz_1_1_1_3" hidden="1">{#N/A,#N/A,FALSE,"mgtsum.XLS";#N/A,#N/A,FALSE,"CAPONE";#N/A,#N/A,FALSE,"CAPTWO";#N/A,#N/A,FALSE,"CAPTHREE"}</definedName>
    <definedName name="abcxyz_1_1_1_4" hidden="1">{#N/A,#N/A,FALSE,"mgtsum.XLS";#N/A,#N/A,FALSE,"CAPONE";#N/A,#N/A,FALSE,"CAPTWO";#N/A,#N/A,FALSE,"CAPTHREE"}</definedName>
    <definedName name="abcxyz_1_1_1_5" hidden="1">{#N/A,#N/A,FALSE,"mgtsum.XLS";#N/A,#N/A,FALSE,"CAPONE";#N/A,#N/A,FALSE,"CAPTWO";#N/A,#N/A,FALSE,"CAPTHREE"}</definedName>
    <definedName name="abcxyz_1_1_2" hidden="1">{#N/A,#N/A,FALSE,"mgtsum.XLS";#N/A,#N/A,FALSE,"CAPONE";#N/A,#N/A,FALSE,"CAPTWO";#N/A,#N/A,FALSE,"CAPTHREE"}</definedName>
    <definedName name="abcxyz_1_1_2_1" hidden="1">{#N/A,#N/A,FALSE,"mgtsum.XLS";#N/A,#N/A,FALSE,"CAPONE";#N/A,#N/A,FALSE,"CAPTWO";#N/A,#N/A,FALSE,"CAPTHREE"}</definedName>
    <definedName name="abcxyz_1_1_2_2" hidden="1">{#N/A,#N/A,FALSE,"mgtsum.XLS";#N/A,#N/A,FALSE,"CAPONE";#N/A,#N/A,FALSE,"CAPTWO";#N/A,#N/A,FALSE,"CAPTHREE"}</definedName>
    <definedName name="abcxyz_1_1_2_3" hidden="1">{#N/A,#N/A,FALSE,"mgtsum.XLS";#N/A,#N/A,FALSE,"CAPONE";#N/A,#N/A,FALSE,"CAPTWO";#N/A,#N/A,FALSE,"CAPTHREE"}</definedName>
    <definedName name="abcxyz_1_1_2_4" hidden="1">{#N/A,#N/A,FALSE,"mgtsum.XLS";#N/A,#N/A,FALSE,"CAPONE";#N/A,#N/A,FALSE,"CAPTWO";#N/A,#N/A,FALSE,"CAPTHREE"}</definedName>
    <definedName name="abcxyz_1_1_2_5" hidden="1">{#N/A,#N/A,FALSE,"mgtsum.XLS";#N/A,#N/A,FALSE,"CAPONE";#N/A,#N/A,FALSE,"CAPTWO";#N/A,#N/A,FALSE,"CAPTHREE"}</definedName>
    <definedName name="abcxyz_1_1_3" hidden="1">{#N/A,#N/A,FALSE,"mgtsum.XLS";#N/A,#N/A,FALSE,"CAPONE";#N/A,#N/A,FALSE,"CAPTWO";#N/A,#N/A,FALSE,"CAPTHREE"}</definedName>
    <definedName name="abcxyz_1_1_3_1" hidden="1">{#N/A,#N/A,FALSE,"mgtsum.XLS";#N/A,#N/A,FALSE,"CAPONE";#N/A,#N/A,FALSE,"CAPTWO";#N/A,#N/A,FALSE,"CAPTHREE"}</definedName>
    <definedName name="abcxyz_1_1_3_2" hidden="1">{#N/A,#N/A,FALSE,"mgtsum.XLS";#N/A,#N/A,FALSE,"CAPONE";#N/A,#N/A,FALSE,"CAPTWO";#N/A,#N/A,FALSE,"CAPTHREE"}</definedName>
    <definedName name="abcxyz_1_1_3_3" hidden="1">{#N/A,#N/A,FALSE,"mgtsum.XLS";#N/A,#N/A,FALSE,"CAPONE";#N/A,#N/A,FALSE,"CAPTWO";#N/A,#N/A,FALSE,"CAPTHREE"}</definedName>
    <definedName name="abcxyz_1_1_3_4" hidden="1">{#N/A,#N/A,FALSE,"mgtsum.XLS";#N/A,#N/A,FALSE,"CAPONE";#N/A,#N/A,FALSE,"CAPTWO";#N/A,#N/A,FALSE,"CAPTHREE"}</definedName>
    <definedName name="abcxyz_1_1_3_5" hidden="1">{#N/A,#N/A,FALSE,"mgtsum.XLS";#N/A,#N/A,FALSE,"CAPONE";#N/A,#N/A,FALSE,"CAPTWO";#N/A,#N/A,FALSE,"CAPTHREE"}</definedName>
    <definedName name="abcxyz_1_1_4" hidden="1">{#N/A,#N/A,FALSE,"mgtsum.XLS";#N/A,#N/A,FALSE,"CAPONE";#N/A,#N/A,FALSE,"CAPTWO";#N/A,#N/A,FALSE,"CAPTHREE"}</definedName>
    <definedName name="abcxyz_1_1_5" hidden="1">{#N/A,#N/A,FALSE,"mgtsum.XLS";#N/A,#N/A,FALSE,"CAPONE";#N/A,#N/A,FALSE,"CAPTWO";#N/A,#N/A,FALSE,"CAPTHREE"}</definedName>
    <definedName name="abcxyz_1_2" hidden="1">{#N/A,#N/A,FALSE,"mgtsum.XLS";#N/A,#N/A,FALSE,"CAPONE";#N/A,#N/A,FALSE,"CAPTWO";#N/A,#N/A,FALSE,"CAPTHREE"}</definedName>
    <definedName name="abcxyz_1_2_1" hidden="1">{#N/A,#N/A,FALSE,"mgtsum.XLS";#N/A,#N/A,FALSE,"CAPONE";#N/A,#N/A,FALSE,"CAPTWO";#N/A,#N/A,FALSE,"CAPTHREE"}</definedName>
    <definedName name="abcxyz_1_2_1_1" hidden="1">{#N/A,#N/A,FALSE,"mgtsum.XLS";#N/A,#N/A,FALSE,"CAPONE";#N/A,#N/A,FALSE,"CAPTWO";#N/A,#N/A,FALSE,"CAPTHREE"}</definedName>
    <definedName name="abcxyz_1_2_1_2" hidden="1">{#N/A,#N/A,FALSE,"mgtsum.XLS";#N/A,#N/A,FALSE,"CAPONE";#N/A,#N/A,FALSE,"CAPTWO";#N/A,#N/A,FALSE,"CAPTHREE"}</definedName>
    <definedName name="abcxyz_1_2_1_3" hidden="1">{#N/A,#N/A,FALSE,"mgtsum.XLS";#N/A,#N/A,FALSE,"CAPONE";#N/A,#N/A,FALSE,"CAPTWO";#N/A,#N/A,FALSE,"CAPTHREE"}</definedName>
    <definedName name="abcxyz_1_2_1_4" hidden="1">{#N/A,#N/A,FALSE,"mgtsum.XLS";#N/A,#N/A,FALSE,"CAPONE";#N/A,#N/A,FALSE,"CAPTWO";#N/A,#N/A,FALSE,"CAPTHREE"}</definedName>
    <definedName name="abcxyz_1_2_1_5" hidden="1">{#N/A,#N/A,FALSE,"mgtsum.XLS";#N/A,#N/A,FALSE,"CAPONE";#N/A,#N/A,FALSE,"CAPTWO";#N/A,#N/A,FALSE,"CAPTHREE"}</definedName>
    <definedName name="abcxyz_1_2_2" hidden="1">{#N/A,#N/A,FALSE,"mgtsum.XLS";#N/A,#N/A,FALSE,"CAPONE";#N/A,#N/A,FALSE,"CAPTWO";#N/A,#N/A,FALSE,"CAPTHREE"}</definedName>
    <definedName name="abcxyz_1_2_2_1" hidden="1">{#N/A,#N/A,FALSE,"mgtsum.XLS";#N/A,#N/A,FALSE,"CAPONE";#N/A,#N/A,FALSE,"CAPTWO";#N/A,#N/A,FALSE,"CAPTHREE"}</definedName>
    <definedName name="abcxyz_1_2_2_2" hidden="1">{#N/A,#N/A,FALSE,"mgtsum.XLS";#N/A,#N/A,FALSE,"CAPONE";#N/A,#N/A,FALSE,"CAPTWO";#N/A,#N/A,FALSE,"CAPTHREE"}</definedName>
    <definedName name="abcxyz_1_2_2_3" hidden="1">{#N/A,#N/A,FALSE,"mgtsum.XLS";#N/A,#N/A,FALSE,"CAPONE";#N/A,#N/A,FALSE,"CAPTWO";#N/A,#N/A,FALSE,"CAPTHREE"}</definedName>
    <definedName name="abcxyz_1_2_2_4" hidden="1">{#N/A,#N/A,FALSE,"mgtsum.XLS";#N/A,#N/A,FALSE,"CAPONE";#N/A,#N/A,FALSE,"CAPTWO";#N/A,#N/A,FALSE,"CAPTHREE"}</definedName>
    <definedName name="abcxyz_1_2_2_5" hidden="1">{#N/A,#N/A,FALSE,"mgtsum.XLS";#N/A,#N/A,FALSE,"CAPONE";#N/A,#N/A,FALSE,"CAPTWO";#N/A,#N/A,FALSE,"CAPTHREE"}</definedName>
    <definedName name="abcxyz_1_2_3" hidden="1">{#N/A,#N/A,FALSE,"mgtsum.XLS";#N/A,#N/A,FALSE,"CAPONE";#N/A,#N/A,FALSE,"CAPTWO";#N/A,#N/A,FALSE,"CAPTHREE"}</definedName>
    <definedName name="abcxyz_1_2_4" hidden="1">{#N/A,#N/A,FALSE,"mgtsum.XLS";#N/A,#N/A,FALSE,"CAPONE";#N/A,#N/A,FALSE,"CAPTWO";#N/A,#N/A,FALSE,"CAPTHREE"}</definedName>
    <definedName name="abcxyz_1_2_5" hidden="1">{#N/A,#N/A,FALSE,"mgtsum.XLS";#N/A,#N/A,FALSE,"CAPONE";#N/A,#N/A,FALSE,"CAPTWO";#N/A,#N/A,FALSE,"CAPTHREE"}</definedName>
    <definedName name="abcxyz_1_3" hidden="1">{#N/A,#N/A,FALSE,"mgtsum.XLS";#N/A,#N/A,FALSE,"CAPONE";#N/A,#N/A,FALSE,"CAPTWO";#N/A,#N/A,FALSE,"CAPTHREE"}</definedName>
    <definedName name="abcxyz_1_3_1" hidden="1">{#N/A,#N/A,FALSE,"mgtsum.XLS";#N/A,#N/A,FALSE,"CAPONE";#N/A,#N/A,FALSE,"CAPTWO";#N/A,#N/A,FALSE,"CAPTHREE"}</definedName>
    <definedName name="abcxyz_1_3_1_1" hidden="1">{#N/A,#N/A,FALSE,"mgtsum.XLS";#N/A,#N/A,FALSE,"CAPONE";#N/A,#N/A,FALSE,"CAPTWO";#N/A,#N/A,FALSE,"CAPTHREE"}</definedName>
    <definedName name="abcxyz_1_3_1_2" hidden="1">{#N/A,#N/A,FALSE,"mgtsum.XLS";#N/A,#N/A,FALSE,"CAPONE";#N/A,#N/A,FALSE,"CAPTWO";#N/A,#N/A,FALSE,"CAPTHREE"}</definedName>
    <definedName name="abcxyz_1_3_1_3" hidden="1">{#N/A,#N/A,FALSE,"mgtsum.XLS";#N/A,#N/A,FALSE,"CAPONE";#N/A,#N/A,FALSE,"CAPTWO";#N/A,#N/A,FALSE,"CAPTHREE"}</definedName>
    <definedName name="abcxyz_1_3_1_4" hidden="1">{#N/A,#N/A,FALSE,"mgtsum.XLS";#N/A,#N/A,FALSE,"CAPONE";#N/A,#N/A,FALSE,"CAPTWO";#N/A,#N/A,FALSE,"CAPTHREE"}</definedName>
    <definedName name="abcxyz_1_3_1_5" hidden="1">{#N/A,#N/A,FALSE,"mgtsum.XLS";#N/A,#N/A,FALSE,"CAPONE";#N/A,#N/A,FALSE,"CAPTWO";#N/A,#N/A,FALSE,"CAPTHREE"}</definedName>
    <definedName name="abcxyz_1_3_2" hidden="1">{#N/A,#N/A,FALSE,"mgtsum.XLS";#N/A,#N/A,FALSE,"CAPONE";#N/A,#N/A,FALSE,"CAPTWO";#N/A,#N/A,FALSE,"CAPTHREE"}</definedName>
    <definedName name="abcxyz_1_3_2_1" hidden="1">{#N/A,#N/A,FALSE,"mgtsum.XLS";#N/A,#N/A,FALSE,"CAPONE";#N/A,#N/A,FALSE,"CAPTWO";#N/A,#N/A,FALSE,"CAPTHREE"}</definedName>
    <definedName name="abcxyz_1_3_2_2" hidden="1">{#N/A,#N/A,FALSE,"mgtsum.XLS";#N/A,#N/A,FALSE,"CAPONE";#N/A,#N/A,FALSE,"CAPTWO";#N/A,#N/A,FALSE,"CAPTHREE"}</definedName>
    <definedName name="abcxyz_1_3_2_3" hidden="1">{#N/A,#N/A,FALSE,"mgtsum.XLS";#N/A,#N/A,FALSE,"CAPONE";#N/A,#N/A,FALSE,"CAPTWO";#N/A,#N/A,FALSE,"CAPTHREE"}</definedName>
    <definedName name="abcxyz_1_3_2_4" hidden="1">{#N/A,#N/A,FALSE,"mgtsum.XLS";#N/A,#N/A,FALSE,"CAPONE";#N/A,#N/A,FALSE,"CAPTWO";#N/A,#N/A,FALSE,"CAPTHREE"}</definedName>
    <definedName name="abcxyz_1_3_2_5" hidden="1">{#N/A,#N/A,FALSE,"mgtsum.XLS";#N/A,#N/A,FALSE,"CAPONE";#N/A,#N/A,FALSE,"CAPTWO";#N/A,#N/A,FALSE,"CAPTHREE"}</definedName>
    <definedName name="abcxyz_1_3_3" hidden="1">{#N/A,#N/A,FALSE,"mgtsum.XLS";#N/A,#N/A,FALSE,"CAPONE";#N/A,#N/A,FALSE,"CAPTWO";#N/A,#N/A,FALSE,"CAPTHREE"}</definedName>
    <definedName name="abcxyz_1_3_4" hidden="1">{#N/A,#N/A,FALSE,"mgtsum.XLS";#N/A,#N/A,FALSE,"CAPONE";#N/A,#N/A,FALSE,"CAPTWO";#N/A,#N/A,FALSE,"CAPTHREE"}</definedName>
    <definedName name="abcxyz_1_3_5" hidden="1">{#N/A,#N/A,FALSE,"mgtsum.XLS";#N/A,#N/A,FALSE,"CAPONE";#N/A,#N/A,FALSE,"CAPTWO";#N/A,#N/A,FALSE,"CAPTHREE"}</definedName>
    <definedName name="abcxyz_1_4" hidden="1">{#N/A,#N/A,FALSE,"mgtsum.XLS";#N/A,#N/A,FALSE,"CAPONE";#N/A,#N/A,FALSE,"CAPTWO";#N/A,#N/A,FALSE,"CAPTHREE"}</definedName>
    <definedName name="abcxyz_1_4_1" hidden="1">{#N/A,#N/A,FALSE,"mgtsum.XLS";#N/A,#N/A,FALSE,"CAPONE";#N/A,#N/A,FALSE,"CAPTWO";#N/A,#N/A,FALSE,"CAPTHREE"}</definedName>
    <definedName name="abcxyz_1_4_1_1" hidden="1">{#N/A,#N/A,FALSE,"mgtsum.XLS";#N/A,#N/A,FALSE,"CAPONE";#N/A,#N/A,FALSE,"CAPTWO";#N/A,#N/A,FALSE,"CAPTHREE"}</definedName>
    <definedName name="abcxyz_1_4_1_2" hidden="1">{#N/A,#N/A,FALSE,"mgtsum.XLS";#N/A,#N/A,FALSE,"CAPONE";#N/A,#N/A,FALSE,"CAPTWO";#N/A,#N/A,FALSE,"CAPTHREE"}</definedName>
    <definedName name="abcxyz_1_4_1_3" hidden="1">{#N/A,#N/A,FALSE,"mgtsum.XLS";#N/A,#N/A,FALSE,"CAPONE";#N/A,#N/A,FALSE,"CAPTWO";#N/A,#N/A,FALSE,"CAPTHREE"}</definedName>
    <definedName name="abcxyz_1_4_1_4" hidden="1">{#N/A,#N/A,FALSE,"mgtsum.XLS";#N/A,#N/A,FALSE,"CAPONE";#N/A,#N/A,FALSE,"CAPTWO";#N/A,#N/A,FALSE,"CAPTHREE"}</definedName>
    <definedName name="abcxyz_1_4_1_5" hidden="1">{#N/A,#N/A,FALSE,"mgtsum.XLS";#N/A,#N/A,FALSE,"CAPONE";#N/A,#N/A,FALSE,"CAPTWO";#N/A,#N/A,FALSE,"CAPTHREE"}</definedName>
    <definedName name="abcxyz_1_4_2" hidden="1">{#N/A,#N/A,FALSE,"mgtsum.XLS";#N/A,#N/A,FALSE,"CAPONE";#N/A,#N/A,FALSE,"CAPTWO";#N/A,#N/A,FALSE,"CAPTHREE"}</definedName>
    <definedName name="abcxyz_1_4_2_1" hidden="1">{#N/A,#N/A,FALSE,"mgtsum.XLS";#N/A,#N/A,FALSE,"CAPONE";#N/A,#N/A,FALSE,"CAPTWO";#N/A,#N/A,FALSE,"CAPTHREE"}</definedName>
    <definedName name="abcxyz_1_4_2_2" hidden="1">{#N/A,#N/A,FALSE,"mgtsum.XLS";#N/A,#N/A,FALSE,"CAPONE";#N/A,#N/A,FALSE,"CAPTWO";#N/A,#N/A,FALSE,"CAPTHREE"}</definedName>
    <definedName name="abcxyz_1_4_2_3" hidden="1">{#N/A,#N/A,FALSE,"mgtsum.XLS";#N/A,#N/A,FALSE,"CAPONE";#N/A,#N/A,FALSE,"CAPTWO";#N/A,#N/A,FALSE,"CAPTHREE"}</definedName>
    <definedName name="abcxyz_1_4_2_4" hidden="1">{#N/A,#N/A,FALSE,"mgtsum.XLS";#N/A,#N/A,FALSE,"CAPONE";#N/A,#N/A,FALSE,"CAPTWO";#N/A,#N/A,FALSE,"CAPTHREE"}</definedName>
    <definedName name="abcxyz_1_4_2_5" hidden="1">{#N/A,#N/A,FALSE,"mgtsum.XLS";#N/A,#N/A,FALSE,"CAPONE";#N/A,#N/A,FALSE,"CAPTWO";#N/A,#N/A,FALSE,"CAPTHREE"}</definedName>
    <definedName name="abcxyz_1_4_3" hidden="1">{#N/A,#N/A,FALSE,"mgtsum.XLS";#N/A,#N/A,FALSE,"CAPONE";#N/A,#N/A,FALSE,"CAPTWO";#N/A,#N/A,FALSE,"CAPTHREE"}</definedName>
    <definedName name="abcxyz_1_4_4" hidden="1">{#N/A,#N/A,FALSE,"mgtsum.XLS";#N/A,#N/A,FALSE,"CAPONE";#N/A,#N/A,FALSE,"CAPTWO";#N/A,#N/A,FALSE,"CAPTHREE"}</definedName>
    <definedName name="abcxyz_1_4_5" hidden="1">{#N/A,#N/A,FALSE,"mgtsum.XLS";#N/A,#N/A,FALSE,"CAPONE";#N/A,#N/A,FALSE,"CAPTWO";#N/A,#N/A,FALSE,"CAPTHREE"}</definedName>
    <definedName name="abcxyz_1_5" hidden="1">{#N/A,#N/A,FALSE,"mgtsum.XLS";#N/A,#N/A,FALSE,"CAPONE";#N/A,#N/A,FALSE,"CAPTWO";#N/A,#N/A,FALSE,"CAPTHREE"}</definedName>
    <definedName name="abcxyz_1_5_1" hidden="1">{#N/A,#N/A,FALSE,"mgtsum.XLS";#N/A,#N/A,FALSE,"CAPONE";#N/A,#N/A,FALSE,"CAPTWO";#N/A,#N/A,FALSE,"CAPTHREE"}</definedName>
    <definedName name="abcxyz_1_5_1_1" hidden="1">{#N/A,#N/A,FALSE,"mgtsum.XLS";#N/A,#N/A,FALSE,"CAPONE";#N/A,#N/A,FALSE,"CAPTWO";#N/A,#N/A,FALSE,"CAPTHREE"}</definedName>
    <definedName name="abcxyz_1_5_1_2" hidden="1">{#N/A,#N/A,FALSE,"mgtsum.XLS";#N/A,#N/A,FALSE,"CAPONE";#N/A,#N/A,FALSE,"CAPTWO";#N/A,#N/A,FALSE,"CAPTHREE"}</definedName>
    <definedName name="abcxyz_1_5_1_3" hidden="1">{#N/A,#N/A,FALSE,"mgtsum.XLS";#N/A,#N/A,FALSE,"CAPONE";#N/A,#N/A,FALSE,"CAPTWO";#N/A,#N/A,FALSE,"CAPTHREE"}</definedName>
    <definedName name="abcxyz_1_5_1_4" hidden="1">{#N/A,#N/A,FALSE,"mgtsum.XLS";#N/A,#N/A,FALSE,"CAPONE";#N/A,#N/A,FALSE,"CAPTWO";#N/A,#N/A,FALSE,"CAPTHREE"}</definedName>
    <definedName name="abcxyz_1_5_1_5" hidden="1">{#N/A,#N/A,FALSE,"mgtsum.XLS";#N/A,#N/A,FALSE,"CAPONE";#N/A,#N/A,FALSE,"CAPTWO";#N/A,#N/A,FALSE,"CAPTHREE"}</definedName>
    <definedName name="abcxyz_1_5_2" hidden="1">{#N/A,#N/A,FALSE,"mgtsum.XLS";#N/A,#N/A,FALSE,"CAPONE";#N/A,#N/A,FALSE,"CAPTWO";#N/A,#N/A,FALSE,"CAPTHREE"}</definedName>
    <definedName name="abcxyz_1_5_2_1" hidden="1">{#N/A,#N/A,FALSE,"mgtsum.XLS";#N/A,#N/A,FALSE,"CAPONE";#N/A,#N/A,FALSE,"CAPTWO";#N/A,#N/A,FALSE,"CAPTHREE"}</definedName>
    <definedName name="abcxyz_1_5_2_2" hidden="1">{#N/A,#N/A,FALSE,"mgtsum.XLS";#N/A,#N/A,FALSE,"CAPONE";#N/A,#N/A,FALSE,"CAPTWO";#N/A,#N/A,FALSE,"CAPTHREE"}</definedName>
    <definedName name="abcxyz_1_5_2_3" hidden="1">{#N/A,#N/A,FALSE,"mgtsum.XLS";#N/A,#N/A,FALSE,"CAPONE";#N/A,#N/A,FALSE,"CAPTWO";#N/A,#N/A,FALSE,"CAPTHREE"}</definedName>
    <definedName name="abcxyz_1_5_2_4" hidden="1">{#N/A,#N/A,FALSE,"mgtsum.XLS";#N/A,#N/A,FALSE,"CAPONE";#N/A,#N/A,FALSE,"CAPTWO";#N/A,#N/A,FALSE,"CAPTHREE"}</definedName>
    <definedName name="abcxyz_1_5_2_5" hidden="1">{#N/A,#N/A,FALSE,"mgtsum.XLS";#N/A,#N/A,FALSE,"CAPONE";#N/A,#N/A,FALSE,"CAPTWO";#N/A,#N/A,FALSE,"CAPTHREE"}</definedName>
    <definedName name="abcxyz_1_5_3" hidden="1">{#N/A,#N/A,FALSE,"mgtsum.XLS";#N/A,#N/A,FALSE,"CAPONE";#N/A,#N/A,FALSE,"CAPTWO";#N/A,#N/A,FALSE,"CAPTHREE"}</definedName>
    <definedName name="abcxyz_1_5_4" hidden="1">{#N/A,#N/A,FALSE,"mgtsum.XLS";#N/A,#N/A,FALSE,"CAPONE";#N/A,#N/A,FALSE,"CAPTWO";#N/A,#N/A,FALSE,"CAPTHREE"}</definedName>
    <definedName name="abcxyz_1_5_5" hidden="1">{#N/A,#N/A,FALSE,"mgtsum.XLS";#N/A,#N/A,FALSE,"CAPONE";#N/A,#N/A,FALSE,"CAPTWO";#N/A,#N/A,FALSE,"CAPTHREE"}</definedName>
    <definedName name="abcxyz_2" hidden="1">{#N/A,#N/A,FALSE,"mgtsum.XLS";#N/A,#N/A,FALSE,"CAPONE";#N/A,#N/A,FALSE,"CAPTWO";#N/A,#N/A,FALSE,"CAPTHREE"}</definedName>
    <definedName name="abcxyz_2_1" hidden="1">{#N/A,#N/A,FALSE,"mgtsum.XLS";#N/A,#N/A,FALSE,"CAPONE";#N/A,#N/A,FALSE,"CAPTWO";#N/A,#N/A,FALSE,"CAPTHREE"}</definedName>
    <definedName name="abcxyz_2_1_1" hidden="1">{#N/A,#N/A,FALSE,"mgtsum.XLS";#N/A,#N/A,FALSE,"CAPONE";#N/A,#N/A,FALSE,"CAPTWO";#N/A,#N/A,FALSE,"CAPTHREE"}</definedName>
    <definedName name="abcxyz_2_1_1_1" hidden="1">{#N/A,#N/A,FALSE,"mgtsum.XLS";#N/A,#N/A,FALSE,"CAPONE";#N/A,#N/A,FALSE,"CAPTWO";#N/A,#N/A,FALSE,"CAPTHREE"}</definedName>
    <definedName name="abcxyz_2_1_1_2" hidden="1">{#N/A,#N/A,FALSE,"mgtsum.XLS";#N/A,#N/A,FALSE,"CAPONE";#N/A,#N/A,FALSE,"CAPTWO";#N/A,#N/A,FALSE,"CAPTHREE"}</definedName>
    <definedName name="abcxyz_2_1_1_3" hidden="1">{#N/A,#N/A,FALSE,"mgtsum.XLS";#N/A,#N/A,FALSE,"CAPONE";#N/A,#N/A,FALSE,"CAPTWO";#N/A,#N/A,FALSE,"CAPTHREE"}</definedName>
    <definedName name="abcxyz_2_1_1_4" hidden="1">{#N/A,#N/A,FALSE,"mgtsum.XLS";#N/A,#N/A,FALSE,"CAPONE";#N/A,#N/A,FALSE,"CAPTWO";#N/A,#N/A,FALSE,"CAPTHREE"}</definedName>
    <definedName name="abcxyz_2_1_1_5" hidden="1">{#N/A,#N/A,FALSE,"mgtsum.XLS";#N/A,#N/A,FALSE,"CAPONE";#N/A,#N/A,FALSE,"CAPTWO";#N/A,#N/A,FALSE,"CAPTHREE"}</definedName>
    <definedName name="abcxyz_2_1_2" hidden="1">{#N/A,#N/A,FALSE,"mgtsum.XLS";#N/A,#N/A,FALSE,"CAPONE";#N/A,#N/A,FALSE,"CAPTWO";#N/A,#N/A,FALSE,"CAPTHREE"}</definedName>
    <definedName name="abcxyz_2_1_2_1" hidden="1">{#N/A,#N/A,FALSE,"mgtsum.XLS";#N/A,#N/A,FALSE,"CAPONE";#N/A,#N/A,FALSE,"CAPTWO";#N/A,#N/A,FALSE,"CAPTHREE"}</definedName>
    <definedName name="abcxyz_2_1_2_2" hidden="1">{#N/A,#N/A,FALSE,"mgtsum.XLS";#N/A,#N/A,FALSE,"CAPONE";#N/A,#N/A,FALSE,"CAPTWO";#N/A,#N/A,FALSE,"CAPTHREE"}</definedName>
    <definedName name="abcxyz_2_1_2_3" hidden="1">{#N/A,#N/A,FALSE,"mgtsum.XLS";#N/A,#N/A,FALSE,"CAPONE";#N/A,#N/A,FALSE,"CAPTWO";#N/A,#N/A,FALSE,"CAPTHREE"}</definedName>
    <definedName name="abcxyz_2_1_2_4" hidden="1">{#N/A,#N/A,FALSE,"mgtsum.XLS";#N/A,#N/A,FALSE,"CAPONE";#N/A,#N/A,FALSE,"CAPTWO";#N/A,#N/A,FALSE,"CAPTHREE"}</definedName>
    <definedName name="abcxyz_2_1_2_5" hidden="1">{#N/A,#N/A,FALSE,"mgtsum.XLS";#N/A,#N/A,FALSE,"CAPONE";#N/A,#N/A,FALSE,"CAPTWO";#N/A,#N/A,FALSE,"CAPTHREE"}</definedName>
    <definedName name="abcxyz_2_1_3" hidden="1">{#N/A,#N/A,FALSE,"mgtsum.XLS";#N/A,#N/A,FALSE,"CAPONE";#N/A,#N/A,FALSE,"CAPTWO";#N/A,#N/A,FALSE,"CAPTHREE"}</definedName>
    <definedName name="abcxyz_2_1_3_1" hidden="1">{#N/A,#N/A,FALSE,"mgtsum.XLS";#N/A,#N/A,FALSE,"CAPONE";#N/A,#N/A,FALSE,"CAPTWO";#N/A,#N/A,FALSE,"CAPTHREE"}</definedName>
    <definedName name="abcxyz_2_1_3_2" hidden="1">{#N/A,#N/A,FALSE,"mgtsum.XLS";#N/A,#N/A,FALSE,"CAPONE";#N/A,#N/A,FALSE,"CAPTWO";#N/A,#N/A,FALSE,"CAPTHREE"}</definedName>
    <definedName name="abcxyz_2_1_3_3" hidden="1">{#N/A,#N/A,FALSE,"mgtsum.XLS";#N/A,#N/A,FALSE,"CAPONE";#N/A,#N/A,FALSE,"CAPTWO";#N/A,#N/A,FALSE,"CAPTHREE"}</definedName>
    <definedName name="abcxyz_2_1_3_4" hidden="1">{#N/A,#N/A,FALSE,"mgtsum.XLS";#N/A,#N/A,FALSE,"CAPONE";#N/A,#N/A,FALSE,"CAPTWO";#N/A,#N/A,FALSE,"CAPTHREE"}</definedName>
    <definedName name="abcxyz_2_1_3_5" hidden="1">{#N/A,#N/A,FALSE,"mgtsum.XLS";#N/A,#N/A,FALSE,"CAPONE";#N/A,#N/A,FALSE,"CAPTWO";#N/A,#N/A,FALSE,"CAPTHREE"}</definedName>
    <definedName name="abcxyz_2_1_4" hidden="1">{#N/A,#N/A,FALSE,"mgtsum.XLS";#N/A,#N/A,FALSE,"CAPONE";#N/A,#N/A,FALSE,"CAPTWO";#N/A,#N/A,FALSE,"CAPTHREE"}</definedName>
    <definedName name="abcxyz_2_1_5" hidden="1">{#N/A,#N/A,FALSE,"mgtsum.XLS";#N/A,#N/A,FALSE,"CAPONE";#N/A,#N/A,FALSE,"CAPTWO";#N/A,#N/A,FALSE,"CAPTHREE"}</definedName>
    <definedName name="abcxyz_2_2" hidden="1">{#N/A,#N/A,FALSE,"mgtsum.XLS";#N/A,#N/A,FALSE,"CAPONE";#N/A,#N/A,FALSE,"CAPTWO";#N/A,#N/A,FALSE,"CAPTHREE"}</definedName>
    <definedName name="abcxyz_2_2_1" hidden="1">{#N/A,#N/A,FALSE,"mgtsum.XLS";#N/A,#N/A,FALSE,"CAPONE";#N/A,#N/A,FALSE,"CAPTWO";#N/A,#N/A,FALSE,"CAPTHREE"}</definedName>
    <definedName name="abcxyz_2_2_1_1" hidden="1">{#N/A,#N/A,FALSE,"mgtsum.XLS";#N/A,#N/A,FALSE,"CAPONE";#N/A,#N/A,FALSE,"CAPTWO";#N/A,#N/A,FALSE,"CAPTHREE"}</definedName>
    <definedName name="abcxyz_2_2_1_2" hidden="1">{#N/A,#N/A,FALSE,"mgtsum.XLS";#N/A,#N/A,FALSE,"CAPONE";#N/A,#N/A,FALSE,"CAPTWO";#N/A,#N/A,FALSE,"CAPTHREE"}</definedName>
    <definedName name="abcxyz_2_2_1_3" hidden="1">{#N/A,#N/A,FALSE,"mgtsum.XLS";#N/A,#N/A,FALSE,"CAPONE";#N/A,#N/A,FALSE,"CAPTWO";#N/A,#N/A,FALSE,"CAPTHREE"}</definedName>
    <definedName name="abcxyz_2_2_1_4" hidden="1">{#N/A,#N/A,FALSE,"mgtsum.XLS";#N/A,#N/A,FALSE,"CAPONE";#N/A,#N/A,FALSE,"CAPTWO";#N/A,#N/A,FALSE,"CAPTHREE"}</definedName>
    <definedName name="abcxyz_2_2_1_5" hidden="1">{#N/A,#N/A,FALSE,"mgtsum.XLS";#N/A,#N/A,FALSE,"CAPONE";#N/A,#N/A,FALSE,"CAPTWO";#N/A,#N/A,FALSE,"CAPTHREE"}</definedName>
    <definedName name="abcxyz_2_2_2" hidden="1">{#N/A,#N/A,FALSE,"mgtsum.XLS";#N/A,#N/A,FALSE,"CAPONE";#N/A,#N/A,FALSE,"CAPTWO";#N/A,#N/A,FALSE,"CAPTHREE"}</definedName>
    <definedName name="abcxyz_2_2_2_1" hidden="1">{#N/A,#N/A,FALSE,"mgtsum.XLS";#N/A,#N/A,FALSE,"CAPONE";#N/A,#N/A,FALSE,"CAPTWO";#N/A,#N/A,FALSE,"CAPTHREE"}</definedName>
    <definedName name="abcxyz_2_2_2_2" hidden="1">{#N/A,#N/A,FALSE,"mgtsum.XLS";#N/A,#N/A,FALSE,"CAPONE";#N/A,#N/A,FALSE,"CAPTWO";#N/A,#N/A,FALSE,"CAPTHREE"}</definedName>
    <definedName name="abcxyz_2_2_2_3" hidden="1">{#N/A,#N/A,FALSE,"mgtsum.XLS";#N/A,#N/A,FALSE,"CAPONE";#N/A,#N/A,FALSE,"CAPTWO";#N/A,#N/A,FALSE,"CAPTHREE"}</definedName>
    <definedName name="abcxyz_2_2_2_4" hidden="1">{#N/A,#N/A,FALSE,"mgtsum.XLS";#N/A,#N/A,FALSE,"CAPONE";#N/A,#N/A,FALSE,"CAPTWO";#N/A,#N/A,FALSE,"CAPTHREE"}</definedName>
    <definedName name="abcxyz_2_2_2_5" hidden="1">{#N/A,#N/A,FALSE,"mgtsum.XLS";#N/A,#N/A,FALSE,"CAPONE";#N/A,#N/A,FALSE,"CAPTWO";#N/A,#N/A,FALSE,"CAPTHREE"}</definedName>
    <definedName name="abcxyz_2_2_3" hidden="1">{#N/A,#N/A,FALSE,"mgtsum.XLS";#N/A,#N/A,FALSE,"CAPONE";#N/A,#N/A,FALSE,"CAPTWO";#N/A,#N/A,FALSE,"CAPTHREE"}</definedName>
    <definedName name="abcxyz_2_2_4" hidden="1">{#N/A,#N/A,FALSE,"mgtsum.XLS";#N/A,#N/A,FALSE,"CAPONE";#N/A,#N/A,FALSE,"CAPTWO";#N/A,#N/A,FALSE,"CAPTHREE"}</definedName>
    <definedName name="abcxyz_2_2_5" hidden="1">{#N/A,#N/A,FALSE,"mgtsum.XLS";#N/A,#N/A,FALSE,"CAPONE";#N/A,#N/A,FALSE,"CAPTWO";#N/A,#N/A,FALSE,"CAPTHREE"}</definedName>
    <definedName name="abcxyz_2_3" hidden="1">{#N/A,#N/A,FALSE,"mgtsum.XLS";#N/A,#N/A,FALSE,"CAPONE";#N/A,#N/A,FALSE,"CAPTWO";#N/A,#N/A,FALSE,"CAPTHREE"}</definedName>
    <definedName name="abcxyz_2_3_1" hidden="1">{#N/A,#N/A,FALSE,"mgtsum.XLS";#N/A,#N/A,FALSE,"CAPONE";#N/A,#N/A,FALSE,"CAPTWO";#N/A,#N/A,FALSE,"CAPTHREE"}</definedName>
    <definedName name="abcxyz_2_3_1_1" hidden="1">{#N/A,#N/A,FALSE,"mgtsum.XLS";#N/A,#N/A,FALSE,"CAPONE";#N/A,#N/A,FALSE,"CAPTWO";#N/A,#N/A,FALSE,"CAPTHREE"}</definedName>
    <definedName name="abcxyz_2_3_1_2" hidden="1">{#N/A,#N/A,FALSE,"mgtsum.XLS";#N/A,#N/A,FALSE,"CAPONE";#N/A,#N/A,FALSE,"CAPTWO";#N/A,#N/A,FALSE,"CAPTHREE"}</definedName>
    <definedName name="abcxyz_2_3_1_3" hidden="1">{#N/A,#N/A,FALSE,"mgtsum.XLS";#N/A,#N/A,FALSE,"CAPONE";#N/A,#N/A,FALSE,"CAPTWO";#N/A,#N/A,FALSE,"CAPTHREE"}</definedName>
    <definedName name="abcxyz_2_3_1_4" hidden="1">{#N/A,#N/A,FALSE,"mgtsum.XLS";#N/A,#N/A,FALSE,"CAPONE";#N/A,#N/A,FALSE,"CAPTWO";#N/A,#N/A,FALSE,"CAPTHREE"}</definedName>
    <definedName name="abcxyz_2_3_1_5" hidden="1">{#N/A,#N/A,FALSE,"mgtsum.XLS";#N/A,#N/A,FALSE,"CAPONE";#N/A,#N/A,FALSE,"CAPTWO";#N/A,#N/A,FALSE,"CAPTHREE"}</definedName>
    <definedName name="abcxyz_2_3_2" hidden="1">{#N/A,#N/A,FALSE,"mgtsum.XLS";#N/A,#N/A,FALSE,"CAPONE";#N/A,#N/A,FALSE,"CAPTWO";#N/A,#N/A,FALSE,"CAPTHREE"}</definedName>
    <definedName name="abcxyz_2_3_2_1" hidden="1">{#N/A,#N/A,FALSE,"mgtsum.XLS";#N/A,#N/A,FALSE,"CAPONE";#N/A,#N/A,FALSE,"CAPTWO";#N/A,#N/A,FALSE,"CAPTHREE"}</definedName>
    <definedName name="abcxyz_2_3_2_2" hidden="1">{#N/A,#N/A,FALSE,"mgtsum.XLS";#N/A,#N/A,FALSE,"CAPONE";#N/A,#N/A,FALSE,"CAPTWO";#N/A,#N/A,FALSE,"CAPTHREE"}</definedName>
    <definedName name="abcxyz_2_3_2_3" hidden="1">{#N/A,#N/A,FALSE,"mgtsum.XLS";#N/A,#N/A,FALSE,"CAPONE";#N/A,#N/A,FALSE,"CAPTWO";#N/A,#N/A,FALSE,"CAPTHREE"}</definedName>
    <definedName name="abcxyz_2_3_2_4" hidden="1">{#N/A,#N/A,FALSE,"mgtsum.XLS";#N/A,#N/A,FALSE,"CAPONE";#N/A,#N/A,FALSE,"CAPTWO";#N/A,#N/A,FALSE,"CAPTHREE"}</definedName>
    <definedName name="abcxyz_2_3_2_5" hidden="1">{#N/A,#N/A,FALSE,"mgtsum.XLS";#N/A,#N/A,FALSE,"CAPONE";#N/A,#N/A,FALSE,"CAPTWO";#N/A,#N/A,FALSE,"CAPTHREE"}</definedName>
    <definedName name="abcxyz_2_3_3" hidden="1">{#N/A,#N/A,FALSE,"mgtsum.XLS";#N/A,#N/A,FALSE,"CAPONE";#N/A,#N/A,FALSE,"CAPTWO";#N/A,#N/A,FALSE,"CAPTHREE"}</definedName>
    <definedName name="abcxyz_2_3_4" hidden="1">{#N/A,#N/A,FALSE,"mgtsum.XLS";#N/A,#N/A,FALSE,"CAPONE";#N/A,#N/A,FALSE,"CAPTWO";#N/A,#N/A,FALSE,"CAPTHREE"}</definedName>
    <definedName name="abcxyz_2_3_5" hidden="1">{#N/A,#N/A,FALSE,"mgtsum.XLS";#N/A,#N/A,FALSE,"CAPONE";#N/A,#N/A,FALSE,"CAPTWO";#N/A,#N/A,FALSE,"CAPTHREE"}</definedName>
    <definedName name="abcxyz_2_4" hidden="1">{#N/A,#N/A,FALSE,"mgtsum.XLS";#N/A,#N/A,FALSE,"CAPONE";#N/A,#N/A,FALSE,"CAPTWO";#N/A,#N/A,FALSE,"CAPTHREE"}</definedName>
    <definedName name="abcxyz_2_4_1" hidden="1">{#N/A,#N/A,FALSE,"mgtsum.XLS";#N/A,#N/A,FALSE,"CAPONE";#N/A,#N/A,FALSE,"CAPTWO";#N/A,#N/A,FALSE,"CAPTHREE"}</definedName>
    <definedName name="abcxyz_2_4_1_1" hidden="1">{#N/A,#N/A,FALSE,"mgtsum.XLS";#N/A,#N/A,FALSE,"CAPONE";#N/A,#N/A,FALSE,"CAPTWO";#N/A,#N/A,FALSE,"CAPTHREE"}</definedName>
    <definedName name="abcxyz_2_4_1_2" hidden="1">{#N/A,#N/A,FALSE,"mgtsum.XLS";#N/A,#N/A,FALSE,"CAPONE";#N/A,#N/A,FALSE,"CAPTWO";#N/A,#N/A,FALSE,"CAPTHREE"}</definedName>
    <definedName name="abcxyz_2_4_1_3" hidden="1">{#N/A,#N/A,FALSE,"mgtsum.XLS";#N/A,#N/A,FALSE,"CAPONE";#N/A,#N/A,FALSE,"CAPTWO";#N/A,#N/A,FALSE,"CAPTHREE"}</definedName>
    <definedName name="abcxyz_2_4_1_4" hidden="1">{#N/A,#N/A,FALSE,"mgtsum.XLS";#N/A,#N/A,FALSE,"CAPONE";#N/A,#N/A,FALSE,"CAPTWO";#N/A,#N/A,FALSE,"CAPTHREE"}</definedName>
    <definedName name="abcxyz_2_4_1_5" hidden="1">{#N/A,#N/A,FALSE,"mgtsum.XLS";#N/A,#N/A,FALSE,"CAPONE";#N/A,#N/A,FALSE,"CAPTWO";#N/A,#N/A,FALSE,"CAPTHREE"}</definedName>
    <definedName name="abcxyz_2_4_2" hidden="1">{#N/A,#N/A,FALSE,"mgtsum.XLS";#N/A,#N/A,FALSE,"CAPONE";#N/A,#N/A,FALSE,"CAPTWO";#N/A,#N/A,FALSE,"CAPTHREE"}</definedName>
    <definedName name="abcxyz_2_4_2_1" hidden="1">{#N/A,#N/A,FALSE,"mgtsum.XLS";#N/A,#N/A,FALSE,"CAPONE";#N/A,#N/A,FALSE,"CAPTWO";#N/A,#N/A,FALSE,"CAPTHREE"}</definedName>
    <definedName name="abcxyz_2_4_2_2" hidden="1">{#N/A,#N/A,FALSE,"mgtsum.XLS";#N/A,#N/A,FALSE,"CAPONE";#N/A,#N/A,FALSE,"CAPTWO";#N/A,#N/A,FALSE,"CAPTHREE"}</definedName>
    <definedName name="abcxyz_2_4_2_3" hidden="1">{#N/A,#N/A,FALSE,"mgtsum.XLS";#N/A,#N/A,FALSE,"CAPONE";#N/A,#N/A,FALSE,"CAPTWO";#N/A,#N/A,FALSE,"CAPTHREE"}</definedName>
    <definedName name="abcxyz_2_4_2_4" hidden="1">{#N/A,#N/A,FALSE,"mgtsum.XLS";#N/A,#N/A,FALSE,"CAPONE";#N/A,#N/A,FALSE,"CAPTWO";#N/A,#N/A,FALSE,"CAPTHREE"}</definedName>
    <definedName name="abcxyz_2_4_2_5" hidden="1">{#N/A,#N/A,FALSE,"mgtsum.XLS";#N/A,#N/A,FALSE,"CAPONE";#N/A,#N/A,FALSE,"CAPTWO";#N/A,#N/A,FALSE,"CAPTHREE"}</definedName>
    <definedName name="abcxyz_2_4_3" hidden="1">{#N/A,#N/A,FALSE,"mgtsum.XLS";#N/A,#N/A,FALSE,"CAPONE";#N/A,#N/A,FALSE,"CAPTWO";#N/A,#N/A,FALSE,"CAPTHREE"}</definedName>
    <definedName name="abcxyz_2_4_4" hidden="1">{#N/A,#N/A,FALSE,"mgtsum.XLS";#N/A,#N/A,FALSE,"CAPONE";#N/A,#N/A,FALSE,"CAPTWO";#N/A,#N/A,FALSE,"CAPTHREE"}</definedName>
    <definedName name="abcxyz_2_4_5" hidden="1">{#N/A,#N/A,FALSE,"mgtsum.XLS";#N/A,#N/A,FALSE,"CAPONE";#N/A,#N/A,FALSE,"CAPTWO";#N/A,#N/A,FALSE,"CAPTHREE"}</definedName>
    <definedName name="abcxyz_2_5" hidden="1">{#N/A,#N/A,FALSE,"mgtsum.XLS";#N/A,#N/A,FALSE,"CAPONE";#N/A,#N/A,FALSE,"CAPTWO";#N/A,#N/A,FALSE,"CAPTHREE"}</definedName>
    <definedName name="abcxyz_2_5_1" hidden="1">{#N/A,#N/A,FALSE,"mgtsum.XLS";#N/A,#N/A,FALSE,"CAPONE";#N/A,#N/A,FALSE,"CAPTWO";#N/A,#N/A,FALSE,"CAPTHREE"}</definedName>
    <definedName name="abcxyz_2_5_2" hidden="1">{#N/A,#N/A,FALSE,"mgtsum.XLS";#N/A,#N/A,FALSE,"CAPONE";#N/A,#N/A,FALSE,"CAPTWO";#N/A,#N/A,FALSE,"CAPTHREE"}</definedName>
    <definedName name="abcxyz_2_5_3" hidden="1">{#N/A,#N/A,FALSE,"mgtsum.XLS";#N/A,#N/A,FALSE,"CAPONE";#N/A,#N/A,FALSE,"CAPTWO";#N/A,#N/A,FALSE,"CAPTHREE"}</definedName>
    <definedName name="abcxyz_2_5_4" hidden="1">{#N/A,#N/A,FALSE,"mgtsum.XLS";#N/A,#N/A,FALSE,"CAPONE";#N/A,#N/A,FALSE,"CAPTWO";#N/A,#N/A,FALSE,"CAPTHREE"}</definedName>
    <definedName name="abcxyz_2_5_5" hidden="1">{#N/A,#N/A,FALSE,"mgtsum.XLS";#N/A,#N/A,FALSE,"CAPONE";#N/A,#N/A,FALSE,"CAPTWO";#N/A,#N/A,FALSE,"CAPTHREE"}</definedName>
    <definedName name="abcxyz_3" hidden="1">{#N/A,#N/A,FALSE,"mgtsum.XLS";#N/A,#N/A,FALSE,"CAPONE";#N/A,#N/A,FALSE,"CAPTWO";#N/A,#N/A,FALSE,"CAPTHREE"}</definedName>
    <definedName name="abcxyz_3_1" hidden="1">{#N/A,#N/A,FALSE,"mgtsum.XLS";#N/A,#N/A,FALSE,"CAPONE";#N/A,#N/A,FALSE,"CAPTWO";#N/A,#N/A,FALSE,"CAPTHREE"}</definedName>
    <definedName name="abcxyz_3_1_1" hidden="1">{#N/A,#N/A,FALSE,"mgtsum.XLS";#N/A,#N/A,FALSE,"CAPONE";#N/A,#N/A,FALSE,"CAPTWO";#N/A,#N/A,FALSE,"CAPTHREE"}</definedName>
    <definedName name="abcxyz_3_1_1_1" hidden="1">{#N/A,#N/A,FALSE,"mgtsum.XLS";#N/A,#N/A,FALSE,"CAPONE";#N/A,#N/A,FALSE,"CAPTWO";#N/A,#N/A,FALSE,"CAPTHREE"}</definedName>
    <definedName name="abcxyz_3_1_1_2" hidden="1">{#N/A,#N/A,FALSE,"mgtsum.XLS";#N/A,#N/A,FALSE,"CAPONE";#N/A,#N/A,FALSE,"CAPTWO";#N/A,#N/A,FALSE,"CAPTHREE"}</definedName>
    <definedName name="abcxyz_3_1_1_3" hidden="1">{#N/A,#N/A,FALSE,"mgtsum.XLS";#N/A,#N/A,FALSE,"CAPONE";#N/A,#N/A,FALSE,"CAPTWO";#N/A,#N/A,FALSE,"CAPTHREE"}</definedName>
    <definedName name="abcxyz_3_1_1_4" hidden="1">{#N/A,#N/A,FALSE,"mgtsum.XLS";#N/A,#N/A,FALSE,"CAPONE";#N/A,#N/A,FALSE,"CAPTWO";#N/A,#N/A,FALSE,"CAPTHREE"}</definedName>
    <definedName name="abcxyz_3_1_1_5" hidden="1">{#N/A,#N/A,FALSE,"mgtsum.XLS";#N/A,#N/A,FALSE,"CAPONE";#N/A,#N/A,FALSE,"CAPTWO";#N/A,#N/A,FALSE,"CAPTHREE"}</definedName>
    <definedName name="abcxyz_3_1_2" hidden="1">{#N/A,#N/A,FALSE,"mgtsum.XLS";#N/A,#N/A,FALSE,"CAPONE";#N/A,#N/A,FALSE,"CAPTWO";#N/A,#N/A,FALSE,"CAPTHREE"}</definedName>
    <definedName name="abcxyz_3_1_2_1" hidden="1">{#N/A,#N/A,FALSE,"mgtsum.XLS";#N/A,#N/A,FALSE,"CAPONE";#N/A,#N/A,FALSE,"CAPTWO";#N/A,#N/A,FALSE,"CAPTHREE"}</definedName>
    <definedName name="abcxyz_3_1_2_2" hidden="1">{#N/A,#N/A,FALSE,"mgtsum.XLS";#N/A,#N/A,FALSE,"CAPONE";#N/A,#N/A,FALSE,"CAPTWO";#N/A,#N/A,FALSE,"CAPTHREE"}</definedName>
    <definedName name="abcxyz_3_1_2_3" hidden="1">{#N/A,#N/A,FALSE,"mgtsum.XLS";#N/A,#N/A,FALSE,"CAPONE";#N/A,#N/A,FALSE,"CAPTWO";#N/A,#N/A,FALSE,"CAPTHREE"}</definedName>
    <definedName name="abcxyz_3_1_2_4" hidden="1">{#N/A,#N/A,FALSE,"mgtsum.XLS";#N/A,#N/A,FALSE,"CAPONE";#N/A,#N/A,FALSE,"CAPTWO";#N/A,#N/A,FALSE,"CAPTHREE"}</definedName>
    <definedName name="abcxyz_3_1_2_5" hidden="1">{#N/A,#N/A,FALSE,"mgtsum.XLS";#N/A,#N/A,FALSE,"CAPONE";#N/A,#N/A,FALSE,"CAPTWO";#N/A,#N/A,FALSE,"CAPTHREE"}</definedName>
    <definedName name="abcxyz_3_1_3" hidden="1">{#N/A,#N/A,FALSE,"mgtsum.XLS";#N/A,#N/A,FALSE,"CAPONE";#N/A,#N/A,FALSE,"CAPTWO";#N/A,#N/A,FALSE,"CAPTHREE"}</definedName>
    <definedName name="abcxyz_3_1_3_1" hidden="1">{#N/A,#N/A,FALSE,"mgtsum.XLS";#N/A,#N/A,FALSE,"CAPONE";#N/A,#N/A,FALSE,"CAPTWO";#N/A,#N/A,FALSE,"CAPTHREE"}</definedName>
    <definedName name="abcxyz_3_1_3_2" hidden="1">{#N/A,#N/A,FALSE,"mgtsum.XLS";#N/A,#N/A,FALSE,"CAPONE";#N/A,#N/A,FALSE,"CAPTWO";#N/A,#N/A,FALSE,"CAPTHREE"}</definedName>
    <definedName name="abcxyz_3_1_3_3" hidden="1">{#N/A,#N/A,FALSE,"mgtsum.XLS";#N/A,#N/A,FALSE,"CAPONE";#N/A,#N/A,FALSE,"CAPTWO";#N/A,#N/A,FALSE,"CAPTHREE"}</definedName>
    <definedName name="abcxyz_3_1_3_4" hidden="1">{#N/A,#N/A,FALSE,"mgtsum.XLS";#N/A,#N/A,FALSE,"CAPONE";#N/A,#N/A,FALSE,"CAPTWO";#N/A,#N/A,FALSE,"CAPTHREE"}</definedName>
    <definedName name="abcxyz_3_1_3_5" hidden="1">{#N/A,#N/A,FALSE,"mgtsum.XLS";#N/A,#N/A,FALSE,"CAPONE";#N/A,#N/A,FALSE,"CAPTWO";#N/A,#N/A,FALSE,"CAPTHREE"}</definedName>
    <definedName name="abcxyz_3_1_4" hidden="1">{#N/A,#N/A,FALSE,"mgtsum.XLS";#N/A,#N/A,FALSE,"CAPONE";#N/A,#N/A,FALSE,"CAPTWO";#N/A,#N/A,FALSE,"CAPTHREE"}</definedName>
    <definedName name="abcxyz_3_1_5" hidden="1">{#N/A,#N/A,FALSE,"mgtsum.XLS";#N/A,#N/A,FALSE,"CAPONE";#N/A,#N/A,FALSE,"CAPTWO";#N/A,#N/A,FALSE,"CAPTHREE"}</definedName>
    <definedName name="abcxyz_3_2" hidden="1">{#N/A,#N/A,FALSE,"mgtsum.XLS";#N/A,#N/A,FALSE,"CAPONE";#N/A,#N/A,FALSE,"CAPTWO";#N/A,#N/A,FALSE,"CAPTHREE"}</definedName>
    <definedName name="abcxyz_3_2_1" hidden="1">{#N/A,#N/A,FALSE,"mgtsum.XLS";#N/A,#N/A,FALSE,"CAPONE";#N/A,#N/A,FALSE,"CAPTWO";#N/A,#N/A,FALSE,"CAPTHREE"}</definedName>
    <definedName name="abcxyz_3_2_1_1" hidden="1">{#N/A,#N/A,FALSE,"mgtsum.XLS";#N/A,#N/A,FALSE,"CAPONE";#N/A,#N/A,FALSE,"CAPTWO";#N/A,#N/A,FALSE,"CAPTHREE"}</definedName>
    <definedName name="abcxyz_3_2_1_2" hidden="1">{#N/A,#N/A,FALSE,"mgtsum.XLS";#N/A,#N/A,FALSE,"CAPONE";#N/A,#N/A,FALSE,"CAPTWO";#N/A,#N/A,FALSE,"CAPTHREE"}</definedName>
    <definedName name="abcxyz_3_2_1_3" hidden="1">{#N/A,#N/A,FALSE,"mgtsum.XLS";#N/A,#N/A,FALSE,"CAPONE";#N/A,#N/A,FALSE,"CAPTWO";#N/A,#N/A,FALSE,"CAPTHREE"}</definedName>
    <definedName name="abcxyz_3_2_1_4" hidden="1">{#N/A,#N/A,FALSE,"mgtsum.XLS";#N/A,#N/A,FALSE,"CAPONE";#N/A,#N/A,FALSE,"CAPTWO";#N/A,#N/A,FALSE,"CAPTHREE"}</definedName>
    <definedName name="abcxyz_3_2_1_5" hidden="1">{#N/A,#N/A,FALSE,"mgtsum.XLS";#N/A,#N/A,FALSE,"CAPONE";#N/A,#N/A,FALSE,"CAPTWO";#N/A,#N/A,FALSE,"CAPTHREE"}</definedName>
    <definedName name="abcxyz_3_2_2" hidden="1">{#N/A,#N/A,FALSE,"mgtsum.XLS";#N/A,#N/A,FALSE,"CAPONE";#N/A,#N/A,FALSE,"CAPTWO";#N/A,#N/A,FALSE,"CAPTHREE"}</definedName>
    <definedName name="abcxyz_3_2_2_1" hidden="1">{#N/A,#N/A,FALSE,"mgtsum.XLS";#N/A,#N/A,FALSE,"CAPONE";#N/A,#N/A,FALSE,"CAPTWO";#N/A,#N/A,FALSE,"CAPTHREE"}</definedName>
    <definedName name="abcxyz_3_2_2_2" hidden="1">{#N/A,#N/A,FALSE,"mgtsum.XLS";#N/A,#N/A,FALSE,"CAPONE";#N/A,#N/A,FALSE,"CAPTWO";#N/A,#N/A,FALSE,"CAPTHREE"}</definedName>
    <definedName name="abcxyz_3_2_2_3" hidden="1">{#N/A,#N/A,FALSE,"mgtsum.XLS";#N/A,#N/A,FALSE,"CAPONE";#N/A,#N/A,FALSE,"CAPTWO";#N/A,#N/A,FALSE,"CAPTHREE"}</definedName>
    <definedName name="abcxyz_3_2_2_4" hidden="1">{#N/A,#N/A,FALSE,"mgtsum.XLS";#N/A,#N/A,FALSE,"CAPONE";#N/A,#N/A,FALSE,"CAPTWO";#N/A,#N/A,FALSE,"CAPTHREE"}</definedName>
    <definedName name="abcxyz_3_2_2_5" hidden="1">{#N/A,#N/A,FALSE,"mgtsum.XLS";#N/A,#N/A,FALSE,"CAPONE";#N/A,#N/A,FALSE,"CAPTWO";#N/A,#N/A,FALSE,"CAPTHREE"}</definedName>
    <definedName name="abcxyz_3_2_3" hidden="1">{#N/A,#N/A,FALSE,"mgtsum.XLS";#N/A,#N/A,FALSE,"CAPONE";#N/A,#N/A,FALSE,"CAPTWO";#N/A,#N/A,FALSE,"CAPTHREE"}</definedName>
    <definedName name="abcxyz_3_2_4" hidden="1">{#N/A,#N/A,FALSE,"mgtsum.XLS";#N/A,#N/A,FALSE,"CAPONE";#N/A,#N/A,FALSE,"CAPTWO";#N/A,#N/A,FALSE,"CAPTHREE"}</definedName>
    <definedName name="abcxyz_3_2_5" hidden="1">{#N/A,#N/A,FALSE,"mgtsum.XLS";#N/A,#N/A,FALSE,"CAPONE";#N/A,#N/A,FALSE,"CAPTWO";#N/A,#N/A,FALSE,"CAPTHREE"}</definedName>
    <definedName name="abcxyz_3_3" hidden="1">{#N/A,#N/A,FALSE,"mgtsum.XLS";#N/A,#N/A,FALSE,"CAPONE";#N/A,#N/A,FALSE,"CAPTWO";#N/A,#N/A,FALSE,"CAPTHREE"}</definedName>
    <definedName name="abcxyz_3_3_1" hidden="1">{#N/A,#N/A,FALSE,"mgtsum.XLS";#N/A,#N/A,FALSE,"CAPONE";#N/A,#N/A,FALSE,"CAPTWO";#N/A,#N/A,FALSE,"CAPTHREE"}</definedName>
    <definedName name="abcxyz_3_3_1_1" hidden="1">{#N/A,#N/A,FALSE,"mgtsum.XLS";#N/A,#N/A,FALSE,"CAPONE";#N/A,#N/A,FALSE,"CAPTWO";#N/A,#N/A,FALSE,"CAPTHREE"}</definedName>
    <definedName name="abcxyz_3_3_1_2" hidden="1">{#N/A,#N/A,FALSE,"mgtsum.XLS";#N/A,#N/A,FALSE,"CAPONE";#N/A,#N/A,FALSE,"CAPTWO";#N/A,#N/A,FALSE,"CAPTHREE"}</definedName>
    <definedName name="abcxyz_3_3_1_3" hidden="1">{#N/A,#N/A,FALSE,"mgtsum.XLS";#N/A,#N/A,FALSE,"CAPONE";#N/A,#N/A,FALSE,"CAPTWO";#N/A,#N/A,FALSE,"CAPTHREE"}</definedName>
    <definedName name="abcxyz_3_3_1_4" hidden="1">{#N/A,#N/A,FALSE,"mgtsum.XLS";#N/A,#N/A,FALSE,"CAPONE";#N/A,#N/A,FALSE,"CAPTWO";#N/A,#N/A,FALSE,"CAPTHREE"}</definedName>
    <definedName name="abcxyz_3_3_1_5" hidden="1">{#N/A,#N/A,FALSE,"mgtsum.XLS";#N/A,#N/A,FALSE,"CAPONE";#N/A,#N/A,FALSE,"CAPTWO";#N/A,#N/A,FALSE,"CAPTHREE"}</definedName>
    <definedName name="abcxyz_3_3_2" hidden="1">{#N/A,#N/A,FALSE,"mgtsum.XLS";#N/A,#N/A,FALSE,"CAPONE";#N/A,#N/A,FALSE,"CAPTWO";#N/A,#N/A,FALSE,"CAPTHREE"}</definedName>
    <definedName name="abcxyz_3_3_2_1" hidden="1">{#N/A,#N/A,FALSE,"mgtsum.XLS";#N/A,#N/A,FALSE,"CAPONE";#N/A,#N/A,FALSE,"CAPTWO";#N/A,#N/A,FALSE,"CAPTHREE"}</definedName>
    <definedName name="abcxyz_3_3_2_2" hidden="1">{#N/A,#N/A,FALSE,"mgtsum.XLS";#N/A,#N/A,FALSE,"CAPONE";#N/A,#N/A,FALSE,"CAPTWO";#N/A,#N/A,FALSE,"CAPTHREE"}</definedName>
    <definedName name="abcxyz_3_3_2_3" hidden="1">{#N/A,#N/A,FALSE,"mgtsum.XLS";#N/A,#N/A,FALSE,"CAPONE";#N/A,#N/A,FALSE,"CAPTWO";#N/A,#N/A,FALSE,"CAPTHREE"}</definedName>
    <definedName name="abcxyz_3_3_2_4" hidden="1">{#N/A,#N/A,FALSE,"mgtsum.XLS";#N/A,#N/A,FALSE,"CAPONE";#N/A,#N/A,FALSE,"CAPTWO";#N/A,#N/A,FALSE,"CAPTHREE"}</definedName>
    <definedName name="abcxyz_3_3_2_5" hidden="1">{#N/A,#N/A,FALSE,"mgtsum.XLS";#N/A,#N/A,FALSE,"CAPONE";#N/A,#N/A,FALSE,"CAPTWO";#N/A,#N/A,FALSE,"CAPTHREE"}</definedName>
    <definedName name="abcxyz_3_3_3" hidden="1">{#N/A,#N/A,FALSE,"mgtsum.XLS";#N/A,#N/A,FALSE,"CAPONE";#N/A,#N/A,FALSE,"CAPTWO";#N/A,#N/A,FALSE,"CAPTHREE"}</definedName>
    <definedName name="abcxyz_3_3_4" hidden="1">{#N/A,#N/A,FALSE,"mgtsum.XLS";#N/A,#N/A,FALSE,"CAPONE";#N/A,#N/A,FALSE,"CAPTWO";#N/A,#N/A,FALSE,"CAPTHREE"}</definedName>
    <definedName name="abcxyz_3_3_5" hidden="1">{#N/A,#N/A,FALSE,"mgtsum.XLS";#N/A,#N/A,FALSE,"CAPONE";#N/A,#N/A,FALSE,"CAPTWO";#N/A,#N/A,FALSE,"CAPTHREE"}</definedName>
    <definedName name="abcxyz_3_4" hidden="1">{#N/A,#N/A,FALSE,"mgtsum.XLS";#N/A,#N/A,FALSE,"CAPONE";#N/A,#N/A,FALSE,"CAPTWO";#N/A,#N/A,FALSE,"CAPTHREE"}</definedName>
    <definedName name="abcxyz_3_4_1" hidden="1">{#N/A,#N/A,FALSE,"mgtsum.XLS";#N/A,#N/A,FALSE,"CAPONE";#N/A,#N/A,FALSE,"CAPTWO";#N/A,#N/A,FALSE,"CAPTHREE"}</definedName>
    <definedName name="abcxyz_3_4_1_1" hidden="1">{#N/A,#N/A,FALSE,"mgtsum.XLS";#N/A,#N/A,FALSE,"CAPONE";#N/A,#N/A,FALSE,"CAPTWO";#N/A,#N/A,FALSE,"CAPTHREE"}</definedName>
    <definedName name="abcxyz_3_4_1_2" hidden="1">{#N/A,#N/A,FALSE,"mgtsum.XLS";#N/A,#N/A,FALSE,"CAPONE";#N/A,#N/A,FALSE,"CAPTWO";#N/A,#N/A,FALSE,"CAPTHREE"}</definedName>
    <definedName name="abcxyz_3_4_1_3" hidden="1">{#N/A,#N/A,FALSE,"mgtsum.XLS";#N/A,#N/A,FALSE,"CAPONE";#N/A,#N/A,FALSE,"CAPTWO";#N/A,#N/A,FALSE,"CAPTHREE"}</definedName>
    <definedName name="abcxyz_3_4_1_4" hidden="1">{#N/A,#N/A,FALSE,"mgtsum.XLS";#N/A,#N/A,FALSE,"CAPONE";#N/A,#N/A,FALSE,"CAPTWO";#N/A,#N/A,FALSE,"CAPTHREE"}</definedName>
    <definedName name="abcxyz_3_4_1_5" hidden="1">{#N/A,#N/A,FALSE,"mgtsum.XLS";#N/A,#N/A,FALSE,"CAPONE";#N/A,#N/A,FALSE,"CAPTWO";#N/A,#N/A,FALSE,"CAPTHREE"}</definedName>
    <definedName name="abcxyz_3_4_2" hidden="1">{#N/A,#N/A,FALSE,"mgtsum.XLS";#N/A,#N/A,FALSE,"CAPONE";#N/A,#N/A,FALSE,"CAPTWO";#N/A,#N/A,FALSE,"CAPTHREE"}</definedName>
    <definedName name="abcxyz_3_4_2_1" hidden="1">{#N/A,#N/A,FALSE,"mgtsum.XLS";#N/A,#N/A,FALSE,"CAPONE";#N/A,#N/A,FALSE,"CAPTWO";#N/A,#N/A,FALSE,"CAPTHREE"}</definedName>
    <definedName name="abcxyz_3_4_2_2" hidden="1">{#N/A,#N/A,FALSE,"mgtsum.XLS";#N/A,#N/A,FALSE,"CAPONE";#N/A,#N/A,FALSE,"CAPTWO";#N/A,#N/A,FALSE,"CAPTHREE"}</definedName>
    <definedName name="abcxyz_3_4_2_3" hidden="1">{#N/A,#N/A,FALSE,"mgtsum.XLS";#N/A,#N/A,FALSE,"CAPONE";#N/A,#N/A,FALSE,"CAPTWO";#N/A,#N/A,FALSE,"CAPTHREE"}</definedName>
    <definedName name="abcxyz_3_4_2_4" hidden="1">{#N/A,#N/A,FALSE,"mgtsum.XLS";#N/A,#N/A,FALSE,"CAPONE";#N/A,#N/A,FALSE,"CAPTWO";#N/A,#N/A,FALSE,"CAPTHREE"}</definedName>
    <definedName name="abcxyz_3_4_2_5" hidden="1">{#N/A,#N/A,FALSE,"mgtsum.XLS";#N/A,#N/A,FALSE,"CAPONE";#N/A,#N/A,FALSE,"CAPTWO";#N/A,#N/A,FALSE,"CAPTHREE"}</definedName>
    <definedName name="abcxyz_3_4_3" hidden="1">{#N/A,#N/A,FALSE,"mgtsum.XLS";#N/A,#N/A,FALSE,"CAPONE";#N/A,#N/A,FALSE,"CAPTWO";#N/A,#N/A,FALSE,"CAPTHREE"}</definedName>
    <definedName name="abcxyz_3_4_4" hidden="1">{#N/A,#N/A,FALSE,"mgtsum.XLS";#N/A,#N/A,FALSE,"CAPONE";#N/A,#N/A,FALSE,"CAPTWO";#N/A,#N/A,FALSE,"CAPTHREE"}</definedName>
    <definedName name="abcxyz_3_4_5" hidden="1">{#N/A,#N/A,FALSE,"mgtsum.XLS";#N/A,#N/A,FALSE,"CAPONE";#N/A,#N/A,FALSE,"CAPTWO";#N/A,#N/A,FALSE,"CAPTHREE"}</definedName>
    <definedName name="abcxyz_3_5" hidden="1">{#N/A,#N/A,FALSE,"mgtsum.XLS";#N/A,#N/A,FALSE,"CAPONE";#N/A,#N/A,FALSE,"CAPTWO";#N/A,#N/A,FALSE,"CAPTHREE"}</definedName>
    <definedName name="abcxyz_3_5_1" hidden="1">{#N/A,#N/A,FALSE,"mgtsum.XLS";#N/A,#N/A,FALSE,"CAPONE";#N/A,#N/A,FALSE,"CAPTWO";#N/A,#N/A,FALSE,"CAPTHREE"}</definedName>
    <definedName name="abcxyz_3_5_2" hidden="1">{#N/A,#N/A,FALSE,"mgtsum.XLS";#N/A,#N/A,FALSE,"CAPONE";#N/A,#N/A,FALSE,"CAPTWO";#N/A,#N/A,FALSE,"CAPTHREE"}</definedName>
    <definedName name="abcxyz_3_5_3" hidden="1">{#N/A,#N/A,FALSE,"mgtsum.XLS";#N/A,#N/A,FALSE,"CAPONE";#N/A,#N/A,FALSE,"CAPTWO";#N/A,#N/A,FALSE,"CAPTHREE"}</definedName>
    <definedName name="abcxyz_3_5_4" hidden="1">{#N/A,#N/A,FALSE,"mgtsum.XLS";#N/A,#N/A,FALSE,"CAPONE";#N/A,#N/A,FALSE,"CAPTWO";#N/A,#N/A,FALSE,"CAPTHREE"}</definedName>
    <definedName name="abcxyz_3_5_5" hidden="1">{#N/A,#N/A,FALSE,"mgtsum.XLS";#N/A,#N/A,FALSE,"CAPONE";#N/A,#N/A,FALSE,"CAPTWO";#N/A,#N/A,FALSE,"CAPTHREE"}</definedName>
    <definedName name="abcxyz_4" hidden="1">{#N/A,#N/A,FALSE,"mgtsum.XLS";#N/A,#N/A,FALSE,"CAPONE";#N/A,#N/A,FALSE,"CAPTWO";#N/A,#N/A,FALSE,"CAPTHREE"}</definedName>
    <definedName name="abcxyz_4_1" hidden="1">{#N/A,#N/A,FALSE,"mgtsum.XLS";#N/A,#N/A,FALSE,"CAPONE";#N/A,#N/A,FALSE,"CAPTWO";#N/A,#N/A,FALSE,"CAPTHREE"}</definedName>
    <definedName name="abcxyz_4_1_1" hidden="1">{#N/A,#N/A,FALSE,"mgtsum.XLS";#N/A,#N/A,FALSE,"CAPONE";#N/A,#N/A,FALSE,"CAPTWO";#N/A,#N/A,FALSE,"CAPTHREE"}</definedName>
    <definedName name="abcxyz_4_1_1_1" hidden="1">{#N/A,#N/A,FALSE,"mgtsum.XLS";#N/A,#N/A,FALSE,"CAPONE";#N/A,#N/A,FALSE,"CAPTWO";#N/A,#N/A,FALSE,"CAPTHREE"}</definedName>
    <definedName name="abcxyz_4_1_1_2" hidden="1">{#N/A,#N/A,FALSE,"mgtsum.XLS";#N/A,#N/A,FALSE,"CAPONE";#N/A,#N/A,FALSE,"CAPTWO";#N/A,#N/A,FALSE,"CAPTHREE"}</definedName>
    <definedName name="abcxyz_4_1_1_3" hidden="1">{#N/A,#N/A,FALSE,"mgtsum.XLS";#N/A,#N/A,FALSE,"CAPONE";#N/A,#N/A,FALSE,"CAPTWO";#N/A,#N/A,FALSE,"CAPTHREE"}</definedName>
    <definedName name="abcxyz_4_1_1_4" hidden="1">{#N/A,#N/A,FALSE,"mgtsum.XLS";#N/A,#N/A,FALSE,"CAPONE";#N/A,#N/A,FALSE,"CAPTWO";#N/A,#N/A,FALSE,"CAPTHREE"}</definedName>
    <definedName name="abcxyz_4_1_1_5" hidden="1">{#N/A,#N/A,FALSE,"mgtsum.XLS";#N/A,#N/A,FALSE,"CAPONE";#N/A,#N/A,FALSE,"CAPTWO";#N/A,#N/A,FALSE,"CAPTHREE"}</definedName>
    <definedName name="abcxyz_4_1_2" hidden="1">{#N/A,#N/A,FALSE,"mgtsum.XLS";#N/A,#N/A,FALSE,"CAPONE";#N/A,#N/A,FALSE,"CAPTWO";#N/A,#N/A,FALSE,"CAPTHREE"}</definedName>
    <definedName name="abcxyz_4_1_2_1" hidden="1">{#N/A,#N/A,FALSE,"mgtsum.XLS";#N/A,#N/A,FALSE,"CAPONE";#N/A,#N/A,FALSE,"CAPTWO";#N/A,#N/A,FALSE,"CAPTHREE"}</definedName>
    <definedName name="abcxyz_4_1_2_2" hidden="1">{#N/A,#N/A,FALSE,"mgtsum.XLS";#N/A,#N/A,FALSE,"CAPONE";#N/A,#N/A,FALSE,"CAPTWO";#N/A,#N/A,FALSE,"CAPTHREE"}</definedName>
    <definedName name="abcxyz_4_1_2_3" hidden="1">{#N/A,#N/A,FALSE,"mgtsum.XLS";#N/A,#N/A,FALSE,"CAPONE";#N/A,#N/A,FALSE,"CAPTWO";#N/A,#N/A,FALSE,"CAPTHREE"}</definedName>
    <definedName name="abcxyz_4_1_2_4" hidden="1">{#N/A,#N/A,FALSE,"mgtsum.XLS";#N/A,#N/A,FALSE,"CAPONE";#N/A,#N/A,FALSE,"CAPTWO";#N/A,#N/A,FALSE,"CAPTHREE"}</definedName>
    <definedName name="abcxyz_4_1_2_5" hidden="1">{#N/A,#N/A,FALSE,"mgtsum.XLS";#N/A,#N/A,FALSE,"CAPONE";#N/A,#N/A,FALSE,"CAPTWO";#N/A,#N/A,FALSE,"CAPTHREE"}</definedName>
    <definedName name="abcxyz_4_1_3" hidden="1">{#N/A,#N/A,FALSE,"mgtsum.XLS";#N/A,#N/A,FALSE,"CAPONE";#N/A,#N/A,FALSE,"CAPTWO";#N/A,#N/A,FALSE,"CAPTHREE"}</definedName>
    <definedName name="abcxyz_4_1_3_1" hidden="1">{#N/A,#N/A,FALSE,"mgtsum.XLS";#N/A,#N/A,FALSE,"CAPONE";#N/A,#N/A,FALSE,"CAPTWO";#N/A,#N/A,FALSE,"CAPTHREE"}</definedName>
    <definedName name="abcxyz_4_1_3_2" hidden="1">{#N/A,#N/A,FALSE,"mgtsum.XLS";#N/A,#N/A,FALSE,"CAPONE";#N/A,#N/A,FALSE,"CAPTWO";#N/A,#N/A,FALSE,"CAPTHREE"}</definedName>
    <definedName name="abcxyz_4_1_3_3" hidden="1">{#N/A,#N/A,FALSE,"mgtsum.XLS";#N/A,#N/A,FALSE,"CAPONE";#N/A,#N/A,FALSE,"CAPTWO";#N/A,#N/A,FALSE,"CAPTHREE"}</definedName>
    <definedName name="abcxyz_4_1_3_4" hidden="1">{#N/A,#N/A,FALSE,"mgtsum.XLS";#N/A,#N/A,FALSE,"CAPONE";#N/A,#N/A,FALSE,"CAPTWO";#N/A,#N/A,FALSE,"CAPTHREE"}</definedName>
    <definedName name="abcxyz_4_1_3_5" hidden="1">{#N/A,#N/A,FALSE,"mgtsum.XLS";#N/A,#N/A,FALSE,"CAPONE";#N/A,#N/A,FALSE,"CAPTWO";#N/A,#N/A,FALSE,"CAPTHREE"}</definedName>
    <definedName name="abcxyz_4_1_4" hidden="1">{#N/A,#N/A,FALSE,"mgtsum.XLS";#N/A,#N/A,FALSE,"CAPONE";#N/A,#N/A,FALSE,"CAPTWO";#N/A,#N/A,FALSE,"CAPTHREE"}</definedName>
    <definedName name="abcxyz_4_1_5" hidden="1">{#N/A,#N/A,FALSE,"mgtsum.XLS";#N/A,#N/A,FALSE,"CAPONE";#N/A,#N/A,FALSE,"CAPTWO";#N/A,#N/A,FALSE,"CAPTHREE"}</definedName>
    <definedName name="abcxyz_4_2" hidden="1">{#N/A,#N/A,FALSE,"mgtsum.XLS";#N/A,#N/A,FALSE,"CAPONE";#N/A,#N/A,FALSE,"CAPTWO";#N/A,#N/A,FALSE,"CAPTHREE"}</definedName>
    <definedName name="abcxyz_4_2_1" hidden="1">{#N/A,#N/A,FALSE,"mgtsum.XLS";#N/A,#N/A,FALSE,"CAPONE";#N/A,#N/A,FALSE,"CAPTWO";#N/A,#N/A,FALSE,"CAPTHREE"}</definedName>
    <definedName name="abcxyz_4_2_2" hidden="1">{#N/A,#N/A,FALSE,"mgtsum.XLS";#N/A,#N/A,FALSE,"CAPONE";#N/A,#N/A,FALSE,"CAPTWO";#N/A,#N/A,FALSE,"CAPTHREE"}</definedName>
    <definedName name="abcxyz_4_2_3" hidden="1">{#N/A,#N/A,FALSE,"mgtsum.XLS";#N/A,#N/A,FALSE,"CAPONE";#N/A,#N/A,FALSE,"CAPTWO";#N/A,#N/A,FALSE,"CAPTHREE"}</definedName>
    <definedName name="abcxyz_4_2_4" hidden="1">{#N/A,#N/A,FALSE,"mgtsum.XLS";#N/A,#N/A,FALSE,"CAPONE";#N/A,#N/A,FALSE,"CAPTWO";#N/A,#N/A,FALSE,"CAPTHREE"}</definedName>
    <definedName name="abcxyz_4_2_5" hidden="1">{#N/A,#N/A,FALSE,"mgtsum.XLS";#N/A,#N/A,FALSE,"CAPONE";#N/A,#N/A,FALSE,"CAPTWO";#N/A,#N/A,FALSE,"CAPTHREE"}</definedName>
    <definedName name="abcxyz_4_3" hidden="1">{#N/A,#N/A,FALSE,"mgtsum.XLS";#N/A,#N/A,FALSE,"CAPONE";#N/A,#N/A,FALSE,"CAPTWO";#N/A,#N/A,FALSE,"CAPTHREE"}</definedName>
    <definedName name="abcxyz_4_3_1" hidden="1">{#N/A,#N/A,FALSE,"mgtsum.XLS";#N/A,#N/A,FALSE,"CAPONE";#N/A,#N/A,FALSE,"CAPTWO";#N/A,#N/A,FALSE,"CAPTHREE"}</definedName>
    <definedName name="abcxyz_4_3_2" hidden="1">{#N/A,#N/A,FALSE,"mgtsum.XLS";#N/A,#N/A,FALSE,"CAPONE";#N/A,#N/A,FALSE,"CAPTWO";#N/A,#N/A,FALSE,"CAPTHREE"}</definedName>
    <definedName name="abcxyz_4_3_3" hidden="1">{#N/A,#N/A,FALSE,"mgtsum.XLS";#N/A,#N/A,FALSE,"CAPONE";#N/A,#N/A,FALSE,"CAPTWO";#N/A,#N/A,FALSE,"CAPTHREE"}</definedName>
    <definedName name="abcxyz_4_3_4" hidden="1">{#N/A,#N/A,FALSE,"mgtsum.XLS";#N/A,#N/A,FALSE,"CAPONE";#N/A,#N/A,FALSE,"CAPTWO";#N/A,#N/A,FALSE,"CAPTHREE"}</definedName>
    <definedName name="abcxyz_4_3_5" hidden="1">{#N/A,#N/A,FALSE,"mgtsum.XLS";#N/A,#N/A,FALSE,"CAPONE";#N/A,#N/A,FALSE,"CAPTWO";#N/A,#N/A,FALSE,"CAPTHREE"}</definedName>
    <definedName name="abcxyz_4_4" hidden="1">{#N/A,#N/A,FALSE,"mgtsum.XLS";#N/A,#N/A,FALSE,"CAPONE";#N/A,#N/A,FALSE,"CAPTWO";#N/A,#N/A,FALSE,"CAPTHREE"}</definedName>
    <definedName name="abcxyz_4_5" hidden="1">{#N/A,#N/A,FALSE,"mgtsum.XLS";#N/A,#N/A,FALSE,"CAPONE";#N/A,#N/A,FALSE,"CAPTWO";#N/A,#N/A,FALSE,"CAPTHREE"}</definedName>
    <definedName name="abcxyz_5" hidden="1">{#N/A,#N/A,FALSE,"mgtsum.XLS";#N/A,#N/A,FALSE,"CAPONE";#N/A,#N/A,FALSE,"CAPTWO";#N/A,#N/A,FALSE,"CAPTHREE"}</definedName>
    <definedName name="abcxyz_5_1" hidden="1">{#N/A,#N/A,FALSE,"mgtsum.XLS";#N/A,#N/A,FALSE,"CAPONE";#N/A,#N/A,FALSE,"CAPTWO";#N/A,#N/A,FALSE,"CAPTHREE"}</definedName>
    <definedName name="abcxyz_5_1_1" hidden="1">{#N/A,#N/A,FALSE,"mgtsum.XLS";#N/A,#N/A,FALSE,"CAPONE";#N/A,#N/A,FALSE,"CAPTWO";#N/A,#N/A,FALSE,"CAPTHREE"}</definedName>
    <definedName name="abcxyz_5_1_2" hidden="1">{#N/A,#N/A,FALSE,"mgtsum.XLS";#N/A,#N/A,FALSE,"CAPONE";#N/A,#N/A,FALSE,"CAPTWO";#N/A,#N/A,FALSE,"CAPTHREE"}</definedName>
    <definedName name="abcxyz_5_1_3" hidden="1">{#N/A,#N/A,FALSE,"mgtsum.XLS";#N/A,#N/A,FALSE,"CAPONE";#N/A,#N/A,FALSE,"CAPTWO";#N/A,#N/A,FALSE,"CAPTHREE"}</definedName>
    <definedName name="abcxyz_5_1_4" hidden="1">{#N/A,#N/A,FALSE,"mgtsum.XLS";#N/A,#N/A,FALSE,"CAPONE";#N/A,#N/A,FALSE,"CAPTWO";#N/A,#N/A,FALSE,"CAPTHREE"}</definedName>
    <definedName name="abcxyz_5_1_5" hidden="1">{#N/A,#N/A,FALSE,"mgtsum.XLS";#N/A,#N/A,FALSE,"CAPONE";#N/A,#N/A,FALSE,"CAPTWO";#N/A,#N/A,FALSE,"CAPTHREE"}</definedName>
    <definedName name="abcxyz_5_2" hidden="1">{#N/A,#N/A,FALSE,"mgtsum.XLS";#N/A,#N/A,FALSE,"CAPONE";#N/A,#N/A,FALSE,"CAPTWO";#N/A,#N/A,FALSE,"CAPTHREE"}</definedName>
    <definedName name="abcxyz_5_2_1" hidden="1">{#N/A,#N/A,FALSE,"mgtsum.XLS";#N/A,#N/A,FALSE,"CAPONE";#N/A,#N/A,FALSE,"CAPTWO";#N/A,#N/A,FALSE,"CAPTHREE"}</definedName>
    <definedName name="abcxyz_5_2_2" hidden="1">{#N/A,#N/A,FALSE,"mgtsum.XLS";#N/A,#N/A,FALSE,"CAPONE";#N/A,#N/A,FALSE,"CAPTWO";#N/A,#N/A,FALSE,"CAPTHREE"}</definedName>
    <definedName name="abcxyz_5_2_3" hidden="1">{#N/A,#N/A,FALSE,"mgtsum.XLS";#N/A,#N/A,FALSE,"CAPONE";#N/A,#N/A,FALSE,"CAPTWO";#N/A,#N/A,FALSE,"CAPTHREE"}</definedName>
    <definedName name="abcxyz_5_2_4" hidden="1">{#N/A,#N/A,FALSE,"mgtsum.XLS";#N/A,#N/A,FALSE,"CAPONE";#N/A,#N/A,FALSE,"CAPTWO";#N/A,#N/A,FALSE,"CAPTHREE"}</definedName>
    <definedName name="abcxyz_5_2_5" hidden="1">{#N/A,#N/A,FALSE,"mgtsum.XLS";#N/A,#N/A,FALSE,"CAPONE";#N/A,#N/A,FALSE,"CAPTWO";#N/A,#N/A,FALSE,"CAPTHREE"}</definedName>
    <definedName name="abcxyz_5_3" hidden="1">{#N/A,#N/A,FALSE,"mgtsum.XLS";#N/A,#N/A,FALSE,"CAPONE";#N/A,#N/A,FALSE,"CAPTWO";#N/A,#N/A,FALSE,"CAPTHREE"}</definedName>
    <definedName name="abcxyz_5_4" hidden="1">{#N/A,#N/A,FALSE,"mgtsum.XLS";#N/A,#N/A,FALSE,"CAPONE";#N/A,#N/A,FALSE,"CAPTWO";#N/A,#N/A,FALSE,"CAPTHREE"}</definedName>
    <definedName name="abcxyz_5_5" hidden="1">{#N/A,#N/A,FALSE,"mgtsum.XLS";#N/A,#N/A,FALSE,"CAPONE";#N/A,#N/A,FALSE,"CAPTWO";#N/A,#N/A,FALSE,"CAPTHREE"}</definedName>
    <definedName name="abd" hidden="1">{"FTS",#N/A,FALSE,"E"}</definedName>
    <definedName name="abel" hidden="1">#REF!</definedName>
    <definedName name="aber" hidden="1">#REF!</definedName>
    <definedName name="abp" hidden="1">{"form-D1",#N/A,FALSE,"FORM-D1";"form-D1_amt",#N/A,FALSE,"FORM-D1"}</definedName>
    <definedName name="ab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cc" hidden="1">{"'Break down'!$A$4"}</definedName>
    <definedName name="Access_Button" hidden="1">"PJTFINAL_F02F11_List"</definedName>
    <definedName name="AccessDatabase" hidden="1">"C:\WINDOWS\Desktop\Byron's Dox\POchecklist.mdb"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NT_30">#N/A</definedName>
    <definedName name="ACCNT_41">#N/A</definedName>
    <definedName name="ACCNT_41.1">#N/A</definedName>
    <definedName name="ACCNT_42">#N/A</definedName>
    <definedName name="ACCNT_43">#N/A</definedName>
    <definedName name="ACCNT_44">#N/A</definedName>
    <definedName name="ACCNT_45">#N/A</definedName>
    <definedName name="ACCNT_46">#N/A</definedName>
    <definedName name="ACCNT_47">#N/A</definedName>
    <definedName name="ACCNT_47.1">#N/A</definedName>
    <definedName name="ACCNT_47.3">#N/A</definedName>
    <definedName name="ACCNT_47.4">#N/A</definedName>
    <definedName name="ACCNT_47.8">#N/A</definedName>
    <definedName name="ACCNT_48">#N/A</definedName>
    <definedName name="ACCNT_48.5">#N/A</definedName>
    <definedName name="ACCNT_48.9">#N/A</definedName>
    <definedName name="ACCNT_49">#N/A</definedName>
    <definedName name="ACCNT_51.1">#N/A</definedName>
    <definedName name="ACCNT_51.2">#N/A</definedName>
    <definedName name="ACCNT_51.4">#N/A</definedName>
    <definedName name="ACCNT_51.5">#N/A</definedName>
    <definedName name="ACCNT_51.6">#N/A</definedName>
    <definedName name="ACCNT_51.7">#N/A</definedName>
    <definedName name="ACCNT_51.8">#N/A</definedName>
    <definedName name="ACCNT_53">#N/A</definedName>
    <definedName name="ACCNT_54">#N/A</definedName>
    <definedName name="ACCNT_54.09">#N/A</definedName>
    <definedName name="ACCNT_54.1">#N/A</definedName>
    <definedName name="ACCNT_54.11">#N/A</definedName>
    <definedName name="ACCNT_54.12">#N/A</definedName>
    <definedName name="ACCNT_54.13">#N/A</definedName>
    <definedName name="ACCNT_54.14">#N/A</definedName>
    <definedName name="ACCNT_54.15">#N/A</definedName>
    <definedName name="ACCNT_54.19">#N/A</definedName>
    <definedName name="ACCNT_54.9">#N/A</definedName>
    <definedName name="ACCNT_55">#N/A</definedName>
    <definedName name="ACCNT_55.1">#N/A</definedName>
    <definedName name="ACCNT_55.2">#N/A</definedName>
    <definedName name="ACCNT_55.3">#N/A</definedName>
    <definedName name="ACCNT_55.4">#N/A</definedName>
    <definedName name="ACCNT_55.5">#N/A</definedName>
    <definedName name="ACCNT_55.9">#N/A</definedName>
    <definedName name="ACCNT_57">#N/A</definedName>
    <definedName name="ACCNT_58">#N/A</definedName>
    <definedName name="ACCNT_58.1">#N/A</definedName>
    <definedName name="ACCNT_58.7">#N/A</definedName>
    <definedName name="ACCNT_59">#N/A</definedName>
    <definedName name="ACCNT_59.1">#N/A</definedName>
    <definedName name="Accounted">#REF!</definedName>
    <definedName name="acctg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acd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CTUAL">#REF!</definedName>
    <definedName name="ACTUAL4">#REF!</definedName>
    <definedName name="AD" hidden="1">#REF!</definedName>
    <definedName name="ADBA" hidden="1">{#N/A,#N/A,FALSE,"müş_iç_ihz";#N/A,#N/A,FALSE,"müş_iç_er";#N/A,#N/A,FALSE,"müş_iç_tut"}</definedName>
    <definedName name="ADDALL">#REF!</definedName>
    <definedName name="ADDROW">#N/A</definedName>
    <definedName name="ADDROW1">#N/A</definedName>
    <definedName name="ADDROW10">#N/A</definedName>
    <definedName name="ADDROW2">#N/A</definedName>
    <definedName name="ADDROW3">#N/A</definedName>
    <definedName name="ADDROW4">#N/A</definedName>
    <definedName name="ADDROW5">#N/A</definedName>
    <definedName name="ADDROW6">#N/A</definedName>
    <definedName name="ADDROW7">#N/A</definedName>
    <definedName name="ADDROW8">#N/A</definedName>
    <definedName name="ADDROW9">#N/A</definedName>
    <definedName name="adds" hidden="1">{#N/A,#N/A,FALSE,"MODULE3"}</definedName>
    <definedName name="adds_1" hidden="1">{#N/A,#N/A,FALSE,"MODULE3"}</definedName>
    <definedName name="adds_2" hidden="1">{#N/A,#N/A,FALSE,"MODULE3"}</definedName>
    <definedName name="adds_3" hidden="1">{#N/A,#N/A,FALSE,"MODULE3"}</definedName>
    <definedName name="ADEDQ" hidden="1">{"'장비'!$A$3:$M$12"}</definedName>
    <definedName name="adem" hidden="1">{#N/A,#N/A,FALSE,"müş_iç_ihz";#N/A,#N/A,FALSE,"müş_iç_er";#N/A,#N/A,FALSE,"müş_iç_tut"}</definedName>
    <definedName name="adf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dfjsh" hidden="1">{#N/A,#N/A,TRUE,"Sheet1";#N/A,#N/A,TRUE,"Sheet2";#N/A,#N/A,TRUE,"Sheet3";#N/A,#N/A,TRUE,"Sheet4"}</definedName>
    <definedName name="adfrs" hidden="1">{#N/A,#N/A,FALSE,"COVER.XLS";#N/A,#N/A,FALSE,"RACT1.XLS";#N/A,#N/A,FALSE,"RACT2.XLS";#N/A,#N/A,FALSE,"ECCMP";#N/A,#N/A,FALSE,"WELDER.XLS"}</definedName>
    <definedName name="adfs" hidden="1">#REF!,#REF!</definedName>
    <definedName name="adh">#REF!</definedName>
    <definedName name="adit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OPCOMMON">#REF!</definedName>
    <definedName name="ADOPFRP">#REF!</definedName>
    <definedName name="ADOPOFFPLOT">#REF!</definedName>
    <definedName name="ADOPOFFSITE">#REF!</definedName>
    <definedName name="ADOPPROCESS">#REF!</definedName>
    <definedName name="ADOPUTILITY">#REF!</definedName>
    <definedName name="ads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adsasd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adsf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dsfafd" hidden="1">#REF!,#REF!</definedName>
    <definedName name="adsfasdf" hidden="1">#REF!</definedName>
    <definedName name="ae" hidden="1">{#VALUE!,#N/A,FALSE,0;#N/A,#N/A,FALSE,0;#N/A,#N/A,FALSE,0;#N/A,#N/A,FALSE,0;#N/A,#N/A,FALSE,0;#N/A,#N/A,FALSE,0;#N/A,#N/A,FALSE,0;#N/A,#N/A,FALSE,0;#N/A,#N/A,FALSE,0;#N/A,#N/A,FALSE,0;#N/A,#N/A,FALSE,0;#N/A,#N/A,FALSE,0}</definedName>
    <definedName name="AED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egrgas" hidden="1">{#N/A,#N/A,TRUE,"Cover";#N/A,#N/A,TRUE,"Conts";#N/A,#N/A,TRUE,"VOS";#N/A,#N/A,TRUE,"Warrington";#N/A,#N/A,TRUE,"Widnes"}</definedName>
    <definedName name="AEQ" hidden="1">#REF!</definedName>
    <definedName name="AERAFG" hidden="1">{#N/A,#N/A,TRUE,"Cover";#N/A,#N/A,TRUE,"Conts";#N/A,#N/A,TRUE,"VOS";#N/A,#N/A,TRUE,"Warrington";#N/A,#N/A,TRUE,"Widnes"}</definedName>
    <definedName name="aergy" hidden="1">#REF!</definedName>
    <definedName name="aerte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ewrbt" hidden="1">#REF!</definedName>
    <definedName name="AF">#REF!</definedName>
    <definedName name="afAF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fasd" hidden="1">{#N/A,#N/A,FALSE,"단가표지"}</definedName>
    <definedName name="afasf" hidden="1">{#N/A,#N/A,FALSE,"mgtsum.XLS";#N/A,#N/A,FALSE,"CAPONE";#N/A,#N/A,FALSE,"CAPTWO";#N/A,#N/A,FALSE,"CAPTHREE"}</definedName>
    <definedName name="afd" hidden="1">{#N/A,#N/A,FALSE,"운반시간"}</definedName>
    <definedName name="afdasgh" hidden="1">{#N/A,#N/A,FALSE,"CCTV"}</definedName>
    <definedName name="afdsfdg" hidden="1">{#N/A,#N/A,FALSE,"CCTV"}</definedName>
    <definedName name="afffgff" hidden="1">{#N/A,#N/A,FALSE,"CCTV"}</definedName>
    <definedName name="afSF" hidden="1">{#N/A,#N/A,FALSE,"Leasing 6A"}</definedName>
    <definedName name="afvds" hidden="1">#REF!</definedName>
    <definedName name="agAG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GFD" hidden="1">{#N/A,#N/A,FALSE,"NCS INC SCOT";#N/A,#N/A,FALSE,"NCS";#N/A,#N/A,FALSE,"74 NCS";#N/A,#N/A,FALSE,"75 NCS";#N/A,#N/A,FALSE,"76 NCS "}</definedName>
    <definedName name="AggregateBaseCourse">#REF!</definedName>
    <definedName name="aging" hidden="1">#REF!</definedName>
    <definedName name="AgingandTrend" hidden="1">{#N/A,#N/A,FALSE,"Aging Summary";#N/A,#N/A,FALSE,"Ratio Analysis";#N/A,#N/A,FALSE,"Test 120 Day Accts";#N/A,#N/A,FALSE,"Tickmarks"}</definedName>
    <definedName name="AgingandTrendAnalysis" hidden="1">{#N/A,#N/A,FALSE,"Aging Summary";#N/A,#N/A,FALSE,"Ratio Analysis";#N/A,#N/A,FALSE,"Test 120 Day Accts";#N/A,#N/A,FALSE,"Tickmarks"}</definedName>
    <definedName name="AH" hidden="1">{#N/A,#N/A,FALSE,"CCTV"}</definedName>
    <definedName name="ahbfg" hidden="1">{#N/A,#N/A,FALSE,"mgtsum.XLS";#N/A,#N/A,FALSE,"CAPONE";#N/A,#N/A,FALSE,"CAPTWO";#N/A,#N/A,FALSE,"CAPTHREE"}</definedName>
    <definedName name="ahm" hidden="1">{#N/A,#N/A,FALSE,"TELEFON"}</definedName>
    <definedName name="A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ieaü" hidden="1">{#N/A,#N/A,FALSE,"maff_h1";#N/A,#N/A,FALSE,"maff_h2";#N/A,#N/A,FALSE,"maff_h3";#N/A,#N/A,FALSE,"maff_h4";#N/A,#N/A,FALSE,"maff_h5";#N/A,#N/A,FALSE,"maff_h6";#N/A,#N/A,FALSE,"maff_h7"}</definedName>
    <definedName name="ajslk" hidden="1">{"form-D1",#N/A,FALSE,"FORM-D1";"form-D1_amt",#N/A,FALSE,"FORM-D1"}</definedName>
    <definedName name="ajslk_1" hidden="1">{"form-D1",#N/A,FALSE,"FORM-D1";"form-D1_amt",#N/A,FALSE,"FORM-D1"}</definedName>
    <definedName name="ajslk_2" hidden="1">{"form-D1",#N/A,FALSE,"FORM-D1";"form-D1_amt",#N/A,FALSE,"FORM-D1"}</definedName>
    <definedName name="ajslk_3" hidden="1">{"form-D1",#N/A,FALSE,"FORM-D1";"form-D1_amt",#N/A,FALSE,"FORM-D1"}</definedName>
    <definedName name="aksj" hidden="1">{"form-D1",#N/A,FALSE,"FORM-D1";"form-D1_amt",#N/A,FALSE,"FORM-D1"}</definedName>
    <definedName name="aksj_1" hidden="1">{"form-D1",#N/A,FALSE,"FORM-D1";"form-D1_amt",#N/A,FALSE,"FORM-D1"}</definedName>
    <definedName name="aksj_2" hidden="1">{"form-D1",#N/A,FALSE,"FORM-D1";"form-D1_amt",#N/A,FALSE,"FORM-D1"}</definedName>
    <definedName name="aksj_3" hidden="1">{"form-D1",#N/A,FALSE,"FORM-D1";"form-D1_amt",#N/A,FALSE,"FORM-D1"}</definedName>
    <definedName name="aky" hidden="1">{#N/A,#N/A,FALSE,"sıh_iç_ihz";#N/A,#N/A,FALSE,"sıh_iç_er";#N/A,#N/A,FALSE,"sıh_iç_tut"}</definedName>
    <definedName name="Al">#REF!</definedName>
    <definedName name="alaine" hidden="1">#REF!</definedName>
    <definedName name="ALÇAKDERE" hidden="1">{#N/A,#N/A,FALSE,"Çaykara ataköy (1)";#N/A,#N/A,FALSE,"Çaykara ataköy (2)";#N/A,#N/A,FALSE,"Rize Kalkandere ";#N/A,#N/A,FALSE,"meydancık";#N/A,#N/A,FALSE,"muratlı"}</definedName>
    <definedName name="ali" hidden="1">{#N/A,#N/A,FALSE,"Çaykara ataköy (1)";#N/A,#N/A,FALSE,"Çaykara ataköy (2)";#N/A,#N/A,FALSE,"Rize Kalkandere ";#N/A,#N/A,FALSE,"meydancık";#N/A,#N/A,FALSE,"muratlı"}</definedName>
    <definedName name="Alignment_Risk">#REF!</definedName>
    <definedName name="ALL">#REF!</definedName>
    <definedName name="ALM">#REF!</definedName>
    <definedName name="alpuusss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ter">#REF!</definedName>
    <definedName name="alum">#REF!</definedName>
    <definedName name="amout" hidden="1">#REF!</definedName>
    <definedName name="ana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iz" hidden="1">{#N/A,#N/A,FALSE,"Çaykara ataköy (1)";#N/A,#N/A,FALSE,"Çaykara ataköy (2)";#N/A,#N/A,FALSE,"Rize Kalkandere ";#N/A,#N/A,FALSE,"meydancık";#N/A,#N/A,FALSE,"muratlı"}</definedName>
    <definedName name="AnalysisType">#REF!</definedName>
    <definedName name="Annual" hidden="1">#REF!</definedName>
    <definedName name="ano.ed" hidden="1">{#N/A,#N/A,TRUE,"Equipment installation bm"}</definedName>
    <definedName name="anscount" hidden="1">1</definedName>
    <definedName name="Appendix" hidden="1">{#N/A,#N/A,FALSE,"Cover Page";#N/A,#N/A,FALSE,"Facing Page";#N/A,#N/A,FALSE,"Main Page";#N/A,#N/A,FALSE,"Risk-Adjusted";#N/A,#N/A,FALSE,"Profit Improvement"}</definedName>
    <definedName name="appraisal" hidden="1">{#N/A,#N/A,TRUE,"Cover";#N/A,#N/A,TRUE,"Conts";#N/A,#N/A,TRUE,"VOS";#N/A,#N/A,TRUE,"Warrington";#N/A,#N/A,TRUE,"Widnes"}</definedName>
    <definedName name="APR" hidden="1">{#N/A,#N/A,FALSE,"MODULE3"}</definedName>
    <definedName name="APR_1" hidden="1">{"form-D1",#N/A,FALSE,"FORM-D1";"form-D1_amt",#N/A,FALSE,"FORM-D1"}</definedName>
    <definedName name="APR_2" hidden="1">{"form-D1",#N/A,FALSE,"FORM-D1";"form-D1_amt",#N/A,FALSE,"FORM-D1"}</definedName>
    <definedName name="APR_3" hidden="1">{"form-D1",#N/A,FALSE,"FORM-D1";"form-D1_amt",#N/A,FALSE,"FORM-D1"}</definedName>
    <definedName name="aq" hidden="1">{#N/A,#N/A,FALSE,"Project Properties";#N/A,#N/A,FALSE,"Eng %";#N/A,#N/A,FALSE,"ENGFORM";#N/A,#N/A,FALSE,"staffing";#N/A,#N/A,FALSE,"spending"}</definedName>
    <definedName name="AQW" hidden="1">{#N/A,#N/A,FALSE,"CCTV"}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">#REF!</definedName>
    <definedName name="Arao" hidden="1">{"'Sheet1'!$A$4386:$N$4591"}</definedName>
    <definedName name="AREA3">#REF!</definedName>
    <definedName name="ARGARG" hidden="1">{#N/A,#N/A,FALSE,"ihz. icmal";#N/A,#N/A,FALSE,"taahhuk";#N/A,#N/A,FALSE,"hak_rapor";#N/A,#N/A,FALSE,"temın";#N/A,#N/A,FALSE,"icmal";#N/A,#N/A,FALSE,"fat_mlz_ihz";#N/A,#N/A,FALSE,"sözleş_fiyatf"}</definedName>
    <definedName name="arharhaehrtahr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as">#REF!</definedName>
    <definedName name="as_1" hidden="1">{"'Bill No. 7'!$A$1:$G$32"}</definedName>
    <definedName name="as_1_1" hidden="1">{"'Bill No. 7'!$A$1:$G$32"}</definedName>
    <definedName name="as_1_2" hidden="1">{"'Bill No. 7'!$A$1:$G$32"}</definedName>
    <definedName name="as_1_3" hidden="1">{"'Bill No. 7'!$A$1:$G$32"}</definedName>
    <definedName name="as_2" hidden="1">{"'Bill No. 7'!$A$1:$G$32"}</definedName>
    <definedName name="as_2_1" hidden="1">{"'Bill No. 7'!$A$1:$G$32"}</definedName>
    <definedName name="as_2_2" hidden="1">{"'Bill No. 7'!$A$1:$G$32"}</definedName>
    <definedName name="as_2_3" hidden="1">{"'Bill No. 7'!$A$1:$G$32"}</definedName>
    <definedName name="as_3" hidden="1">{"'Bill No. 7'!$A$1:$G$32"}</definedName>
    <definedName name="as_3_1" hidden="1">{"'Bill No. 7'!$A$1:$G$32"}</definedName>
    <definedName name="as_3_2" hidden="1">{"'Bill No. 7'!$A$1:$G$32"}</definedName>
    <definedName name="as_3_3" hidden="1">{"'Bill No. 7'!$A$1:$G$32"}</definedName>
    <definedName name="as_4" hidden="1">{"'Bill No. 7'!$A$1:$G$32"}</definedName>
    <definedName name="as_4_1" hidden="1">{"'Bill No. 7'!$A$1:$G$32"}</definedName>
    <definedName name="as_4_2" hidden="1">{"'Bill No. 7'!$A$1:$G$32"}</definedName>
    <definedName name="as_4_3" hidden="1">{"'Bill No. 7'!$A$1:$G$32"}</definedName>
    <definedName name="as_5" hidden="1">{"'Bill No. 7'!$A$1:$G$32"}</definedName>
    <definedName name="as_5_1" hidden="1">{"'Bill No. 7'!$A$1:$G$32"}</definedName>
    <definedName name="as_5_2" hidden="1">{"'Bill No. 7'!$A$1:$G$32"}</definedName>
    <definedName name="as_5_3" hidden="1">{"'Bill No. 7'!$A$1:$G$32"}</definedName>
    <definedName name="AS2DocOpenMode" hidden="1">"AS2DocumentEdit"</definedName>
    <definedName name="AS2HasNoAutoHeaderFooter" hidden="1">" "</definedName>
    <definedName name="AS2NamedRange" hidden="1">6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asas" hidden="1">#REF!</definedName>
    <definedName name="asasa" hidden="1">{#N/A,#N/A,FALSE,"ihz. icmal";#N/A,#N/A,FALSE,"avans";#N/A,#N/A,FALSE,"mal_FF_icm";#N/A,#N/A,FALSE,"fat_ihz";#N/A,#N/A,FALSE,"söz_fiy_fark";#N/A,#N/A,FALSE,"kap2"}</definedName>
    <definedName name="asasas" hidden="1">{#VALUE!,#N/A,TRUE,0;#N/A,#N/A,TRUE,0;#N/A,#N/A,TRUE,0;#N/A,#N/A,TRUE,0;#N/A,#N/A,TRUE,0;#N/A,#N/A,TRUE,0;#N/A,#N/A,TRUE,0}</definedName>
    <definedName name="asasasa" hidden="1">{#N/A,#N/A,FALSE,"ihz. icmal";#N/A,#N/A,FALSE,"avans";#N/A,#N/A,FALSE,"mal_FF_icm";#N/A,#N/A,FALSE,"fat_ihz";#N/A,#N/A,FALSE,"söz_fiy_fark";#N/A,#N/A,FALSE,"kap2"}</definedName>
    <definedName name="asass" hidden="1">{"'Bill No. 7'!$A$1:$G$32"}</definedName>
    <definedName name="asass_1" hidden="1">{"'Bill No. 7'!$A$1:$G$32"}</definedName>
    <definedName name="asass_2" hidden="1">{"'Bill No. 7'!$A$1:$G$32"}</definedName>
    <definedName name="asass_3" hidden="1">{"'Bill No. 7'!$A$1:$G$32"}</definedName>
    <definedName name="asd" hidden="1">{#N/A,#N/A,FALSE,"ihz. icmal";#N/A,#N/A,FALSE,"avans";#N/A,#N/A,FALSE,"mal_FF_icm";#N/A,#N/A,FALSE,"fat_ihz";#N/A,#N/A,FALSE,"söz_fiy_fark";#N/A,#N/A,FALSE,"kap2"}</definedName>
    <definedName name="asdad">#REF!</definedName>
    <definedName name="asdas" hidden="1">{#N/A,#N/A,FALSE,"11-NSC"}</definedName>
    <definedName name="asdasddasd" hidden="1">#REF!</definedName>
    <definedName name="asdf" hidden="1">#REF!,#REF!</definedName>
    <definedName name="asdfa" hidden="1">#REF!,#REF!</definedName>
    <definedName name="asdfadf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sdfadfs" hidden="1">#REF!</definedName>
    <definedName name="asdfadsf" hidden="1">#REF!,#REF!</definedName>
    <definedName name="asdfasdf" hidden="1">{#N/A,#N/A,FALSE,"ihz. icmal";#N/A,#N/A,FALSE,"avans";#N/A,#N/A,FALSE,"mal_FF_icm";#N/A,#N/A,FALSE,"fat_ihz";#N/A,#N/A,FALSE,"söz_fiy_fark";#N/A,#N/A,FALSE,"kap2"}</definedName>
    <definedName name="asdfasdfas" hidden="1">#REF!,#REF!</definedName>
    <definedName name="asdfasfd" hidden="1">#REF!</definedName>
    <definedName name="asdfasfda" hidden="1">#REF!</definedName>
    <definedName name="asdfdsaf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asdff" hidden="1">{#N/A,#N/A,FALSE,"ihz. icmal";#N/A,#N/A,FALSE,"taahhuk";#N/A,#N/A,FALSE,"hak_rapor";#N/A,#N/A,FALSE,"temın";#N/A,#N/A,FALSE,"icmal";#N/A,#N/A,FALSE,"fat_mlz_ihz";#N/A,#N/A,FALSE,"sözleş_fiyatf"}</definedName>
    <definedName name="asdfg">#REF!</definedName>
    <definedName name="ASDFGH" hidden="1">{#N/A,#N/A,FALSE,"CCTV"}</definedName>
    <definedName name="asdfgu" hidden="1">#REF!</definedName>
    <definedName name="asdfr" hidden="1">{#N/A,#N/A,FALSE,"Field Rates";#N/A,#N/A,FALSE,"Field Sum"}</definedName>
    <definedName name="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edsa" hidden="1">#REF!</definedName>
    <definedName name="ASF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sfaf" hidden="1">{#N/A,#N/A,FALSE,"mgtsum.XLS";#N/A,#N/A,FALSE,"CAPONE";#N/A,#N/A,FALSE,"CAPTWO";#N/A,#N/A,FALSE,"CAPTHREE"}</definedName>
    <definedName name="asfas" hidden="1">{#N/A,#N/A,FALSE,"표지목차"}</definedName>
    <definedName name="asfasf" hidden="1">{#N/A,#N/A,FALSE,"mgtsum.XLS";#N/A,#N/A,FALSE,"CAPONE";#N/A,#N/A,FALSE,"CAPTWO";#N/A,#N/A,FALSE,"CAPTHREE"}</definedName>
    <definedName name="asfasffa" hidden="1">{#N/A,#N/A,FALSE,"mgtsum.XLS";#N/A,#N/A,FALSE,"CAPONE";#N/A,#N/A,FALSE,"CAPTWO";#N/A,#N/A,FALSE,"CAPTHREE"}</definedName>
    <definedName name="asfsa" hidden="1">{#N/A,#N/A,FALSE,"mgtsum.XLS";#N/A,#N/A,FALSE,"CAPONE";#N/A,#N/A,FALSE,"CAPTWO";#N/A,#N/A,FALSE,"CAPTHREE"}</definedName>
    <definedName name="asfsdf" hidden="1">{#N/A,#N/A,FALSE,"COMP"}</definedName>
    <definedName name="asgseg" hidden="1">{#N/A,#N/A,TRUE,"Cover";#N/A,#N/A,TRUE,"Conts";#N/A,#N/A,TRUE,"VOS";#N/A,#N/A,TRUE,"Warrington";#N/A,#N/A,TRUE,"Widnes"}</definedName>
    <definedName name="asjk" hidden="1">{"form-D1",#N/A,FALSE,"FORM-D1";"form-D1_amt",#N/A,FALSE,"FORM-D1"}</definedName>
    <definedName name="asjk_1" hidden="1">{"form-D1",#N/A,FALSE,"FORM-D1";"form-D1_amt",#N/A,FALSE,"FORM-D1"}</definedName>
    <definedName name="asjk_2" hidden="1">{"form-D1",#N/A,FALSE,"FORM-D1";"form-D1_amt",#N/A,FALSE,"FORM-D1"}</definedName>
    <definedName name="asjk_3" hidden="1">{"form-D1",#N/A,FALSE,"FORM-D1";"form-D1_amt",#N/A,FALSE,"FORM-D1"}</definedName>
    <definedName name="askin" hidden="1">{#N/A,#N/A,FALSE,"TELEFON"}</definedName>
    <definedName name="AsphalticBaseCourse">#REF!</definedName>
    <definedName name="asrasnrjutu" hidden="1">{#N/A,#N/A,TRUE,"Cover";#N/A,#N/A,TRUE,"Conts";#N/A,#N/A,TRUE,"VOS";#N/A,#N/A,TRUE,"Warrington";#N/A,#N/A,TRUE,"Widnes"}</definedName>
    <definedName name="asrfsdgfasdg">#REF!</definedName>
    <definedName name="ass" hidden="1">{#N/A,#N/A,FALSE,"Çaykara ataköy (1)";#N/A,#N/A,FALSE,"Çaykara ataköy (2)";#N/A,#N/A,FALSE,"Rize Kalkandere ";#N/A,#N/A,FALSE,"meydancık";#N/A,#N/A,FALSE,"muratlı"}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şsajfkasjfalsdjflkasdjflşaksjdflşkasjfşiajsdşflkajsdşlfkjasşlkfjşalskfdjşlaksjfşlaskjdfşlaksjdşfl" hidden="1">{#VALUE!,#N/A,TRUE,0;#N/A,#N/A,TRUE,0;#N/A,#N/A,TRUE,0;#N/A,#N/A,TRUE,0;#N/A,#N/A,TRUE,0;#N/A,#N/A,TRUE,0;#N/A,#N/A,TRUE,0}</definedName>
    <definedName name="Asset_Classification">#REF!</definedName>
    <definedName name="ASSUM" hidden="1">{#N/A,#N/A,FALSE,"MODULE3"}</definedName>
    <definedName name="AST" hidden="1">{#N/A,#N/A,FALSE,"COVER.XLS";#N/A,#N/A,FALSE,"RACT1.XLS";#N/A,#N/A,FALSE,"RACT2.XLS";#N/A,#N/A,FALSE,"ECCMP";#N/A,#N/A,FALSE,"WELDER.XLS"}</definedName>
    <definedName name="ates" hidden="1">#REF!</definedName>
    <definedName name="atrts" hidden="1">{"offequipsch",#N/A,FALSE,"GTC_Schedule";"onconstsch",#N/A,FALSE,"GTC_Schedule";"techsch",#N/A,FALSE,"GTC_Schedule";"totsch",#N/A,FALSE,"GTC_Schedule"}</definedName>
    <definedName name="aüeatt" hidden="1">{0,0,0,0;0,0,0,0;0,0,0,0;0,0,0,0;0,0,0,0;0,0,0,0;0,0,0,0;0,0,0,0;0,0,0,0;0,0,0,0;0,0,0,0;0,0,0,0;0,0,0,0;0,0,0,0;0,0,0,0;0,0,0,0;0,0,0,0;0,0,0,0;0,0,0,0;0,0,0,0;0,0,0,0;0,0,0,0;0,0,0,0;0,0,0,0;0,0,0,0;0,0,0,0;0,0,0,0;0,0,0,0;0,0,0,0;0,0,0,0;0,0,0,0;0,0,0,0;0,0,0,0}</definedName>
    <definedName name="aug" hidden="1">{"FTS",#N/A,FALSE,"E"}</definedName>
    <definedName name="Aug_1648">#REF!</definedName>
    <definedName name="Aug_1666">#REF!</definedName>
    <definedName name="aüilüz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utofilter_Tab">#REF!</definedName>
    <definedName name="avw43refs" hidden="1">#REF!</definedName>
    <definedName name="AW" hidden="1">{#N/A,#N/A,FALSE,"ihz. icmal";#N/A,#N/A,FALSE,"avans";#N/A,#N/A,FALSE,"mal_FF_icm";#N/A,#N/A,FALSE,"fat_ihz";#N/A,#N/A,FALSE,"söz_fiy_fark";#N/A,#N/A,FALSE,"kap2"}</definedName>
    <definedName name="aw34v5" hidden="1">#REF!</definedName>
    <definedName name="aw3vref" hidden="1">#REF!</definedName>
    <definedName name="aw4vaw" hidden="1">#REF!</definedName>
    <definedName name="awdeawdev" hidden="1">#REF!</definedName>
    <definedName name="awdwad123" hidden="1">#REF!</definedName>
    <definedName name="awe" hidden="1">{#N/A,#N/A,FALSE,"ihz. icmal";#N/A,#N/A,FALSE,"avans";#N/A,#N/A,FALSE,"mal_FF_icm";#N/A,#N/A,FALSE,"fat_ihz";#N/A,#N/A,FALSE,"söz_fiy_fark";#N/A,#N/A,FALSE,"kap2"}</definedName>
    <definedName name="awt" hidden="1">{#N/A,#N/A,TRUE,"Cover";#N/A,#N/A,TRUE,"Conts";#N/A,#N/A,TRUE,"VOS";#N/A,#N/A,TRUE,"Warrington";#N/A,#N/A,TRUE,"Widnes"}</definedName>
    <definedName name="awv4er" hidden="1">#REF!</definedName>
    <definedName name="awyawghh" hidden="1">{#N/A,#N/A,TRUE,"Cover";#N/A,#N/A,TRUE,"Conts";#N/A,#N/A,TRUE,"VOS";#N/A,#N/A,TRUE,"Warrington";#N/A,#N/A,TRUE,"Widnes"}</definedName>
    <definedName name="axcm" hidden="1">#REF!</definedName>
    <definedName name="Ayder" hidden="1">{#N/A,#N/A,FALSE,"Çaykara ataköy (1)";#N/A,#N/A,FALSE,"Çaykara ataköy (2)";#N/A,#N/A,FALSE,"Rize Kalkandere ";#N/A,#N/A,FALSE,"meydancık";#N/A,#N/A,FALSE,"muratlı"}</definedName>
    <definedName name="ayşe" hidden="1">{#VALUE!,#N/A,FALSE,0;#N/A,#N/A,FALSE,0;#N/A,#N/A,FALSE,0;#N/A,#N/A,FALSE,0;#N/A,#N/A,FALSE,0}</definedName>
    <definedName name="az" hidden="1">{#N/A,#N/A,FALSE,"Çaykara ataköy (1)";#N/A,#N/A,FALSE,"Çaykara ataköy (2)";#N/A,#N/A,FALSE,"Rize Kalkandere ";#N/A,#N/A,FALSE,"meydancık";#N/A,#N/A,FALSE,"muratlı"}</definedName>
    <definedName name="b" hidden="1">#REF!</definedName>
    <definedName name="B.2A" hidden="1">{#N/A,#N/A,TRUE,"Equipment installation bm"}</definedName>
    <definedName name="B.F.İŞL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İHZARA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_rod">#REF!</definedName>
    <definedName name="b5yte" hidden="1">#REF!</definedName>
    <definedName name="BacklogEentity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ntity_new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n" hidden="1">#REF!</definedName>
    <definedName name="banding" hidden="1">#REF!</definedName>
    <definedName name="Barchart1" hidden="1">{"form-D1",#N/A,FALSE,"FORM-D1";"form-D1_amt",#N/A,FALSE,"FORM-D1"}</definedName>
    <definedName name="BARE_COST">#REF!</definedName>
    <definedName name="Barınak" hidden="1">{#N/A,#N/A,FALSE,"Çaykara ataköy (1)";#N/A,#N/A,FALSE,"Çaykara ataköy (2)";#N/A,#N/A,FALSE,"Rize Kalkandere ";#N/A,#N/A,FALSE,"meydancık";#N/A,#N/A,FALSE,"muratlı"}</definedName>
    <definedName name="BASE" hidden="1">{#N/A,#N/A,TRUE,"Basic";#N/A,#N/A,TRUE,"EXT-TABLE";#N/A,#N/A,TRUE,"STEEL";#N/A,#N/A,TRUE,"INT-Table";#N/A,#N/A,TRUE,"STEEL";#N/A,#N/A,TRUE,"Door"}</definedName>
    <definedName name="BASE_COURSE">#REF!</definedName>
    <definedName name="basecourse">#REF!</definedName>
    <definedName name="BaseD">#REF!</definedName>
    <definedName name="BaseDate">#REF!</definedName>
    <definedName name="BaseDay">#REF!</definedName>
    <definedName name="BaseM">#REF!</definedName>
    <definedName name="BasementArchiSum">#REF!</definedName>
    <definedName name="BaseMonth">#REF!</definedName>
    <definedName name="basin" hidden="1">{"'장비'!$A$3:$M$12"}</definedName>
    <definedName name="BAYİYİ" hidden="1">{#N/A,#N/A,FALSE,"Çaykara ataköy (1)";#N/A,#N/A,FALSE,"Çaykara ataköy (2)";#N/A,#N/A,FALSE,"Rize Kalkandere ";#N/A,#N/A,FALSE,"meydancık";#N/A,#N/A,FALSE,"muratlı"}</definedName>
    <definedName name="BB">#REF!</definedName>
    <definedName name="BBB" hidden="1">{#N/A,#N/A,FALSE,"CCTV"}</definedName>
    <definedName name="bbbb" hidden="1">{"form-D1",#N/A,FALSE,"FORM-D1";"form-D1_amt",#N/A,FALSE,"FORM-D1"}</definedName>
    <definedName name="bbbb_1" hidden="1">{"form-D1",#N/A,FALSE,"FORM-D1";"form-D1_amt",#N/A,FALSE,"FORM-D1"}</definedName>
    <definedName name="bbbb_2" hidden="1">{"form-D1",#N/A,FALSE,"FORM-D1";"form-D1_amt",#N/A,FALSE,"FORM-D1"}</definedName>
    <definedName name="bbbb_3" hidden="1">{"form-D1",#N/A,FALSE,"FORM-D1";"form-D1_amt",#N/A,FALSE,"FORM-D1"}</definedName>
    <definedName name="bbbbb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bhgds" hidden="1">{"PLANT BREAKUP",#N/A,FALSE,"E"}</definedName>
    <definedName name="BBRA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vc" hidden="1">{#N/A,#N/A,FALSE,"ihz. icmal";#N/A,#N/A,FALSE,"avans";#N/A,#N/A,FALSE,"mal_FF_icm";#N/A,#N/A,FALSE,"fat_ihz";#N/A,#N/A,FALSE,"söz_fiy_fark";#N/A,#N/A,FALSE,"kap2"}</definedName>
    <definedName name="BCIS" hidden="1">{#N/A,#N/A,TRUE,"Cover";#N/A,#N/A,TRUE,"Conts";#N/A,#N/A,TRUE,"VOS";#N/A,#N/A,TRUE,"Warrington";#N/A,#N/A,TRUE,"Widnes"}</definedName>
    <definedName name="bcvbcx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bdf" hidden="1">#REF!</definedName>
    <definedName name="BDR">#N/A</definedName>
    <definedName name="bds" hidden="1">{"'Typical Costs Estimates'!$C$158:$H$161"}</definedName>
    <definedName name="BE" hidden="1">#REF!</definedName>
    <definedName name="BEL">#REF!</definedName>
    <definedName name="BELL" hidden="1">{#N/A,#N/A,TRUE,"Basic";#N/A,#N/A,TRUE,"EXT-TABLE";#N/A,#N/A,TRUE,"STEEL";#N/A,#N/A,TRUE,"INT-Table";#N/A,#N/A,TRUE,"STEEL";#N/A,#N/A,TRUE,"Door"}</definedName>
    <definedName name="Bellary" hidden="1">#REF!</definedName>
    <definedName name="BERK" hidden="1">#REF!</definedName>
    <definedName name="betonsuz" hidden="1">#REF!</definedName>
    <definedName name="BF" hidden="1">#REF!</definedName>
    <definedName name="bfai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fbfdhfdhdfgh" hidden="1">{#N/A,#N/A,FALSE,"CCTV"}</definedName>
    <definedName name="bfd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gbf" hidden="1">#REF!</definedName>
    <definedName name="BG" hidden="1">#REF!</definedName>
    <definedName name="BG_Del" hidden="1">15</definedName>
    <definedName name="BG_Ins" hidden="1">4</definedName>
    <definedName name="BG_Mod" hidden="1">6</definedName>
    <definedName name="BGH" hidden="1">{#N/A,#N/A,FALSE,"MODULE3"}</definedName>
    <definedName name="BGH_1" hidden="1">{#N/A,#N/A,FALSE,"MODULE3"}</definedName>
    <definedName name="BGH_2" hidden="1">{#N/A,#N/A,FALSE,"MODULE3"}</definedName>
    <definedName name="BGH_3" hidden="1">{#N/A,#N/A,FALSE,"MODULE3"}</definedName>
    <definedName name="bh" hidden="1">{#N/A,#N/A,FALSE,"kal_iç_ihz";#N/A,#N/A,FALSE,"kal_iç_er";#N/A,#N/A,FALSE,"kal_iç_tut"}</definedName>
    <definedName name="bh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BİH99" hidden="1">{#N/A,#N/A,FALSE,"Çaykara ataköy (1)";#N/A,#N/A,FALSE,"Çaykara ataköy (2)";#N/A,#N/A,FALSE,"Rize Kalkandere ";#N/A,#N/A,FALSE,"meydancık";#N/A,#N/A,FALSE,"muratlı"}</definedName>
    <definedName name="BİLGİ" hidden="1">{#N/A,#N/A,FALSE,"Çaykara ataköy (1)";#N/A,#N/A,FALSE,"Çaykara ataköy (2)";#N/A,#N/A,FALSE,"Rize Kalkandere ";#N/A,#N/A,FALSE,"meydancık";#N/A,#N/A,FALSE,"muratlı"}</definedName>
    <definedName name="Bitumen">#REF!</definedName>
    <definedName name="bl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lk">#REF!</definedName>
    <definedName name="BLUE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BM">#REF!</definedName>
    <definedName name="bmi." hidden="1">OFFSET([0]!Data.Top.Left,1,0)</definedName>
    <definedName name="bmi.0000" hidden="1">OFFSET([0]!Data.Top.Left,1,0)</definedName>
    <definedName name="bmi.1" hidden="1">OFFSET([0]!Data.Top.Left,1,0)</definedName>
    <definedName name="bmi_office" hidden="1">OFFSET([0]!Data.Top.Left,1,0)</definedName>
    <definedName name="bmi_office.2" hidden="1">OFFSET([0]!Data.Top.Left,1,0)</definedName>
    <definedName name="BMM">#N/A</definedName>
    <definedName name="BMP">#REF!</definedName>
    <definedName name="BMTO">#N/A</definedName>
    <definedName name="bn45tbers" hidden="1">#REF!</definedName>
    <definedName name="BNBNBNV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bnkhse">#REF!</definedName>
    <definedName name="BNMH" hidden="1">{#N/A,#N/A,FALSE,"CCTV"}</definedName>
    <definedName name="bol">#REF!</definedName>
    <definedName name="BÖLGE" hidden="1">{#N/A,#N/A,FALSE,"Çaykara ataköy (1)";#N/A,#N/A,FALSE,"Çaykara ataköy (2)";#N/A,#N/A,FALSE,"Rize Kalkandere ";#N/A,#N/A,FALSE,"meydancık";#N/A,#N/A,FALSE,"muratlı"}</definedName>
    <definedName name="boml">#REF!</definedName>
    <definedName name="book1" hidden="1">{"CASH FLOW",#N/A,FALSE,"A"}</definedName>
    <definedName name="BOP">#N/A</definedName>
    <definedName name="BOP40_HRS">#N/A</definedName>
    <definedName name="BOP40_LAB">#N/A</definedName>
    <definedName name="BOP40_MAT">#N/A</definedName>
    <definedName name="BOP40_PROD">#N/A</definedName>
    <definedName name="BOP40_S_C">#N/A</definedName>
    <definedName name="BOP40_SC">#N/A</definedName>
    <definedName name="BOP40_TOT">#N/A</definedName>
    <definedName name="BOPLAB">#N/A</definedName>
    <definedName name="BOPMAT">#N/A</definedName>
    <definedName name="BOQ">#REF!</definedName>
    <definedName name="BOQ_Consolidated" hidden="1">{#N/A,#N/A,TRUE,"Equipment installation bm"}</definedName>
    <definedName name="BOQ_N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OQDate">#REF!</definedName>
    <definedName name="BOS" hidden="1">{#N/A,#N/A,FALSE,"이정표"}</definedName>
    <definedName name="boş" hidden="1">{#N/A,#N/A,FALSE,"Çaykara ataköy (1)";#N/A,#N/A,FALSE,"Çaykara ataköy (2)";#N/A,#N/A,FALSE,"Rize Kalkandere ";#N/A,#N/A,FALSE,"meydancık";#N/A,#N/A,FALSE,"muratlı"}</definedName>
    <definedName name="botl">#REF!</definedName>
    <definedName name="botn">#REF!</definedName>
    <definedName name="BP_COST">#REF!</definedName>
    <definedName name="bq" hidden="1">#REF!</definedName>
    <definedName name="BR">#REF!</definedName>
    <definedName name="Breakdown1" hidden="1">#REF!</definedName>
    <definedName name="BRIDGE">#REF!</definedName>
    <definedName name="Bridge01">#REF!</definedName>
    <definedName name="BS">#REF!</definedName>
    <definedName name="BS_Sub" hidden="1">#REF!</definedName>
    <definedName name="bu" hidden="1">{"'Sheet1'!$A$4386:$N$4591"}</definedName>
    <definedName name="bu_1" hidden="1">{"'Sheet1'!$A$4386:$N$4591"}</definedName>
    <definedName name="bu_2" hidden="1">{"'Sheet1'!$A$4386:$N$4591"}</definedName>
    <definedName name="bu_3" hidden="1">{"'Sheet1'!$A$4386:$N$4591"}</definedName>
    <definedName name="bua">#REF!</definedName>
    <definedName name="budget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udget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UDGET_ACTUAL">#REF!</definedName>
    <definedName name="Budget_and_Planning_Risk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Titles">#REF!</definedName>
    <definedName name="BuiltIn_Print_Titles___0">NA()</definedName>
    <definedName name="BuiltIn_Print_Titles___0___0">#REF!</definedName>
    <definedName name="BuiltIn_Print_Titles___0___0___0">#REF!</definedName>
    <definedName name="BuiltIn_Print_Titles___0___0___0___0">NA()</definedName>
    <definedName name="Button_1">"pgpi_BOM_List"</definedName>
    <definedName name="BWIC">#REF!</definedName>
    <definedName name="bye" hidden="1">{#N/A,#N/A,FALSE,"CAPTION LIST (As-Built)";#N/A,#N/A,FALSE,"DOCUMENT LIST (As-Built)";#N/A,#N/A,FALSE,"PLANT SPECIFICATION";#N/A,#N/A,FALSE,"PRODUCT LIST"}</definedName>
    <definedName name="bytrsb" hidden="1">#REF!</definedName>
    <definedName name="ç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Ç.A.H" hidden="1">{#N/A,#N/A,FALSE,"Çaykara ataköy (1)";#N/A,#N/A,FALSE,"Çaykara ataköy (2)";#N/A,#N/A,FALSE,"Rize Kalkandere ";#N/A,#N/A,FALSE,"meydancık";#N/A,#N/A,FALSE,"muratlı"}</definedName>
    <definedName name="c.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_">#REF!</definedName>
    <definedName name="ç8çoıu" hidden="1">#REF!</definedName>
    <definedName name="CA" hidden="1">{#N/A,#N/A,FALSE,"Çaykara ataköy (1)";#N/A,#N/A,FALSE,"Çaykara ataköy (2)";#N/A,#N/A,FALSE,"Rize Kalkandere ";#N/A,#N/A,FALSE,"meydancık";#N/A,#N/A,FALSE,"muratlı"}</definedName>
    <definedName name="caac" hidden="1">OFFSET([0]!Data.Top.Left,1,0)</definedName>
    <definedName name="CABLE">#REF!</definedName>
    <definedName name="Calendar1Month">#REF!</definedName>
    <definedName name="Calendar2Month">#REF!</definedName>
    <definedName name="Calendar2Year">#REF!</definedName>
    <definedName name="cam" hidden="1">{#N/A,#N/A,FALSE,"Çaykara ataköy (1)";#N/A,#N/A,FALSE,"Çaykara ataköy (2)";#N/A,#N/A,FALSE,"Rize Kalkandere ";#N/A,#N/A,FALSE,"meydancık";#N/A,#N/A,FALSE,"muratlı"}</definedName>
    <definedName name="CAMOLUK" hidden="1">{#N/A,#N/A,FALSE,"Çaykara ataköy (1)";#N/A,#N/A,FALSE,"Çaykara ataköy (2)";#N/A,#N/A,FALSE,"Rize Kalkandere ";#N/A,#N/A,FALSE,"meydancık";#N/A,#N/A,FALSE,"muratlı"}</definedName>
    <definedName name="camuko" hidden="1">{#VALUE!,#N/A,FALSE,0;#N/A,#N/A,FALSE,0;#N/A,#N/A,FALSE,0;#N/A,#N/A,FALSE,0;#N/A,#N/A,FALSE,0}</definedName>
    <definedName name="CAN">#REF!</definedName>
    <definedName name="Candy">#REF!</definedName>
    <definedName name="capex2" hidden="1">{#N/A,#N/A,TRUE,"Data Key Results";#N/A,#N/A,TRUE,"CashFlow";#N/A,#N/A,TRUE,"Waterfall";#N/A,#N/A,TRUE,"ProfitLoss";#N/A,#N/A,TRUE,"Balance Sheet";#N/A,#N/A,TRUE,"Revenues";#N/A,#N/A,TRUE,"Expense";#N/A,#N/A,TRUE,"Capex"}</definedName>
    <definedName name="Capex4" hidden="1">{#N/A,#N/A,TRUE,"Data Key Results";#N/A,#N/A,TRUE,"CashFlow";#N/A,#N/A,TRUE,"Waterfall";#N/A,#N/A,TRUE,"ProfitLoss";#N/A,#N/A,TRUE,"Balance Sheet";#N/A,#N/A,TRUE,"Revenues";#N/A,#N/A,TRUE,"Expense";#N/A,#N/A,TRUE,"Capex"}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arol" hidden="1">#REF!</definedName>
    <definedName name="car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e" hidden="1">{"CASH FLOW",#N/A,FALSE,"A"}</definedName>
    <definedName name="cash" hidden="1">{"CASH FLOW",#N/A,FALSE,"A"}</definedName>
    <definedName name="cash.00" hidden="1">OFFSET([0]!Data.Top.Left,1,0)</definedName>
    <definedName name="cash.000" hidden="1">OFFSET([0]!Data.Top.Left,1,0)</definedName>
    <definedName name="cash.0000" hidden="1">OFFSET([0]!Data.Top.Left,1,0)</definedName>
    <definedName name="cash.1" hidden="1">OFFSET([0]!Data.Top.Left,1,0)</definedName>
    <definedName name="cash.13" hidden="1">OFFSET([0]!Data.Top.Left,1,0)</definedName>
    <definedName name="cash.2" hidden="1">OFFSET([0]!Data.Top.Left,1,0)</definedName>
    <definedName name="cash.3" hidden="1">OFFSET([0]!Data.Top.Left,1,0)</definedName>
    <definedName name="cash.5" hidden="1">OFFSET([0]!Data.Top.Left,1,0)</definedName>
    <definedName name="cash0" hidden="1">OFFSET([0]!Data.Top.Left,1,0)</definedName>
    <definedName name="cash1" hidden="1">{"CASH FLOW",#N/A,FALSE,"A"}</definedName>
    <definedName name="cashfl" hidden="1">{#N/A,#N/A,TRUE,"Cover";#N/A,#N/A,TRUE,"Conts";#N/A,#N/A,TRUE,"VOS";#N/A,#N/A,TRUE,"Warrington";#N/A,#N/A,TRUE,"Widnes"}</definedName>
    <definedName name="cashs" hidden="1">{"CASH FLOW",#N/A,FALSE,"A"}</definedName>
    <definedName name="Catastrophic_Loss_Risk">#REF!</definedName>
    <definedName name="categorylabel">#REF!</definedName>
    <definedName name="CatEyes">#REF!</definedName>
    <definedName name="CATHODIC" hidden="1">{#N/A,#N/A,TRUE,"총괄"}</definedName>
    <definedName name="çatı" hidden="1">{#N/A,#N/A,FALSE,"avans";#N/A,#N/A,FALSE,"teminat_mektubu";#N/A,#N/A,FALSE,"ihz. icmal";#N/A,#N/A,FALSE,"söz_fiy_fark";#N/A,#N/A,FALSE,"kap2";#N/A,#N/A,FALSE,"mal_FF_icm";#N/A,#N/A,FALSE,"kap1"}</definedName>
    <definedName name="CATS.Project" hidden="1">"I0204F"</definedName>
    <definedName name="CBWorkbookPriority" hidden="1">-221879925</definedName>
    <definedName name="cc" hidden="1">{"PLANNING",#N/A,FALSE,"A"}</definedName>
    <definedName name="çç" hidden="1">{#N/A,#N/A,FALSE,"maff_h1";#N/A,#N/A,FALSE,"maff_h2";#N/A,#N/A,FALSE,"maff_h3";#N/A,#N/A,FALSE,"maff_h4";#N/A,#N/A,FALSE,"maff_h5";#N/A,#N/A,FALSE,"maff_h6";#N/A,#N/A,FALSE,"maff_h7"}</definedName>
    <definedName name="ccc" hidden="1">{"PLANT BREAKUP",#N/A,FALSE,"E"}</definedName>
    <definedName name="ÇÇÇÇ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cccccc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ct" hidden="1">#REF!</definedName>
    <definedName name="CCTV">#REF!</definedName>
    <definedName name="c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CDB" hidden="1">OFFSET([0]!Data.Top.Left,1,0)</definedName>
    <definedName name="cdcdc">#REF!</definedName>
    <definedName name="cdf" hidden="1">{#N/A,#N/A,TRUE,"arnitower";#N/A,#N/A,TRUE,"arnigarage "}</definedName>
    <definedName name="CDH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ds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cdu" hidden="1">{#N/A,#N/A,FALSE,"COVER.XLS";#N/A,#N/A,FALSE,"RACT1.XLS";#N/A,#N/A,FALSE,"RACT2.XLS";#N/A,#N/A,FALSE,"ECCMP";#N/A,#N/A,FALSE,"WELDER.XLS"}</definedName>
    <definedName name="CEF" hidden="1">#REF!</definedName>
    <definedName name="cefnotes">#REF!</definedName>
    <definedName name="cem">#REF!</definedName>
    <definedName name="cem_bag">#REF!</definedName>
    <definedName name="CENGİZ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19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24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36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CENGİZ47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5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54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55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56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CENGİZ57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64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CENGİZ9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Cerfi20" hidden="1">#REF!</definedName>
    <definedName name="c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FA">#REF!</definedName>
    <definedName name="CFA_TOTAL">#REF!</definedName>
    <definedName name="cflo" hidden="1">{"CASH FLOW",#N/A,FALSE,"A"}</definedName>
    <definedName name="cflow" hidden="1">{"CASH FLOW",#N/A,FALSE,"A"}</definedName>
    <definedName name="CFS" hidden="1">{#N/A,#N/A,TRUE,"Cover";#N/A,#N/A,TRUE,"Conts";#N/A,#N/A,TRUE,"VOS";#N/A,#N/A,TRUE,"Warrington";#N/A,#N/A,TRUE,"Widnes"}</definedName>
    <definedName name="CF요인" hidden="1">#REF!</definedName>
    <definedName name="ch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ha" hidden="1">{#N/A,#N/A,FALSE,"gc (2)"}</definedName>
    <definedName name="charh" hidden="1">{"proc_tot_nums",#N/A,TRUE,"Act Numbers";"summary_proc",#N/A,TRUE,"Blank1";"PlanProc",#N/A,TRUE,"PlanProc";"process graphs",#N/A,TRUE,"graphs&amp;data";"proj_nums",#N/A,TRUE,"Act Numbers";"Internal_Proj",#N/A,TRUE,"Internal Proj.";#N/A,#N/A,TRUE,"Plan ProjProg";"project graphs",#N/A,TRUE,"graphs&amp;data";"mtm_proc",#N/A,TRUE,"MTM Proc";"MTM_proj",#N/A,TRUE,"MTM Proj"}</definedName>
    <definedName name="chb_100">#REF!</definedName>
    <definedName name="chb_150">#REF!</definedName>
    <definedName name="chelsea" hidden="1">{"'Leverage'!$B$2:$M$418"}</definedName>
    <definedName name="chemical" hidden="1">{#N/A,#N/A,FALSE,"CCTV"}</definedName>
    <definedName name="chitietbgiang2" hidden="1">{"'Sheet1'!$L$16"}</definedName>
    <definedName name="chl" hidden="1">{#N/A,#N/A,TRUE,"Basic";#N/A,#N/A,TRUE,"EXT-TABLE";#N/A,#N/A,TRUE,"STEEL";#N/A,#N/A,TRUE,"INT-Table";#N/A,#N/A,TRUE,"STEEL";#N/A,#N/A,TRUE,"Door"}</definedName>
    <definedName name="chris" hidden="1">{#N/A,#N/A,TRUE,"Cover";#N/A,#N/A,TRUE,"Conts";#N/A,#N/A,TRUE,"VOS";#N/A,#N/A,TRUE,"Warrington";#N/A,#N/A,TRUE,"Widnes"}</definedName>
    <definedName name="CHU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hurch" hidden="1">{"proc_tot_nums",#N/A,TRUE,"Act Numbers";"summary_proc",#N/A,TRUE,"Blank1";"PlanProc",#N/A,TRUE,"PlanProc";"process graphs",#N/A,TRUE,"graphs&amp;data";"proj_nums",#N/A,TRUE,"Act Numbers";"Internal_Proj",#N/A,TRUE,"Internal Proj.";#N/A,#N/A,TRUE,"Plan ProjProg";"project graphs",#N/A,TRUE,"graphs&amp;data";"mtm_proc",#N/A,TRUE,"MTM Proc";"MTM_proj",#N/A,TRUE,"MTM Proj"}</definedName>
    <definedName name="church2" hidden="1">{"proc_tot_nums",#N/A,TRUE,"Act Numbers";"summary_proc",#N/A,TRUE,"Blank1";"PlanProc",#N/A,TRUE,"PlanProc";"process graphs",#N/A,TRUE,"graphs&amp;data";"proj_nums",#N/A,TRUE,"Act Numbers";"Internal_Proj",#N/A,TRUE,"Internal Proj.";#N/A,#N/A,TRUE,"Plan ProjProg";"project graphs",#N/A,TRUE,"graphs&amp;data";"mtm_proc",#N/A,TRUE,"MTM Proc";"MTM_proj",#N/A,TRUE,"MTM Proj"}</definedName>
    <definedName name="ci" hidden="1">{"'照明目录'!$A$1:$H$31"}</definedName>
    <definedName name="cia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çiçek" hidden="1">{#N/A,#N/A,FALSE,"Çaykara ataköy (1)";#N/A,#N/A,FALSE,"Çaykara ataköy (2)";#N/A,#N/A,FALSE,"Rize Kalkandere ";#N/A,#N/A,FALSE,"meydancık";#N/A,#N/A,FALSE,"muratlı"}</definedName>
    <definedName name="CIM">#REF!</definedName>
    <definedName name="çıöut" hidden="1">#REF!</definedName>
    <definedName name="CIR">#REF!</definedName>
    <definedName name="CIRA">#REF!</definedName>
    <definedName name="cl" hidden="1">{"'照明目录'!$A$1:$H$31"}</definedName>
    <definedName name="Cl.Preforma" hidden="1">{"Execavation",#N/A,FALSE,"furniture (employer)"}</definedName>
    <definedName name="CLAIMB" hidden="1">{"Execavation",#N/A,FALSE,"furniture (employer)"}</definedName>
    <definedName name="CLAIMSB" hidden="1">{"Execavation",#N/A,FALSE,"furniture (employer)"}</definedName>
    <definedName name="clear">#REF!</definedName>
    <definedName name="ClearingAndGrubbing">#REF!</definedName>
    <definedName name="CLM" hidden="1">{"Execavation",#N/A,FALSE,"furniture (employer)"}</definedName>
    <definedName name="Cment" hidden="1">{"PLANT BREAKUP",#N/A,FALSE,"E"}</definedName>
    <definedName name="cnvbhfgt657" hidden="1">{#N/A,#N/A,FALSE,"mgtsum.XLS";#N/A,#N/A,FALSE,"CAPONE";#N/A,#N/A,FALSE,"CAPTWO";#N/A,#N/A,FALSE,"CAPTHREE"}</definedName>
    <definedName name="coba" hidden="1">#REF!</definedName>
    <definedName name="CODE_AFGIS">#N/A</definedName>
    <definedName name="CODE_B">#N/A</definedName>
    <definedName name="CODE_E">#N/A</definedName>
    <definedName name="CODE_F">#N/A</definedName>
    <definedName name="CODE_P">#N/A</definedName>
    <definedName name="CODE_Q">#N/A</definedName>
    <definedName name="CODE_S">#N/A</definedName>
    <definedName name="çoıu" hidden="1">#REF!</definedName>
    <definedName name="Col">1.6</definedName>
    <definedName name="Collection_Risk">#REF!</definedName>
    <definedName name="çömjhgv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Communications_Risk">#REF!</definedName>
    <definedName name="Comp.Rate">50</definedName>
    <definedName name="Comp_Rate">50</definedName>
    <definedName name="compare" hidden="1">{"CASH FLOW",#N/A,FALSE,"A"}</definedName>
    <definedName name="Comparision" hidden="1">{"'Sheet1'!$A$4386:$N$4591"}</definedName>
    <definedName name="Compliance_Risk">#REF!</definedName>
    <definedName name="Composite">#REF!</definedName>
    <definedName name="CON" hidden="1">{#N/A,#N/A,TRUE,"Cover";#N/A,#N/A,TRUE,"Conts";#N/A,#N/A,TRUE,"VOS";#N/A,#N/A,TRUE,"Warrington";#N/A,#N/A,TRUE,"Widnes"}</definedName>
    <definedName name="conanalysi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cBridge">#REF!</definedName>
    <definedName name="ConcCub">#REF!</definedName>
    <definedName name="ConcFab">#REF!</definedName>
    <definedName name="ConcOrd.3000psi">#REF!</definedName>
    <definedName name="CONCOURSE" hidden="1">{#N/A,#N/A,TRUE,"Cover";#N/A,#N/A,TRUE,"Conts";#N/A,#N/A,TRUE,"VOS";#N/A,#N/A,TRUE,"Warrington";#N/A,#N/A,TRUE,"Widnes"}</definedName>
    <definedName name="concrete">#REF!</definedName>
    <definedName name="ConcreteClassA">#REF!</definedName>
    <definedName name="ConcSumBridge">#REF!</definedName>
    <definedName name="ConcSumCub">#REF!</definedName>
    <definedName name="ConcSumFab">#REF!</definedName>
    <definedName name="ConcTemp">#REF!</definedName>
    <definedName name="Conduit_Acc_Tab">#REF!</definedName>
    <definedName name="Conduit_Tab">#REF!</definedName>
    <definedName name="Consol1260_6000">#REF!</definedName>
    <definedName name="Consol856_10000">#REF!</definedName>
    <definedName name="Consol856_11300">#REF!</definedName>
    <definedName name="Consol856_1500">#REF!</definedName>
    <definedName name="Consol856_2500">#REF!</definedName>
    <definedName name="Consol856_5400">#REF!</definedName>
    <definedName name="Consol856_8000">#REF!</definedName>
    <definedName name="Consol858_3000">#REF!</definedName>
    <definedName name="Consol858_8000">#REF!</definedName>
    <definedName name="Consol860_3000">#REF!</definedName>
    <definedName name="Consol860_8000">#REF!</definedName>
    <definedName name="content" localSheetId="1" hidden="1">{#N/A,#N/A,FALSE,"mgtsum.XLS";#N/A,#N/A,FALSE,"CAPONE";#N/A,#N/A,FALSE,"CAPTWO";#N/A,#N/A,FALSE,"CAPTHREE"}</definedName>
    <definedName name="content" hidden="1">{#N/A,#N/A,FALSE,"mgtsum.XLS";#N/A,#N/A,FALSE,"CAPONE";#N/A,#N/A,FALSE,"CAPTWO";#N/A,#N/A,FALSE,"CAPTHREE"}</definedName>
    <definedName name="CONTINGENCY">#REF!</definedName>
    <definedName name="Contract_Commitment_Risk">#REF!</definedName>
    <definedName name="contractionjt">#REF!</definedName>
    <definedName name="ContractPackage">#REF!</definedName>
    <definedName name="CONTROL">#REF!</definedName>
    <definedName name="conven">#REF!</definedName>
    <definedName name="copper">#REF!</definedName>
    <definedName name="copy" hidden="1">{"form-D1",#N/A,FALSE,"FORM-D1";"form-D1_amt",#N/A,FALSE,"FORM-D1"}</definedName>
    <definedName name="cos" hidden="1">#REF!</definedName>
    <definedName name="cosrt" hidden="1">{"PLANT BREAKUP",#N/A,FALSE,"E"}</definedName>
    <definedName name="cost" hidden="1">{#N/A,#N/A,TRUE,"Basic";#N/A,#N/A,TRUE,"EXT-TABLE";#N/A,#N/A,TRUE,"STEEL";#N/A,#N/A,TRUE,"INT-Table";#N/A,#N/A,TRUE,"STEEL";#N/A,#N/A,TRUE,"Door"}</definedName>
    <definedName name="COST2" hidden="1">{#N/A,#N/A,TRUE,"Basic";#N/A,#N/A,TRUE,"EXT-TABLE";#N/A,#N/A,TRUE,"STEEL";#N/A,#N/A,TRUE,"INT-Table";#N/A,#N/A,TRUE,"STEEL";#N/A,#N/A,TRUE,"Door"}</definedName>
    <definedName name="COSTCOMP">#N/A</definedName>
    <definedName name="COSTCOMP1">#N/A</definedName>
    <definedName name="COSTCOMP2">#N/A</definedName>
    <definedName name="COSTT" hidden="1">#REF!</definedName>
    <definedName name="COUNT">#N/A</definedName>
    <definedName name="Cover">0.28</definedName>
    <definedName name="CP_history">#REF!</definedName>
    <definedName name="CP04CP06">#REF!</definedName>
    <definedName name="cpf" hidden="1">{#N/A,#N/A,TRUE,"Basic";#N/A,#N/A,TRUE,"EXT-TABLE";#N/A,#N/A,TRUE,"STEEL";#N/A,#N/A,TRUE,"INT-Table";#N/A,#N/A,TRUE,"STEEL";#N/A,#N/A,TRUE,"Door"}</definedName>
    <definedName name="çpou" hidden="1">#REF!</definedName>
    <definedName name="cpr">#REF!</definedName>
    <definedName name="CR">40</definedName>
    <definedName name="CRC">#REF!</definedName>
    <definedName name="CRIT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MB" hidden="1">{"'Bill No. 7'!$A$1:$G$32"}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sDesignMode">1</definedName>
    <definedName name="CSIL_BOP">#N/A</definedName>
    <definedName name="CSIL_YD">#N/A</definedName>
    <definedName name="cst" hidden="1">#REF!</definedName>
    <definedName name="ctbbt" hidden="1">{"'Sheet1'!$L$16"}</definedName>
    <definedName name="CTC" hidden="1">{"CASH FLOW",#N/A,FALSE,"A"}</definedName>
    <definedName name="CTCT1" hidden="1">{"'Sheet1'!$L$16"}</definedName>
    <definedName name="ctrcost">#REF!</definedName>
    <definedName name="cu" hidden="1">{#N/A,#N/A,FALSE,"kal_iç_ihz";#N/A,#N/A,FALSE,"kal_iç_er";#N/A,#N/A,FALSE,"kal_iç_tut"}</definedName>
    <definedName name="CUB">#REF!</definedName>
    <definedName name="CumulativeFinancialProgress">#REF!</definedName>
    <definedName name="CumulativePercentCompletion">#REF!</definedName>
    <definedName name="CurveA">#REF!</definedName>
    <definedName name="Customer_Satisfaction_Risk">#REF!</definedName>
    <definedName name="cut">#REF!</definedName>
    <definedName name="CVL_FAC">#N/A</definedName>
    <definedName name="cvscc">#REF!</definedName>
    <definedName name="CX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cxvnb" hidden="1">#REF!,#REF!</definedName>
    <definedName name="cyA">#REF!</definedName>
    <definedName name="cyB">#REF!</definedName>
    <definedName name="cyC">#REF!</definedName>
    <definedName name="cyD">#REF!</definedName>
    <definedName name="cyE">#REF!</definedName>
    <definedName name="cyF">#REF!</definedName>
    <definedName name="cyG">#REF!</definedName>
    <definedName name="cyH">#REF!</definedName>
    <definedName name="cyI">#REF!</definedName>
    <definedName name="cyJ">#REF!</definedName>
    <definedName name="cyK">#REF!</definedName>
    <definedName name="cyL">#REF!</definedName>
    <definedName name="cyM">#REF!</definedName>
    <definedName name="cyN">#REF!</definedName>
    <definedName name="cyO">#REF!</definedName>
    <definedName name="cyP">#REF!</definedName>
    <definedName name="cyQ">#REF!</definedName>
    <definedName name="cyR">#REF!</definedName>
    <definedName name="cyS">#REF!</definedName>
    <definedName name="cyT">#REF!</definedName>
    <definedName name="cyU">#REF!</definedName>
    <definedName name="cyV">#REF!</definedName>
    <definedName name="cyW">#REF!</definedName>
    <definedName name="cyX">#REF!</definedName>
    <definedName name="cyY">#REF!</definedName>
    <definedName name="cyZ">#REF!</definedName>
    <definedName name="D">#REF!</definedName>
    <definedName name="D_1">#REF!</definedName>
    <definedName name="D_10">#REF!</definedName>
    <definedName name="D_2">#REF!</definedName>
    <definedName name="D_3">#REF!</definedName>
    <definedName name="D_4">#REF!</definedName>
    <definedName name="d_jp" hidden="1">{"'Sheet1'!$A$4386:$N$4591"}</definedName>
    <definedName name="da" hidden="1">{"CASH FLOW",#N/A,FALSE,"A"}</definedName>
    <definedName name="daaa" hidden="1">{#N/A,#N/A,FALSE,"mgtsum.XLS";#N/A,#N/A,FALSE,"CAPONE";#N/A,#N/A,FALSE,"CAPTWO";#N/A,#N/A,FALSE,"CAPTHREE"}</definedName>
    <definedName name="dad">#REF!</definedName>
    <definedName name="damn" hidden="1">{#N/A,#N/A,FALSE,"Aging Summary";#N/A,#N/A,FALSE,"Ratio Analysis";#N/A,#N/A,FALSE,"Test 120 Day Accts";#N/A,#N/A,FALSE,"Tickmarks"}</definedName>
    <definedName name="DAP1WK" hidden="1">{#N/A,#N/A,FALSE,"mgtsum.XLS";#N/A,#N/A,FALSE,"CAPONE";#N/A,#N/A,FALSE,"CAPTWO";#N/A,#N/A,FALSE,"CAPTHREE"}</definedName>
    <definedName name="da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d" hidden="1">#REF!</definedName>
    <definedName name="dasdas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dasdasd" hidden="1">{#N/A,#N/A,FALSE,"ihz. icmal";#N/A,#N/A,FALSE,"avans";#N/A,#N/A,FALSE,"mal_FF_icm";#N/A,#N/A,FALSE,"fat_ihz";#N/A,#N/A,FALSE,"söz_fiy_fark";#N/A,#N/A,FALSE,"kap2"}</definedName>
    <definedName name="dasde" hidden="1">{"'Bill No. 7'!$A$1:$G$32"}</definedName>
    <definedName name="dasdsa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dasf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ATA">#REF!</definedName>
    <definedName name="data.0" hidden="1">OFFSET([0]!Data.Top.Left,1,0)</definedName>
    <definedName name="data.00" hidden="1">OFFSET([0]!Data.Top.Left,1,0)</definedName>
    <definedName name="data.000" hidden="1">OFFSET([0]!Data.Top.Left,1,0)</definedName>
    <definedName name="data.1" hidden="1">OFFSET([0]!Data.Top.Left,1,0)</definedName>
    <definedName name="data.13" hidden="1">OFFSET([0]!Data.Top.Left,1,0)</definedName>
    <definedName name="data.2" hidden="1">OFFSET([0]!Data.Top.Left,1,0)</definedName>
    <definedName name="data.5" hidden="1">OFFSET([0]!Data.Top.Left,1,0)</definedName>
    <definedName name="Data.Dump" hidden="1">OFFSET([0]!Data.Top.Left,1,0)</definedName>
    <definedName name="data.dump13" hidden="1">OFFSET([0]!Data.Top.Left,1,0)</definedName>
    <definedName name="data.oooo" hidden="1">OFFSET([0]!Data.Top.Left,1,0)</definedName>
    <definedName name="Data_1">#REF!</definedName>
    <definedName name="DATA1">#N/A</definedName>
    <definedName name="DATA2">#N/A</definedName>
    <definedName name="DATA3">#N/A</definedName>
    <definedName name="DATA4">#N/A</definedName>
    <definedName name="DATA5">#N/A</definedName>
    <definedName name="DATA6">#N/A</definedName>
    <definedName name="_xlnm.Database" hidden="1">#REF!</definedName>
    <definedName name="Database.File" hidden="1">#REF!</definedName>
    <definedName name="DATAFILL">#N/A</definedName>
    <definedName name="Dataset">#REF!</definedName>
    <definedName name="DatasetD">#REF!</definedName>
    <definedName name="dataww" hidden="1">#REF!</definedName>
    <definedName name="datem">#REF!</definedName>
    <definedName name="datss" hidden="1">OFFSET([0]!Data.Top.Left,1,0)</definedName>
    <definedName name="datsttts" hidden="1">OFFSET([0]!Data.Top.Left,1,0)</definedName>
    <definedName name="dayo" hidden="1">{#N/A,#N/A,FALSE,"Pressupostos";"Mercado",#N/A,FALSE,"Mercado";"Eunet",#N/A,FALSE,"Mercado";#N/A,#N/A,FALSE,"Balanco";#N/A,#N/A,FALSE,"DR";#N/A,#N/A,FALSE,"Fundo de Maneio";#N/A,#N/A,FALSE,"Cash Flow";#N/A,#N/A,FALSE,"Custo Capital";#N/A,#N/A,FALSE,"Valor";#N/A,#N/A,FALSE,"Mapa Imobilizado"}</definedName>
    <definedName name="Daywork1" hidden="1">{#N/A,#N/A,FALSE,"MARCH"}</definedName>
    <definedName name="DBDFB" hidden="1">#REF!</definedName>
    <definedName name="dbp" hidden="1">{"'Leverage'!$B$2:$M$418"}</definedName>
    <definedName name="dc">#REF!</definedName>
    <definedName name="DC7per" hidden="1">#REF!</definedName>
    <definedName name="DCAS" hidden="1">#REF!</definedName>
    <definedName name="DCBDFHF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dcdc" hidden="1">{"CASH FLOW",#N/A,FALSE,"A"}</definedName>
    <definedName name="DCF">#REF!</definedName>
    <definedName name="D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i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hidden="1">{#N/A,#N/A,FALSE,"Çaykara ataköy (1)";#N/A,#N/A,FALSE,"Çaykara ataköy (2)";#N/A,#N/A,FALSE,"Rize Kalkandere ";#N/A,#N/A,FALSE,"meydancık";#N/A,#N/A,FALSE,"muratlı"}</definedName>
    <definedName name="ddada" hidden="1">{#N/A,#N/A,FALSE,"mgtsum.XLS";#N/A,#N/A,FALSE,"CAPONE";#N/A,#N/A,FALSE,"CAPTWO";#N/A,#N/A,FALSE,"CAPTHREE"}</definedName>
    <definedName name="DDCOMPARISON" hidden="1">#REF!</definedName>
    <definedName name="ddd" hidden="1">{#N/A,#N/A,FALSE,"İÇ TOPRAK";#N/A,#N/A,FALSE,"İÇ SANAT";#N/A,#N/A,FALSE,"İÇ AYASOFYA ";#N/A,#N/A,FALSE,"İÇ AKYAZI";#N/A,#N/A,FALSE,"İÇ BEŞİRLİ";#N/A,#N/A,FALSE,"İÇ HAVAALANI";#N/A,#N/A,FALSE,"İÇ SONDAJ";#N/A,#N/A,FALSE,"İÇ KAMU";#N/A,#N/A,FALSE,"İÇ FAROZ"}</definedName>
    <definedName name="DDD_1" hidden="1">{#N/A,#N/A,FALSE,"MODULE3"}</definedName>
    <definedName name="DDD_2" hidden="1">{#N/A,#N/A,FALSE,"MODULE3"}</definedName>
    <definedName name="DDD_3" hidden="1">{#N/A,#N/A,FALSE,"MODULE3"}</definedName>
    <definedName name="dddd" hidden="1">{"'000228 出張報告書'!$A$1:$AE$60"}</definedName>
    <definedName name="DDDD_1" hidden="1">{"form-D1",#N/A,FALSE,"FORM-D1";"form-D1_amt",#N/A,FALSE,"FORM-D1"}</definedName>
    <definedName name="DDDD_2" hidden="1">{"form-D1",#N/A,FALSE,"FORM-D1";"form-D1_amt",#N/A,FALSE,"FORM-D1"}</definedName>
    <definedName name="DDDD_3" hidden="1">{"form-D1",#N/A,FALSE,"FORM-D1";"form-D1_amt",#N/A,FALSE,"FORM-D1"}</definedName>
    <definedName name="ddddd" hidden="1">{"Detail",#N/A,FALSE,"Assump";"Detail",#N/A,FALSE,"Muni";"Detail",#N/A,FALSE,"Proj";"Detail",#N/A,FALSE,"Calc";"Present",#N/A,FALSE,"Cover"}</definedName>
    <definedName name="DDDDD_1" hidden="1">{#N/A,#N/A,FALSE,"MODULE3"}</definedName>
    <definedName name="DDDDD_2" hidden="1">{#N/A,#N/A,FALSE,"MODULE3"}</definedName>
    <definedName name="DDDDD_3" hidden="1">{#N/A,#N/A,FALSE,"MODULE3"}</definedName>
    <definedName name="DDDDDDD" hidden="1">{#N/A,#N/A,FALSE,"Çaykara ataköy (1)";#N/A,#N/A,FALSE,"Çaykara ataköy (2)";#N/A,#N/A,FALSE,"Rize Kalkandere ";#N/A,#N/A,FALSE,"meydancık";#N/A,#N/A,FALSE,"muratlı"}</definedName>
    <definedName name="dddddddddd" hidden="1">{#N/A,#N/A,TRUE,"Cover";#N/A,#N/A,TRUE,"Conts";#N/A,#N/A,TRUE,"VOS";#N/A,#N/A,TRUE,"Warrington";#N/A,#N/A,TRUE,"Widnes"}</definedName>
    <definedName name="DDDDDDDDDDD" hidden="1">{#N/A,#N/A,TRUE,"총괄"}</definedName>
    <definedName name="dddddddddddddd" hidden="1">{#N/A,#N/A,TRUE,"Basic";#N/A,#N/A,TRUE,"EXT-TABLE";#N/A,#N/A,TRUE,"STEEL";#N/A,#N/A,TRUE,"INT-Table";#N/A,#N/A,TRUE,"STEEL";#N/A,#N/A,TRUE,"Door"}</definedName>
    <definedName name="ddf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DDFD" hidden="1">{#N/A,#N/A,FALSE,"CCTV"}</definedName>
    <definedName name="DDGDFGDFG" hidden="1">{#VALUE!,#N/A,FALSE,0;#N/A,#N/A,FALSE,0;#N/A,#N/A,FALSE,0;#N/A,#N/A,FALSE,0;#N/A,#N/A,FALSE,0;#N/A,#N/A,FALSE,0;#N/A,#N/A,FALSE,0;#N/A,#N/A,FALSE,0;#N/A,#N/A,FALSE,0;#N/A,#N/A,FALSE,0;#N/A,#N/A,FALSE,0;#N/A,#N/A,FALSE,0}</definedName>
    <definedName name="DDT_PRELIMS">#REF!</definedName>
    <definedName name="ddwe" hidden="1">{#N/A,#N/A,FALSE,"mgtsum.XLS";#N/A,#N/A,FALSE,"CAPONE";#N/A,#N/A,FALSE,"CAPTWO";#N/A,#N/A,FALSE,"CAPTHREE"}</definedName>
    <definedName name="DEC_19" hidden="1">{#N/A,#N/A,TRUE,"arnitower";#N/A,#N/A,TRUE,"arnigarage "}</definedName>
    <definedName name="dec_25" hidden="1">{#N/A,#N/A,TRUE,"arnitower";#N/A,#N/A,TRUE,"arnigarage "}</definedName>
    <definedName name="Decoration">#REF!</definedName>
    <definedName name="deee" hidden="1">{#N/A,#N/A,FALSE,"ihz. icmal";#N/A,#N/A,FALSE,"avans";#N/A,#N/A,FALSE,"mal_FF_icm";#N/A,#N/A,FALSE,"fat_ihz";#N/A,#N/A,FALSE,"söz_fiy_fark";#N/A,#N/A,FALSE,"kap2"}</definedName>
    <definedName name="def" hidden="1">#REF!</definedName>
    <definedName name="DEL">#REF!</definedName>
    <definedName name="DELIVERED__Kgs.">#REF!</definedName>
    <definedName name="delperweek">#REF!</definedName>
    <definedName name="DELTA">#REF!</definedName>
    <definedName name="DEMO">#REF!</definedName>
    <definedName name="Demolition">#REF!</definedName>
    <definedName name="denem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enomination" hidden="1">1</definedName>
    <definedName name="dep.rev13" hidden="1">OFFSET([0]!Data.Top.Left,1,0)</definedName>
    <definedName name="dep.t" hidden="1">OFFSET([0]!Data.Top.Left,1,0)</definedName>
    <definedName name="depart" hidden="1">{"'Sheet1'!$A$4386:$N$4591"}</definedName>
    <definedName name="DepnReson" hidden="1">#REF!</definedName>
    <definedName name="depreciation.1" hidden="1">OFFSET([0]!Data.Top.Left,1,0)</definedName>
    <definedName name="depreciation.13" hidden="1">OFFSET([0]!Data.Top.Left,1,0)</definedName>
    <definedName name="depreciation.14" hidden="1">OFFSET([0]!Data.Top.Left,1,0)</definedName>
    <definedName name="depreciation.rev" hidden="1">OFFSET([0]!Data.Top.Left,1,0)</definedName>
    <definedName name="depreciation.rev.1" hidden="1">OFFSET([0]!Data.Top.Left,1,0)</definedName>
    <definedName name="depreciation.rev13" hidden="1">OFFSET([0]!Data.Top.Left,1,0)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TAIL_COMP">#N/A</definedName>
    <definedName name="DEVI" hidden="1">{"'Sheet1'!$A$4386:$N$4591"}</definedName>
    <definedName name="df" hidden="1">{#N/A,#N/A,FALSE,"ihz. icmal";#N/A,#N/A,FALSE,"avans";#N/A,#N/A,FALSE,"mal_FF_icm";#N/A,#N/A,FALSE,"fat_ihz";#N/A,#N/A,FALSE,"söz_fiy_fark";#N/A,#N/A,FALSE,"kap2"}</definedName>
    <definedName name="df_1" hidden="1">{"form-D1",#N/A,FALSE,"FORM-D1";"form-D1_amt",#N/A,FALSE,"FORM-D1"}</definedName>
    <definedName name="df_2" hidden="1">{"form-D1",#N/A,FALSE,"FORM-D1";"form-D1_amt",#N/A,FALSE,"FORM-D1"}</definedName>
    <definedName name="df_3" hidden="1">{"form-D1",#N/A,FALSE,"FORM-D1";"form-D1_amt",#N/A,FALSE,"FORM-D1"}</definedName>
    <definedName name="dfaslşd" hidden="1">#REF!</definedName>
    <definedName name="dfdfd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dfs" hidden="1">{"'Sheet1'!$A$4386:$N$4591"}</definedName>
    <definedName name="dfds" hidden="1">{#VALUE!,#N/A,FALSE,0;#N/A,#N/A,FALSE,0;#N/A,#N/A,FALSE,0;#N/A,#N/A,FALSE,0;#N/A,#N/A,FALSE,0;#N/A,#N/A,FALSE,0;#N/A,#N/A,FALSE,0;#N/A,#N/A,FALSE,0}</definedName>
    <definedName name="dfdsf" hidden="1">{#VALUE!,#N/A,FALSE,0;#N/A,#N/A,FALSE,0;#N/A,#N/A,FALSE,0;#N/A,#N/A,FALSE,0;#N/A,#N/A,FALSE,0;#N/A,#N/A,FALSE,0;#N/A,#N/A,FALSE,0;#N/A,#N/A,FALSE,0;#N/A,#N/A,FALSE,0;#N/A,#N/A,FALSE,0;#N/A,#N/A,FALSE,0;#N/A,#N/A,FALSE,0}</definedName>
    <definedName name="DFF" hidden="1">{#N/A,#N/A,FALSE,"kal_iç_ihz";#N/A,#N/A,FALSE,"kal_iç_er";#N/A,#N/A,FALSE,"kal_iç_tut"}</definedName>
    <definedName name="dffe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fg_1" hidden="1">{"form-D1",#N/A,FALSE,"FORM-D1";"form-D1_amt",#N/A,FALSE,"FORM-D1"}</definedName>
    <definedName name="dfg_2" hidden="1">{"form-D1",#N/A,FALSE,"FORM-D1";"form-D1_amt",#N/A,FALSE,"FORM-D1"}</definedName>
    <definedName name="dfg_3" hidden="1">{"form-D1",#N/A,FALSE,"FORM-D1";"form-D1_amt",#N/A,FALSE,"FORM-D1"}</definedName>
    <definedName name="dfgasgv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dfgb" hidden="1">#REF!</definedName>
    <definedName name="dfgd" hidden="1">{#N/A,#N/A,TRUE,"Cover";#N/A,#N/A,TRUE,"Conts";#N/A,#N/A,TRUE,"VOS";#N/A,#N/A,TRUE,"Warrington";#N/A,#N/A,TRUE,"Widnes"}</definedName>
    <definedName name="dfgfds" hidden="1">{"Co1statements",#N/A,FALSE,"Cmpy1";"Co2statement",#N/A,FALSE,"Cmpy2";"co1pm",#N/A,FALSE,"Co1PM";"co2PM",#N/A,FALSE,"Co2PM";"value",#N/A,FALSE,"value";"opco",#N/A,FALSE,"NewSparkle";"adjusts",#N/A,FALSE,"Adjustments"}</definedName>
    <definedName name="dfgg" hidden="1">{#N/A,#N/A,FALSE,"gc (2)"}</definedName>
    <definedName name="dfghjklop" hidden="1">{#N/A,#N/A,FALSE,"mgtsum.XLS";#N/A,#N/A,FALSE,"CAPONE";#N/A,#N/A,FALSE,"CAPTWO";#N/A,#N/A,FALSE,"CAPTHREE"}</definedName>
    <definedName name="DFGSDFGSDGSD" hidden="1">{"'장비'!$A$3:$M$12"}</definedName>
    <definedName name="DFGTR456" hidden="1">#REF!</definedName>
    <definedName name="dfh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hjdf" hidden="1">{"sheet1",#N/A,FALSE,"easheet";"sheet2a",#N/A,FALSE,"easheet";"sheet2b",#N/A,FALSE,"easheet";"sheet3",#N/A,FALSE,"easheet"}</definedName>
    <definedName name="dfjtr" hidden="1">{"offequipsch",#N/A,FALSE,"GTC_Schedule";"onconstsch",#N/A,FALSE,"GTC_Schedule";"techsch",#N/A,FALSE,"GTC_Schedule";"totsch",#N/A,FALSE,"GTC_Schedule"}</definedName>
    <definedName name="DFL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o" hidden="1">{"CASH FLOW",#N/A,FALSE,"A"}</definedName>
    <definedName name="dfs" hidden="1">{#N/A,#N/A,TRUE,"arnitower";#N/A,#N/A,TRUE,"arnigarage "}</definedName>
    <definedName name="DFSDD" hidden="1">#REF!</definedName>
    <definedName name="dfsdfdf" hidden="1">{#N/A,#N/A,FALSE,"CCTV"}</definedName>
    <definedName name="dfsdfsdf" hidden="1">{#VALUE!,#N/A,FALSE,0;#N/A,#N/A,FALSE,0;#N/A,#N/A,FALSE,0;#N/A,#N/A,FALSE,0;#N/A,#N/A,FALSE,0;#N/A,#N/A,FALSE,0;#N/A,#N/A,FALSE,0}</definedName>
    <definedName name="DFSDFSDFSD">#REF!</definedName>
    <definedName name="dg" hidden="1">#REF!</definedName>
    <definedName name="dgagd" hidden="1">{#N/A,#N/A,TRUE,"Basic";#N/A,#N/A,TRUE,"EXT-TABLE";#N/A,#N/A,TRUE,"STEEL";#N/A,#N/A,TRUE,"INT-Table";#N/A,#N/A,TRUE,"STEEL";#N/A,#N/A,TRUE,"Door"}</definedName>
    <definedName name="dgbf" hidden="1">#REF!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fgd" hidden="1">{"offequipsch",#N/A,FALSE,"GTC_Schedule";"onconstsch",#N/A,FALSE,"GTC_Schedule";"techsch",#N/A,FALSE,"GTC_Schedule";"totsch",#N/A,FALSE,"GTC_Schedule"}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fd" hidden="1">{#N/A,#N/A,FALSE,"COVER.XLS";#N/A,#N/A,FALSE,"RACT1.XLS";#N/A,#N/A,FALSE,"RACT2.XLS";#N/A,#N/A,FALSE,"ECCMP";#N/A,#N/A,FALSE,"WELDER.XLS"}</definedName>
    <definedName name="dgfgjgj" hidden="1">{#N/A,#N/A,FALSE,"CCTV"}</definedName>
    <definedName name="dgfsdg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ghdf" hidden="1">{"offequipsch",#N/A,FALSE,"GTC_Schedule";"onconstsch",#N/A,FALSE,"GTC_Schedule";"techsch",#N/A,FALSE,"GTC_Schedule";"totsch",#N/A,FALSE,"GTC_Schedule"}</definedName>
    <definedName name="dghkl" hidden="1">{"'Bill No. 7'!$A$1:$G$32"}</definedName>
    <definedName name="dghkl_1" hidden="1">{"'Bill No. 7'!$A$1:$G$32"}</definedName>
    <definedName name="dghkl_2" hidden="1">{"'Bill No. 7'!$A$1:$G$32"}</definedName>
    <definedName name="dghkl_3" hidden="1">{"'Bill No. 7'!$A$1:$G$32"}</definedName>
    <definedName name="dgjndgh">(#REF!,#REF!)</definedName>
    <definedName name="dh" hidden="1">#REF!,#REF!</definedName>
    <definedName name="DHTML" hidden="1">{"'Sheet1'!$A$4386:$N$4591"}</definedName>
    <definedName name="DHTML_1" hidden="1">{"'Sheet1'!$A$4386:$N$4591"}</definedName>
    <definedName name="DHTML_2" hidden="1">{"'Sheet1'!$A$4386:$N$4591"}</definedName>
    <definedName name="DHTML_3" hidden="1">{"'Sheet1'!$A$4386:$N$4591"}</definedName>
    <definedName name="diesl">#REF!</definedName>
    <definedName name="DIGN" hidden="1">{#N/A,#N/A,TRUE,"Basic";#N/A,#N/A,TRUE,"EXT-TABLE";#N/A,#N/A,TRUE,"STEEL";#N/A,#N/A,TRUE,"INT-Table";#N/A,#N/A,TRUE,"STEEL";#N/A,#N/A,TRUE,"Door"}</definedName>
    <definedName name="DIL" hidden="1">{#N/A,#N/A,FALSE,"avans";#N/A,#N/A,FALSE,"teminat_mektubu";#N/A,#N/A,FALSE,"ihz. icmal";#N/A,#N/A,FALSE,"söz_fiy_fark";#N/A,#N/A,FALSE,"kap2";#N/A,#N/A,FALSE,"mal_FF_icm";#N/A,#N/A,FALSE,"kap1"}</definedName>
    <definedName name="din" hidden="1">{"CASH FLOW",#N/A,FALSE,"A"}</definedName>
    <definedName name="dir" hidden="1">{#N/A,#N/A,FALSE,"COMP"}</definedName>
    <definedName name="DIRHRS">#N/A</definedName>
    <definedName name="Discount" hidden="1">#REF!</definedName>
    <definedName name="display_area_2" hidden="1">#REF!</definedName>
    <definedName name="DISPOSAL">#REF!</definedName>
    <definedName name="dist">#REF!</definedName>
    <definedName name="divider">#REF!</definedName>
    <definedName name="djjii" hidden="1">{#N/A,#N/A,TRUE,"Cover";#N/A,#N/A,TRUE,"Conts";#N/A,#N/A,TRUE,"VOS";#N/A,#N/A,TRUE,"Warrington";#N/A,#N/A,TRUE,"Widnes"}</definedName>
    <definedName name="DKDLFJKDS" hidden="1">{#N/A,#N/A,TRUE,"Basic";#N/A,#N/A,TRUE,"EXT-TABLE";#N/A,#N/A,TRUE,"STEEL";#N/A,#N/A,TRUE,"INT-Table";#N/A,#N/A,TRUE,"STEEL";#N/A,#N/A,TRUE,"Door"}</definedName>
    <definedName name="DOCK" hidden="1">#REF!</definedName>
    <definedName name="doit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OLAR" hidden="1">{#N/A,#N/A,FALSE,"Çaykara ataköy (1)";#N/A,#N/A,FALSE,"Çaykara ataköy (2)";#N/A,#N/A,FALSE,"Rize Kalkandere ";#N/A,#N/A,FALSE,"meydancık";#N/A,#N/A,FALSE,"muratlı"}</definedName>
    <definedName name="DONE1">#N/A</definedName>
    <definedName name="DONE2">#N/A</definedName>
    <definedName name="door">#REF!</definedName>
    <definedName name="Doors">#REF!</definedName>
    <definedName name="dp">#REF!</definedName>
    <definedName name="DPFLSDPFL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r" hidden="1">{"'Sheet1'!$A$4386:$N$4591"}</definedName>
    <definedName name="dr" hidden="1">#REF!</definedName>
    <definedName name="draft" hidden="1">{"SUMMARY",#N/A,FALSE,"C"}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_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_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_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op4">#REF!</definedName>
    <definedName name="drs">#REF!</definedName>
    <definedName name="drytytuyu" hidden="1">{#N/A,#N/A,TRUE,"Cover";#N/A,#N/A,TRUE,"Conts";#N/A,#N/A,TRUE,"VOS";#N/A,#N/A,TRUE,"Warrington";#N/A,#N/A,TRUE,"Widnes"}</definedName>
    <definedName name="DS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dsada" hidden="1">{#N/A,#N/A,TRUE,"Sheet1";#N/A,#N/A,TRUE,"Sheet2";#N/A,#N/A,TRUE,"Sheet3";#N/A,#N/A,TRUE,"Sheet4"}</definedName>
    <definedName name="dsadas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D" hidden="1">{#N/A,#N/A,FALSE,"CCTV"}</definedName>
    <definedName name="dsda" hidden="1">#REF!</definedName>
    <definedName name="DSDD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DSDSD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DSDSD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fkljsd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sdfdf" hidden="1">{#VALUE!,#N/A,TRUE,0;#N/A,#N/A,TRUE,0;#N/A,#N/A,TRUE,0;#N/A,#N/A,TRUE,0;#N/A,#N/A,TRUE,0;#N/A,#N/A,TRUE,0;#N/A,#N/A,TRUE,0}</definedName>
    <definedName name="dsfsdfsd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sgsdgsd" hidden="1">{#N/A,#N/A,FALSE,"5YRASSPl - consol'd";#N/A,#N/A,FALSE,"5YRASSPl - hotel";#N/A,#N/A,FALSE,"5YRASSPl - excl htl";#N/A,#N/A,FALSE,"VarReport";#N/A,#N/A,FALSE,"Sensitivity";#N/A,#N/A,FALSE,"House View ";#N/A,#N/A,FALSE,"KPI"}</definedName>
    <definedName name="dsr" hidden="1">{"sheet1",#N/A,FALSE,"easheet";"sheet2a",#N/A,FALSE,"easheet";"sheet2b",#N/A,FALSE,"easheet";"sheet3",#N/A,FALSE,"easheet"}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T">#REF!</definedName>
    <definedName name="DSUM">#N/A</definedName>
    <definedName name="dtdry" hidden="1">{#N/A,#N/A,TRUE,"Cover";#N/A,#N/A,TRUE,"Conts";#N/A,#N/A,TRUE,"VOS";#N/A,#N/A,TRUE,"Warrington";#N/A,#N/A,TRUE,"Widnes"}</definedName>
    <definedName name="dttt" hidden="1">OFFSET([0]!Data.Top.Left,1,0)</definedName>
    <definedName name="dturuthju" hidden="1">{#N/A,#N/A,TRUE,"Cover";#N/A,#N/A,TRUE,"Conts";#N/A,#N/A,TRUE,"VOS";#N/A,#N/A,TRUE,"Warrington";#N/A,#N/A,TRUE,"Widnes"}</definedName>
    <definedName name="du" hidden="1">{#N/A,#N/A,FALSE,"maff_h1";#N/A,#N/A,FALSE,"maff_h2";#N/A,#N/A,FALSE,"maff_h3";#N/A,#N/A,FALSE,"maff_h4";#N/A,#N/A,FALSE,"maff_h5";#N/A,#N/A,FALSE,"maff_h6";#N/A,#N/A,FALSE,"maff_h7"}</definedName>
    <definedName name="dueuuiyj" hidden="1">{#N/A,#N/A,TRUE,"Cover";#N/A,#N/A,TRUE,"Conts";#N/A,#N/A,TRUE,"VOS";#N/A,#N/A,TRUE,"Warrington";#N/A,#N/A,TRUE,"Widnes"}</definedName>
    <definedName name="Dugtong">#REF!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fasdf" hidden="1">{#N/A,#N/A,FALSE,"TELEFON"}</definedName>
    <definedName name="dw_Flexable">#REF!</definedName>
    <definedName name="dw_FRP">#REF!</definedName>
    <definedName name="dw_Galv">#REF!</definedName>
    <definedName name="dw_Galv_Equipment">#REF!</definedName>
    <definedName name="dw_PSP">#REF!</definedName>
    <definedName name="dw_Rate_per_Kg">#REF!</definedName>
    <definedName name="dw_Rate_per_m2">#REF!</definedName>
    <definedName name="dw_SS">#REF!</definedName>
    <definedName name="dw_SS_Polished">#REF!</definedName>
    <definedName name="dw_SS304L_Purged">#REF!</definedName>
    <definedName name="dwv" hidden="1">{#N/A,#N/A,TRUE,"Basic";#N/A,#N/A,TRUE,"EXT-TABLE";#N/A,#N/A,TRUE,"STEEL";#N/A,#N/A,TRUE,"INT-Table";#N/A,#N/A,TRUE,"STEEL";#N/A,#N/A,TRUE,"Door"}</definedName>
    <definedName name="dydfugfuj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">#REF!</definedName>
    <definedName name="é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e_coat">#REF!</definedName>
    <definedName name="E2_CFA">#REF!</definedName>
    <definedName name="e5ydtr" hidden="1">#REF!,#REF!</definedName>
    <definedName name="ea" hidden="1">{#VALUE!,#N/A,FALSE,0;#N/A,#N/A,FALSE,0;#N/A,#N/A,FALSE,0;#N/A,#N/A,FALSE,0;#N/A,#N/A,FALSE,0;#N/A,#N/A,FALSE,0;#N/A,#N/A,FALSE,0;#N/A,#N/A,FALSE,0;#N/A,#N/A,FALSE,0;#N/A,#N/A,FALSE,0;#N/A,#N/A,FALSE,0;#N/A,#N/A,FALSE,0}</definedName>
    <definedName name="eagrga" hidden="1">{#N/A,#N/A,TRUE,"Cover";#N/A,#N/A,TRUE,"Conts";#N/A,#N/A,TRUE,"VOS";#N/A,#N/A,TRUE,"Warrington";#N/A,#N/A,TRUE,"Widnes"}</definedName>
    <definedName name="eai" hidden="1">{#N/A,#N/A,FALSE,"kal_iç_ihz";#N/A,#N/A,FALSE,"kal_iç_er";#N/A,#N/A,FALSE,"kal_iç_tut"}</definedName>
    <definedName name="eats43" hidden="1">#REF!</definedName>
    <definedName name="eatüa" hidden="1">{#VALUE!,#N/A,FALSE,0;#N/A,#N/A,FALSE,0;#N/A,#N/A,FALSE,0;#N/A,#N/A,FALSE,0}</definedName>
    <definedName name="eaüaü.l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BRS1" hidden="1">#REF!</definedName>
    <definedName name="EC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cat" hidden="1">#REF!</definedName>
    <definedName name="ecatfa" hidden="1">#REF!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" hidden="1">{#N/A,#N/A,FALSE,"Project Properties";#N/A,#N/A,FALSE,"Eng %";#N/A,#N/A,FALSE,"ENGFORM";#N/A,#N/A,FALSE,"staffing";#N/A,#N/A,FALSE,"spending"}</definedName>
    <definedName name="eddd" hidden="1">#REF!</definedName>
    <definedName name="edf" hidden="1">{#N/A,#N/A,FALSE,"ihz. icmal";#N/A,#N/A,FALSE,"avans";#N/A,#N/A,FALSE,"mal_FF_icm";#N/A,#N/A,FALSE,"fat_ihz";#N/A,#N/A,FALSE,"söz_fiy_fark";#N/A,#N/A,FALSE,"kap2"}</definedName>
    <definedName name="EDFQDE" hidden="1">{"'장비'!$A$3:$M$12"}</definedName>
    <definedName name="edsc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E" hidden="1">{#N/A,#N/A,FALSE,"Çaykara ataköy (1)";#N/A,#N/A,FALSE,"Çaykara ataköy (2)";#N/A,#N/A,FALSE,"Rize Kalkandere ";#N/A,#N/A,FALSE,"meydancık";#N/A,#N/A,FALSE,"muratlı"}</definedName>
    <definedName name="EED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eededee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eee" hidden="1">{"CASH FLOW",#N/A,FALSE,"A"}</definedName>
    <definedName name="eee.송운" hidden="1">{#N/A,#N/A,FALSE,"운반시간"}</definedName>
    <definedName name="EEEE" hidden="1">{"form-D1",#N/A,FALSE,"FORM-D1";"form-D1_amt",#N/A,FALSE,"FORM-D1"}</definedName>
    <definedName name="EEEE_1" hidden="1">{"form-D1",#N/A,FALSE,"FORM-D1";"form-D1_amt",#N/A,FALSE,"FORM-D1"}</definedName>
    <definedName name="EEEE_2" hidden="1">{"form-D1",#N/A,FALSE,"FORM-D1";"form-D1_amt",#N/A,FALSE,"FORM-D1"}</definedName>
    <definedName name="EEEE_3" hidden="1">{"form-D1",#N/A,FALSE,"FORM-D1";"form-D1_amt",#N/A,FALSE,"FORM-D1"}</definedName>
    <definedName name="eeeee" hidden="1">{#N/A,#N/A,TRUE,"Cover";#N/A,#N/A,TRUE,"Conts";#N/A,#N/A,TRUE,"VOS";#N/A,#N/A,TRUE,"Warrington";#N/A,#N/A,TRUE,"Widnes"}</definedName>
    <definedName name="eefed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fe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fficiency_Risk">#REF!</definedName>
    <definedName name="ega" hidden="1">{#N/A,#N/A,TRUE,"Basic";#N/A,#N/A,TRUE,"EXT-TABLE";#N/A,#N/A,TRUE,"STEEL";#N/A,#N/A,TRUE,"INT-Table";#N/A,#N/A,TRUE,"STEEL";#N/A,#N/A,TRUE,"Door"}</definedName>
    <definedName name="egag" hidden="1">{#N/A,#N/A,TRUE,"Cover";#N/A,#N/A,TRUE,"Conts";#N/A,#N/A,TRUE,"VOS";#N/A,#N/A,TRUE,"Warrington";#N/A,#N/A,TRUE,"Widnes"}</definedName>
    <definedName name="ehrta" hidden="1">#REF!</definedName>
    <definedName name="EIGHT">#REF!</definedName>
    <definedName name="EIGHTEEN">#REF!</definedName>
    <definedName name="ek.prn" hidden="1">{#N/A,#N/A,FALSE,"Cover Page";#N/A,#N/A,FALSE,"Facing Page";#N/A,#N/A,FALSE,"Main Page";#N/A,#N/A,FALSE,"Risk-Adjusted";#N/A,#N/A,FALSE,"Profit Improvement"}</definedName>
    <definedName name="EL">#REF!</definedName>
    <definedName name="Ele" hidden="1">{"'Break down'!$A$4"}</definedName>
    <definedName name="Electrical" localSheetId="1" hidden="1">{#N/A,#N/A,FALSE,"mgtsum.XLS";#N/A,#N/A,FALSE,"CAPONE";#N/A,#N/A,FALSE,"CAPTWO";#N/A,#N/A,FALSE,"CAPTHREE"}</definedName>
    <definedName name="Electrical" hidden="1">{#N/A,#N/A,FALSE,"mgtsum.XLS";#N/A,#N/A,FALSE,"CAPONE";#N/A,#N/A,FALSE,"CAPTWO";#N/A,#N/A,FALSE,"CAPTHREE"}</definedName>
    <definedName name="Electrical_1" hidden="1">{#N/A,#N/A,FALSE,"mgtsum.XLS";#N/A,#N/A,FALSE,"CAPONE";#N/A,#N/A,FALSE,"CAPTWO";#N/A,#N/A,FALSE,"CAPTHREE"}</definedName>
    <definedName name="Electrical_1_1" hidden="1">{#N/A,#N/A,FALSE,"mgtsum.XLS";#N/A,#N/A,FALSE,"CAPONE";#N/A,#N/A,FALSE,"CAPTWO";#N/A,#N/A,FALSE,"CAPTHREE"}</definedName>
    <definedName name="Electrical_1_1_1" hidden="1">{#N/A,#N/A,FALSE,"mgtsum.XLS";#N/A,#N/A,FALSE,"CAPONE";#N/A,#N/A,FALSE,"CAPTWO";#N/A,#N/A,FALSE,"CAPTHREE"}</definedName>
    <definedName name="Electrical_1_1_1_1" hidden="1">{#N/A,#N/A,FALSE,"mgtsum.XLS";#N/A,#N/A,FALSE,"CAPONE";#N/A,#N/A,FALSE,"CAPTWO";#N/A,#N/A,FALSE,"CAPTHREE"}</definedName>
    <definedName name="Electrical_1_1_1_2" hidden="1">{#N/A,#N/A,FALSE,"mgtsum.XLS";#N/A,#N/A,FALSE,"CAPONE";#N/A,#N/A,FALSE,"CAPTWO";#N/A,#N/A,FALSE,"CAPTHREE"}</definedName>
    <definedName name="Electrical_1_1_1_3" hidden="1">{#N/A,#N/A,FALSE,"mgtsum.XLS";#N/A,#N/A,FALSE,"CAPONE";#N/A,#N/A,FALSE,"CAPTWO";#N/A,#N/A,FALSE,"CAPTHREE"}</definedName>
    <definedName name="Electrical_1_1_1_4" hidden="1">{#N/A,#N/A,FALSE,"mgtsum.XLS";#N/A,#N/A,FALSE,"CAPONE";#N/A,#N/A,FALSE,"CAPTWO";#N/A,#N/A,FALSE,"CAPTHREE"}</definedName>
    <definedName name="Electrical_1_1_1_5" hidden="1">{#N/A,#N/A,FALSE,"mgtsum.XLS";#N/A,#N/A,FALSE,"CAPONE";#N/A,#N/A,FALSE,"CAPTWO";#N/A,#N/A,FALSE,"CAPTHREE"}</definedName>
    <definedName name="Electrical_1_1_2" hidden="1">{#N/A,#N/A,FALSE,"mgtsum.XLS";#N/A,#N/A,FALSE,"CAPONE";#N/A,#N/A,FALSE,"CAPTWO";#N/A,#N/A,FALSE,"CAPTHREE"}</definedName>
    <definedName name="Electrical_1_1_2_1" hidden="1">{#N/A,#N/A,FALSE,"mgtsum.XLS";#N/A,#N/A,FALSE,"CAPONE";#N/A,#N/A,FALSE,"CAPTWO";#N/A,#N/A,FALSE,"CAPTHREE"}</definedName>
    <definedName name="Electrical_1_1_2_2" hidden="1">{#N/A,#N/A,FALSE,"mgtsum.XLS";#N/A,#N/A,FALSE,"CAPONE";#N/A,#N/A,FALSE,"CAPTWO";#N/A,#N/A,FALSE,"CAPTHREE"}</definedName>
    <definedName name="Electrical_1_1_2_3" hidden="1">{#N/A,#N/A,FALSE,"mgtsum.XLS";#N/A,#N/A,FALSE,"CAPONE";#N/A,#N/A,FALSE,"CAPTWO";#N/A,#N/A,FALSE,"CAPTHREE"}</definedName>
    <definedName name="Electrical_1_1_2_4" hidden="1">{#N/A,#N/A,FALSE,"mgtsum.XLS";#N/A,#N/A,FALSE,"CAPONE";#N/A,#N/A,FALSE,"CAPTWO";#N/A,#N/A,FALSE,"CAPTHREE"}</definedName>
    <definedName name="Electrical_1_1_2_5" hidden="1">{#N/A,#N/A,FALSE,"mgtsum.XLS";#N/A,#N/A,FALSE,"CAPONE";#N/A,#N/A,FALSE,"CAPTWO";#N/A,#N/A,FALSE,"CAPTHREE"}</definedName>
    <definedName name="Electrical_1_1_3" hidden="1">{#N/A,#N/A,FALSE,"mgtsum.XLS";#N/A,#N/A,FALSE,"CAPONE";#N/A,#N/A,FALSE,"CAPTWO";#N/A,#N/A,FALSE,"CAPTHREE"}</definedName>
    <definedName name="Electrical_1_1_3_1" hidden="1">{#N/A,#N/A,FALSE,"mgtsum.XLS";#N/A,#N/A,FALSE,"CAPONE";#N/A,#N/A,FALSE,"CAPTWO";#N/A,#N/A,FALSE,"CAPTHREE"}</definedName>
    <definedName name="Electrical_1_1_3_2" hidden="1">{#N/A,#N/A,FALSE,"mgtsum.XLS";#N/A,#N/A,FALSE,"CAPONE";#N/A,#N/A,FALSE,"CAPTWO";#N/A,#N/A,FALSE,"CAPTHREE"}</definedName>
    <definedName name="Electrical_1_1_3_3" hidden="1">{#N/A,#N/A,FALSE,"mgtsum.XLS";#N/A,#N/A,FALSE,"CAPONE";#N/A,#N/A,FALSE,"CAPTWO";#N/A,#N/A,FALSE,"CAPTHREE"}</definedName>
    <definedName name="Electrical_1_1_3_4" hidden="1">{#N/A,#N/A,FALSE,"mgtsum.XLS";#N/A,#N/A,FALSE,"CAPONE";#N/A,#N/A,FALSE,"CAPTWO";#N/A,#N/A,FALSE,"CAPTHREE"}</definedName>
    <definedName name="Electrical_1_1_3_5" hidden="1">{#N/A,#N/A,FALSE,"mgtsum.XLS";#N/A,#N/A,FALSE,"CAPONE";#N/A,#N/A,FALSE,"CAPTWO";#N/A,#N/A,FALSE,"CAPTHREE"}</definedName>
    <definedName name="Electrical_1_1_4" hidden="1">{#N/A,#N/A,FALSE,"mgtsum.XLS";#N/A,#N/A,FALSE,"CAPONE";#N/A,#N/A,FALSE,"CAPTWO";#N/A,#N/A,FALSE,"CAPTHREE"}</definedName>
    <definedName name="Electrical_1_1_5" hidden="1">{#N/A,#N/A,FALSE,"mgtsum.XLS";#N/A,#N/A,FALSE,"CAPONE";#N/A,#N/A,FALSE,"CAPTWO";#N/A,#N/A,FALSE,"CAPTHREE"}</definedName>
    <definedName name="Electrical_1_2" hidden="1">{#N/A,#N/A,FALSE,"mgtsum.XLS";#N/A,#N/A,FALSE,"CAPONE";#N/A,#N/A,FALSE,"CAPTWO";#N/A,#N/A,FALSE,"CAPTHREE"}</definedName>
    <definedName name="Electrical_1_2_1" hidden="1">{#N/A,#N/A,FALSE,"mgtsum.XLS";#N/A,#N/A,FALSE,"CAPONE";#N/A,#N/A,FALSE,"CAPTWO";#N/A,#N/A,FALSE,"CAPTHREE"}</definedName>
    <definedName name="Electrical_1_2_1_1" hidden="1">{#N/A,#N/A,FALSE,"mgtsum.XLS";#N/A,#N/A,FALSE,"CAPONE";#N/A,#N/A,FALSE,"CAPTWO";#N/A,#N/A,FALSE,"CAPTHREE"}</definedName>
    <definedName name="Electrical_1_2_1_2" hidden="1">{#N/A,#N/A,FALSE,"mgtsum.XLS";#N/A,#N/A,FALSE,"CAPONE";#N/A,#N/A,FALSE,"CAPTWO";#N/A,#N/A,FALSE,"CAPTHREE"}</definedName>
    <definedName name="Electrical_1_2_1_3" hidden="1">{#N/A,#N/A,FALSE,"mgtsum.XLS";#N/A,#N/A,FALSE,"CAPONE";#N/A,#N/A,FALSE,"CAPTWO";#N/A,#N/A,FALSE,"CAPTHREE"}</definedName>
    <definedName name="Electrical_1_2_1_4" hidden="1">{#N/A,#N/A,FALSE,"mgtsum.XLS";#N/A,#N/A,FALSE,"CAPONE";#N/A,#N/A,FALSE,"CAPTWO";#N/A,#N/A,FALSE,"CAPTHREE"}</definedName>
    <definedName name="Electrical_1_2_1_5" hidden="1">{#N/A,#N/A,FALSE,"mgtsum.XLS";#N/A,#N/A,FALSE,"CAPONE";#N/A,#N/A,FALSE,"CAPTWO";#N/A,#N/A,FALSE,"CAPTHREE"}</definedName>
    <definedName name="Electrical_1_2_2" hidden="1">{#N/A,#N/A,FALSE,"mgtsum.XLS";#N/A,#N/A,FALSE,"CAPONE";#N/A,#N/A,FALSE,"CAPTWO";#N/A,#N/A,FALSE,"CAPTHREE"}</definedName>
    <definedName name="Electrical_1_2_2_1" hidden="1">{#N/A,#N/A,FALSE,"mgtsum.XLS";#N/A,#N/A,FALSE,"CAPONE";#N/A,#N/A,FALSE,"CAPTWO";#N/A,#N/A,FALSE,"CAPTHREE"}</definedName>
    <definedName name="Electrical_1_2_2_2" hidden="1">{#N/A,#N/A,FALSE,"mgtsum.XLS";#N/A,#N/A,FALSE,"CAPONE";#N/A,#N/A,FALSE,"CAPTWO";#N/A,#N/A,FALSE,"CAPTHREE"}</definedName>
    <definedName name="Electrical_1_2_2_3" hidden="1">{#N/A,#N/A,FALSE,"mgtsum.XLS";#N/A,#N/A,FALSE,"CAPONE";#N/A,#N/A,FALSE,"CAPTWO";#N/A,#N/A,FALSE,"CAPTHREE"}</definedName>
    <definedName name="Electrical_1_2_2_4" hidden="1">{#N/A,#N/A,FALSE,"mgtsum.XLS";#N/A,#N/A,FALSE,"CAPONE";#N/A,#N/A,FALSE,"CAPTWO";#N/A,#N/A,FALSE,"CAPTHREE"}</definedName>
    <definedName name="Electrical_1_2_2_5" hidden="1">{#N/A,#N/A,FALSE,"mgtsum.XLS";#N/A,#N/A,FALSE,"CAPONE";#N/A,#N/A,FALSE,"CAPTWO";#N/A,#N/A,FALSE,"CAPTHREE"}</definedName>
    <definedName name="Electrical_1_2_3" hidden="1">{#N/A,#N/A,FALSE,"mgtsum.XLS";#N/A,#N/A,FALSE,"CAPONE";#N/A,#N/A,FALSE,"CAPTWO";#N/A,#N/A,FALSE,"CAPTHREE"}</definedName>
    <definedName name="Electrical_1_2_4" hidden="1">{#N/A,#N/A,FALSE,"mgtsum.XLS";#N/A,#N/A,FALSE,"CAPONE";#N/A,#N/A,FALSE,"CAPTWO";#N/A,#N/A,FALSE,"CAPTHREE"}</definedName>
    <definedName name="Electrical_1_2_5" hidden="1">{#N/A,#N/A,FALSE,"mgtsum.XLS";#N/A,#N/A,FALSE,"CAPONE";#N/A,#N/A,FALSE,"CAPTWO";#N/A,#N/A,FALSE,"CAPTHREE"}</definedName>
    <definedName name="Electrical_1_3" hidden="1">{#N/A,#N/A,FALSE,"mgtsum.XLS";#N/A,#N/A,FALSE,"CAPONE";#N/A,#N/A,FALSE,"CAPTWO";#N/A,#N/A,FALSE,"CAPTHREE"}</definedName>
    <definedName name="Electrical_1_3_1" hidden="1">{#N/A,#N/A,FALSE,"mgtsum.XLS";#N/A,#N/A,FALSE,"CAPONE";#N/A,#N/A,FALSE,"CAPTWO";#N/A,#N/A,FALSE,"CAPTHREE"}</definedName>
    <definedName name="Electrical_1_3_1_1" hidden="1">{#N/A,#N/A,FALSE,"mgtsum.XLS";#N/A,#N/A,FALSE,"CAPONE";#N/A,#N/A,FALSE,"CAPTWO";#N/A,#N/A,FALSE,"CAPTHREE"}</definedName>
    <definedName name="Electrical_1_3_1_2" hidden="1">{#N/A,#N/A,FALSE,"mgtsum.XLS";#N/A,#N/A,FALSE,"CAPONE";#N/A,#N/A,FALSE,"CAPTWO";#N/A,#N/A,FALSE,"CAPTHREE"}</definedName>
    <definedName name="Electrical_1_3_1_3" hidden="1">{#N/A,#N/A,FALSE,"mgtsum.XLS";#N/A,#N/A,FALSE,"CAPONE";#N/A,#N/A,FALSE,"CAPTWO";#N/A,#N/A,FALSE,"CAPTHREE"}</definedName>
    <definedName name="Electrical_1_3_1_4" hidden="1">{#N/A,#N/A,FALSE,"mgtsum.XLS";#N/A,#N/A,FALSE,"CAPONE";#N/A,#N/A,FALSE,"CAPTWO";#N/A,#N/A,FALSE,"CAPTHREE"}</definedName>
    <definedName name="Electrical_1_3_1_5" hidden="1">{#N/A,#N/A,FALSE,"mgtsum.XLS";#N/A,#N/A,FALSE,"CAPONE";#N/A,#N/A,FALSE,"CAPTWO";#N/A,#N/A,FALSE,"CAPTHREE"}</definedName>
    <definedName name="Electrical_1_3_2" hidden="1">{#N/A,#N/A,FALSE,"mgtsum.XLS";#N/A,#N/A,FALSE,"CAPONE";#N/A,#N/A,FALSE,"CAPTWO";#N/A,#N/A,FALSE,"CAPTHREE"}</definedName>
    <definedName name="Electrical_1_3_2_1" hidden="1">{#N/A,#N/A,FALSE,"mgtsum.XLS";#N/A,#N/A,FALSE,"CAPONE";#N/A,#N/A,FALSE,"CAPTWO";#N/A,#N/A,FALSE,"CAPTHREE"}</definedName>
    <definedName name="Electrical_1_3_2_2" hidden="1">{#N/A,#N/A,FALSE,"mgtsum.XLS";#N/A,#N/A,FALSE,"CAPONE";#N/A,#N/A,FALSE,"CAPTWO";#N/A,#N/A,FALSE,"CAPTHREE"}</definedName>
    <definedName name="Electrical_1_3_2_3" hidden="1">{#N/A,#N/A,FALSE,"mgtsum.XLS";#N/A,#N/A,FALSE,"CAPONE";#N/A,#N/A,FALSE,"CAPTWO";#N/A,#N/A,FALSE,"CAPTHREE"}</definedName>
    <definedName name="Electrical_1_3_2_4" hidden="1">{#N/A,#N/A,FALSE,"mgtsum.XLS";#N/A,#N/A,FALSE,"CAPONE";#N/A,#N/A,FALSE,"CAPTWO";#N/A,#N/A,FALSE,"CAPTHREE"}</definedName>
    <definedName name="Electrical_1_3_2_5" hidden="1">{#N/A,#N/A,FALSE,"mgtsum.XLS";#N/A,#N/A,FALSE,"CAPONE";#N/A,#N/A,FALSE,"CAPTWO";#N/A,#N/A,FALSE,"CAPTHREE"}</definedName>
    <definedName name="Electrical_1_3_3" hidden="1">{#N/A,#N/A,FALSE,"mgtsum.XLS";#N/A,#N/A,FALSE,"CAPONE";#N/A,#N/A,FALSE,"CAPTWO";#N/A,#N/A,FALSE,"CAPTHREE"}</definedName>
    <definedName name="Electrical_1_3_4" hidden="1">{#N/A,#N/A,FALSE,"mgtsum.XLS";#N/A,#N/A,FALSE,"CAPONE";#N/A,#N/A,FALSE,"CAPTWO";#N/A,#N/A,FALSE,"CAPTHREE"}</definedName>
    <definedName name="Electrical_1_3_5" hidden="1">{#N/A,#N/A,FALSE,"mgtsum.XLS";#N/A,#N/A,FALSE,"CAPONE";#N/A,#N/A,FALSE,"CAPTWO";#N/A,#N/A,FALSE,"CAPTHREE"}</definedName>
    <definedName name="Electrical_1_4" hidden="1">{#N/A,#N/A,FALSE,"mgtsum.XLS";#N/A,#N/A,FALSE,"CAPONE";#N/A,#N/A,FALSE,"CAPTWO";#N/A,#N/A,FALSE,"CAPTHREE"}</definedName>
    <definedName name="Electrical_1_4_1" hidden="1">{#N/A,#N/A,FALSE,"mgtsum.XLS";#N/A,#N/A,FALSE,"CAPONE";#N/A,#N/A,FALSE,"CAPTWO";#N/A,#N/A,FALSE,"CAPTHREE"}</definedName>
    <definedName name="Electrical_1_4_1_1" hidden="1">{#N/A,#N/A,FALSE,"mgtsum.XLS";#N/A,#N/A,FALSE,"CAPONE";#N/A,#N/A,FALSE,"CAPTWO";#N/A,#N/A,FALSE,"CAPTHREE"}</definedName>
    <definedName name="Electrical_1_4_1_2" hidden="1">{#N/A,#N/A,FALSE,"mgtsum.XLS";#N/A,#N/A,FALSE,"CAPONE";#N/A,#N/A,FALSE,"CAPTWO";#N/A,#N/A,FALSE,"CAPTHREE"}</definedName>
    <definedName name="Electrical_1_4_1_3" hidden="1">{#N/A,#N/A,FALSE,"mgtsum.XLS";#N/A,#N/A,FALSE,"CAPONE";#N/A,#N/A,FALSE,"CAPTWO";#N/A,#N/A,FALSE,"CAPTHREE"}</definedName>
    <definedName name="Electrical_1_4_1_4" hidden="1">{#N/A,#N/A,FALSE,"mgtsum.XLS";#N/A,#N/A,FALSE,"CAPONE";#N/A,#N/A,FALSE,"CAPTWO";#N/A,#N/A,FALSE,"CAPTHREE"}</definedName>
    <definedName name="Electrical_1_4_1_5" hidden="1">{#N/A,#N/A,FALSE,"mgtsum.XLS";#N/A,#N/A,FALSE,"CAPONE";#N/A,#N/A,FALSE,"CAPTWO";#N/A,#N/A,FALSE,"CAPTHREE"}</definedName>
    <definedName name="Electrical_1_4_2" hidden="1">{#N/A,#N/A,FALSE,"mgtsum.XLS";#N/A,#N/A,FALSE,"CAPONE";#N/A,#N/A,FALSE,"CAPTWO";#N/A,#N/A,FALSE,"CAPTHREE"}</definedName>
    <definedName name="Electrical_1_4_2_1" hidden="1">{#N/A,#N/A,FALSE,"mgtsum.XLS";#N/A,#N/A,FALSE,"CAPONE";#N/A,#N/A,FALSE,"CAPTWO";#N/A,#N/A,FALSE,"CAPTHREE"}</definedName>
    <definedName name="Electrical_1_4_2_2" hidden="1">{#N/A,#N/A,FALSE,"mgtsum.XLS";#N/A,#N/A,FALSE,"CAPONE";#N/A,#N/A,FALSE,"CAPTWO";#N/A,#N/A,FALSE,"CAPTHREE"}</definedName>
    <definedName name="Electrical_1_4_2_3" hidden="1">{#N/A,#N/A,FALSE,"mgtsum.XLS";#N/A,#N/A,FALSE,"CAPONE";#N/A,#N/A,FALSE,"CAPTWO";#N/A,#N/A,FALSE,"CAPTHREE"}</definedName>
    <definedName name="Electrical_1_4_2_4" hidden="1">{#N/A,#N/A,FALSE,"mgtsum.XLS";#N/A,#N/A,FALSE,"CAPONE";#N/A,#N/A,FALSE,"CAPTWO";#N/A,#N/A,FALSE,"CAPTHREE"}</definedName>
    <definedName name="Electrical_1_4_2_5" hidden="1">{#N/A,#N/A,FALSE,"mgtsum.XLS";#N/A,#N/A,FALSE,"CAPONE";#N/A,#N/A,FALSE,"CAPTWO";#N/A,#N/A,FALSE,"CAPTHREE"}</definedName>
    <definedName name="Electrical_1_4_3" hidden="1">{#N/A,#N/A,FALSE,"mgtsum.XLS";#N/A,#N/A,FALSE,"CAPONE";#N/A,#N/A,FALSE,"CAPTWO";#N/A,#N/A,FALSE,"CAPTHREE"}</definedName>
    <definedName name="Electrical_1_4_4" hidden="1">{#N/A,#N/A,FALSE,"mgtsum.XLS";#N/A,#N/A,FALSE,"CAPONE";#N/A,#N/A,FALSE,"CAPTWO";#N/A,#N/A,FALSE,"CAPTHREE"}</definedName>
    <definedName name="Electrical_1_4_5" hidden="1">{#N/A,#N/A,FALSE,"mgtsum.XLS";#N/A,#N/A,FALSE,"CAPONE";#N/A,#N/A,FALSE,"CAPTWO";#N/A,#N/A,FALSE,"CAPTHREE"}</definedName>
    <definedName name="Electrical_1_5" hidden="1">{#N/A,#N/A,FALSE,"mgtsum.XLS";#N/A,#N/A,FALSE,"CAPONE";#N/A,#N/A,FALSE,"CAPTWO";#N/A,#N/A,FALSE,"CAPTHREE"}</definedName>
    <definedName name="Electrical_1_5_1" hidden="1">{#N/A,#N/A,FALSE,"mgtsum.XLS";#N/A,#N/A,FALSE,"CAPONE";#N/A,#N/A,FALSE,"CAPTWO";#N/A,#N/A,FALSE,"CAPTHREE"}</definedName>
    <definedName name="Electrical_1_5_1_1" hidden="1">{#N/A,#N/A,FALSE,"mgtsum.XLS";#N/A,#N/A,FALSE,"CAPONE";#N/A,#N/A,FALSE,"CAPTWO";#N/A,#N/A,FALSE,"CAPTHREE"}</definedName>
    <definedName name="Electrical_1_5_1_2" hidden="1">{#N/A,#N/A,FALSE,"mgtsum.XLS";#N/A,#N/A,FALSE,"CAPONE";#N/A,#N/A,FALSE,"CAPTWO";#N/A,#N/A,FALSE,"CAPTHREE"}</definedName>
    <definedName name="Electrical_1_5_1_3" hidden="1">{#N/A,#N/A,FALSE,"mgtsum.XLS";#N/A,#N/A,FALSE,"CAPONE";#N/A,#N/A,FALSE,"CAPTWO";#N/A,#N/A,FALSE,"CAPTHREE"}</definedName>
    <definedName name="Electrical_1_5_1_4" hidden="1">{#N/A,#N/A,FALSE,"mgtsum.XLS";#N/A,#N/A,FALSE,"CAPONE";#N/A,#N/A,FALSE,"CAPTWO";#N/A,#N/A,FALSE,"CAPTHREE"}</definedName>
    <definedName name="Electrical_1_5_1_5" hidden="1">{#N/A,#N/A,FALSE,"mgtsum.XLS";#N/A,#N/A,FALSE,"CAPONE";#N/A,#N/A,FALSE,"CAPTWO";#N/A,#N/A,FALSE,"CAPTHREE"}</definedName>
    <definedName name="Electrical_1_5_2" hidden="1">{#N/A,#N/A,FALSE,"mgtsum.XLS";#N/A,#N/A,FALSE,"CAPONE";#N/A,#N/A,FALSE,"CAPTWO";#N/A,#N/A,FALSE,"CAPTHREE"}</definedName>
    <definedName name="Electrical_1_5_2_1" hidden="1">{#N/A,#N/A,FALSE,"mgtsum.XLS";#N/A,#N/A,FALSE,"CAPONE";#N/A,#N/A,FALSE,"CAPTWO";#N/A,#N/A,FALSE,"CAPTHREE"}</definedName>
    <definedName name="Electrical_1_5_2_2" hidden="1">{#N/A,#N/A,FALSE,"mgtsum.XLS";#N/A,#N/A,FALSE,"CAPONE";#N/A,#N/A,FALSE,"CAPTWO";#N/A,#N/A,FALSE,"CAPTHREE"}</definedName>
    <definedName name="Electrical_1_5_2_3" hidden="1">{#N/A,#N/A,FALSE,"mgtsum.XLS";#N/A,#N/A,FALSE,"CAPONE";#N/A,#N/A,FALSE,"CAPTWO";#N/A,#N/A,FALSE,"CAPTHREE"}</definedName>
    <definedName name="Electrical_1_5_2_4" hidden="1">{#N/A,#N/A,FALSE,"mgtsum.XLS";#N/A,#N/A,FALSE,"CAPONE";#N/A,#N/A,FALSE,"CAPTWO";#N/A,#N/A,FALSE,"CAPTHREE"}</definedName>
    <definedName name="Electrical_1_5_2_5" hidden="1">{#N/A,#N/A,FALSE,"mgtsum.XLS";#N/A,#N/A,FALSE,"CAPONE";#N/A,#N/A,FALSE,"CAPTWO";#N/A,#N/A,FALSE,"CAPTHREE"}</definedName>
    <definedName name="Electrical_1_5_3" hidden="1">{#N/A,#N/A,FALSE,"mgtsum.XLS";#N/A,#N/A,FALSE,"CAPONE";#N/A,#N/A,FALSE,"CAPTWO";#N/A,#N/A,FALSE,"CAPTHREE"}</definedName>
    <definedName name="Electrical_1_5_4" hidden="1">{#N/A,#N/A,FALSE,"mgtsum.XLS";#N/A,#N/A,FALSE,"CAPONE";#N/A,#N/A,FALSE,"CAPTWO";#N/A,#N/A,FALSE,"CAPTHREE"}</definedName>
    <definedName name="Electrical_1_5_5" hidden="1">{#N/A,#N/A,FALSE,"mgtsum.XLS";#N/A,#N/A,FALSE,"CAPONE";#N/A,#N/A,FALSE,"CAPTWO";#N/A,#N/A,FALSE,"CAPTHREE"}</definedName>
    <definedName name="Electrical_2" hidden="1">{#N/A,#N/A,FALSE,"mgtsum.XLS";#N/A,#N/A,FALSE,"CAPONE";#N/A,#N/A,FALSE,"CAPTWO";#N/A,#N/A,FALSE,"CAPTHREE"}</definedName>
    <definedName name="Electrical_2_1" hidden="1">{#N/A,#N/A,FALSE,"mgtsum.XLS";#N/A,#N/A,FALSE,"CAPONE";#N/A,#N/A,FALSE,"CAPTWO";#N/A,#N/A,FALSE,"CAPTHREE"}</definedName>
    <definedName name="Electrical_2_1_1" hidden="1">{#N/A,#N/A,FALSE,"mgtsum.XLS";#N/A,#N/A,FALSE,"CAPONE";#N/A,#N/A,FALSE,"CAPTWO";#N/A,#N/A,FALSE,"CAPTHREE"}</definedName>
    <definedName name="Electrical_2_1_1_1" hidden="1">{#N/A,#N/A,FALSE,"mgtsum.XLS";#N/A,#N/A,FALSE,"CAPONE";#N/A,#N/A,FALSE,"CAPTWO";#N/A,#N/A,FALSE,"CAPTHREE"}</definedName>
    <definedName name="Electrical_2_1_1_2" hidden="1">{#N/A,#N/A,FALSE,"mgtsum.XLS";#N/A,#N/A,FALSE,"CAPONE";#N/A,#N/A,FALSE,"CAPTWO";#N/A,#N/A,FALSE,"CAPTHREE"}</definedName>
    <definedName name="Electrical_2_1_1_3" hidden="1">{#N/A,#N/A,FALSE,"mgtsum.XLS";#N/A,#N/A,FALSE,"CAPONE";#N/A,#N/A,FALSE,"CAPTWO";#N/A,#N/A,FALSE,"CAPTHREE"}</definedName>
    <definedName name="Electrical_2_1_1_4" hidden="1">{#N/A,#N/A,FALSE,"mgtsum.XLS";#N/A,#N/A,FALSE,"CAPONE";#N/A,#N/A,FALSE,"CAPTWO";#N/A,#N/A,FALSE,"CAPTHREE"}</definedName>
    <definedName name="Electrical_2_1_1_5" hidden="1">{#N/A,#N/A,FALSE,"mgtsum.XLS";#N/A,#N/A,FALSE,"CAPONE";#N/A,#N/A,FALSE,"CAPTWO";#N/A,#N/A,FALSE,"CAPTHREE"}</definedName>
    <definedName name="Electrical_2_1_2" hidden="1">{#N/A,#N/A,FALSE,"mgtsum.XLS";#N/A,#N/A,FALSE,"CAPONE";#N/A,#N/A,FALSE,"CAPTWO";#N/A,#N/A,FALSE,"CAPTHREE"}</definedName>
    <definedName name="Electrical_2_1_2_1" hidden="1">{#N/A,#N/A,FALSE,"mgtsum.XLS";#N/A,#N/A,FALSE,"CAPONE";#N/A,#N/A,FALSE,"CAPTWO";#N/A,#N/A,FALSE,"CAPTHREE"}</definedName>
    <definedName name="Electrical_2_1_2_2" hidden="1">{#N/A,#N/A,FALSE,"mgtsum.XLS";#N/A,#N/A,FALSE,"CAPONE";#N/A,#N/A,FALSE,"CAPTWO";#N/A,#N/A,FALSE,"CAPTHREE"}</definedName>
    <definedName name="Electrical_2_1_2_3" hidden="1">{#N/A,#N/A,FALSE,"mgtsum.XLS";#N/A,#N/A,FALSE,"CAPONE";#N/A,#N/A,FALSE,"CAPTWO";#N/A,#N/A,FALSE,"CAPTHREE"}</definedName>
    <definedName name="Electrical_2_1_2_4" hidden="1">{#N/A,#N/A,FALSE,"mgtsum.XLS";#N/A,#N/A,FALSE,"CAPONE";#N/A,#N/A,FALSE,"CAPTWO";#N/A,#N/A,FALSE,"CAPTHREE"}</definedName>
    <definedName name="Electrical_2_1_2_5" hidden="1">{#N/A,#N/A,FALSE,"mgtsum.XLS";#N/A,#N/A,FALSE,"CAPONE";#N/A,#N/A,FALSE,"CAPTWO";#N/A,#N/A,FALSE,"CAPTHREE"}</definedName>
    <definedName name="Electrical_2_1_3" hidden="1">{#N/A,#N/A,FALSE,"mgtsum.XLS";#N/A,#N/A,FALSE,"CAPONE";#N/A,#N/A,FALSE,"CAPTWO";#N/A,#N/A,FALSE,"CAPTHREE"}</definedName>
    <definedName name="Electrical_2_1_3_1" hidden="1">{#N/A,#N/A,FALSE,"mgtsum.XLS";#N/A,#N/A,FALSE,"CAPONE";#N/A,#N/A,FALSE,"CAPTWO";#N/A,#N/A,FALSE,"CAPTHREE"}</definedName>
    <definedName name="Electrical_2_1_3_2" hidden="1">{#N/A,#N/A,FALSE,"mgtsum.XLS";#N/A,#N/A,FALSE,"CAPONE";#N/A,#N/A,FALSE,"CAPTWO";#N/A,#N/A,FALSE,"CAPTHREE"}</definedName>
    <definedName name="Electrical_2_1_3_3" hidden="1">{#N/A,#N/A,FALSE,"mgtsum.XLS";#N/A,#N/A,FALSE,"CAPONE";#N/A,#N/A,FALSE,"CAPTWO";#N/A,#N/A,FALSE,"CAPTHREE"}</definedName>
    <definedName name="Electrical_2_1_3_4" hidden="1">{#N/A,#N/A,FALSE,"mgtsum.XLS";#N/A,#N/A,FALSE,"CAPONE";#N/A,#N/A,FALSE,"CAPTWO";#N/A,#N/A,FALSE,"CAPTHREE"}</definedName>
    <definedName name="Electrical_2_1_3_5" hidden="1">{#N/A,#N/A,FALSE,"mgtsum.XLS";#N/A,#N/A,FALSE,"CAPONE";#N/A,#N/A,FALSE,"CAPTWO";#N/A,#N/A,FALSE,"CAPTHREE"}</definedName>
    <definedName name="Electrical_2_1_4" hidden="1">{#N/A,#N/A,FALSE,"mgtsum.XLS";#N/A,#N/A,FALSE,"CAPONE";#N/A,#N/A,FALSE,"CAPTWO";#N/A,#N/A,FALSE,"CAPTHREE"}</definedName>
    <definedName name="Electrical_2_1_5" hidden="1">{#N/A,#N/A,FALSE,"mgtsum.XLS";#N/A,#N/A,FALSE,"CAPONE";#N/A,#N/A,FALSE,"CAPTWO";#N/A,#N/A,FALSE,"CAPTHREE"}</definedName>
    <definedName name="Electrical_2_2" hidden="1">{#N/A,#N/A,FALSE,"mgtsum.XLS";#N/A,#N/A,FALSE,"CAPONE";#N/A,#N/A,FALSE,"CAPTWO";#N/A,#N/A,FALSE,"CAPTHREE"}</definedName>
    <definedName name="Electrical_2_2_1" hidden="1">{#N/A,#N/A,FALSE,"mgtsum.XLS";#N/A,#N/A,FALSE,"CAPONE";#N/A,#N/A,FALSE,"CAPTWO";#N/A,#N/A,FALSE,"CAPTHREE"}</definedName>
    <definedName name="Electrical_2_2_1_1" hidden="1">{#N/A,#N/A,FALSE,"mgtsum.XLS";#N/A,#N/A,FALSE,"CAPONE";#N/A,#N/A,FALSE,"CAPTWO";#N/A,#N/A,FALSE,"CAPTHREE"}</definedName>
    <definedName name="Electrical_2_2_1_2" hidden="1">{#N/A,#N/A,FALSE,"mgtsum.XLS";#N/A,#N/A,FALSE,"CAPONE";#N/A,#N/A,FALSE,"CAPTWO";#N/A,#N/A,FALSE,"CAPTHREE"}</definedName>
    <definedName name="Electrical_2_2_1_3" hidden="1">{#N/A,#N/A,FALSE,"mgtsum.XLS";#N/A,#N/A,FALSE,"CAPONE";#N/A,#N/A,FALSE,"CAPTWO";#N/A,#N/A,FALSE,"CAPTHREE"}</definedName>
    <definedName name="Electrical_2_2_1_4" hidden="1">{#N/A,#N/A,FALSE,"mgtsum.XLS";#N/A,#N/A,FALSE,"CAPONE";#N/A,#N/A,FALSE,"CAPTWO";#N/A,#N/A,FALSE,"CAPTHREE"}</definedName>
    <definedName name="Electrical_2_2_1_5" hidden="1">{#N/A,#N/A,FALSE,"mgtsum.XLS";#N/A,#N/A,FALSE,"CAPONE";#N/A,#N/A,FALSE,"CAPTWO";#N/A,#N/A,FALSE,"CAPTHREE"}</definedName>
    <definedName name="Electrical_2_2_2" hidden="1">{#N/A,#N/A,FALSE,"mgtsum.XLS";#N/A,#N/A,FALSE,"CAPONE";#N/A,#N/A,FALSE,"CAPTWO";#N/A,#N/A,FALSE,"CAPTHREE"}</definedName>
    <definedName name="Electrical_2_2_2_1" hidden="1">{#N/A,#N/A,FALSE,"mgtsum.XLS";#N/A,#N/A,FALSE,"CAPONE";#N/A,#N/A,FALSE,"CAPTWO";#N/A,#N/A,FALSE,"CAPTHREE"}</definedName>
    <definedName name="Electrical_2_2_2_2" hidden="1">{#N/A,#N/A,FALSE,"mgtsum.XLS";#N/A,#N/A,FALSE,"CAPONE";#N/A,#N/A,FALSE,"CAPTWO";#N/A,#N/A,FALSE,"CAPTHREE"}</definedName>
    <definedName name="Electrical_2_2_2_3" hidden="1">{#N/A,#N/A,FALSE,"mgtsum.XLS";#N/A,#N/A,FALSE,"CAPONE";#N/A,#N/A,FALSE,"CAPTWO";#N/A,#N/A,FALSE,"CAPTHREE"}</definedName>
    <definedName name="Electrical_2_2_2_4" hidden="1">{#N/A,#N/A,FALSE,"mgtsum.XLS";#N/A,#N/A,FALSE,"CAPONE";#N/A,#N/A,FALSE,"CAPTWO";#N/A,#N/A,FALSE,"CAPTHREE"}</definedName>
    <definedName name="Electrical_2_2_2_5" hidden="1">{#N/A,#N/A,FALSE,"mgtsum.XLS";#N/A,#N/A,FALSE,"CAPONE";#N/A,#N/A,FALSE,"CAPTWO";#N/A,#N/A,FALSE,"CAPTHREE"}</definedName>
    <definedName name="Electrical_2_2_3" hidden="1">{#N/A,#N/A,FALSE,"mgtsum.XLS";#N/A,#N/A,FALSE,"CAPONE";#N/A,#N/A,FALSE,"CAPTWO";#N/A,#N/A,FALSE,"CAPTHREE"}</definedName>
    <definedName name="Electrical_2_2_4" hidden="1">{#N/A,#N/A,FALSE,"mgtsum.XLS";#N/A,#N/A,FALSE,"CAPONE";#N/A,#N/A,FALSE,"CAPTWO";#N/A,#N/A,FALSE,"CAPTHREE"}</definedName>
    <definedName name="Electrical_2_2_5" hidden="1">{#N/A,#N/A,FALSE,"mgtsum.XLS";#N/A,#N/A,FALSE,"CAPONE";#N/A,#N/A,FALSE,"CAPTWO";#N/A,#N/A,FALSE,"CAPTHREE"}</definedName>
    <definedName name="Electrical_2_3" hidden="1">{#N/A,#N/A,FALSE,"mgtsum.XLS";#N/A,#N/A,FALSE,"CAPONE";#N/A,#N/A,FALSE,"CAPTWO";#N/A,#N/A,FALSE,"CAPTHREE"}</definedName>
    <definedName name="Electrical_2_3_1" hidden="1">{#N/A,#N/A,FALSE,"mgtsum.XLS";#N/A,#N/A,FALSE,"CAPONE";#N/A,#N/A,FALSE,"CAPTWO";#N/A,#N/A,FALSE,"CAPTHREE"}</definedName>
    <definedName name="Electrical_2_3_1_1" hidden="1">{#N/A,#N/A,FALSE,"mgtsum.XLS";#N/A,#N/A,FALSE,"CAPONE";#N/A,#N/A,FALSE,"CAPTWO";#N/A,#N/A,FALSE,"CAPTHREE"}</definedName>
    <definedName name="Electrical_2_3_1_2" hidden="1">{#N/A,#N/A,FALSE,"mgtsum.XLS";#N/A,#N/A,FALSE,"CAPONE";#N/A,#N/A,FALSE,"CAPTWO";#N/A,#N/A,FALSE,"CAPTHREE"}</definedName>
    <definedName name="Electrical_2_3_1_3" hidden="1">{#N/A,#N/A,FALSE,"mgtsum.XLS";#N/A,#N/A,FALSE,"CAPONE";#N/A,#N/A,FALSE,"CAPTWO";#N/A,#N/A,FALSE,"CAPTHREE"}</definedName>
    <definedName name="Electrical_2_3_1_4" hidden="1">{#N/A,#N/A,FALSE,"mgtsum.XLS";#N/A,#N/A,FALSE,"CAPONE";#N/A,#N/A,FALSE,"CAPTWO";#N/A,#N/A,FALSE,"CAPTHREE"}</definedName>
    <definedName name="Electrical_2_3_1_5" hidden="1">{#N/A,#N/A,FALSE,"mgtsum.XLS";#N/A,#N/A,FALSE,"CAPONE";#N/A,#N/A,FALSE,"CAPTWO";#N/A,#N/A,FALSE,"CAPTHREE"}</definedName>
    <definedName name="Electrical_2_3_2" hidden="1">{#N/A,#N/A,FALSE,"mgtsum.XLS";#N/A,#N/A,FALSE,"CAPONE";#N/A,#N/A,FALSE,"CAPTWO";#N/A,#N/A,FALSE,"CAPTHREE"}</definedName>
    <definedName name="Electrical_2_3_2_1" hidden="1">{#N/A,#N/A,FALSE,"mgtsum.XLS";#N/A,#N/A,FALSE,"CAPONE";#N/A,#N/A,FALSE,"CAPTWO";#N/A,#N/A,FALSE,"CAPTHREE"}</definedName>
    <definedName name="Electrical_2_3_2_2" hidden="1">{#N/A,#N/A,FALSE,"mgtsum.XLS";#N/A,#N/A,FALSE,"CAPONE";#N/A,#N/A,FALSE,"CAPTWO";#N/A,#N/A,FALSE,"CAPTHREE"}</definedName>
    <definedName name="Electrical_2_3_2_3" hidden="1">{#N/A,#N/A,FALSE,"mgtsum.XLS";#N/A,#N/A,FALSE,"CAPONE";#N/A,#N/A,FALSE,"CAPTWO";#N/A,#N/A,FALSE,"CAPTHREE"}</definedName>
    <definedName name="Electrical_2_3_2_4" hidden="1">{#N/A,#N/A,FALSE,"mgtsum.XLS";#N/A,#N/A,FALSE,"CAPONE";#N/A,#N/A,FALSE,"CAPTWO";#N/A,#N/A,FALSE,"CAPTHREE"}</definedName>
    <definedName name="Electrical_2_3_2_5" hidden="1">{#N/A,#N/A,FALSE,"mgtsum.XLS";#N/A,#N/A,FALSE,"CAPONE";#N/A,#N/A,FALSE,"CAPTWO";#N/A,#N/A,FALSE,"CAPTHREE"}</definedName>
    <definedName name="Electrical_2_3_3" hidden="1">{#N/A,#N/A,FALSE,"mgtsum.XLS";#N/A,#N/A,FALSE,"CAPONE";#N/A,#N/A,FALSE,"CAPTWO";#N/A,#N/A,FALSE,"CAPTHREE"}</definedName>
    <definedName name="Electrical_2_3_4" hidden="1">{#N/A,#N/A,FALSE,"mgtsum.XLS";#N/A,#N/A,FALSE,"CAPONE";#N/A,#N/A,FALSE,"CAPTWO";#N/A,#N/A,FALSE,"CAPTHREE"}</definedName>
    <definedName name="Electrical_2_3_5" hidden="1">{#N/A,#N/A,FALSE,"mgtsum.XLS";#N/A,#N/A,FALSE,"CAPONE";#N/A,#N/A,FALSE,"CAPTWO";#N/A,#N/A,FALSE,"CAPTHREE"}</definedName>
    <definedName name="Electrical_2_4" hidden="1">{#N/A,#N/A,FALSE,"mgtsum.XLS";#N/A,#N/A,FALSE,"CAPONE";#N/A,#N/A,FALSE,"CAPTWO";#N/A,#N/A,FALSE,"CAPTHREE"}</definedName>
    <definedName name="Electrical_2_4_1" hidden="1">{#N/A,#N/A,FALSE,"mgtsum.XLS";#N/A,#N/A,FALSE,"CAPONE";#N/A,#N/A,FALSE,"CAPTWO";#N/A,#N/A,FALSE,"CAPTHREE"}</definedName>
    <definedName name="Electrical_2_4_1_1" hidden="1">{#N/A,#N/A,FALSE,"mgtsum.XLS";#N/A,#N/A,FALSE,"CAPONE";#N/A,#N/A,FALSE,"CAPTWO";#N/A,#N/A,FALSE,"CAPTHREE"}</definedName>
    <definedName name="Electrical_2_4_1_2" hidden="1">{#N/A,#N/A,FALSE,"mgtsum.XLS";#N/A,#N/A,FALSE,"CAPONE";#N/A,#N/A,FALSE,"CAPTWO";#N/A,#N/A,FALSE,"CAPTHREE"}</definedName>
    <definedName name="Electrical_2_4_1_3" hidden="1">{#N/A,#N/A,FALSE,"mgtsum.XLS";#N/A,#N/A,FALSE,"CAPONE";#N/A,#N/A,FALSE,"CAPTWO";#N/A,#N/A,FALSE,"CAPTHREE"}</definedName>
    <definedName name="Electrical_2_4_1_4" hidden="1">{#N/A,#N/A,FALSE,"mgtsum.XLS";#N/A,#N/A,FALSE,"CAPONE";#N/A,#N/A,FALSE,"CAPTWO";#N/A,#N/A,FALSE,"CAPTHREE"}</definedName>
    <definedName name="Electrical_2_4_1_5" hidden="1">{#N/A,#N/A,FALSE,"mgtsum.XLS";#N/A,#N/A,FALSE,"CAPONE";#N/A,#N/A,FALSE,"CAPTWO";#N/A,#N/A,FALSE,"CAPTHREE"}</definedName>
    <definedName name="Electrical_2_4_2" hidden="1">{#N/A,#N/A,FALSE,"mgtsum.XLS";#N/A,#N/A,FALSE,"CAPONE";#N/A,#N/A,FALSE,"CAPTWO";#N/A,#N/A,FALSE,"CAPTHREE"}</definedName>
    <definedName name="Electrical_2_4_2_1" hidden="1">{#N/A,#N/A,FALSE,"mgtsum.XLS";#N/A,#N/A,FALSE,"CAPONE";#N/A,#N/A,FALSE,"CAPTWO";#N/A,#N/A,FALSE,"CAPTHREE"}</definedName>
    <definedName name="Electrical_2_4_2_2" hidden="1">{#N/A,#N/A,FALSE,"mgtsum.XLS";#N/A,#N/A,FALSE,"CAPONE";#N/A,#N/A,FALSE,"CAPTWO";#N/A,#N/A,FALSE,"CAPTHREE"}</definedName>
    <definedName name="Electrical_2_4_2_3" hidden="1">{#N/A,#N/A,FALSE,"mgtsum.XLS";#N/A,#N/A,FALSE,"CAPONE";#N/A,#N/A,FALSE,"CAPTWO";#N/A,#N/A,FALSE,"CAPTHREE"}</definedName>
    <definedName name="Electrical_2_4_2_4" hidden="1">{#N/A,#N/A,FALSE,"mgtsum.XLS";#N/A,#N/A,FALSE,"CAPONE";#N/A,#N/A,FALSE,"CAPTWO";#N/A,#N/A,FALSE,"CAPTHREE"}</definedName>
    <definedName name="Electrical_2_4_2_5" hidden="1">{#N/A,#N/A,FALSE,"mgtsum.XLS";#N/A,#N/A,FALSE,"CAPONE";#N/A,#N/A,FALSE,"CAPTWO";#N/A,#N/A,FALSE,"CAPTHREE"}</definedName>
    <definedName name="Electrical_2_4_3" hidden="1">{#N/A,#N/A,FALSE,"mgtsum.XLS";#N/A,#N/A,FALSE,"CAPONE";#N/A,#N/A,FALSE,"CAPTWO";#N/A,#N/A,FALSE,"CAPTHREE"}</definedName>
    <definedName name="Electrical_2_4_4" hidden="1">{#N/A,#N/A,FALSE,"mgtsum.XLS";#N/A,#N/A,FALSE,"CAPONE";#N/A,#N/A,FALSE,"CAPTWO";#N/A,#N/A,FALSE,"CAPTHREE"}</definedName>
    <definedName name="Electrical_2_4_5" hidden="1">{#N/A,#N/A,FALSE,"mgtsum.XLS";#N/A,#N/A,FALSE,"CAPONE";#N/A,#N/A,FALSE,"CAPTWO";#N/A,#N/A,FALSE,"CAPTHREE"}</definedName>
    <definedName name="Electrical_2_5" hidden="1">{#N/A,#N/A,FALSE,"mgtsum.XLS";#N/A,#N/A,FALSE,"CAPONE";#N/A,#N/A,FALSE,"CAPTWO";#N/A,#N/A,FALSE,"CAPTHREE"}</definedName>
    <definedName name="Electrical_2_5_1" hidden="1">{#N/A,#N/A,FALSE,"mgtsum.XLS";#N/A,#N/A,FALSE,"CAPONE";#N/A,#N/A,FALSE,"CAPTWO";#N/A,#N/A,FALSE,"CAPTHREE"}</definedName>
    <definedName name="Electrical_2_5_2" hidden="1">{#N/A,#N/A,FALSE,"mgtsum.XLS";#N/A,#N/A,FALSE,"CAPONE";#N/A,#N/A,FALSE,"CAPTWO";#N/A,#N/A,FALSE,"CAPTHREE"}</definedName>
    <definedName name="Electrical_2_5_3" hidden="1">{#N/A,#N/A,FALSE,"mgtsum.XLS";#N/A,#N/A,FALSE,"CAPONE";#N/A,#N/A,FALSE,"CAPTWO";#N/A,#N/A,FALSE,"CAPTHREE"}</definedName>
    <definedName name="Electrical_2_5_4" hidden="1">{#N/A,#N/A,FALSE,"mgtsum.XLS";#N/A,#N/A,FALSE,"CAPONE";#N/A,#N/A,FALSE,"CAPTWO";#N/A,#N/A,FALSE,"CAPTHREE"}</definedName>
    <definedName name="Electrical_2_5_5" hidden="1">{#N/A,#N/A,FALSE,"mgtsum.XLS";#N/A,#N/A,FALSE,"CAPONE";#N/A,#N/A,FALSE,"CAPTWO";#N/A,#N/A,FALSE,"CAPTHREE"}</definedName>
    <definedName name="Electrical_3" hidden="1">{#N/A,#N/A,FALSE,"mgtsum.XLS";#N/A,#N/A,FALSE,"CAPONE";#N/A,#N/A,FALSE,"CAPTWO";#N/A,#N/A,FALSE,"CAPTHREE"}</definedName>
    <definedName name="Electrical_3_1" hidden="1">{#N/A,#N/A,FALSE,"mgtsum.XLS";#N/A,#N/A,FALSE,"CAPONE";#N/A,#N/A,FALSE,"CAPTWO";#N/A,#N/A,FALSE,"CAPTHREE"}</definedName>
    <definedName name="Electrical_3_1_1" hidden="1">{#N/A,#N/A,FALSE,"mgtsum.XLS";#N/A,#N/A,FALSE,"CAPONE";#N/A,#N/A,FALSE,"CAPTWO";#N/A,#N/A,FALSE,"CAPTHREE"}</definedName>
    <definedName name="Electrical_3_1_1_1" hidden="1">{#N/A,#N/A,FALSE,"mgtsum.XLS";#N/A,#N/A,FALSE,"CAPONE";#N/A,#N/A,FALSE,"CAPTWO";#N/A,#N/A,FALSE,"CAPTHREE"}</definedName>
    <definedName name="Electrical_3_1_1_2" hidden="1">{#N/A,#N/A,FALSE,"mgtsum.XLS";#N/A,#N/A,FALSE,"CAPONE";#N/A,#N/A,FALSE,"CAPTWO";#N/A,#N/A,FALSE,"CAPTHREE"}</definedName>
    <definedName name="Electrical_3_1_1_3" hidden="1">{#N/A,#N/A,FALSE,"mgtsum.XLS";#N/A,#N/A,FALSE,"CAPONE";#N/A,#N/A,FALSE,"CAPTWO";#N/A,#N/A,FALSE,"CAPTHREE"}</definedName>
    <definedName name="Electrical_3_1_1_4" hidden="1">{#N/A,#N/A,FALSE,"mgtsum.XLS";#N/A,#N/A,FALSE,"CAPONE";#N/A,#N/A,FALSE,"CAPTWO";#N/A,#N/A,FALSE,"CAPTHREE"}</definedName>
    <definedName name="Electrical_3_1_1_5" hidden="1">{#N/A,#N/A,FALSE,"mgtsum.XLS";#N/A,#N/A,FALSE,"CAPONE";#N/A,#N/A,FALSE,"CAPTWO";#N/A,#N/A,FALSE,"CAPTHREE"}</definedName>
    <definedName name="Electrical_3_1_2" hidden="1">{#N/A,#N/A,FALSE,"mgtsum.XLS";#N/A,#N/A,FALSE,"CAPONE";#N/A,#N/A,FALSE,"CAPTWO";#N/A,#N/A,FALSE,"CAPTHREE"}</definedName>
    <definedName name="Electrical_3_1_2_1" hidden="1">{#N/A,#N/A,FALSE,"mgtsum.XLS";#N/A,#N/A,FALSE,"CAPONE";#N/A,#N/A,FALSE,"CAPTWO";#N/A,#N/A,FALSE,"CAPTHREE"}</definedName>
    <definedName name="Electrical_3_1_2_2" hidden="1">{#N/A,#N/A,FALSE,"mgtsum.XLS";#N/A,#N/A,FALSE,"CAPONE";#N/A,#N/A,FALSE,"CAPTWO";#N/A,#N/A,FALSE,"CAPTHREE"}</definedName>
    <definedName name="Electrical_3_1_2_3" hidden="1">{#N/A,#N/A,FALSE,"mgtsum.XLS";#N/A,#N/A,FALSE,"CAPONE";#N/A,#N/A,FALSE,"CAPTWO";#N/A,#N/A,FALSE,"CAPTHREE"}</definedName>
    <definedName name="Electrical_3_1_2_4" hidden="1">{#N/A,#N/A,FALSE,"mgtsum.XLS";#N/A,#N/A,FALSE,"CAPONE";#N/A,#N/A,FALSE,"CAPTWO";#N/A,#N/A,FALSE,"CAPTHREE"}</definedName>
    <definedName name="Electrical_3_1_2_5" hidden="1">{#N/A,#N/A,FALSE,"mgtsum.XLS";#N/A,#N/A,FALSE,"CAPONE";#N/A,#N/A,FALSE,"CAPTWO";#N/A,#N/A,FALSE,"CAPTHREE"}</definedName>
    <definedName name="Electrical_3_1_3" hidden="1">{#N/A,#N/A,FALSE,"mgtsum.XLS";#N/A,#N/A,FALSE,"CAPONE";#N/A,#N/A,FALSE,"CAPTWO";#N/A,#N/A,FALSE,"CAPTHREE"}</definedName>
    <definedName name="Electrical_3_1_3_1" hidden="1">{#N/A,#N/A,FALSE,"mgtsum.XLS";#N/A,#N/A,FALSE,"CAPONE";#N/A,#N/A,FALSE,"CAPTWO";#N/A,#N/A,FALSE,"CAPTHREE"}</definedName>
    <definedName name="Electrical_3_1_3_2" hidden="1">{#N/A,#N/A,FALSE,"mgtsum.XLS";#N/A,#N/A,FALSE,"CAPONE";#N/A,#N/A,FALSE,"CAPTWO";#N/A,#N/A,FALSE,"CAPTHREE"}</definedName>
    <definedName name="Electrical_3_1_3_3" hidden="1">{#N/A,#N/A,FALSE,"mgtsum.XLS";#N/A,#N/A,FALSE,"CAPONE";#N/A,#N/A,FALSE,"CAPTWO";#N/A,#N/A,FALSE,"CAPTHREE"}</definedName>
    <definedName name="Electrical_3_1_3_4" hidden="1">{#N/A,#N/A,FALSE,"mgtsum.XLS";#N/A,#N/A,FALSE,"CAPONE";#N/A,#N/A,FALSE,"CAPTWO";#N/A,#N/A,FALSE,"CAPTHREE"}</definedName>
    <definedName name="Electrical_3_1_3_5" hidden="1">{#N/A,#N/A,FALSE,"mgtsum.XLS";#N/A,#N/A,FALSE,"CAPONE";#N/A,#N/A,FALSE,"CAPTWO";#N/A,#N/A,FALSE,"CAPTHREE"}</definedName>
    <definedName name="Electrical_3_1_4" hidden="1">{#N/A,#N/A,FALSE,"mgtsum.XLS";#N/A,#N/A,FALSE,"CAPONE";#N/A,#N/A,FALSE,"CAPTWO";#N/A,#N/A,FALSE,"CAPTHREE"}</definedName>
    <definedName name="Electrical_3_1_5" hidden="1">{#N/A,#N/A,FALSE,"mgtsum.XLS";#N/A,#N/A,FALSE,"CAPONE";#N/A,#N/A,FALSE,"CAPTWO";#N/A,#N/A,FALSE,"CAPTHREE"}</definedName>
    <definedName name="Electrical_3_2" hidden="1">{#N/A,#N/A,FALSE,"mgtsum.XLS";#N/A,#N/A,FALSE,"CAPONE";#N/A,#N/A,FALSE,"CAPTWO";#N/A,#N/A,FALSE,"CAPTHREE"}</definedName>
    <definedName name="Electrical_3_2_1" hidden="1">{#N/A,#N/A,FALSE,"mgtsum.XLS";#N/A,#N/A,FALSE,"CAPONE";#N/A,#N/A,FALSE,"CAPTWO";#N/A,#N/A,FALSE,"CAPTHREE"}</definedName>
    <definedName name="Electrical_3_2_1_1" hidden="1">{#N/A,#N/A,FALSE,"mgtsum.XLS";#N/A,#N/A,FALSE,"CAPONE";#N/A,#N/A,FALSE,"CAPTWO";#N/A,#N/A,FALSE,"CAPTHREE"}</definedName>
    <definedName name="Electrical_3_2_1_2" hidden="1">{#N/A,#N/A,FALSE,"mgtsum.XLS";#N/A,#N/A,FALSE,"CAPONE";#N/A,#N/A,FALSE,"CAPTWO";#N/A,#N/A,FALSE,"CAPTHREE"}</definedName>
    <definedName name="Electrical_3_2_1_3" hidden="1">{#N/A,#N/A,FALSE,"mgtsum.XLS";#N/A,#N/A,FALSE,"CAPONE";#N/A,#N/A,FALSE,"CAPTWO";#N/A,#N/A,FALSE,"CAPTHREE"}</definedName>
    <definedName name="Electrical_3_2_1_4" hidden="1">{#N/A,#N/A,FALSE,"mgtsum.XLS";#N/A,#N/A,FALSE,"CAPONE";#N/A,#N/A,FALSE,"CAPTWO";#N/A,#N/A,FALSE,"CAPTHREE"}</definedName>
    <definedName name="Electrical_3_2_1_5" hidden="1">{#N/A,#N/A,FALSE,"mgtsum.XLS";#N/A,#N/A,FALSE,"CAPONE";#N/A,#N/A,FALSE,"CAPTWO";#N/A,#N/A,FALSE,"CAPTHREE"}</definedName>
    <definedName name="Electrical_3_2_2" hidden="1">{#N/A,#N/A,FALSE,"mgtsum.XLS";#N/A,#N/A,FALSE,"CAPONE";#N/A,#N/A,FALSE,"CAPTWO";#N/A,#N/A,FALSE,"CAPTHREE"}</definedName>
    <definedName name="Electrical_3_2_2_1" hidden="1">{#N/A,#N/A,FALSE,"mgtsum.XLS";#N/A,#N/A,FALSE,"CAPONE";#N/A,#N/A,FALSE,"CAPTWO";#N/A,#N/A,FALSE,"CAPTHREE"}</definedName>
    <definedName name="Electrical_3_2_2_2" hidden="1">{#N/A,#N/A,FALSE,"mgtsum.XLS";#N/A,#N/A,FALSE,"CAPONE";#N/A,#N/A,FALSE,"CAPTWO";#N/A,#N/A,FALSE,"CAPTHREE"}</definedName>
    <definedName name="Electrical_3_2_2_3" hidden="1">{#N/A,#N/A,FALSE,"mgtsum.XLS";#N/A,#N/A,FALSE,"CAPONE";#N/A,#N/A,FALSE,"CAPTWO";#N/A,#N/A,FALSE,"CAPTHREE"}</definedName>
    <definedName name="Electrical_3_2_2_4" hidden="1">{#N/A,#N/A,FALSE,"mgtsum.XLS";#N/A,#N/A,FALSE,"CAPONE";#N/A,#N/A,FALSE,"CAPTWO";#N/A,#N/A,FALSE,"CAPTHREE"}</definedName>
    <definedName name="Electrical_3_2_2_5" hidden="1">{#N/A,#N/A,FALSE,"mgtsum.XLS";#N/A,#N/A,FALSE,"CAPONE";#N/A,#N/A,FALSE,"CAPTWO";#N/A,#N/A,FALSE,"CAPTHREE"}</definedName>
    <definedName name="Electrical_3_2_3" hidden="1">{#N/A,#N/A,FALSE,"mgtsum.XLS";#N/A,#N/A,FALSE,"CAPONE";#N/A,#N/A,FALSE,"CAPTWO";#N/A,#N/A,FALSE,"CAPTHREE"}</definedName>
    <definedName name="Electrical_3_2_4" hidden="1">{#N/A,#N/A,FALSE,"mgtsum.XLS";#N/A,#N/A,FALSE,"CAPONE";#N/A,#N/A,FALSE,"CAPTWO";#N/A,#N/A,FALSE,"CAPTHREE"}</definedName>
    <definedName name="Electrical_3_2_5" hidden="1">{#N/A,#N/A,FALSE,"mgtsum.XLS";#N/A,#N/A,FALSE,"CAPONE";#N/A,#N/A,FALSE,"CAPTWO";#N/A,#N/A,FALSE,"CAPTHREE"}</definedName>
    <definedName name="Electrical_3_3" hidden="1">{#N/A,#N/A,FALSE,"mgtsum.XLS";#N/A,#N/A,FALSE,"CAPONE";#N/A,#N/A,FALSE,"CAPTWO";#N/A,#N/A,FALSE,"CAPTHREE"}</definedName>
    <definedName name="Electrical_3_3_1" hidden="1">{#N/A,#N/A,FALSE,"mgtsum.XLS";#N/A,#N/A,FALSE,"CAPONE";#N/A,#N/A,FALSE,"CAPTWO";#N/A,#N/A,FALSE,"CAPTHREE"}</definedName>
    <definedName name="Electrical_3_3_1_1" hidden="1">{#N/A,#N/A,FALSE,"mgtsum.XLS";#N/A,#N/A,FALSE,"CAPONE";#N/A,#N/A,FALSE,"CAPTWO";#N/A,#N/A,FALSE,"CAPTHREE"}</definedName>
    <definedName name="Electrical_3_3_1_2" hidden="1">{#N/A,#N/A,FALSE,"mgtsum.XLS";#N/A,#N/A,FALSE,"CAPONE";#N/A,#N/A,FALSE,"CAPTWO";#N/A,#N/A,FALSE,"CAPTHREE"}</definedName>
    <definedName name="Electrical_3_3_1_3" hidden="1">{#N/A,#N/A,FALSE,"mgtsum.XLS";#N/A,#N/A,FALSE,"CAPONE";#N/A,#N/A,FALSE,"CAPTWO";#N/A,#N/A,FALSE,"CAPTHREE"}</definedName>
    <definedName name="Electrical_3_3_1_4" hidden="1">{#N/A,#N/A,FALSE,"mgtsum.XLS";#N/A,#N/A,FALSE,"CAPONE";#N/A,#N/A,FALSE,"CAPTWO";#N/A,#N/A,FALSE,"CAPTHREE"}</definedName>
    <definedName name="Electrical_3_3_1_5" hidden="1">{#N/A,#N/A,FALSE,"mgtsum.XLS";#N/A,#N/A,FALSE,"CAPONE";#N/A,#N/A,FALSE,"CAPTWO";#N/A,#N/A,FALSE,"CAPTHREE"}</definedName>
    <definedName name="Electrical_3_3_2" hidden="1">{#N/A,#N/A,FALSE,"mgtsum.XLS";#N/A,#N/A,FALSE,"CAPONE";#N/A,#N/A,FALSE,"CAPTWO";#N/A,#N/A,FALSE,"CAPTHREE"}</definedName>
    <definedName name="Electrical_3_3_2_1" hidden="1">{#N/A,#N/A,FALSE,"mgtsum.XLS";#N/A,#N/A,FALSE,"CAPONE";#N/A,#N/A,FALSE,"CAPTWO";#N/A,#N/A,FALSE,"CAPTHREE"}</definedName>
    <definedName name="Electrical_3_3_2_2" hidden="1">{#N/A,#N/A,FALSE,"mgtsum.XLS";#N/A,#N/A,FALSE,"CAPONE";#N/A,#N/A,FALSE,"CAPTWO";#N/A,#N/A,FALSE,"CAPTHREE"}</definedName>
    <definedName name="Electrical_3_3_2_3" hidden="1">{#N/A,#N/A,FALSE,"mgtsum.XLS";#N/A,#N/A,FALSE,"CAPONE";#N/A,#N/A,FALSE,"CAPTWO";#N/A,#N/A,FALSE,"CAPTHREE"}</definedName>
    <definedName name="Electrical_3_3_2_4" hidden="1">{#N/A,#N/A,FALSE,"mgtsum.XLS";#N/A,#N/A,FALSE,"CAPONE";#N/A,#N/A,FALSE,"CAPTWO";#N/A,#N/A,FALSE,"CAPTHREE"}</definedName>
    <definedName name="Electrical_3_3_2_5" hidden="1">{#N/A,#N/A,FALSE,"mgtsum.XLS";#N/A,#N/A,FALSE,"CAPONE";#N/A,#N/A,FALSE,"CAPTWO";#N/A,#N/A,FALSE,"CAPTHREE"}</definedName>
    <definedName name="Electrical_3_3_3" hidden="1">{#N/A,#N/A,FALSE,"mgtsum.XLS";#N/A,#N/A,FALSE,"CAPONE";#N/A,#N/A,FALSE,"CAPTWO";#N/A,#N/A,FALSE,"CAPTHREE"}</definedName>
    <definedName name="Electrical_3_3_4" hidden="1">{#N/A,#N/A,FALSE,"mgtsum.XLS";#N/A,#N/A,FALSE,"CAPONE";#N/A,#N/A,FALSE,"CAPTWO";#N/A,#N/A,FALSE,"CAPTHREE"}</definedName>
    <definedName name="Electrical_3_3_5" hidden="1">{#N/A,#N/A,FALSE,"mgtsum.XLS";#N/A,#N/A,FALSE,"CAPONE";#N/A,#N/A,FALSE,"CAPTWO";#N/A,#N/A,FALSE,"CAPTHREE"}</definedName>
    <definedName name="Electrical_3_4" hidden="1">{#N/A,#N/A,FALSE,"mgtsum.XLS";#N/A,#N/A,FALSE,"CAPONE";#N/A,#N/A,FALSE,"CAPTWO";#N/A,#N/A,FALSE,"CAPTHREE"}</definedName>
    <definedName name="Electrical_3_4_1" hidden="1">{#N/A,#N/A,FALSE,"mgtsum.XLS";#N/A,#N/A,FALSE,"CAPONE";#N/A,#N/A,FALSE,"CAPTWO";#N/A,#N/A,FALSE,"CAPTHREE"}</definedName>
    <definedName name="Electrical_3_4_1_1" hidden="1">{#N/A,#N/A,FALSE,"mgtsum.XLS";#N/A,#N/A,FALSE,"CAPONE";#N/A,#N/A,FALSE,"CAPTWO";#N/A,#N/A,FALSE,"CAPTHREE"}</definedName>
    <definedName name="Electrical_3_4_1_2" hidden="1">{#N/A,#N/A,FALSE,"mgtsum.XLS";#N/A,#N/A,FALSE,"CAPONE";#N/A,#N/A,FALSE,"CAPTWO";#N/A,#N/A,FALSE,"CAPTHREE"}</definedName>
    <definedName name="Electrical_3_4_1_3" hidden="1">{#N/A,#N/A,FALSE,"mgtsum.XLS";#N/A,#N/A,FALSE,"CAPONE";#N/A,#N/A,FALSE,"CAPTWO";#N/A,#N/A,FALSE,"CAPTHREE"}</definedName>
    <definedName name="Electrical_3_4_1_4" hidden="1">{#N/A,#N/A,FALSE,"mgtsum.XLS";#N/A,#N/A,FALSE,"CAPONE";#N/A,#N/A,FALSE,"CAPTWO";#N/A,#N/A,FALSE,"CAPTHREE"}</definedName>
    <definedName name="Electrical_3_4_1_5" hidden="1">{#N/A,#N/A,FALSE,"mgtsum.XLS";#N/A,#N/A,FALSE,"CAPONE";#N/A,#N/A,FALSE,"CAPTWO";#N/A,#N/A,FALSE,"CAPTHREE"}</definedName>
    <definedName name="Electrical_3_4_2" hidden="1">{#N/A,#N/A,FALSE,"mgtsum.XLS";#N/A,#N/A,FALSE,"CAPONE";#N/A,#N/A,FALSE,"CAPTWO";#N/A,#N/A,FALSE,"CAPTHREE"}</definedName>
    <definedName name="Electrical_3_4_2_1" hidden="1">{#N/A,#N/A,FALSE,"mgtsum.XLS";#N/A,#N/A,FALSE,"CAPONE";#N/A,#N/A,FALSE,"CAPTWO";#N/A,#N/A,FALSE,"CAPTHREE"}</definedName>
    <definedName name="Electrical_3_4_2_2" hidden="1">{#N/A,#N/A,FALSE,"mgtsum.XLS";#N/A,#N/A,FALSE,"CAPONE";#N/A,#N/A,FALSE,"CAPTWO";#N/A,#N/A,FALSE,"CAPTHREE"}</definedName>
    <definedName name="Electrical_3_4_2_3" hidden="1">{#N/A,#N/A,FALSE,"mgtsum.XLS";#N/A,#N/A,FALSE,"CAPONE";#N/A,#N/A,FALSE,"CAPTWO";#N/A,#N/A,FALSE,"CAPTHREE"}</definedName>
    <definedName name="Electrical_3_4_2_4" hidden="1">{#N/A,#N/A,FALSE,"mgtsum.XLS";#N/A,#N/A,FALSE,"CAPONE";#N/A,#N/A,FALSE,"CAPTWO";#N/A,#N/A,FALSE,"CAPTHREE"}</definedName>
    <definedName name="Electrical_3_4_2_5" hidden="1">{#N/A,#N/A,FALSE,"mgtsum.XLS";#N/A,#N/A,FALSE,"CAPONE";#N/A,#N/A,FALSE,"CAPTWO";#N/A,#N/A,FALSE,"CAPTHREE"}</definedName>
    <definedName name="Electrical_3_4_3" hidden="1">{#N/A,#N/A,FALSE,"mgtsum.XLS";#N/A,#N/A,FALSE,"CAPONE";#N/A,#N/A,FALSE,"CAPTWO";#N/A,#N/A,FALSE,"CAPTHREE"}</definedName>
    <definedName name="Electrical_3_4_4" hidden="1">{#N/A,#N/A,FALSE,"mgtsum.XLS";#N/A,#N/A,FALSE,"CAPONE";#N/A,#N/A,FALSE,"CAPTWO";#N/A,#N/A,FALSE,"CAPTHREE"}</definedName>
    <definedName name="Electrical_3_4_5" hidden="1">{#N/A,#N/A,FALSE,"mgtsum.XLS";#N/A,#N/A,FALSE,"CAPONE";#N/A,#N/A,FALSE,"CAPTWO";#N/A,#N/A,FALSE,"CAPTHREE"}</definedName>
    <definedName name="Electrical_3_5" hidden="1">{#N/A,#N/A,FALSE,"mgtsum.XLS";#N/A,#N/A,FALSE,"CAPONE";#N/A,#N/A,FALSE,"CAPTWO";#N/A,#N/A,FALSE,"CAPTHREE"}</definedName>
    <definedName name="Electrical_3_5_1" hidden="1">{#N/A,#N/A,FALSE,"mgtsum.XLS";#N/A,#N/A,FALSE,"CAPONE";#N/A,#N/A,FALSE,"CAPTWO";#N/A,#N/A,FALSE,"CAPTHREE"}</definedName>
    <definedName name="Electrical_3_5_2" hidden="1">{#N/A,#N/A,FALSE,"mgtsum.XLS";#N/A,#N/A,FALSE,"CAPONE";#N/A,#N/A,FALSE,"CAPTWO";#N/A,#N/A,FALSE,"CAPTHREE"}</definedName>
    <definedName name="Electrical_3_5_3" hidden="1">{#N/A,#N/A,FALSE,"mgtsum.XLS";#N/A,#N/A,FALSE,"CAPONE";#N/A,#N/A,FALSE,"CAPTWO";#N/A,#N/A,FALSE,"CAPTHREE"}</definedName>
    <definedName name="Electrical_3_5_4" hidden="1">{#N/A,#N/A,FALSE,"mgtsum.XLS";#N/A,#N/A,FALSE,"CAPONE";#N/A,#N/A,FALSE,"CAPTWO";#N/A,#N/A,FALSE,"CAPTHREE"}</definedName>
    <definedName name="Electrical_3_5_5" hidden="1">{#N/A,#N/A,FALSE,"mgtsum.XLS";#N/A,#N/A,FALSE,"CAPONE";#N/A,#N/A,FALSE,"CAPTWO";#N/A,#N/A,FALSE,"CAPTHREE"}</definedName>
    <definedName name="Electrical_4" hidden="1">{#N/A,#N/A,FALSE,"mgtsum.XLS";#N/A,#N/A,FALSE,"CAPONE";#N/A,#N/A,FALSE,"CAPTWO";#N/A,#N/A,FALSE,"CAPTHREE"}</definedName>
    <definedName name="Electrical_4_1" hidden="1">{#N/A,#N/A,FALSE,"mgtsum.XLS";#N/A,#N/A,FALSE,"CAPONE";#N/A,#N/A,FALSE,"CAPTWO";#N/A,#N/A,FALSE,"CAPTHREE"}</definedName>
    <definedName name="Electrical_4_1_1" hidden="1">{#N/A,#N/A,FALSE,"mgtsum.XLS";#N/A,#N/A,FALSE,"CAPONE";#N/A,#N/A,FALSE,"CAPTWO";#N/A,#N/A,FALSE,"CAPTHREE"}</definedName>
    <definedName name="Electrical_4_1_1_1" hidden="1">{#N/A,#N/A,FALSE,"mgtsum.XLS";#N/A,#N/A,FALSE,"CAPONE";#N/A,#N/A,FALSE,"CAPTWO";#N/A,#N/A,FALSE,"CAPTHREE"}</definedName>
    <definedName name="Electrical_4_1_1_2" hidden="1">{#N/A,#N/A,FALSE,"mgtsum.XLS";#N/A,#N/A,FALSE,"CAPONE";#N/A,#N/A,FALSE,"CAPTWO";#N/A,#N/A,FALSE,"CAPTHREE"}</definedName>
    <definedName name="Electrical_4_1_1_3" hidden="1">{#N/A,#N/A,FALSE,"mgtsum.XLS";#N/A,#N/A,FALSE,"CAPONE";#N/A,#N/A,FALSE,"CAPTWO";#N/A,#N/A,FALSE,"CAPTHREE"}</definedName>
    <definedName name="Electrical_4_1_1_4" hidden="1">{#N/A,#N/A,FALSE,"mgtsum.XLS";#N/A,#N/A,FALSE,"CAPONE";#N/A,#N/A,FALSE,"CAPTWO";#N/A,#N/A,FALSE,"CAPTHREE"}</definedName>
    <definedName name="Electrical_4_1_1_5" hidden="1">{#N/A,#N/A,FALSE,"mgtsum.XLS";#N/A,#N/A,FALSE,"CAPONE";#N/A,#N/A,FALSE,"CAPTWO";#N/A,#N/A,FALSE,"CAPTHREE"}</definedName>
    <definedName name="Electrical_4_1_2" hidden="1">{#N/A,#N/A,FALSE,"mgtsum.XLS";#N/A,#N/A,FALSE,"CAPONE";#N/A,#N/A,FALSE,"CAPTWO";#N/A,#N/A,FALSE,"CAPTHREE"}</definedName>
    <definedName name="Electrical_4_1_2_1" hidden="1">{#N/A,#N/A,FALSE,"mgtsum.XLS";#N/A,#N/A,FALSE,"CAPONE";#N/A,#N/A,FALSE,"CAPTWO";#N/A,#N/A,FALSE,"CAPTHREE"}</definedName>
    <definedName name="Electrical_4_1_2_2" hidden="1">{#N/A,#N/A,FALSE,"mgtsum.XLS";#N/A,#N/A,FALSE,"CAPONE";#N/A,#N/A,FALSE,"CAPTWO";#N/A,#N/A,FALSE,"CAPTHREE"}</definedName>
    <definedName name="Electrical_4_1_2_3" hidden="1">{#N/A,#N/A,FALSE,"mgtsum.XLS";#N/A,#N/A,FALSE,"CAPONE";#N/A,#N/A,FALSE,"CAPTWO";#N/A,#N/A,FALSE,"CAPTHREE"}</definedName>
    <definedName name="Electrical_4_1_2_4" hidden="1">{#N/A,#N/A,FALSE,"mgtsum.XLS";#N/A,#N/A,FALSE,"CAPONE";#N/A,#N/A,FALSE,"CAPTWO";#N/A,#N/A,FALSE,"CAPTHREE"}</definedName>
    <definedName name="Electrical_4_1_2_5" hidden="1">{#N/A,#N/A,FALSE,"mgtsum.XLS";#N/A,#N/A,FALSE,"CAPONE";#N/A,#N/A,FALSE,"CAPTWO";#N/A,#N/A,FALSE,"CAPTHREE"}</definedName>
    <definedName name="Electrical_4_1_3" hidden="1">{#N/A,#N/A,FALSE,"mgtsum.XLS";#N/A,#N/A,FALSE,"CAPONE";#N/A,#N/A,FALSE,"CAPTWO";#N/A,#N/A,FALSE,"CAPTHREE"}</definedName>
    <definedName name="Electrical_4_1_3_1" hidden="1">{#N/A,#N/A,FALSE,"mgtsum.XLS";#N/A,#N/A,FALSE,"CAPONE";#N/A,#N/A,FALSE,"CAPTWO";#N/A,#N/A,FALSE,"CAPTHREE"}</definedName>
    <definedName name="Electrical_4_1_3_2" hidden="1">{#N/A,#N/A,FALSE,"mgtsum.XLS";#N/A,#N/A,FALSE,"CAPONE";#N/A,#N/A,FALSE,"CAPTWO";#N/A,#N/A,FALSE,"CAPTHREE"}</definedName>
    <definedName name="Electrical_4_1_3_3" hidden="1">{#N/A,#N/A,FALSE,"mgtsum.XLS";#N/A,#N/A,FALSE,"CAPONE";#N/A,#N/A,FALSE,"CAPTWO";#N/A,#N/A,FALSE,"CAPTHREE"}</definedName>
    <definedName name="Electrical_4_1_3_4" hidden="1">{#N/A,#N/A,FALSE,"mgtsum.XLS";#N/A,#N/A,FALSE,"CAPONE";#N/A,#N/A,FALSE,"CAPTWO";#N/A,#N/A,FALSE,"CAPTHREE"}</definedName>
    <definedName name="Electrical_4_1_3_5" hidden="1">{#N/A,#N/A,FALSE,"mgtsum.XLS";#N/A,#N/A,FALSE,"CAPONE";#N/A,#N/A,FALSE,"CAPTWO";#N/A,#N/A,FALSE,"CAPTHREE"}</definedName>
    <definedName name="Electrical_4_1_4" hidden="1">{#N/A,#N/A,FALSE,"mgtsum.XLS";#N/A,#N/A,FALSE,"CAPONE";#N/A,#N/A,FALSE,"CAPTWO";#N/A,#N/A,FALSE,"CAPTHREE"}</definedName>
    <definedName name="Electrical_4_1_5" hidden="1">{#N/A,#N/A,FALSE,"mgtsum.XLS";#N/A,#N/A,FALSE,"CAPONE";#N/A,#N/A,FALSE,"CAPTWO";#N/A,#N/A,FALSE,"CAPTHREE"}</definedName>
    <definedName name="Electrical_4_2" hidden="1">{#N/A,#N/A,FALSE,"mgtsum.XLS";#N/A,#N/A,FALSE,"CAPONE";#N/A,#N/A,FALSE,"CAPTWO";#N/A,#N/A,FALSE,"CAPTHREE"}</definedName>
    <definedName name="Electrical_4_2_1" hidden="1">{#N/A,#N/A,FALSE,"mgtsum.XLS";#N/A,#N/A,FALSE,"CAPONE";#N/A,#N/A,FALSE,"CAPTWO";#N/A,#N/A,FALSE,"CAPTHREE"}</definedName>
    <definedName name="Electrical_4_2_2" hidden="1">{#N/A,#N/A,FALSE,"mgtsum.XLS";#N/A,#N/A,FALSE,"CAPONE";#N/A,#N/A,FALSE,"CAPTWO";#N/A,#N/A,FALSE,"CAPTHREE"}</definedName>
    <definedName name="Electrical_4_2_3" hidden="1">{#N/A,#N/A,FALSE,"mgtsum.XLS";#N/A,#N/A,FALSE,"CAPONE";#N/A,#N/A,FALSE,"CAPTWO";#N/A,#N/A,FALSE,"CAPTHREE"}</definedName>
    <definedName name="Electrical_4_2_4" hidden="1">{#N/A,#N/A,FALSE,"mgtsum.XLS";#N/A,#N/A,FALSE,"CAPONE";#N/A,#N/A,FALSE,"CAPTWO";#N/A,#N/A,FALSE,"CAPTHREE"}</definedName>
    <definedName name="Electrical_4_2_5" hidden="1">{#N/A,#N/A,FALSE,"mgtsum.XLS";#N/A,#N/A,FALSE,"CAPONE";#N/A,#N/A,FALSE,"CAPTWO";#N/A,#N/A,FALSE,"CAPTHREE"}</definedName>
    <definedName name="Electrical_4_3" hidden="1">{#N/A,#N/A,FALSE,"mgtsum.XLS";#N/A,#N/A,FALSE,"CAPONE";#N/A,#N/A,FALSE,"CAPTWO";#N/A,#N/A,FALSE,"CAPTHREE"}</definedName>
    <definedName name="Electrical_4_3_1" hidden="1">{#N/A,#N/A,FALSE,"mgtsum.XLS";#N/A,#N/A,FALSE,"CAPONE";#N/A,#N/A,FALSE,"CAPTWO";#N/A,#N/A,FALSE,"CAPTHREE"}</definedName>
    <definedName name="Electrical_4_3_2" hidden="1">{#N/A,#N/A,FALSE,"mgtsum.XLS";#N/A,#N/A,FALSE,"CAPONE";#N/A,#N/A,FALSE,"CAPTWO";#N/A,#N/A,FALSE,"CAPTHREE"}</definedName>
    <definedName name="Electrical_4_3_3" hidden="1">{#N/A,#N/A,FALSE,"mgtsum.XLS";#N/A,#N/A,FALSE,"CAPONE";#N/A,#N/A,FALSE,"CAPTWO";#N/A,#N/A,FALSE,"CAPTHREE"}</definedName>
    <definedName name="Electrical_4_3_4" hidden="1">{#N/A,#N/A,FALSE,"mgtsum.XLS";#N/A,#N/A,FALSE,"CAPONE";#N/A,#N/A,FALSE,"CAPTWO";#N/A,#N/A,FALSE,"CAPTHREE"}</definedName>
    <definedName name="Electrical_4_3_5" hidden="1">{#N/A,#N/A,FALSE,"mgtsum.XLS";#N/A,#N/A,FALSE,"CAPONE";#N/A,#N/A,FALSE,"CAPTWO";#N/A,#N/A,FALSE,"CAPTHREE"}</definedName>
    <definedName name="Electrical_4_4" hidden="1">{#N/A,#N/A,FALSE,"mgtsum.XLS";#N/A,#N/A,FALSE,"CAPONE";#N/A,#N/A,FALSE,"CAPTWO";#N/A,#N/A,FALSE,"CAPTHREE"}</definedName>
    <definedName name="Electrical_4_5" hidden="1">{#N/A,#N/A,FALSE,"mgtsum.XLS";#N/A,#N/A,FALSE,"CAPONE";#N/A,#N/A,FALSE,"CAPTWO";#N/A,#N/A,FALSE,"CAPTHREE"}</definedName>
    <definedName name="Electrical_5" hidden="1">{#N/A,#N/A,FALSE,"mgtsum.XLS";#N/A,#N/A,FALSE,"CAPONE";#N/A,#N/A,FALSE,"CAPTWO";#N/A,#N/A,FALSE,"CAPTHREE"}</definedName>
    <definedName name="Electrical_5_1" hidden="1">{#N/A,#N/A,FALSE,"mgtsum.XLS";#N/A,#N/A,FALSE,"CAPONE";#N/A,#N/A,FALSE,"CAPTWO";#N/A,#N/A,FALSE,"CAPTHREE"}</definedName>
    <definedName name="Electrical_5_1_1" hidden="1">{#N/A,#N/A,FALSE,"mgtsum.XLS";#N/A,#N/A,FALSE,"CAPONE";#N/A,#N/A,FALSE,"CAPTWO";#N/A,#N/A,FALSE,"CAPTHREE"}</definedName>
    <definedName name="Electrical_5_1_2" hidden="1">{#N/A,#N/A,FALSE,"mgtsum.XLS";#N/A,#N/A,FALSE,"CAPONE";#N/A,#N/A,FALSE,"CAPTWO";#N/A,#N/A,FALSE,"CAPTHREE"}</definedName>
    <definedName name="Electrical_5_1_3" hidden="1">{#N/A,#N/A,FALSE,"mgtsum.XLS";#N/A,#N/A,FALSE,"CAPONE";#N/A,#N/A,FALSE,"CAPTWO";#N/A,#N/A,FALSE,"CAPTHREE"}</definedName>
    <definedName name="Electrical_5_1_4" hidden="1">{#N/A,#N/A,FALSE,"mgtsum.XLS";#N/A,#N/A,FALSE,"CAPONE";#N/A,#N/A,FALSE,"CAPTWO";#N/A,#N/A,FALSE,"CAPTHREE"}</definedName>
    <definedName name="Electrical_5_1_5" hidden="1">{#N/A,#N/A,FALSE,"mgtsum.XLS";#N/A,#N/A,FALSE,"CAPONE";#N/A,#N/A,FALSE,"CAPTWO";#N/A,#N/A,FALSE,"CAPTHREE"}</definedName>
    <definedName name="Electrical_5_2" hidden="1">{#N/A,#N/A,FALSE,"mgtsum.XLS";#N/A,#N/A,FALSE,"CAPONE";#N/A,#N/A,FALSE,"CAPTWO";#N/A,#N/A,FALSE,"CAPTHREE"}</definedName>
    <definedName name="Electrical_5_2_1" hidden="1">{#N/A,#N/A,FALSE,"mgtsum.XLS";#N/A,#N/A,FALSE,"CAPONE";#N/A,#N/A,FALSE,"CAPTWO";#N/A,#N/A,FALSE,"CAPTHREE"}</definedName>
    <definedName name="Electrical_5_2_2" hidden="1">{#N/A,#N/A,FALSE,"mgtsum.XLS";#N/A,#N/A,FALSE,"CAPONE";#N/A,#N/A,FALSE,"CAPTWO";#N/A,#N/A,FALSE,"CAPTHREE"}</definedName>
    <definedName name="Electrical_5_2_3" hidden="1">{#N/A,#N/A,FALSE,"mgtsum.XLS";#N/A,#N/A,FALSE,"CAPONE";#N/A,#N/A,FALSE,"CAPTWO";#N/A,#N/A,FALSE,"CAPTHREE"}</definedName>
    <definedName name="Electrical_5_2_4" hidden="1">{#N/A,#N/A,FALSE,"mgtsum.XLS";#N/A,#N/A,FALSE,"CAPONE";#N/A,#N/A,FALSE,"CAPTWO";#N/A,#N/A,FALSE,"CAPTHREE"}</definedName>
    <definedName name="Electrical_5_2_5" hidden="1">{#N/A,#N/A,FALSE,"mgtsum.XLS";#N/A,#N/A,FALSE,"CAPONE";#N/A,#N/A,FALSE,"CAPTWO";#N/A,#N/A,FALSE,"CAPTHREE"}</definedName>
    <definedName name="Electrical_5_3" hidden="1">{#N/A,#N/A,FALSE,"mgtsum.XLS";#N/A,#N/A,FALSE,"CAPONE";#N/A,#N/A,FALSE,"CAPTWO";#N/A,#N/A,FALSE,"CAPTHREE"}</definedName>
    <definedName name="Electrical_5_4" hidden="1">{#N/A,#N/A,FALSE,"mgtsum.XLS";#N/A,#N/A,FALSE,"CAPONE";#N/A,#N/A,FALSE,"CAPTWO";#N/A,#N/A,FALSE,"CAPTHREE"}</definedName>
    <definedName name="Electrical_5_5" hidden="1">{#N/A,#N/A,FALSE,"mgtsum.XLS";#N/A,#N/A,FALSE,"CAPONE";#N/A,#N/A,FALSE,"CAPTWO";#N/A,#N/A,FALSE,"CAPTHREE"}</definedName>
    <definedName name="Electrical_CE_SOR">#REF!</definedName>
    <definedName name="ELEVEN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mb" hidden="1">{"Execavation",#N/A,FALSE,"furniture (employer)"}</definedName>
    <definedName name="EMB_FILLING">#REF!</definedName>
    <definedName name="Emb108a">#REF!</definedName>
    <definedName name="Emb108c">#REF!</definedName>
    <definedName name="emin" hidden="1">#REF!</definedName>
    <definedName name="emir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Employee_Fraud_and_Third_Party_Fraud_Risk">#REF!</definedName>
    <definedName name="Energy">#REF!</definedName>
    <definedName name="engjineering" hidden="1">{"'con_010'!$A$1:$AN$63"}</definedName>
    <definedName name="Environment">#REF!</definedName>
    <definedName name="EQ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qpmtCost" localSheetId="1" hidden="1">{#N/A,#N/A,FALSE,"Summary"}</definedName>
    <definedName name="EqpmtCost" hidden="1">{#N/A,#N/A,FALSE,"Summary"}</definedName>
    <definedName name="eqpmtds">#REF!</definedName>
    <definedName name="eqpmtss">#REF!</definedName>
    <definedName name="Eqpt">15%</definedName>
    <definedName name="Eqpt_Misc">25%</definedName>
    <definedName name="EqptFac">1</definedName>
    <definedName name="equip">#REF!</definedName>
    <definedName name="equipdim">#REF!</definedName>
    <definedName name="Equipment_Group">#REF!</definedName>
    <definedName name="equipsds">#REF!</definedName>
    <definedName name="equipsewer">#REF!</definedName>
    <definedName name="Equipt_Devices_Etc">#REF!</definedName>
    <definedName name="Equipt_Plant_HP">#REF!</definedName>
    <definedName name="EQWE" hidden="1">#REF!</definedName>
    <definedName name="eqweqweqe" hidden="1">#REF!</definedName>
    <definedName name="ER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rer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" hidden="1">#REF!</definedName>
    <definedName name="ergtaeg" hidden="1">{#N/A,#N/A,TRUE,"Cover";#N/A,#N/A,TRUE,"Conts";#N/A,#N/A,TRUE,"VOS";#N/A,#N/A,TRUE,"Warrington";#N/A,#N/A,TRUE,"Widnes"}</definedName>
    <definedName name="ERKILIÇ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qwf" hidden="1">#REF!</definedName>
    <definedName name="errtttt" hidden="1">#REF!</definedName>
    <definedName name="ers" hidden="1">#REF!</definedName>
    <definedName name="ersyy" hidden="1">{#N/A,#N/A,TRUE,"Cover";#N/A,#N/A,TRUE,"Conts";#N/A,#N/A,TRUE,"VOS";#N/A,#N/A,TRUE,"Warrington";#N/A,#N/A,TRUE,"Widnes"}</definedName>
    <definedName name="ert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rtert" hidden="1">{#N/A,#N/A,FALSE,"Chi tiÆt"}</definedName>
    <definedName name="erterte" hidden="1">{#N/A,#N/A,TRUE,"arnitower";#N/A,#N/A,TRUE,"arnigarage 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tre" hidden="1">{#N/A,#N/A,TRUE,"arnitower";#N/A,#N/A,TRUE,"arnigarage "}</definedName>
    <definedName name="erw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werwere" hidden="1">{#VALUE!,#N/A,FALSE,0;#N/A,#N/A,FALSE,0;#N/A,#N/A,FALSE,0;#N/A,#N/A,FALSE,0;#N/A,#N/A,FALSE,0}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">#REF!</definedName>
    <definedName name="esca">#REF!</definedName>
    <definedName name="Escalation">#REF!</definedName>
    <definedName name="escalator">#REF!</definedName>
    <definedName name="Espiye" hidden="1">{#N/A,#N/A,FALSE,"Çaykara ataköy (1)";#N/A,#N/A,FALSE,"Çaykara ataköy (2)";#N/A,#N/A,FALSE,"Rize Kalkandere ";#N/A,#N/A,FALSE,"meydancık";#N/A,#N/A,FALSE,"muratlı"}</definedName>
    <definedName name="EST" hidden="1">{#N/A,#N/A,FALSE,"Summary";#N/A,#N/A,FALSE,"Adj to Option C";#N/A,#N/A,FALSE,"Dividend Analysis";#N/A,#N/A,FALSE,"Reserve Analysis";#N/A,#N/A,FALSE,"Depreciation";#N/A,#N/A,FALSE,"Other Tax Adj"}</definedName>
    <definedName name="est_print">#REF!</definedName>
    <definedName name="est_title">#REF!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sy" hidden="1">#REF!,#REF!</definedName>
    <definedName name="ET" hidden="1">{#N/A,#N/A,FALSE,"CCTV"}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v.Calculation" hidden="1">-4105</definedName>
    <definedName name="ev.Initialized" hidden="1">FALSE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39954.6021875</definedName>
    <definedName name="EV__LOCKEDCVW__Capex" hidden="1">"ALL_AC,GB,ACTUAL,ALL_CC,TOTALADJ,ALL_ENTITY,F_999,ALL_INTERCO,ALL_PC,ALL_PROJECTS,EUR,PREV_YRS,PERIODIC,"</definedName>
    <definedName name="EV__LOCKEDCVW__HR" hidden="1">"ACTUAL,NO_CC,TOTALADJ,ALL_ENTITY,F_999,A_G,TRAVEL_M,ALL_INTERCO,TRAVEL_DEST,ALL_PC,ALL_PROJECTS,EUR,PREV_YRS,PERIODIC,"</definedName>
    <definedName name="EV__LOCKEDCVW__PLANNING" hidden="1">"IG_BS,I_ALL,ALL_ANA,AOP,ALL_CC,TOTALADJ,C3110,F_999,ALL_INTERCO,ALL_PC,ALL_PROJECTS,LC,2012.APR,PERIODIC,"</definedName>
    <definedName name="EV__LOCKEDCVW__RATE" hidden="1">"ACTUAL,...more...,AVG,GLOBAL,PREV_YRS,PERIODIC,"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134217732</definedName>
    <definedName name="EV__WBVERSION__" hidden="1">0</definedName>
    <definedName name="ewan" hidden="1">{#N/A,#N/A,TRUE,"Equipment installation bm"}</definedName>
    <definedName name="ewateryryxyz" hidden="1">{#N/A,#N/A,TRUE,"Cover";#N/A,#N/A,TRUE,"Conts";#N/A,#N/A,TRUE,"VOS";#N/A,#N/A,TRUE,"Warrington";#N/A,#N/A,TRUE,"Widnes"}</definedName>
    <definedName name="ewerwewq" hidden="1">{"SUMMARY",#N/A,FALSE,"C"}</definedName>
    <definedName name="ewew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ewewew" hidden="1">{#VALUE!,#N/A,FALSE,0;#N/A,#N/A,FALSE,0;#N/A,#N/A,FALSE,0;#N/A,#N/A,FALSE,0;#N/A,#N/A,FALSE,0;#N/A,#N/A,FALSE,0;#N/A,#N/A,FALSE,0;#N/A,#N/A,FALSE,0;#N/A,#N/A,FALSE,0;#N/A,#N/A,FALSE,0;#N/A,#N/A,FALSE,0;#N/A,#N/A,FALSE,0}</definedName>
    <definedName name="ewfew" hidden="1">#REF!</definedName>
    <definedName name="ewfwf" hidden="1">#REF!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weqwe">#REF!</definedName>
    <definedName name="ewqrewqew" hidden="1">{"20 Years",#N/A,FALSE,"P&amp;Ls";"2001",#N/A,FALSE,"P&amp;Ls"}</definedName>
    <definedName name="ewqtr" hidden="1">#REF!</definedName>
    <definedName name="ewrq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EWRWE" hidden="1">{"'장비'!$A$3:$M$12"}</definedName>
    <definedName name="ewrweq" hidden="1">{"'장비'!$A$3:$M$12"}</definedName>
    <definedName name="EWRWER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ewrwerq" hidden="1">{#VALUE!,#N/A,TRUE,0;#N/A,#N/A,TRUE,0;#N/A,#N/A,TRUE,0;#N/A,#N/A,TRUE,0;#N/A,#N/A,TRUE,0;#N/A,#N/A,TRUE,0;#N/A,#N/A,TRUE,0}</definedName>
    <definedName name="ewt" hidden="1">#REF!</definedName>
    <definedName name="ewtateryry" hidden="1">{#N/A,#N/A,TRUE,"Cover";#N/A,#N/A,TRUE,"Conts";#N/A,#N/A,TRUE,"VOS";#N/A,#N/A,TRUE,"Warrington";#N/A,#N/A,TRUE,"Widnes"}</definedName>
    <definedName name="ewww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xactAddinConnection" hidden="1">"711"</definedName>
    <definedName name="ExactAddinConnection.200" hidden="1">"sv1108\\sql2005;561;rBerdin;1"</definedName>
    <definedName name="ExactAddinConnection.711" hidden="1">"dbs2001;711;a12301;1"</definedName>
    <definedName name="ExactAddinConnection.811" hidden="1">"DBS2001;811;a12318;1"</definedName>
    <definedName name="ExactAddinConnection.998" hidden="1">"wong109178-1;998;chey109859;1"</definedName>
    <definedName name="ExactAddinReports" hidden="1">25</definedName>
    <definedName name="excav">#REF!</definedName>
    <definedName name="Excavation">#REF!</definedName>
    <definedName name="Excel" hidden="1">{#N/A,#N/A,FALSE,"Wadhal";#N/A,#N/A,FALSE,"Manglad U-S";#N/A,#N/A,FALSE,"Manglad D-S";#N/A,#N/A,FALSE,"Ratanpur U-S";#N/A,#N/A,FALSE,"Ratanpur D-S";#N/A,#N/A,FALSE,"VI Face"}</definedName>
    <definedName name="Excel_1" hidden="1">{#N/A,#N/A,FALSE,"Wadhal";#N/A,#N/A,FALSE,"Manglad U-S";#N/A,#N/A,FALSE,"Manglad D-S";#N/A,#N/A,FALSE,"Ratanpur U-S";#N/A,#N/A,FALSE,"Ratanpur D-S";#N/A,#N/A,FALSE,"VI Face"}</definedName>
    <definedName name="Excel_2" hidden="1">{#N/A,#N/A,FALSE,"Wadhal";#N/A,#N/A,FALSE,"Manglad U-S";#N/A,#N/A,FALSE,"Manglad D-S";#N/A,#N/A,FALSE,"Ratanpur U-S";#N/A,#N/A,FALSE,"Ratanpur D-S";#N/A,#N/A,FALSE,"VI Face"}</definedName>
    <definedName name="Excel_3" hidden="1">{#N/A,#N/A,FALSE,"Wadhal";#N/A,#N/A,FALSE,"Manglad U-S";#N/A,#N/A,FALSE,"Manglad D-S";#N/A,#N/A,FALSE,"Ratanpur U-S";#N/A,#N/A,FALSE,"Ratanpur D-S";#N/A,#N/A,FALSE,"VI Face"}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5">"#REF!"</definedName>
    <definedName name="Excel_BuiltIn_Print_Area_1_1_5">#REF!</definedName>
    <definedName name="Excel_BuiltIn_Print_Area_1_1_5_5">"#REF!"</definedName>
    <definedName name="Excel_BuiltIn_Print_Area_10">#REF!</definedName>
    <definedName name="Excel_BuiltIn_Print_Area_10_1">"#REF!"</definedName>
    <definedName name="Excel_BuiltIn_Print_Area_10_1_1">"#REF!"</definedName>
    <definedName name="Excel_BuiltIn_Print_Area_10_5">"#REF!"</definedName>
    <definedName name="Excel_BuiltIn_Print_Area_11">"#REF!"</definedName>
    <definedName name="Excel_BuiltIn_Print_Area_12">"#REF!"</definedName>
    <definedName name="Excel_BuiltIn_Print_Area_12_1">"#REF!"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5">"#REF!"</definedName>
    <definedName name="Excel_BuiltIn_Print_Area_2_1_5">"#REF!"</definedName>
    <definedName name="Excel_BuiltIn_Print_Area_3">#REF!</definedName>
    <definedName name="Excel_BuiltIn_Print_Area_3_1">"#REF!"</definedName>
    <definedName name="Excel_BuiltIn_Print_Area_3_1_5">"#REF!"</definedName>
    <definedName name="Excel_BuiltIn_Print_Area_4_1">"#REF!"</definedName>
    <definedName name="Excel_BuiltIn_Print_Area_4_1_5">"#REF!"</definedName>
    <definedName name="Excel_BuiltIn_Print_Area_5_1">"#REF!"</definedName>
    <definedName name="Excel_BuiltIn_Print_Area_5_1_5">"#REF!"</definedName>
    <definedName name="Excel_BuiltIn_Print_Area_6_1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"#REF!"</definedName>
    <definedName name="Excel_BuiltIn_Print_Area_8">#REF!</definedName>
    <definedName name="Excel_BuiltIn_Print_Area_8_1">#REF!</definedName>
    <definedName name="Excel_BuiltIn_Print_Area_8_1_1">"#REF!"</definedName>
    <definedName name="Excel_BuiltIn_Print_Area_8_5">"#REF!"</definedName>
    <definedName name="Excel_BuiltIn_Print_Area_9">#REF!</definedName>
    <definedName name="Excel_BuiltIn_Print_Area_9_1">#REF!</definedName>
    <definedName name="Excel_BuiltIn_Print_Area_9_1_1">"#REF!"</definedName>
    <definedName name="Excel_BuiltIn_Print_Area_9_5">"#REF!"</definedName>
    <definedName name="Excel_BuiltIn_Print_Titles_10">#REF!</definedName>
    <definedName name="Excel_BuiltIn_Print_Titles_10_5">"#REF!"</definedName>
    <definedName name="Excel_BuiltIn_Print_Titles_10_5_3">"#REF!"</definedName>
    <definedName name="Excel_BuiltIn_Print_Titles_2">#REF!</definedName>
    <definedName name="Excel_BuiltIn_Print_Titles_2_1">#REF!</definedName>
    <definedName name="Excel_BuiltIn_Print_Titles_2_1_1">"#REF!"</definedName>
    <definedName name="Excel_BuiltIn_Print_Titles_2_1_5">"#REF!"</definedName>
    <definedName name="Excel_BuiltIn_Print_Titles_3">#REF!</definedName>
    <definedName name="Excel_BuiltIn_Print_Titles_3_1">"#REF!"</definedName>
    <definedName name="Excel_BuiltIn_Print_Titles_4">#REF!</definedName>
    <definedName name="Excel_BuiltIn_Print_Titles_5">"#REF!"</definedName>
    <definedName name="Excel_BuiltIn_Print_Titles_6">#REF!</definedName>
    <definedName name="Excel_BuiltIn_Print_Titles_8">(#REF!,#REF!)</definedName>
    <definedName name="Excel_BuiltIn_Print_Titles_8_5">("#REF!,#REF!)")</definedName>
    <definedName name="Excel_BuiltIn_Print_Titles_8_5_3">("#REF!,#REF!)")</definedName>
    <definedName name="Except" hidden="1">#REF!</definedName>
    <definedName name="EXCIR">#REF!</definedName>
    <definedName name="EXCIR2">#REF!</definedName>
    <definedName name="exit" hidden="1">{#N/A,#N/A,FALSE,"MODULE3"}</definedName>
    <definedName name="exit_1" hidden="1">{#N/A,#N/A,FALSE,"MODULE3"}</definedName>
    <definedName name="exit_2" hidden="1">{#N/A,#N/A,FALSE,"MODULE3"}</definedName>
    <definedName name="exit_3" hidden="1">{#N/A,#N/A,FALSE,"MODULE3"}</definedName>
    <definedName name="EXPLOSIV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TRA" hidden="1">{"SUMMARY",#N/A,FALSE,"C"}</definedName>
    <definedName name="eyteyt" hidden="1">{#N/A,#N/A,FALSE,"CCTV"}</definedName>
    <definedName name="eyy" hidden="1">{#N/A,#N/A,TRUE,"Cover";#N/A,#N/A,TRUE,"Conts";#N/A,#N/A,TRUE,"VOS";#N/A,#N/A,TRUE,"Warrington";#N/A,#N/A,TRUE,"Widnes"}</definedName>
    <definedName name="F">#REF!</definedName>
    <definedName name="f.a" hidden="1">{#N/A,#N/A,FALSE,"Aging Summary";#N/A,#N/A,FALSE,"Ratio Analysis";#N/A,#N/A,FALSE,"Test 120 Day Accts";#N/A,#N/A,FALSE,"Tickmarks"}</definedName>
    <definedName name="f_hardener">#REF!</definedName>
    <definedName name="fa" localSheetId="1" hidden="1">{#N/A,#N/A,FALSE,"Summary"}</definedName>
    <definedName name="fa" hidden="1">{#N/A,#N/A,FALSE,"Summary"}</definedName>
    <definedName name="faasdasdfgsd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AB">#REF!</definedName>
    <definedName name="Fab_Process">#REF!</definedName>
    <definedName name="fab_shop">#REF!</definedName>
    <definedName name="FABRICATION">#REF!</definedName>
    <definedName name="FAC">#N/A</definedName>
    <definedName name="fall" hidden="1">#REF!</definedName>
    <definedName name="fasf" hidden="1">{#N/A,#N/A,TRUE,"Sheet1";#N/A,#N/A,TRUE,"Sheet2";#N/A,#N/A,TRUE,"Sheet3";#N/A,#N/A,TRUE,"Sheet4"}</definedName>
    <definedName name="fasfq" hidden="1">{#N/A,#N/A,FALSE,"mgtsum.XLS";#N/A,#N/A,FALSE,"CAPONE";#N/A,#N/A,FALSE,"CAPTWO";#N/A,#N/A,FALSE,"CAPTHREE"}</definedName>
    <definedName name="fasfsdfsdfasdfsdfsd" hidden="1">{#N/A,#N/A,TRUE,"Basic";#N/A,#N/A,TRUE,"EXT-TABLE";#N/A,#N/A,TRUE,"STEEL";#N/A,#N/A,TRUE,"INT-Table";#N/A,#N/A,TRUE,"STEEL";#N/A,#N/A,TRUE,"Door"}</definedName>
    <definedName name="fax" localSheetId="1" hidden="1">{#N/A,#N/A,FALSE,"Summary"}</definedName>
    <definedName name="fax" hidden="1">{#N/A,#N/A,FALSE,"Summary"}</definedName>
    <definedName name="fbda" hidden="1">#REF!</definedName>
    <definedName name="fbg" hidden="1">#REF!</definedName>
    <definedName name="fc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Code" hidden="1">#REF!</definedName>
    <definedName name="FCOST1">#REF!</definedName>
    <definedName name="FCOST2">#REF!</definedName>
    <definedName name="fcvbn" hidden="1">#REF!</definedName>
    <definedName name="fd" hidden="1">#REF!</definedName>
    <definedName name="FDDDDDDDDDDDD" hidden="1">{#N/A,#N/A,TRUE,"총괄"}</definedName>
    <definedName name="fddfdfd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dfhdfhdgh" hidden="1">{#N/A,#N/A,FALSE,"CCTV"}</definedName>
    <definedName name="FDDS">#REF!,#REF!,#REF!,#REF!,#REF!,#REF!,#REF!</definedName>
    <definedName name="fdf" hidden="1">{#N/A,#N/A,FALSE,"CCTV"}</definedName>
    <definedName name="FDF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DFDF" hidden="1">{#N/A,#N/A,FALSE,"CCTV"}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ffffff" hidden="1">{#VALUE!,#N/A,FALSE,0;#N/A,#N/A,FALSE,0;#N/A,#N/A,FALSE,0;#N/A,#N/A,FALSE,0;#N/A,#N/A,FALSE,0;#N/A,#N/A,FALSE,0;#N/A,#N/A,FALSE,0;#N/A,#N/A,FALSE,0}</definedName>
    <definedName name="fdg" hidden="1">#REF!</definedName>
    <definedName name="f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g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dgd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hfg" hidden="1">#REF!</definedName>
    <definedName name="fdgrew" hidden="1">{"20 Years",#N/A,FALSE,"P&amp;Ls";"2001",#N/A,FALSE,"P&amp;Ls"}</definedName>
    <definedName name="fdgva" hidden="1">#REF!,#REF!</definedName>
    <definedName name="fdhdfghdhdfhhgjgjk">#REF!,#REF!,#REF!,#REF!,#REF!,#REF!,#REF!</definedName>
    <definedName name="fdhdhhdfhhdsfhdf">#REF!,#REF!,#REF!,#REF!,#REF!,#REF!,#REF!</definedName>
    <definedName name="fdhg" hidden="1">#REF!</definedName>
    <definedName name="FDR" hidden="1">#REF!</definedName>
    <definedName name="FDSA" hidden="1">{#N/A,#N/A,FALSE,"CCTV"}</definedName>
    <definedName name="fdsfdsfs" hidden="1">{#N/A,#N/A,TRUE,"Sheet1";#N/A,#N/A,TRUE,"Sheet2";#N/A,#N/A,TRUE,"Sheet3";#N/A,#N/A,TRUE,"Sheet4"}</definedName>
    <definedName name="fdsgf" hidden="1">{#N/A,#N/A,FALSE,"Çaykara ataköy (1)";#N/A,#N/A,FALSE,"Çaykara ataköy (2)";#N/A,#N/A,FALSE,"Rize Kalkandere ";#N/A,#N/A,FALSE,"meydancık";#N/A,#N/A,FALSE,"muratlı"}</definedName>
    <definedName name="fdsh" hidden="1">#REF!,#REF!</definedName>
    <definedName name="fdxg" hidden="1">#REF!</definedName>
    <definedName name="fe" hidden="1">#REF!</definedName>
    <definedName name="february">#REF!</definedName>
    <definedName name="FEE" hidden="1">#REF!</definedName>
    <definedName name="Fees.1" hidden="1">{#N/A,#N/A,TRUE,"Cover";#N/A,#N/A,TRUE,"Conts";#N/A,#N/A,TRUE,"VOS";#N/A,#N/A,TRUE,"Warrington";#N/A,#N/A,TRUE,"Widnes"}</definedName>
    <definedName name="felix" hidden="1">#REF!</definedName>
    <definedName name="fer" hidden="1">#REF!</definedName>
    <definedName name="ferhan" hidden="1">{#N/A,#N/A,FALSE,"Çaykara ataköy (1)";#N/A,#N/A,FALSE,"Çaykara ataköy (2)";#N/A,#N/A,FALSE,"Rize Kalkandere ";#N/A,#N/A,FALSE,"meydancık";#N/A,#N/A,FALSE,"muratlı"}</definedName>
    <definedName name="FERHAN1" hidden="1">{#N/A,#N/A,FALSE,"Çaykara ataköy (1)";#N/A,#N/A,FALSE,"Çaykara ataköy (2)";#N/A,#N/A,FALSE,"Rize Kalkandere ";#N/A,#N/A,FALSE,"meydancık";#N/A,#N/A,FALSE,"muratlı"}</definedName>
    <definedName name="ferhan2" hidden="1">{#N/A,#N/A,FALSE,"Çaykara ataköy (1)";#N/A,#N/A,FALSE,"Çaykara ataköy (2)";#N/A,#N/A,FALSE,"Rize Kalkandere ";#N/A,#N/A,FALSE,"meydancık";#N/A,#N/A,FALSE,"muratlı"}</definedName>
    <definedName name="FF" localSheetId="1" hidden="1">{#N/A,#N/A,TRUE,"Str.";#N/A,#N/A,TRUE,"Steel &amp; Roof";#N/A,#N/A,TRUE,"Arc.";#N/A,#N/A,TRUE,"Preliminary";#N/A,#N/A,TRUE,"Sum_Prelim"}</definedName>
    <definedName name="FF" hidden="1">{#N/A,#N/A,TRUE,"Str.";#N/A,#N/A,TRUE,"Steel &amp; Roof";#N/A,#N/A,TRUE,"Arc.";#N/A,#N/A,TRUE,"Preliminary";#N/A,#N/A,TRUE,"Sum_Prelim"}</definedName>
    <definedName name="FF." hidden="1">{#N/A,#N/A,FALSE,"Çaykara ataköy (1)";#N/A,#N/A,FALSE,"Çaykara ataköy (2)";#N/A,#N/A,FALSE,"Rize Kalkandere ";#N/A,#N/A,FALSE,"meydancık";#N/A,#N/A,FALSE,"muratlı"}</definedName>
    <definedName name="ff_2" hidden="1">{"form-D1",#N/A,FALSE,"FORM-D1";"form-D1_amt",#N/A,FALSE,"FORM-D1"}</definedName>
    <definedName name="ff_3" hidden="1">{"form-D1",#N/A,FALSE,"FORM-D1";"form-D1_amt",#N/A,FALSE,"FORM-D1"}</definedName>
    <definedName name="ffefefewfewf" hidden="1">#REF!</definedName>
    <definedName name="FFF" hidden="1">{#N/A,#N/A,FALSE,"Çaykara ataköy (1)";#N/A,#N/A,FALSE,"Çaykara ataköy (2)";#N/A,#N/A,FALSE,"Rize Kalkandere ";#N/A,#N/A,FALSE,"meydancık";#N/A,#N/A,FALSE,"muratlı"}</definedName>
    <definedName name="fffff" hidden="1">{#N/A,#N/A,TRUE,"Basic";#N/A,#N/A,TRUE,"EXT-TABLE";#N/A,#N/A,TRUE,"STEEL";#N/A,#N/A,TRUE,"INT-Table";#N/A,#N/A,TRUE,"STEEL";#N/A,#N/A,TRUE,"Door"}</definedName>
    <definedName name="ffffff" hidden="1">{#N/A,#N/A,FALSE,"CCTV"}</definedName>
    <definedName name="ffffffffffff">#REF!</definedName>
    <definedName name="fffffffffffff">#REF!</definedName>
    <definedName name="FFFFFFFFFFFFFF" hidden="1">{#N/A,#N/A,FALSE,"Çaykara ataköy (1)";#N/A,#N/A,FALSE,"Çaykara ataköy (2)";#N/A,#N/A,FALSE,"Rize Kalkandere ";#N/A,#N/A,FALSE,"meydancık";#N/A,#N/A,FALSE,"muratlı"}</definedName>
    <definedName name="fffffg" hidden="1">{"form-D1",#N/A,FALSE,"FORM-D1";"form-D1_amt",#N/A,FALSE,"FORM-D1"}</definedName>
    <definedName name="fffffg_1" hidden="1">{"form-D1",#N/A,FALSE,"FORM-D1";"form-D1_amt",#N/A,FALSE,"FORM-D1"}</definedName>
    <definedName name="fffffg_2" hidden="1">{"form-D1",#N/A,FALSE,"FORM-D1";"form-D1_amt",#N/A,FALSE,"FORM-D1"}</definedName>
    <definedName name="fffffg_3" hidden="1">{"form-D1",#N/A,FALSE,"FORM-D1";"form-D1_amt",#N/A,FALSE,"FORM-D1"}</definedName>
    <definedName name="FFFFHBT" hidden="1">#REF!</definedName>
    <definedName name="FFFFHHH" hidden="1">#REF!</definedName>
    <definedName name="ffggg" hidden="1">{#N/A,#N/A,FALSE,"ihz. icmal";#N/A,#N/A,FALSE,"avans";#N/A,#N/A,FALSE,"mal_FF_icm";#N/A,#N/A,FALSE,"fat_ihz";#N/A,#N/A,FALSE,"söz_fiy_fark";#N/A,#N/A,FALSE,"kap2"}</definedName>
    <definedName name="FFW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" hidden="1">{#N/A,#N/A,TRUE,"Cover";#N/A,#N/A,TRUE,"Conts";#N/A,#N/A,TRUE,"VOS";#N/A,#N/A,TRUE,"Warrington";#N/A,#N/A,TRUE,"Widnes"}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s" hidden="1">{#N/A,#N/A,TRUE,"arnitower";#N/A,#N/A,TRUE,"arnigarage "}</definedName>
    <definedName name="fgdh" hidden="1">#REF!,#REF!</definedName>
    <definedName name="fgdhfgh" hidden="1">#REF!</definedName>
    <definedName name="FGF" hidden="1">{#N/A,#N/A,FALSE,"CCTV"}</definedName>
    <definedName name="FGFD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s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fgfg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FGF" hidden="1">{#N/A,#N/A,FALSE,"MODULE3"}</definedName>
    <definedName name="FGFGF_1" hidden="1">{#N/A,#N/A,FALSE,"MODULE3"}</definedName>
    <definedName name="FGFGF_2" hidden="1">{#N/A,#N/A,FALSE,"MODULE3"}</definedName>
    <definedName name="FGFGF_3" hidden="1">{#N/A,#N/A,FALSE,"MODULE3"}</definedName>
    <definedName name="fgh">#REF!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g">#REF!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jjkyg" hidden="1">{#N/A,#N/A,TRUE,"Cover";#N/A,#N/A,TRUE,"Conts";#N/A,#N/A,TRUE,"VOS";#N/A,#N/A,TRUE,"Warrington";#N/A,#N/A,TRUE,"Widnes"}</definedName>
    <definedName name="fgsdfgse" hidden="1">{#N/A,#N/A,TRUE,"arnitower";#N/A,#N/A,TRUE,"arnigarage "}</definedName>
    <definedName name="fgsfg" hidden="1">#REF!</definedName>
    <definedName name="fgsg" hidden="1">#REF!</definedName>
    <definedName name="fgtt" hidden="1">{"'Sheet1'!$A$4386:$N$4591"}</definedName>
    <definedName name="fgvgvb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fgy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H">#REF!</definedName>
    <definedName name="fhgjfghfghgf" hidden="1">{#N/A,#N/A,FALSE,"CCTV"}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hsgr" hidden="1">#REF!</definedName>
    <definedName name="FIFTEEN">#REF!</definedName>
    <definedName name="fil" hidden="1">#REF!</definedName>
    <definedName name="File.Type" hidden="1">#REF!</definedName>
    <definedName name="fill">#REF!</definedName>
    <definedName name="fill_" hidden="1">#REF!</definedName>
    <definedName name="FILLED" hidden="1">#REF!</definedName>
    <definedName name="Filter" hidden="1">#REF!</definedName>
    <definedName name="Final" hidden="1">#REF!</definedName>
    <definedName name="FINANCIAL">#REF!</definedName>
    <definedName name="Financial_Reporting">#REF!</definedName>
    <definedName name="Finishes">#REF!</definedName>
    <definedName name="Firealarm_Tab">#REF!</definedName>
    <definedName name="Firesealing">#REF!</definedName>
    <definedName name="fjhgfd" hidden="1">{"'Sheet1'!$A$4386:$N$4591"}</definedName>
    <definedName name="fkf" hidden="1">#REF!</definedName>
    <definedName name="fkfkvhikkhju" hidden="1">{#N/A,#N/A,TRUE,"Cover";#N/A,#N/A,TRUE,"Conts";#N/A,#N/A,TRUE,"VOS";#N/A,#N/A,TRUE,"Warrington";#N/A,#N/A,TRUE,"Widnes"}</definedName>
    <definedName name="flbd">#REF!</definedName>
    <definedName name="flds">#REF!</definedName>
    <definedName name="fler">#REF!</definedName>
    <definedName name="flp">#REF!</definedName>
    <definedName name="flrrow">#REF!</definedName>
    <definedName name="flsw">#REF!</definedName>
    <definedName name="flws">#REF!</definedName>
    <definedName name="fm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mark">#REF!</definedName>
    <definedName name="fng" hidden="1">#REF!</definedName>
    <definedName name="foot">#REF!</definedName>
    <definedName name="foren" hidden="1">{"Execavation",#N/A,FALSE,"furniture (employer)"}</definedName>
    <definedName name="form_others">#REF!</definedName>
    <definedName name="FORMAT" hidden="1">{#N/A,#N/A,FALSE,"CCTV"}</definedName>
    <definedName name="FORMULA1">#N/A</definedName>
    <definedName name="formwork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URTEEN">#REF!</definedName>
    <definedName name="FOURTY">#REF!</definedName>
    <definedName name="FOURTY_ONE">#REF!</definedName>
    <definedName name="FOURTYONE">#REF!</definedName>
    <definedName name="FPROT4">#REF!</definedName>
    <definedName name="FQWFF" hidden="1">#REF!</definedName>
    <definedName name="fr">100%</definedName>
    <definedName name="FReport5" hidden="1">{#N/A,#N/A,FALSE,"MARCH"}</definedName>
    <definedName name="frewrew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frg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jj" hidden="1">{#N/A,#N/A,TRUE,"Cover";#N/A,#N/A,TRUE,"Conts";#N/A,#N/A,TRUE,"VOS";#N/A,#N/A,TRUE,"Warrington";#N/A,#N/A,TRUE,"Widnes"}</definedName>
    <definedName name="fsd" localSheetId="1" hidden="1">{#N/A,#N/A,FALSE,"mgtsum.XLS";#N/A,#N/A,FALSE,"CAPONE";#N/A,#N/A,FALSE,"CAPTWO";#N/A,#N/A,FALSE,"CAPTHREE"}</definedName>
    <definedName name="fsd" hidden="1">{#N/A,#N/A,FALSE,"mgtsum.XLS";#N/A,#N/A,FALSE,"CAPONE";#N/A,#N/A,FALSE,"CAPTWO";#N/A,#N/A,FALSE,"CAPTHREE"}</definedName>
    <definedName name="fsd_1" hidden="1">{#N/A,#N/A,FALSE,"mgtsum.XLS";#N/A,#N/A,FALSE,"CAPONE";#N/A,#N/A,FALSE,"CAPTWO";#N/A,#N/A,FALSE,"CAPTHREE"}</definedName>
    <definedName name="fsd_1_1" hidden="1">{#N/A,#N/A,FALSE,"mgtsum.XLS";#N/A,#N/A,FALSE,"CAPONE";#N/A,#N/A,FALSE,"CAPTWO";#N/A,#N/A,FALSE,"CAPTHREE"}</definedName>
    <definedName name="fsd_1_1_1" hidden="1">{#N/A,#N/A,FALSE,"mgtsum.XLS";#N/A,#N/A,FALSE,"CAPONE";#N/A,#N/A,FALSE,"CAPTWO";#N/A,#N/A,FALSE,"CAPTHREE"}</definedName>
    <definedName name="fsd_1_1_1_1" hidden="1">{#N/A,#N/A,FALSE,"mgtsum.XLS";#N/A,#N/A,FALSE,"CAPONE";#N/A,#N/A,FALSE,"CAPTWO";#N/A,#N/A,FALSE,"CAPTHREE"}</definedName>
    <definedName name="fsd_1_1_1_2" hidden="1">{#N/A,#N/A,FALSE,"mgtsum.XLS";#N/A,#N/A,FALSE,"CAPONE";#N/A,#N/A,FALSE,"CAPTWO";#N/A,#N/A,FALSE,"CAPTHREE"}</definedName>
    <definedName name="fsd_1_1_1_3" hidden="1">{#N/A,#N/A,FALSE,"mgtsum.XLS";#N/A,#N/A,FALSE,"CAPONE";#N/A,#N/A,FALSE,"CAPTWO";#N/A,#N/A,FALSE,"CAPTHREE"}</definedName>
    <definedName name="fsd_1_1_1_4" hidden="1">{#N/A,#N/A,FALSE,"mgtsum.XLS";#N/A,#N/A,FALSE,"CAPONE";#N/A,#N/A,FALSE,"CAPTWO";#N/A,#N/A,FALSE,"CAPTHREE"}</definedName>
    <definedName name="fsd_1_1_1_5" hidden="1">{#N/A,#N/A,FALSE,"mgtsum.XLS";#N/A,#N/A,FALSE,"CAPONE";#N/A,#N/A,FALSE,"CAPTWO";#N/A,#N/A,FALSE,"CAPTHREE"}</definedName>
    <definedName name="fsd_1_1_2" hidden="1">{#N/A,#N/A,FALSE,"mgtsum.XLS";#N/A,#N/A,FALSE,"CAPONE";#N/A,#N/A,FALSE,"CAPTWO";#N/A,#N/A,FALSE,"CAPTHREE"}</definedName>
    <definedName name="fsd_1_1_2_1" hidden="1">{#N/A,#N/A,FALSE,"mgtsum.XLS";#N/A,#N/A,FALSE,"CAPONE";#N/A,#N/A,FALSE,"CAPTWO";#N/A,#N/A,FALSE,"CAPTHREE"}</definedName>
    <definedName name="fsd_1_1_2_2" hidden="1">{#N/A,#N/A,FALSE,"mgtsum.XLS";#N/A,#N/A,FALSE,"CAPONE";#N/A,#N/A,FALSE,"CAPTWO";#N/A,#N/A,FALSE,"CAPTHREE"}</definedName>
    <definedName name="fsd_1_1_2_3" hidden="1">{#N/A,#N/A,FALSE,"mgtsum.XLS";#N/A,#N/A,FALSE,"CAPONE";#N/A,#N/A,FALSE,"CAPTWO";#N/A,#N/A,FALSE,"CAPTHREE"}</definedName>
    <definedName name="fsd_1_1_2_4" hidden="1">{#N/A,#N/A,FALSE,"mgtsum.XLS";#N/A,#N/A,FALSE,"CAPONE";#N/A,#N/A,FALSE,"CAPTWO";#N/A,#N/A,FALSE,"CAPTHREE"}</definedName>
    <definedName name="fsd_1_1_2_5" hidden="1">{#N/A,#N/A,FALSE,"mgtsum.XLS";#N/A,#N/A,FALSE,"CAPONE";#N/A,#N/A,FALSE,"CAPTWO";#N/A,#N/A,FALSE,"CAPTHREE"}</definedName>
    <definedName name="fsd_1_1_3" hidden="1">{#N/A,#N/A,FALSE,"mgtsum.XLS";#N/A,#N/A,FALSE,"CAPONE";#N/A,#N/A,FALSE,"CAPTWO";#N/A,#N/A,FALSE,"CAPTHREE"}</definedName>
    <definedName name="fsd_1_1_3_1" hidden="1">{#N/A,#N/A,FALSE,"mgtsum.XLS";#N/A,#N/A,FALSE,"CAPONE";#N/A,#N/A,FALSE,"CAPTWO";#N/A,#N/A,FALSE,"CAPTHREE"}</definedName>
    <definedName name="fsd_1_1_3_2" hidden="1">{#N/A,#N/A,FALSE,"mgtsum.XLS";#N/A,#N/A,FALSE,"CAPONE";#N/A,#N/A,FALSE,"CAPTWO";#N/A,#N/A,FALSE,"CAPTHREE"}</definedName>
    <definedName name="fsd_1_1_3_3" hidden="1">{#N/A,#N/A,FALSE,"mgtsum.XLS";#N/A,#N/A,FALSE,"CAPONE";#N/A,#N/A,FALSE,"CAPTWO";#N/A,#N/A,FALSE,"CAPTHREE"}</definedName>
    <definedName name="fsd_1_1_3_4" hidden="1">{#N/A,#N/A,FALSE,"mgtsum.XLS";#N/A,#N/A,FALSE,"CAPONE";#N/A,#N/A,FALSE,"CAPTWO";#N/A,#N/A,FALSE,"CAPTHREE"}</definedName>
    <definedName name="fsd_1_1_3_5" hidden="1">{#N/A,#N/A,FALSE,"mgtsum.XLS";#N/A,#N/A,FALSE,"CAPONE";#N/A,#N/A,FALSE,"CAPTWO";#N/A,#N/A,FALSE,"CAPTHREE"}</definedName>
    <definedName name="fsd_1_1_4" hidden="1">{#N/A,#N/A,FALSE,"mgtsum.XLS";#N/A,#N/A,FALSE,"CAPONE";#N/A,#N/A,FALSE,"CAPTWO";#N/A,#N/A,FALSE,"CAPTHREE"}</definedName>
    <definedName name="fsd_1_1_5" hidden="1">{#N/A,#N/A,FALSE,"mgtsum.XLS";#N/A,#N/A,FALSE,"CAPONE";#N/A,#N/A,FALSE,"CAPTWO";#N/A,#N/A,FALSE,"CAPTHREE"}</definedName>
    <definedName name="fsd_1_2" hidden="1">{#N/A,#N/A,FALSE,"mgtsum.XLS";#N/A,#N/A,FALSE,"CAPONE";#N/A,#N/A,FALSE,"CAPTWO";#N/A,#N/A,FALSE,"CAPTHREE"}</definedName>
    <definedName name="fsd_1_2_1" hidden="1">{#N/A,#N/A,FALSE,"mgtsum.XLS";#N/A,#N/A,FALSE,"CAPONE";#N/A,#N/A,FALSE,"CAPTWO";#N/A,#N/A,FALSE,"CAPTHREE"}</definedName>
    <definedName name="fsd_1_2_1_1" hidden="1">{#N/A,#N/A,FALSE,"mgtsum.XLS";#N/A,#N/A,FALSE,"CAPONE";#N/A,#N/A,FALSE,"CAPTWO";#N/A,#N/A,FALSE,"CAPTHREE"}</definedName>
    <definedName name="fsd_1_2_1_2" hidden="1">{#N/A,#N/A,FALSE,"mgtsum.XLS";#N/A,#N/A,FALSE,"CAPONE";#N/A,#N/A,FALSE,"CAPTWO";#N/A,#N/A,FALSE,"CAPTHREE"}</definedName>
    <definedName name="fsd_1_2_1_3" hidden="1">{#N/A,#N/A,FALSE,"mgtsum.XLS";#N/A,#N/A,FALSE,"CAPONE";#N/A,#N/A,FALSE,"CAPTWO";#N/A,#N/A,FALSE,"CAPTHREE"}</definedName>
    <definedName name="fsd_1_2_1_4" hidden="1">{#N/A,#N/A,FALSE,"mgtsum.XLS";#N/A,#N/A,FALSE,"CAPONE";#N/A,#N/A,FALSE,"CAPTWO";#N/A,#N/A,FALSE,"CAPTHREE"}</definedName>
    <definedName name="fsd_1_2_1_5" hidden="1">{#N/A,#N/A,FALSE,"mgtsum.XLS";#N/A,#N/A,FALSE,"CAPONE";#N/A,#N/A,FALSE,"CAPTWO";#N/A,#N/A,FALSE,"CAPTHREE"}</definedName>
    <definedName name="fsd_1_2_2" hidden="1">{#N/A,#N/A,FALSE,"mgtsum.XLS";#N/A,#N/A,FALSE,"CAPONE";#N/A,#N/A,FALSE,"CAPTWO";#N/A,#N/A,FALSE,"CAPTHREE"}</definedName>
    <definedName name="fsd_1_2_2_1" hidden="1">{#N/A,#N/A,FALSE,"mgtsum.XLS";#N/A,#N/A,FALSE,"CAPONE";#N/A,#N/A,FALSE,"CAPTWO";#N/A,#N/A,FALSE,"CAPTHREE"}</definedName>
    <definedName name="fsd_1_2_2_2" hidden="1">{#N/A,#N/A,FALSE,"mgtsum.XLS";#N/A,#N/A,FALSE,"CAPONE";#N/A,#N/A,FALSE,"CAPTWO";#N/A,#N/A,FALSE,"CAPTHREE"}</definedName>
    <definedName name="fsd_1_2_2_3" hidden="1">{#N/A,#N/A,FALSE,"mgtsum.XLS";#N/A,#N/A,FALSE,"CAPONE";#N/A,#N/A,FALSE,"CAPTWO";#N/A,#N/A,FALSE,"CAPTHREE"}</definedName>
    <definedName name="fsd_1_2_2_4" hidden="1">{#N/A,#N/A,FALSE,"mgtsum.XLS";#N/A,#N/A,FALSE,"CAPONE";#N/A,#N/A,FALSE,"CAPTWO";#N/A,#N/A,FALSE,"CAPTHREE"}</definedName>
    <definedName name="fsd_1_2_2_5" hidden="1">{#N/A,#N/A,FALSE,"mgtsum.XLS";#N/A,#N/A,FALSE,"CAPONE";#N/A,#N/A,FALSE,"CAPTWO";#N/A,#N/A,FALSE,"CAPTHREE"}</definedName>
    <definedName name="fsd_1_2_3" hidden="1">{#N/A,#N/A,FALSE,"mgtsum.XLS";#N/A,#N/A,FALSE,"CAPONE";#N/A,#N/A,FALSE,"CAPTWO";#N/A,#N/A,FALSE,"CAPTHREE"}</definedName>
    <definedName name="fsd_1_2_4" hidden="1">{#N/A,#N/A,FALSE,"mgtsum.XLS";#N/A,#N/A,FALSE,"CAPONE";#N/A,#N/A,FALSE,"CAPTWO";#N/A,#N/A,FALSE,"CAPTHREE"}</definedName>
    <definedName name="fsd_1_2_5" hidden="1">{#N/A,#N/A,FALSE,"mgtsum.XLS";#N/A,#N/A,FALSE,"CAPONE";#N/A,#N/A,FALSE,"CAPTWO";#N/A,#N/A,FALSE,"CAPTHREE"}</definedName>
    <definedName name="fsd_1_3" hidden="1">{#N/A,#N/A,FALSE,"mgtsum.XLS";#N/A,#N/A,FALSE,"CAPONE";#N/A,#N/A,FALSE,"CAPTWO";#N/A,#N/A,FALSE,"CAPTHREE"}</definedName>
    <definedName name="fsd_1_3_1" hidden="1">{#N/A,#N/A,FALSE,"mgtsum.XLS";#N/A,#N/A,FALSE,"CAPONE";#N/A,#N/A,FALSE,"CAPTWO";#N/A,#N/A,FALSE,"CAPTHREE"}</definedName>
    <definedName name="fsd_1_3_1_1" hidden="1">{#N/A,#N/A,FALSE,"mgtsum.XLS";#N/A,#N/A,FALSE,"CAPONE";#N/A,#N/A,FALSE,"CAPTWO";#N/A,#N/A,FALSE,"CAPTHREE"}</definedName>
    <definedName name="fsd_1_3_1_2" hidden="1">{#N/A,#N/A,FALSE,"mgtsum.XLS";#N/A,#N/A,FALSE,"CAPONE";#N/A,#N/A,FALSE,"CAPTWO";#N/A,#N/A,FALSE,"CAPTHREE"}</definedName>
    <definedName name="fsd_1_3_1_3" hidden="1">{#N/A,#N/A,FALSE,"mgtsum.XLS";#N/A,#N/A,FALSE,"CAPONE";#N/A,#N/A,FALSE,"CAPTWO";#N/A,#N/A,FALSE,"CAPTHREE"}</definedName>
    <definedName name="fsd_1_3_1_4" hidden="1">{#N/A,#N/A,FALSE,"mgtsum.XLS";#N/A,#N/A,FALSE,"CAPONE";#N/A,#N/A,FALSE,"CAPTWO";#N/A,#N/A,FALSE,"CAPTHREE"}</definedName>
    <definedName name="fsd_1_3_1_5" hidden="1">{#N/A,#N/A,FALSE,"mgtsum.XLS";#N/A,#N/A,FALSE,"CAPONE";#N/A,#N/A,FALSE,"CAPTWO";#N/A,#N/A,FALSE,"CAPTHREE"}</definedName>
    <definedName name="fsd_1_3_2" hidden="1">{#N/A,#N/A,FALSE,"mgtsum.XLS";#N/A,#N/A,FALSE,"CAPONE";#N/A,#N/A,FALSE,"CAPTWO";#N/A,#N/A,FALSE,"CAPTHREE"}</definedName>
    <definedName name="fsd_1_3_2_1" hidden="1">{#N/A,#N/A,FALSE,"mgtsum.XLS";#N/A,#N/A,FALSE,"CAPONE";#N/A,#N/A,FALSE,"CAPTWO";#N/A,#N/A,FALSE,"CAPTHREE"}</definedName>
    <definedName name="fsd_1_3_2_2" hidden="1">{#N/A,#N/A,FALSE,"mgtsum.XLS";#N/A,#N/A,FALSE,"CAPONE";#N/A,#N/A,FALSE,"CAPTWO";#N/A,#N/A,FALSE,"CAPTHREE"}</definedName>
    <definedName name="fsd_1_3_2_3" hidden="1">{#N/A,#N/A,FALSE,"mgtsum.XLS";#N/A,#N/A,FALSE,"CAPONE";#N/A,#N/A,FALSE,"CAPTWO";#N/A,#N/A,FALSE,"CAPTHREE"}</definedName>
    <definedName name="fsd_1_3_2_4" hidden="1">{#N/A,#N/A,FALSE,"mgtsum.XLS";#N/A,#N/A,FALSE,"CAPONE";#N/A,#N/A,FALSE,"CAPTWO";#N/A,#N/A,FALSE,"CAPTHREE"}</definedName>
    <definedName name="fsd_1_3_2_5" hidden="1">{#N/A,#N/A,FALSE,"mgtsum.XLS";#N/A,#N/A,FALSE,"CAPONE";#N/A,#N/A,FALSE,"CAPTWO";#N/A,#N/A,FALSE,"CAPTHREE"}</definedName>
    <definedName name="fsd_1_3_3" hidden="1">{#N/A,#N/A,FALSE,"mgtsum.XLS";#N/A,#N/A,FALSE,"CAPONE";#N/A,#N/A,FALSE,"CAPTWO";#N/A,#N/A,FALSE,"CAPTHREE"}</definedName>
    <definedName name="fsd_1_3_4" hidden="1">{#N/A,#N/A,FALSE,"mgtsum.XLS";#N/A,#N/A,FALSE,"CAPONE";#N/A,#N/A,FALSE,"CAPTWO";#N/A,#N/A,FALSE,"CAPTHREE"}</definedName>
    <definedName name="fsd_1_3_5" hidden="1">{#N/A,#N/A,FALSE,"mgtsum.XLS";#N/A,#N/A,FALSE,"CAPONE";#N/A,#N/A,FALSE,"CAPTWO";#N/A,#N/A,FALSE,"CAPTHREE"}</definedName>
    <definedName name="fsd_1_4" hidden="1">{#N/A,#N/A,FALSE,"mgtsum.XLS";#N/A,#N/A,FALSE,"CAPONE";#N/A,#N/A,FALSE,"CAPTWO";#N/A,#N/A,FALSE,"CAPTHREE"}</definedName>
    <definedName name="fsd_1_4_1" hidden="1">{#N/A,#N/A,FALSE,"mgtsum.XLS";#N/A,#N/A,FALSE,"CAPONE";#N/A,#N/A,FALSE,"CAPTWO";#N/A,#N/A,FALSE,"CAPTHREE"}</definedName>
    <definedName name="fsd_1_4_1_1" hidden="1">{#N/A,#N/A,FALSE,"mgtsum.XLS";#N/A,#N/A,FALSE,"CAPONE";#N/A,#N/A,FALSE,"CAPTWO";#N/A,#N/A,FALSE,"CAPTHREE"}</definedName>
    <definedName name="fsd_1_4_1_2" hidden="1">{#N/A,#N/A,FALSE,"mgtsum.XLS";#N/A,#N/A,FALSE,"CAPONE";#N/A,#N/A,FALSE,"CAPTWO";#N/A,#N/A,FALSE,"CAPTHREE"}</definedName>
    <definedName name="fsd_1_4_1_3" hidden="1">{#N/A,#N/A,FALSE,"mgtsum.XLS";#N/A,#N/A,FALSE,"CAPONE";#N/A,#N/A,FALSE,"CAPTWO";#N/A,#N/A,FALSE,"CAPTHREE"}</definedName>
    <definedName name="fsd_1_4_1_4" hidden="1">{#N/A,#N/A,FALSE,"mgtsum.XLS";#N/A,#N/A,FALSE,"CAPONE";#N/A,#N/A,FALSE,"CAPTWO";#N/A,#N/A,FALSE,"CAPTHREE"}</definedName>
    <definedName name="fsd_1_4_1_5" hidden="1">{#N/A,#N/A,FALSE,"mgtsum.XLS";#N/A,#N/A,FALSE,"CAPONE";#N/A,#N/A,FALSE,"CAPTWO";#N/A,#N/A,FALSE,"CAPTHREE"}</definedName>
    <definedName name="fsd_1_4_2" hidden="1">{#N/A,#N/A,FALSE,"mgtsum.XLS";#N/A,#N/A,FALSE,"CAPONE";#N/A,#N/A,FALSE,"CAPTWO";#N/A,#N/A,FALSE,"CAPTHREE"}</definedName>
    <definedName name="fsd_1_4_2_1" hidden="1">{#N/A,#N/A,FALSE,"mgtsum.XLS";#N/A,#N/A,FALSE,"CAPONE";#N/A,#N/A,FALSE,"CAPTWO";#N/A,#N/A,FALSE,"CAPTHREE"}</definedName>
    <definedName name="fsd_1_4_2_2" hidden="1">{#N/A,#N/A,FALSE,"mgtsum.XLS";#N/A,#N/A,FALSE,"CAPONE";#N/A,#N/A,FALSE,"CAPTWO";#N/A,#N/A,FALSE,"CAPTHREE"}</definedName>
    <definedName name="fsd_1_4_2_3" hidden="1">{#N/A,#N/A,FALSE,"mgtsum.XLS";#N/A,#N/A,FALSE,"CAPONE";#N/A,#N/A,FALSE,"CAPTWO";#N/A,#N/A,FALSE,"CAPTHREE"}</definedName>
    <definedName name="fsd_1_4_2_4" hidden="1">{#N/A,#N/A,FALSE,"mgtsum.XLS";#N/A,#N/A,FALSE,"CAPONE";#N/A,#N/A,FALSE,"CAPTWO";#N/A,#N/A,FALSE,"CAPTHREE"}</definedName>
    <definedName name="fsd_1_4_2_5" hidden="1">{#N/A,#N/A,FALSE,"mgtsum.XLS";#N/A,#N/A,FALSE,"CAPONE";#N/A,#N/A,FALSE,"CAPTWO";#N/A,#N/A,FALSE,"CAPTHREE"}</definedName>
    <definedName name="fsd_1_4_3" hidden="1">{#N/A,#N/A,FALSE,"mgtsum.XLS";#N/A,#N/A,FALSE,"CAPONE";#N/A,#N/A,FALSE,"CAPTWO";#N/A,#N/A,FALSE,"CAPTHREE"}</definedName>
    <definedName name="fsd_1_4_4" hidden="1">{#N/A,#N/A,FALSE,"mgtsum.XLS";#N/A,#N/A,FALSE,"CAPONE";#N/A,#N/A,FALSE,"CAPTWO";#N/A,#N/A,FALSE,"CAPTHREE"}</definedName>
    <definedName name="fsd_1_4_5" hidden="1">{#N/A,#N/A,FALSE,"mgtsum.XLS";#N/A,#N/A,FALSE,"CAPONE";#N/A,#N/A,FALSE,"CAPTWO";#N/A,#N/A,FALSE,"CAPTHREE"}</definedName>
    <definedName name="fsd_1_5" hidden="1">{#N/A,#N/A,FALSE,"mgtsum.XLS";#N/A,#N/A,FALSE,"CAPONE";#N/A,#N/A,FALSE,"CAPTWO";#N/A,#N/A,FALSE,"CAPTHREE"}</definedName>
    <definedName name="fsd_1_5_1" hidden="1">{#N/A,#N/A,FALSE,"mgtsum.XLS";#N/A,#N/A,FALSE,"CAPONE";#N/A,#N/A,FALSE,"CAPTWO";#N/A,#N/A,FALSE,"CAPTHREE"}</definedName>
    <definedName name="fsd_1_5_1_1" hidden="1">{#N/A,#N/A,FALSE,"mgtsum.XLS";#N/A,#N/A,FALSE,"CAPONE";#N/A,#N/A,FALSE,"CAPTWO";#N/A,#N/A,FALSE,"CAPTHREE"}</definedName>
    <definedName name="fsd_1_5_1_2" hidden="1">{#N/A,#N/A,FALSE,"mgtsum.XLS";#N/A,#N/A,FALSE,"CAPONE";#N/A,#N/A,FALSE,"CAPTWO";#N/A,#N/A,FALSE,"CAPTHREE"}</definedName>
    <definedName name="fsd_1_5_1_3" hidden="1">{#N/A,#N/A,FALSE,"mgtsum.XLS";#N/A,#N/A,FALSE,"CAPONE";#N/A,#N/A,FALSE,"CAPTWO";#N/A,#N/A,FALSE,"CAPTHREE"}</definedName>
    <definedName name="fsd_1_5_1_4" hidden="1">{#N/A,#N/A,FALSE,"mgtsum.XLS";#N/A,#N/A,FALSE,"CAPONE";#N/A,#N/A,FALSE,"CAPTWO";#N/A,#N/A,FALSE,"CAPTHREE"}</definedName>
    <definedName name="fsd_1_5_1_5" hidden="1">{#N/A,#N/A,FALSE,"mgtsum.XLS";#N/A,#N/A,FALSE,"CAPONE";#N/A,#N/A,FALSE,"CAPTWO";#N/A,#N/A,FALSE,"CAPTHREE"}</definedName>
    <definedName name="fsd_1_5_2" hidden="1">{#N/A,#N/A,FALSE,"mgtsum.XLS";#N/A,#N/A,FALSE,"CAPONE";#N/A,#N/A,FALSE,"CAPTWO";#N/A,#N/A,FALSE,"CAPTHREE"}</definedName>
    <definedName name="fsd_1_5_2_1" hidden="1">{#N/A,#N/A,FALSE,"mgtsum.XLS";#N/A,#N/A,FALSE,"CAPONE";#N/A,#N/A,FALSE,"CAPTWO";#N/A,#N/A,FALSE,"CAPTHREE"}</definedName>
    <definedName name="fsd_1_5_2_2" hidden="1">{#N/A,#N/A,FALSE,"mgtsum.XLS";#N/A,#N/A,FALSE,"CAPONE";#N/A,#N/A,FALSE,"CAPTWO";#N/A,#N/A,FALSE,"CAPTHREE"}</definedName>
    <definedName name="fsd_1_5_2_3" hidden="1">{#N/A,#N/A,FALSE,"mgtsum.XLS";#N/A,#N/A,FALSE,"CAPONE";#N/A,#N/A,FALSE,"CAPTWO";#N/A,#N/A,FALSE,"CAPTHREE"}</definedName>
    <definedName name="fsd_1_5_2_4" hidden="1">{#N/A,#N/A,FALSE,"mgtsum.XLS";#N/A,#N/A,FALSE,"CAPONE";#N/A,#N/A,FALSE,"CAPTWO";#N/A,#N/A,FALSE,"CAPTHREE"}</definedName>
    <definedName name="fsd_1_5_2_5" hidden="1">{#N/A,#N/A,FALSE,"mgtsum.XLS";#N/A,#N/A,FALSE,"CAPONE";#N/A,#N/A,FALSE,"CAPTWO";#N/A,#N/A,FALSE,"CAPTHREE"}</definedName>
    <definedName name="fsd_1_5_3" hidden="1">{#N/A,#N/A,FALSE,"mgtsum.XLS";#N/A,#N/A,FALSE,"CAPONE";#N/A,#N/A,FALSE,"CAPTWO";#N/A,#N/A,FALSE,"CAPTHREE"}</definedName>
    <definedName name="fsd_1_5_4" hidden="1">{#N/A,#N/A,FALSE,"mgtsum.XLS";#N/A,#N/A,FALSE,"CAPONE";#N/A,#N/A,FALSE,"CAPTWO";#N/A,#N/A,FALSE,"CAPTHREE"}</definedName>
    <definedName name="fsd_1_5_5" hidden="1">{#N/A,#N/A,FALSE,"mgtsum.XLS";#N/A,#N/A,FALSE,"CAPONE";#N/A,#N/A,FALSE,"CAPTWO";#N/A,#N/A,FALSE,"CAPTHREE"}</definedName>
    <definedName name="fsd_2" hidden="1">{#N/A,#N/A,FALSE,"mgtsum.XLS";#N/A,#N/A,FALSE,"CAPONE";#N/A,#N/A,FALSE,"CAPTWO";#N/A,#N/A,FALSE,"CAPTHREE"}</definedName>
    <definedName name="fsd_2_1" hidden="1">{#N/A,#N/A,FALSE,"mgtsum.XLS";#N/A,#N/A,FALSE,"CAPONE";#N/A,#N/A,FALSE,"CAPTWO";#N/A,#N/A,FALSE,"CAPTHREE"}</definedName>
    <definedName name="fsd_2_1_1" hidden="1">{#N/A,#N/A,FALSE,"mgtsum.XLS";#N/A,#N/A,FALSE,"CAPONE";#N/A,#N/A,FALSE,"CAPTWO";#N/A,#N/A,FALSE,"CAPTHREE"}</definedName>
    <definedName name="fsd_2_1_1_1" hidden="1">{#N/A,#N/A,FALSE,"mgtsum.XLS";#N/A,#N/A,FALSE,"CAPONE";#N/A,#N/A,FALSE,"CAPTWO";#N/A,#N/A,FALSE,"CAPTHREE"}</definedName>
    <definedName name="fsd_2_1_1_2" hidden="1">{#N/A,#N/A,FALSE,"mgtsum.XLS";#N/A,#N/A,FALSE,"CAPONE";#N/A,#N/A,FALSE,"CAPTWO";#N/A,#N/A,FALSE,"CAPTHREE"}</definedName>
    <definedName name="fsd_2_1_1_3" hidden="1">{#N/A,#N/A,FALSE,"mgtsum.XLS";#N/A,#N/A,FALSE,"CAPONE";#N/A,#N/A,FALSE,"CAPTWO";#N/A,#N/A,FALSE,"CAPTHREE"}</definedName>
    <definedName name="fsd_2_1_1_4" hidden="1">{#N/A,#N/A,FALSE,"mgtsum.XLS";#N/A,#N/A,FALSE,"CAPONE";#N/A,#N/A,FALSE,"CAPTWO";#N/A,#N/A,FALSE,"CAPTHREE"}</definedName>
    <definedName name="fsd_2_1_1_5" hidden="1">{#N/A,#N/A,FALSE,"mgtsum.XLS";#N/A,#N/A,FALSE,"CAPONE";#N/A,#N/A,FALSE,"CAPTWO";#N/A,#N/A,FALSE,"CAPTHREE"}</definedName>
    <definedName name="fsd_2_1_2" hidden="1">{#N/A,#N/A,FALSE,"mgtsum.XLS";#N/A,#N/A,FALSE,"CAPONE";#N/A,#N/A,FALSE,"CAPTWO";#N/A,#N/A,FALSE,"CAPTHREE"}</definedName>
    <definedName name="fsd_2_1_2_1" hidden="1">{#N/A,#N/A,FALSE,"mgtsum.XLS";#N/A,#N/A,FALSE,"CAPONE";#N/A,#N/A,FALSE,"CAPTWO";#N/A,#N/A,FALSE,"CAPTHREE"}</definedName>
    <definedName name="fsd_2_1_2_2" hidden="1">{#N/A,#N/A,FALSE,"mgtsum.XLS";#N/A,#N/A,FALSE,"CAPONE";#N/A,#N/A,FALSE,"CAPTWO";#N/A,#N/A,FALSE,"CAPTHREE"}</definedName>
    <definedName name="fsd_2_1_2_3" hidden="1">{#N/A,#N/A,FALSE,"mgtsum.XLS";#N/A,#N/A,FALSE,"CAPONE";#N/A,#N/A,FALSE,"CAPTWO";#N/A,#N/A,FALSE,"CAPTHREE"}</definedName>
    <definedName name="fsd_2_1_2_4" hidden="1">{#N/A,#N/A,FALSE,"mgtsum.XLS";#N/A,#N/A,FALSE,"CAPONE";#N/A,#N/A,FALSE,"CAPTWO";#N/A,#N/A,FALSE,"CAPTHREE"}</definedName>
    <definedName name="fsd_2_1_2_5" hidden="1">{#N/A,#N/A,FALSE,"mgtsum.XLS";#N/A,#N/A,FALSE,"CAPONE";#N/A,#N/A,FALSE,"CAPTWO";#N/A,#N/A,FALSE,"CAPTHREE"}</definedName>
    <definedName name="fsd_2_1_3" hidden="1">{#N/A,#N/A,FALSE,"mgtsum.XLS";#N/A,#N/A,FALSE,"CAPONE";#N/A,#N/A,FALSE,"CAPTWO";#N/A,#N/A,FALSE,"CAPTHREE"}</definedName>
    <definedName name="fsd_2_1_3_1" hidden="1">{#N/A,#N/A,FALSE,"mgtsum.XLS";#N/A,#N/A,FALSE,"CAPONE";#N/A,#N/A,FALSE,"CAPTWO";#N/A,#N/A,FALSE,"CAPTHREE"}</definedName>
    <definedName name="fsd_2_1_3_2" hidden="1">{#N/A,#N/A,FALSE,"mgtsum.XLS";#N/A,#N/A,FALSE,"CAPONE";#N/A,#N/A,FALSE,"CAPTWO";#N/A,#N/A,FALSE,"CAPTHREE"}</definedName>
    <definedName name="fsd_2_1_3_3" hidden="1">{#N/A,#N/A,FALSE,"mgtsum.XLS";#N/A,#N/A,FALSE,"CAPONE";#N/A,#N/A,FALSE,"CAPTWO";#N/A,#N/A,FALSE,"CAPTHREE"}</definedName>
    <definedName name="fsd_2_1_3_4" hidden="1">{#N/A,#N/A,FALSE,"mgtsum.XLS";#N/A,#N/A,FALSE,"CAPONE";#N/A,#N/A,FALSE,"CAPTWO";#N/A,#N/A,FALSE,"CAPTHREE"}</definedName>
    <definedName name="fsd_2_1_3_5" hidden="1">{#N/A,#N/A,FALSE,"mgtsum.XLS";#N/A,#N/A,FALSE,"CAPONE";#N/A,#N/A,FALSE,"CAPTWO";#N/A,#N/A,FALSE,"CAPTHREE"}</definedName>
    <definedName name="fsd_2_1_4" hidden="1">{#N/A,#N/A,FALSE,"mgtsum.XLS";#N/A,#N/A,FALSE,"CAPONE";#N/A,#N/A,FALSE,"CAPTWO";#N/A,#N/A,FALSE,"CAPTHREE"}</definedName>
    <definedName name="fsd_2_1_5" hidden="1">{#N/A,#N/A,FALSE,"mgtsum.XLS";#N/A,#N/A,FALSE,"CAPONE";#N/A,#N/A,FALSE,"CAPTWO";#N/A,#N/A,FALSE,"CAPTHREE"}</definedName>
    <definedName name="fsd_2_2" hidden="1">{#N/A,#N/A,FALSE,"mgtsum.XLS";#N/A,#N/A,FALSE,"CAPONE";#N/A,#N/A,FALSE,"CAPTWO";#N/A,#N/A,FALSE,"CAPTHREE"}</definedName>
    <definedName name="fsd_2_2_1" hidden="1">{#N/A,#N/A,FALSE,"mgtsum.XLS";#N/A,#N/A,FALSE,"CAPONE";#N/A,#N/A,FALSE,"CAPTWO";#N/A,#N/A,FALSE,"CAPTHREE"}</definedName>
    <definedName name="fsd_2_2_1_1" hidden="1">{#N/A,#N/A,FALSE,"mgtsum.XLS";#N/A,#N/A,FALSE,"CAPONE";#N/A,#N/A,FALSE,"CAPTWO";#N/A,#N/A,FALSE,"CAPTHREE"}</definedName>
    <definedName name="fsd_2_2_1_2" hidden="1">{#N/A,#N/A,FALSE,"mgtsum.XLS";#N/A,#N/A,FALSE,"CAPONE";#N/A,#N/A,FALSE,"CAPTWO";#N/A,#N/A,FALSE,"CAPTHREE"}</definedName>
    <definedName name="fsd_2_2_1_3" hidden="1">{#N/A,#N/A,FALSE,"mgtsum.XLS";#N/A,#N/A,FALSE,"CAPONE";#N/A,#N/A,FALSE,"CAPTWO";#N/A,#N/A,FALSE,"CAPTHREE"}</definedName>
    <definedName name="fsd_2_2_1_4" hidden="1">{#N/A,#N/A,FALSE,"mgtsum.XLS";#N/A,#N/A,FALSE,"CAPONE";#N/A,#N/A,FALSE,"CAPTWO";#N/A,#N/A,FALSE,"CAPTHREE"}</definedName>
    <definedName name="fsd_2_2_1_5" hidden="1">{#N/A,#N/A,FALSE,"mgtsum.XLS";#N/A,#N/A,FALSE,"CAPONE";#N/A,#N/A,FALSE,"CAPTWO";#N/A,#N/A,FALSE,"CAPTHREE"}</definedName>
    <definedName name="fsd_2_2_2" hidden="1">{#N/A,#N/A,FALSE,"mgtsum.XLS";#N/A,#N/A,FALSE,"CAPONE";#N/A,#N/A,FALSE,"CAPTWO";#N/A,#N/A,FALSE,"CAPTHREE"}</definedName>
    <definedName name="fsd_2_2_2_1" hidden="1">{#N/A,#N/A,FALSE,"mgtsum.XLS";#N/A,#N/A,FALSE,"CAPONE";#N/A,#N/A,FALSE,"CAPTWO";#N/A,#N/A,FALSE,"CAPTHREE"}</definedName>
    <definedName name="fsd_2_2_2_2" hidden="1">{#N/A,#N/A,FALSE,"mgtsum.XLS";#N/A,#N/A,FALSE,"CAPONE";#N/A,#N/A,FALSE,"CAPTWO";#N/A,#N/A,FALSE,"CAPTHREE"}</definedName>
    <definedName name="fsd_2_2_2_3" hidden="1">{#N/A,#N/A,FALSE,"mgtsum.XLS";#N/A,#N/A,FALSE,"CAPONE";#N/A,#N/A,FALSE,"CAPTWO";#N/A,#N/A,FALSE,"CAPTHREE"}</definedName>
    <definedName name="fsd_2_2_2_4" hidden="1">{#N/A,#N/A,FALSE,"mgtsum.XLS";#N/A,#N/A,FALSE,"CAPONE";#N/A,#N/A,FALSE,"CAPTWO";#N/A,#N/A,FALSE,"CAPTHREE"}</definedName>
    <definedName name="fsd_2_2_2_5" hidden="1">{#N/A,#N/A,FALSE,"mgtsum.XLS";#N/A,#N/A,FALSE,"CAPONE";#N/A,#N/A,FALSE,"CAPTWO";#N/A,#N/A,FALSE,"CAPTHREE"}</definedName>
    <definedName name="fsd_2_2_3" hidden="1">{#N/A,#N/A,FALSE,"mgtsum.XLS";#N/A,#N/A,FALSE,"CAPONE";#N/A,#N/A,FALSE,"CAPTWO";#N/A,#N/A,FALSE,"CAPTHREE"}</definedName>
    <definedName name="fsd_2_2_4" hidden="1">{#N/A,#N/A,FALSE,"mgtsum.XLS";#N/A,#N/A,FALSE,"CAPONE";#N/A,#N/A,FALSE,"CAPTWO";#N/A,#N/A,FALSE,"CAPTHREE"}</definedName>
    <definedName name="fsd_2_2_5" hidden="1">{#N/A,#N/A,FALSE,"mgtsum.XLS";#N/A,#N/A,FALSE,"CAPONE";#N/A,#N/A,FALSE,"CAPTWO";#N/A,#N/A,FALSE,"CAPTHREE"}</definedName>
    <definedName name="fsd_2_3" hidden="1">{#N/A,#N/A,FALSE,"mgtsum.XLS";#N/A,#N/A,FALSE,"CAPONE";#N/A,#N/A,FALSE,"CAPTWO";#N/A,#N/A,FALSE,"CAPTHREE"}</definedName>
    <definedName name="fsd_2_3_1" hidden="1">{#N/A,#N/A,FALSE,"mgtsum.XLS";#N/A,#N/A,FALSE,"CAPONE";#N/A,#N/A,FALSE,"CAPTWO";#N/A,#N/A,FALSE,"CAPTHREE"}</definedName>
    <definedName name="fsd_2_3_1_1" hidden="1">{#N/A,#N/A,FALSE,"mgtsum.XLS";#N/A,#N/A,FALSE,"CAPONE";#N/A,#N/A,FALSE,"CAPTWO";#N/A,#N/A,FALSE,"CAPTHREE"}</definedName>
    <definedName name="fsd_2_3_1_2" hidden="1">{#N/A,#N/A,FALSE,"mgtsum.XLS";#N/A,#N/A,FALSE,"CAPONE";#N/A,#N/A,FALSE,"CAPTWO";#N/A,#N/A,FALSE,"CAPTHREE"}</definedName>
    <definedName name="fsd_2_3_1_3" hidden="1">{#N/A,#N/A,FALSE,"mgtsum.XLS";#N/A,#N/A,FALSE,"CAPONE";#N/A,#N/A,FALSE,"CAPTWO";#N/A,#N/A,FALSE,"CAPTHREE"}</definedName>
    <definedName name="fsd_2_3_1_4" hidden="1">{#N/A,#N/A,FALSE,"mgtsum.XLS";#N/A,#N/A,FALSE,"CAPONE";#N/A,#N/A,FALSE,"CAPTWO";#N/A,#N/A,FALSE,"CAPTHREE"}</definedName>
    <definedName name="fsd_2_3_1_5" hidden="1">{#N/A,#N/A,FALSE,"mgtsum.XLS";#N/A,#N/A,FALSE,"CAPONE";#N/A,#N/A,FALSE,"CAPTWO";#N/A,#N/A,FALSE,"CAPTHREE"}</definedName>
    <definedName name="fsd_2_3_2" hidden="1">{#N/A,#N/A,FALSE,"mgtsum.XLS";#N/A,#N/A,FALSE,"CAPONE";#N/A,#N/A,FALSE,"CAPTWO";#N/A,#N/A,FALSE,"CAPTHREE"}</definedName>
    <definedName name="fsd_2_3_2_1" hidden="1">{#N/A,#N/A,FALSE,"mgtsum.XLS";#N/A,#N/A,FALSE,"CAPONE";#N/A,#N/A,FALSE,"CAPTWO";#N/A,#N/A,FALSE,"CAPTHREE"}</definedName>
    <definedName name="fsd_2_3_2_2" hidden="1">{#N/A,#N/A,FALSE,"mgtsum.XLS";#N/A,#N/A,FALSE,"CAPONE";#N/A,#N/A,FALSE,"CAPTWO";#N/A,#N/A,FALSE,"CAPTHREE"}</definedName>
    <definedName name="fsd_2_3_2_3" hidden="1">{#N/A,#N/A,FALSE,"mgtsum.XLS";#N/A,#N/A,FALSE,"CAPONE";#N/A,#N/A,FALSE,"CAPTWO";#N/A,#N/A,FALSE,"CAPTHREE"}</definedName>
    <definedName name="fsd_2_3_2_4" hidden="1">{#N/A,#N/A,FALSE,"mgtsum.XLS";#N/A,#N/A,FALSE,"CAPONE";#N/A,#N/A,FALSE,"CAPTWO";#N/A,#N/A,FALSE,"CAPTHREE"}</definedName>
    <definedName name="fsd_2_3_2_5" hidden="1">{#N/A,#N/A,FALSE,"mgtsum.XLS";#N/A,#N/A,FALSE,"CAPONE";#N/A,#N/A,FALSE,"CAPTWO";#N/A,#N/A,FALSE,"CAPTHREE"}</definedName>
    <definedName name="fsd_2_3_3" hidden="1">{#N/A,#N/A,FALSE,"mgtsum.XLS";#N/A,#N/A,FALSE,"CAPONE";#N/A,#N/A,FALSE,"CAPTWO";#N/A,#N/A,FALSE,"CAPTHREE"}</definedName>
    <definedName name="fsd_2_3_4" hidden="1">{#N/A,#N/A,FALSE,"mgtsum.XLS";#N/A,#N/A,FALSE,"CAPONE";#N/A,#N/A,FALSE,"CAPTWO";#N/A,#N/A,FALSE,"CAPTHREE"}</definedName>
    <definedName name="fsd_2_3_5" hidden="1">{#N/A,#N/A,FALSE,"mgtsum.XLS";#N/A,#N/A,FALSE,"CAPONE";#N/A,#N/A,FALSE,"CAPTWO";#N/A,#N/A,FALSE,"CAPTHREE"}</definedName>
    <definedName name="fsd_2_4" hidden="1">{#N/A,#N/A,FALSE,"mgtsum.XLS";#N/A,#N/A,FALSE,"CAPONE";#N/A,#N/A,FALSE,"CAPTWO";#N/A,#N/A,FALSE,"CAPTHREE"}</definedName>
    <definedName name="fsd_2_4_1" hidden="1">{#N/A,#N/A,FALSE,"mgtsum.XLS";#N/A,#N/A,FALSE,"CAPONE";#N/A,#N/A,FALSE,"CAPTWO";#N/A,#N/A,FALSE,"CAPTHREE"}</definedName>
    <definedName name="fsd_2_4_1_1" hidden="1">{#N/A,#N/A,FALSE,"mgtsum.XLS";#N/A,#N/A,FALSE,"CAPONE";#N/A,#N/A,FALSE,"CAPTWO";#N/A,#N/A,FALSE,"CAPTHREE"}</definedName>
    <definedName name="fsd_2_4_1_2" hidden="1">{#N/A,#N/A,FALSE,"mgtsum.XLS";#N/A,#N/A,FALSE,"CAPONE";#N/A,#N/A,FALSE,"CAPTWO";#N/A,#N/A,FALSE,"CAPTHREE"}</definedName>
    <definedName name="fsd_2_4_1_3" hidden="1">{#N/A,#N/A,FALSE,"mgtsum.XLS";#N/A,#N/A,FALSE,"CAPONE";#N/A,#N/A,FALSE,"CAPTWO";#N/A,#N/A,FALSE,"CAPTHREE"}</definedName>
    <definedName name="fsd_2_4_1_4" hidden="1">{#N/A,#N/A,FALSE,"mgtsum.XLS";#N/A,#N/A,FALSE,"CAPONE";#N/A,#N/A,FALSE,"CAPTWO";#N/A,#N/A,FALSE,"CAPTHREE"}</definedName>
    <definedName name="fsd_2_4_1_5" hidden="1">{#N/A,#N/A,FALSE,"mgtsum.XLS";#N/A,#N/A,FALSE,"CAPONE";#N/A,#N/A,FALSE,"CAPTWO";#N/A,#N/A,FALSE,"CAPTHREE"}</definedName>
    <definedName name="fsd_2_4_2" hidden="1">{#N/A,#N/A,FALSE,"mgtsum.XLS";#N/A,#N/A,FALSE,"CAPONE";#N/A,#N/A,FALSE,"CAPTWO";#N/A,#N/A,FALSE,"CAPTHREE"}</definedName>
    <definedName name="fsd_2_4_2_1" hidden="1">{#N/A,#N/A,FALSE,"mgtsum.XLS";#N/A,#N/A,FALSE,"CAPONE";#N/A,#N/A,FALSE,"CAPTWO";#N/A,#N/A,FALSE,"CAPTHREE"}</definedName>
    <definedName name="fsd_2_4_2_2" hidden="1">{#N/A,#N/A,FALSE,"mgtsum.XLS";#N/A,#N/A,FALSE,"CAPONE";#N/A,#N/A,FALSE,"CAPTWO";#N/A,#N/A,FALSE,"CAPTHREE"}</definedName>
    <definedName name="fsd_2_4_2_3" hidden="1">{#N/A,#N/A,FALSE,"mgtsum.XLS";#N/A,#N/A,FALSE,"CAPONE";#N/A,#N/A,FALSE,"CAPTWO";#N/A,#N/A,FALSE,"CAPTHREE"}</definedName>
    <definedName name="fsd_2_4_2_4" hidden="1">{#N/A,#N/A,FALSE,"mgtsum.XLS";#N/A,#N/A,FALSE,"CAPONE";#N/A,#N/A,FALSE,"CAPTWO";#N/A,#N/A,FALSE,"CAPTHREE"}</definedName>
    <definedName name="fsd_2_4_2_5" hidden="1">{#N/A,#N/A,FALSE,"mgtsum.XLS";#N/A,#N/A,FALSE,"CAPONE";#N/A,#N/A,FALSE,"CAPTWO";#N/A,#N/A,FALSE,"CAPTHREE"}</definedName>
    <definedName name="fsd_2_4_3" hidden="1">{#N/A,#N/A,FALSE,"mgtsum.XLS";#N/A,#N/A,FALSE,"CAPONE";#N/A,#N/A,FALSE,"CAPTWO";#N/A,#N/A,FALSE,"CAPTHREE"}</definedName>
    <definedName name="fsd_2_4_4" hidden="1">{#N/A,#N/A,FALSE,"mgtsum.XLS";#N/A,#N/A,FALSE,"CAPONE";#N/A,#N/A,FALSE,"CAPTWO";#N/A,#N/A,FALSE,"CAPTHREE"}</definedName>
    <definedName name="fsd_2_4_5" hidden="1">{#N/A,#N/A,FALSE,"mgtsum.XLS";#N/A,#N/A,FALSE,"CAPONE";#N/A,#N/A,FALSE,"CAPTWO";#N/A,#N/A,FALSE,"CAPTHREE"}</definedName>
    <definedName name="fsd_2_5" hidden="1">{#N/A,#N/A,FALSE,"mgtsum.XLS";#N/A,#N/A,FALSE,"CAPONE";#N/A,#N/A,FALSE,"CAPTWO";#N/A,#N/A,FALSE,"CAPTHREE"}</definedName>
    <definedName name="fsd_2_5_1" hidden="1">{#N/A,#N/A,FALSE,"mgtsum.XLS";#N/A,#N/A,FALSE,"CAPONE";#N/A,#N/A,FALSE,"CAPTWO";#N/A,#N/A,FALSE,"CAPTHREE"}</definedName>
    <definedName name="fsd_2_5_2" hidden="1">{#N/A,#N/A,FALSE,"mgtsum.XLS";#N/A,#N/A,FALSE,"CAPONE";#N/A,#N/A,FALSE,"CAPTWO";#N/A,#N/A,FALSE,"CAPTHREE"}</definedName>
    <definedName name="fsd_2_5_3" hidden="1">{#N/A,#N/A,FALSE,"mgtsum.XLS";#N/A,#N/A,FALSE,"CAPONE";#N/A,#N/A,FALSE,"CAPTWO";#N/A,#N/A,FALSE,"CAPTHREE"}</definedName>
    <definedName name="fsd_2_5_4" hidden="1">{#N/A,#N/A,FALSE,"mgtsum.XLS";#N/A,#N/A,FALSE,"CAPONE";#N/A,#N/A,FALSE,"CAPTWO";#N/A,#N/A,FALSE,"CAPTHREE"}</definedName>
    <definedName name="fsd_2_5_5" hidden="1">{#N/A,#N/A,FALSE,"mgtsum.XLS";#N/A,#N/A,FALSE,"CAPONE";#N/A,#N/A,FALSE,"CAPTWO";#N/A,#N/A,FALSE,"CAPTHREE"}</definedName>
    <definedName name="fsd_3" hidden="1">{#N/A,#N/A,FALSE,"mgtsum.XLS";#N/A,#N/A,FALSE,"CAPONE";#N/A,#N/A,FALSE,"CAPTWO";#N/A,#N/A,FALSE,"CAPTHREE"}</definedName>
    <definedName name="fsd_3_1" hidden="1">{#N/A,#N/A,FALSE,"mgtsum.XLS";#N/A,#N/A,FALSE,"CAPONE";#N/A,#N/A,FALSE,"CAPTWO";#N/A,#N/A,FALSE,"CAPTHREE"}</definedName>
    <definedName name="fsd_3_1_1" hidden="1">{#N/A,#N/A,FALSE,"mgtsum.XLS";#N/A,#N/A,FALSE,"CAPONE";#N/A,#N/A,FALSE,"CAPTWO";#N/A,#N/A,FALSE,"CAPTHREE"}</definedName>
    <definedName name="fsd_3_1_1_1" hidden="1">{#N/A,#N/A,FALSE,"mgtsum.XLS";#N/A,#N/A,FALSE,"CAPONE";#N/A,#N/A,FALSE,"CAPTWO";#N/A,#N/A,FALSE,"CAPTHREE"}</definedName>
    <definedName name="fsd_3_1_1_2" hidden="1">{#N/A,#N/A,FALSE,"mgtsum.XLS";#N/A,#N/A,FALSE,"CAPONE";#N/A,#N/A,FALSE,"CAPTWO";#N/A,#N/A,FALSE,"CAPTHREE"}</definedName>
    <definedName name="fsd_3_1_1_3" hidden="1">{#N/A,#N/A,FALSE,"mgtsum.XLS";#N/A,#N/A,FALSE,"CAPONE";#N/A,#N/A,FALSE,"CAPTWO";#N/A,#N/A,FALSE,"CAPTHREE"}</definedName>
    <definedName name="fsd_3_1_1_4" hidden="1">{#N/A,#N/A,FALSE,"mgtsum.XLS";#N/A,#N/A,FALSE,"CAPONE";#N/A,#N/A,FALSE,"CAPTWO";#N/A,#N/A,FALSE,"CAPTHREE"}</definedName>
    <definedName name="fsd_3_1_1_5" hidden="1">{#N/A,#N/A,FALSE,"mgtsum.XLS";#N/A,#N/A,FALSE,"CAPONE";#N/A,#N/A,FALSE,"CAPTWO";#N/A,#N/A,FALSE,"CAPTHREE"}</definedName>
    <definedName name="fsd_3_1_2" hidden="1">{#N/A,#N/A,FALSE,"mgtsum.XLS";#N/A,#N/A,FALSE,"CAPONE";#N/A,#N/A,FALSE,"CAPTWO";#N/A,#N/A,FALSE,"CAPTHREE"}</definedName>
    <definedName name="fsd_3_1_2_1" hidden="1">{#N/A,#N/A,FALSE,"mgtsum.XLS";#N/A,#N/A,FALSE,"CAPONE";#N/A,#N/A,FALSE,"CAPTWO";#N/A,#N/A,FALSE,"CAPTHREE"}</definedName>
    <definedName name="fsd_3_1_2_2" hidden="1">{#N/A,#N/A,FALSE,"mgtsum.XLS";#N/A,#N/A,FALSE,"CAPONE";#N/A,#N/A,FALSE,"CAPTWO";#N/A,#N/A,FALSE,"CAPTHREE"}</definedName>
    <definedName name="fsd_3_1_2_3" hidden="1">{#N/A,#N/A,FALSE,"mgtsum.XLS";#N/A,#N/A,FALSE,"CAPONE";#N/A,#N/A,FALSE,"CAPTWO";#N/A,#N/A,FALSE,"CAPTHREE"}</definedName>
    <definedName name="fsd_3_1_2_4" hidden="1">{#N/A,#N/A,FALSE,"mgtsum.XLS";#N/A,#N/A,FALSE,"CAPONE";#N/A,#N/A,FALSE,"CAPTWO";#N/A,#N/A,FALSE,"CAPTHREE"}</definedName>
    <definedName name="fsd_3_1_2_5" hidden="1">{#N/A,#N/A,FALSE,"mgtsum.XLS";#N/A,#N/A,FALSE,"CAPONE";#N/A,#N/A,FALSE,"CAPTWO";#N/A,#N/A,FALSE,"CAPTHREE"}</definedName>
    <definedName name="fsd_3_1_3" hidden="1">{#N/A,#N/A,FALSE,"mgtsum.XLS";#N/A,#N/A,FALSE,"CAPONE";#N/A,#N/A,FALSE,"CAPTWO";#N/A,#N/A,FALSE,"CAPTHREE"}</definedName>
    <definedName name="fsd_3_1_3_1" hidden="1">{#N/A,#N/A,FALSE,"mgtsum.XLS";#N/A,#N/A,FALSE,"CAPONE";#N/A,#N/A,FALSE,"CAPTWO";#N/A,#N/A,FALSE,"CAPTHREE"}</definedName>
    <definedName name="fsd_3_1_3_2" hidden="1">{#N/A,#N/A,FALSE,"mgtsum.XLS";#N/A,#N/A,FALSE,"CAPONE";#N/A,#N/A,FALSE,"CAPTWO";#N/A,#N/A,FALSE,"CAPTHREE"}</definedName>
    <definedName name="fsd_3_1_3_3" hidden="1">{#N/A,#N/A,FALSE,"mgtsum.XLS";#N/A,#N/A,FALSE,"CAPONE";#N/A,#N/A,FALSE,"CAPTWO";#N/A,#N/A,FALSE,"CAPTHREE"}</definedName>
    <definedName name="fsd_3_1_3_4" hidden="1">{#N/A,#N/A,FALSE,"mgtsum.XLS";#N/A,#N/A,FALSE,"CAPONE";#N/A,#N/A,FALSE,"CAPTWO";#N/A,#N/A,FALSE,"CAPTHREE"}</definedName>
    <definedName name="fsd_3_1_3_5" hidden="1">{#N/A,#N/A,FALSE,"mgtsum.XLS";#N/A,#N/A,FALSE,"CAPONE";#N/A,#N/A,FALSE,"CAPTWO";#N/A,#N/A,FALSE,"CAPTHREE"}</definedName>
    <definedName name="fsd_3_1_4" hidden="1">{#N/A,#N/A,FALSE,"mgtsum.XLS";#N/A,#N/A,FALSE,"CAPONE";#N/A,#N/A,FALSE,"CAPTWO";#N/A,#N/A,FALSE,"CAPTHREE"}</definedName>
    <definedName name="fsd_3_1_5" hidden="1">{#N/A,#N/A,FALSE,"mgtsum.XLS";#N/A,#N/A,FALSE,"CAPONE";#N/A,#N/A,FALSE,"CAPTWO";#N/A,#N/A,FALSE,"CAPTHREE"}</definedName>
    <definedName name="fsd_3_2" hidden="1">{#N/A,#N/A,FALSE,"mgtsum.XLS";#N/A,#N/A,FALSE,"CAPONE";#N/A,#N/A,FALSE,"CAPTWO";#N/A,#N/A,FALSE,"CAPTHREE"}</definedName>
    <definedName name="fsd_3_2_1" hidden="1">{#N/A,#N/A,FALSE,"mgtsum.XLS";#N/A,#N/A,FALSE,"CAPONE";#N/A,#N/A,FALSE,"CAPTWO";#N/A,#N/A,FALSE,"CAPTHREE"}</definedName>
    <definedName name="fsd_3_2_1_1" hidden="1">{#N/A,#N/A,FALSE,"mgtsum.XLS";#N/A,#N/A,FALSE,"CAPONE";#N/A,#N/A,FALSE,"CAPTWO";#N/A,#N/A,FALSE,"CAPTHREE"}</definedName>
    <definedName name="fsd_3_2_1_2" hidden="1">{#N/A,#N/A,FALSE,"mgtsum.XLS";#N/A,#N/A,FALSE,"CAPONE";#N/A,#N/A,FALSE,"CAPTWO";#N/A,#N/A,FALSE,"CAPTHREE"}</definedName>
    <definedName name="fsd_3_2_1_3" hidden="1">{#N/A,#N/A,FALSE,"mgtsum.XLS";#N/A,#N/A,FALSE,"CAPONE";#N/A,#N/A,FALSE,"CAPTWO";#N/A,#N/A,FALSE,"CAPTHREE"}</definedName>
    <definedName name="fsd_3_2_1_4" hidden="1">{#N/A,#N/A,FALSE,"mgtsum.XLS";#N/A,#N/A,FALSE,"CAPONE";#N/A,#N/A,FALSE,"CAPTWO";#N/A,#N/A,FALSE,"CAPTHREE"}</definedName>
    <definedName name="fsd_3_2_1_5" hidden="1">{#N/A,#N/A,FALSE,"mgtsum.XLS";#N/A,#N/A,FALSE,"CAPONE";#N/A,#N/A,FALSE,"CAPTWO";#N/A,#N/A,FALSE,"CAPTHREE"}</definedName>
    <definedName name="fsd_3_2_2" hidden="1">{#N/A,#N/A,FALSE,"mgtsum.XLS";#N/A,#N/A,FALSE,"CAPONE";#N/A,#N/A,FALSE,"CAPTWO";#N/A,#N/A,FALSE,"CAPTHREE"}</definedName>
    <definedName name="fsd_3_2_2_1" hidden="1">{#N/A,#N/A,FALSE,"mgtsum.XLS";#N/A,#N/A,FALSE,"CAPONE";#N/A,#N/A,FALSE,"CAPTWO";#N/A,#N/A,FALSE,"CAPTHREE"}</definedName>
    <definedName name="fsd_3_2_2_2" hidden="1">{#N/A,#N/A,FALSE,"mgtsum.XLS";#N/A,#N/A,FALSE,"CAPONE";#N/A,#N/A,FALSE,"CAPTWO";#N/A,#N/A,FALSE,"CAPTHREE"}</definedName>
    <definedName name="fsd_3_2_2_3" hidden="1">{#N/A,#N/A,FALSE,"mgtsum.XLS";#N/A,#N/A,FALSE,"CAPONE";#N/A,#N/A,FALSE,"CAPTWO";#N/A,#N/A,FALSE,"CAPTHREE"}</definedName>
    <definedName name="fsd_3_2_2_4" hidden="1">{#N/A,#N/A,FALSE,"mgtsum.XLS";#N/A,#N/A,FALSE,"CAPONE";#N/A,#N/A,FALSE,"CAPTWO";#N/A,#N/A,FALSE,"CAPTHREE"}</definedName>
    <definedName name="fsd_3_2_2_5" hidden="1">{#N/A,#N/A,FALSE,"mgtsum.XLS";#N/A,#N/A,FALSE,"CAPONE";#N/A,#N/A,FALSE,"CAPTWO";#N/A,#N/A,FALSE,"CAPTHREE"}</definedName>
    <definedName name="fsd_3_2_3" hidden="1">{#N/A,#N/A,FALSE,"mgtsum.XLS";#N/A,#N/A,FALSE,"CAPONE";#N/A,#N/A,FALSE,"CAPTWO";#N/A,#N/A,FALSE,"CAPTHREE"}</definedName>
    <definedName name="fsd_3_2_4" hidden="1">{#N/A,#N/A,FALSE,"mgtsum.XLS";#N/A,#N/A,FALSE,"CAPONE";#N/A,#N/A,FALSE,"CAPTWO";#N/A,#N/A,FALSE,"CAPTHREE"}</definedName>
    <definedName name="fsd_3_2_5" hidden="1">{#N/A,#N/A,FALSE,"mgtsum.XLS";#N/A,#N/A,FALSE,"CAPONE";#N/A,#N/A,FALSE,"CAPTWO";#N/A,#N/A,FALSE,"CAPTHREE"}</definedName>
    <definedName name="fsd_3_3" hidden="1">{#N/A,#N/A,FALSE,"mgtsum.XLS";#N/A,#N/A,FALSE,"CAPONE";#N/A,#N/A,FALSE,"CAPTWO";#N/A,#N/A,FALSE,"CAPTHREE"}</definedName>
    <definedName name="fsd_3_3_1" hidden="1">{#N/A,#N/A,FALSE,"mgtsum.XLS";#N/A,#N/A,FALSE,"CAPONE";#N/A,#N/A,FALSE,"CAPTWO";#N/A,#N/A,FALSE,"CAPTHREE"}</definedName>
    <definedName name="fsd_3_3_1_1" hidden="1">{#N/A,#N/A,FALSE,"mgtsum.XLS";#N/A,#N/A,FALSE,"CAPONE";#N/A,#N/A,FALSE,"CAPTWO";#N/A,#N/A,FALSE,"CAPTHREE"}</definedName>
    <definedName name="fsd_3_3_1_2" hidden="1">{#N/A,#N/A,FALSE,"mgtsum.XLS";#N/A,#N/A,FALSE,"CAPONE";#N/A,#N/A,FALSE,"CAPTWO";#N/A,#N/A,FALSE,"CAPTHREE"}</definedName>
    <definedName name="fsd_3_3_1_3" hidden="1">{#N/A,#N/A,FALSE,"mgtsum.XLS";#N/A,#N/A,FALSE,"CAPONE";#N/A,#N/A,FALSE,"CAPTWO";#N/A,#N/A,FALSE,"CAPTHREE"}</definedName>
    <definedName name="fsd_3_3_1_4" hidden="1">{#N/A,#N/A,FALSE,"mgtsum.XLS";#N/A,#N/A,FALSE,"CAPONE";#N/A,#N/A,FALSE,"CAPTWO";#N/A,#N/A,FALSE,"CAPTHREE"}</definedName>
    <definedName name="fsd_3_3_1_5" hidden="1">{#N/A,#N/A,FALSE,"mgtsum.XLS";#N/A,#N/A,FALSE,"CAPONE";#N/A,#N/A,FALSE,"CAPTWO";#N/A,#N/A,FALSE,"CAPTHREE"}</definedName>
    <definedName name="fsd_3_3_2" hidden="1">{#N/A,#N/A,FALSE,"mgtsum.XLS";#N/A,#N/A,FALSE,"CAPONE";#N/A,#N/A,FALSE,"CAPTWO";#N/A,#N/A,FALSE,"CAPTHREE"}</definedName>
    <definedName name="fsd_3_3_2_1" hidden="1">{#N/A,#N/A,FALSE,"mgtsum.XLS";#N/A,#N/A,FALSE,"CAPONE";#N/A,#N/A,FALSE,"CAPTWO";#N/A,#N/A,FALSE,"CAPTHREE"}</definedName>
    <definedName name="fsd_3_3_2_2" hidden="1">{#N/A,#N/A,FALSE,"mgtsum.XLS";#N/A,#N/A,FALSE,"CAPONE";#N/A,#N/A,FALSE,"CAPTWO";#N/A,#N/A,FALSE,"CAPTHREE"}</definedName>
    <definedName name="fsd_3_3_2_3" hidden="1">{#N/A,#N/A,FALSE,"mgtsum.XLS";#N/A,#N/A,FALSE,"CAPONE";#N/A,#N/A,FALSE,"CAPTWO";#N/A,#N/A,FALSE,"CAPTHREE"}</definedName>
    <definedName name="fsd_3_3_2_4" hidden="1">{#N/A,#N/A,FALSE,"mgtsum.XLS";#N/A,#N/A,FALSE,"CAPONE";#N/A,#N/A,FALSE,"CAPTWO";#N/A,#N/A,FALSE,"CAPTHREE"}</definedName>
    <definedName name="fsd_3_3_2_5" hidden="1">{#N/A,#N/A,FALSE,"mgtsum.XLS";#N/A,#N/A,FALSE,"CAPONE";#N/A,#N/A,FALSE,"CAPTWO";#N/A,#N/A,FALSE,"CAPTHREE"}</definedName>
    <definedName name="fsd_3_3_3" hidden="1">{#N/A,#N/A,FALSE,"mgtsum.XLS";#N/A,#N/A,FALSE,"CAPONE";#N/A,#N/A,FALSE,"CAPTWO";#N/A,#N/A,FALSE,"CAPTHREE"}</definedName>
    <definedName name="fsd_3_3_4" hidden="1">{#N/A,#N/A,FALSE,"mgtsum.XLS";#N/A,#N/A,FALSE,"CAPONE";#N/A,#N/A,FALSE,"CAPTWO";#N/A,#N/A,FALSE,"CAPTHREE"}</definedName>
    <definedName name="fsd_3_3_5" hidden="1">{#N/A,#N/A,FALSE,"mgtsum.XLS";#N/A,#N/A,FALSE,"CAPONE";#N/A,#N/A,FALSE,"CAPTWO";#N/A,#N/A,FALSE,"CAPTHREE"}</definedName>
    <definedName name="fsd_3_4" hidden="1">{#N/A,#N/A,FALSE,"mgtsum.XLS";#N/A,#N/A,FALSE,"CAPONE";#N/A,#N/A,FALSE,"CAPTWO";#N/A,#N/A,FALSE,"CAPTHREE"}</definedName>
    <definedName name="fsd_3_4_1" hidden="1">{#N/A,#N/A,FALSE,"mgtsum.XLS";#N/A,#N/A,FALSE,"CAPONE";#N/A,#N/A,FALSE,"CAPTWO";#N/A,#N/A,FALSE,"CAPTHREE"}</definedName>
    <definedName name="fsd_3_4_1_1" hidden="1">{#N/A,#N/A,FALSE,"mgtsum.XLS";#N/A,#N/A,FALSE,"CAPONE";#N/A,#N/A,FALSE,"CAPTWO";#N/A,#N/A,FALSE,"CAPTHREE"}</definedName>
    <definedName name="fsd_3_4_1_2" hidden="1">{#N/A,#N/A,FALSE,"mgtsum.XLS";#N/A,#N/A,FALSE,"CAPONE";#N/A,#N/A,FALSE,"CAPTWO";#N/A,#N/A,FALSE,"CAPTHREE"}</definedName>
    <definedName name="fsd_3_4_1_3" hidden="1">{#N/A,#N/A,FALSE,"mgtsum.XLS";#N/A,#N/A,FALSE,"CAPONE";#N/A,#N/A,FALSE,"CAPTWO";#N/A,#N/A,FALSE,"CAPTHREE"}</definedName>
    <definedName name="fsd_3_4_1_4" hidden="1">{#N/A,#N/A,FALSE,"mgtsum.XLS";#N/A,#N/A,FALSE,"CAPONE";#N/A,#N/A,FALSE,"CAPTWO";#N/A,#N/A,FALSE,"CAPTHREE"}</definedName>
    <definedName name="fsd_3_4_1_5" hidden="1">{#N/A,#N/A,FALSE,"mgtsum.XLS";#N/A,#N/A,FALSE,"CAPONE";#N/A,#N/A,FALSE,"CAPTWO";#N/A,#N/A,FALSE,"CAPTHREE"}</definedName>
    <definedName name="fsd_3_4_2" hidden="1">{#N/A,#N/A,FALSE,"mgtsum.XLS";#N/A,#N/A,FALSE,"CAPONE";#N/A,#N/A,FALSE,"CAPTWO";#N/A,#N/A,FALSE,"CAPTHREE"}</definedName>
    <definedName name="fsd_3_4_2_1" hidden="1">{#N/A,#N/A,FALSE,"mgtsum.XLS";#N/A,#N/A,FALSE,"CAPONE";#N/A,#N/A,FALSE,"CAPTWO";#N/A,#N/A,FALSE,"CAPTHREE"}</definedName>
    <definedName name="fsd_3_4_2_2" hidden="1">{#N/A,#N/A,FALSE,"mgtsum.XLS";#N/A,#N/A,FALSE,"CAPONE";#N/A,#N/A,FALSE,"CAPTWO";#N/A,#N/A,FALSE,"CAPTHREE"}</definedName>
    <definedName name="fsd_3_4_2_3" hidden="1">{#N/A,#N/A,FALSE,"mgtsum.XLS";#N/A,#N/A,FALSE,"CAPONE";#N/A,#N/A,FALSE,"CAPTWO";#N/A,#N/A,FALSE,"CAPTHREE"}</definedName>
    <definedName name="fsd_3_4_2_4" hidden="1">{#N/A,#N/A,FALSE,"mgtsum.XLS";#N/A,#N/A,FALSE,"CAPONE";#N/A,#N/A,FALSE,"CAPTWO";#N/A,#N/A,FALSE,"CAPTHREE"}</definedName>
    <definedName name="fsd_3_4_2_5" hidden="1">{#N/A,#N/A,FALSE,"mgtsum.XLS";#N/A,#N/A,FALSE,"CAPONE";#N/A,#N/A,FALSE,"CAPTWO";#N/A,#N/A,FALSE,"CAPTHREE"}</definedName>
    <definedName name="fsd_3_4_3" hidden="1">{#N/A,#N/A,FALSE,"mgtsum.XLS";#N/A,#N/A,FALSE,"CAPONE";#N/A,#N/A,FALSE,"CAPTWO";#N/A,#N/A,FALSE,"CAPTHREE"}</definedName>
    <definedName name="fsd_3_4_4" hidden="1">{#N/A,#N/A,FALSE,"mgtsum.XLS";#N/A,#N/A,FALSE,"CAPONE";#N/A,#N/A,FALSE,"CAPTWO";#N/A,#N/A,FALSE,"CAPTHREE"}</definedName>
    <definedName name="fsd_3_4_5" hidden="1">{#N/A,#N/A,FALSE,"mgtsum.XLS";#N/A,#N/A,FALSE,"CAPONE";#N/A,#N/A,FALSE,"CAPTWO";#N/A,#N/A,FALSE,"CAPTHREE"}</definedName>
    <definedName name="fsd_3_5" hidden="1">{#N/A,#N/A,FALSE,"mgtsum.XLS";#N/A,#N/A,FALSE,"CAPONE";#N/A,#N/A,FALSE,"CAPTWO";#N/A,#N/A,FALSE,"CAPTHREE"}</definedName>
    <definedName name="fsd_3_5_1" hidden="1">{#N/A,#N/A,FALSE,"mgtsum.XLS";#N/A,#N/A,FALSE,"CAPONE";#N/A,#N/A,FALSE,"CAPTWO";#N/A,#N/A,FALSE,"CAPTHREE"}</definedName>
    <definedName name="fsd_3_5_2" hidden="1">{#N/A,#N/A,FALSE,"mgtsum.XLS";#N/A,#N/A,FALSE,"CAPONE";#N/A,#N/A,FALSE,"CAPTWO";#N/A,#N/A,FALSE,"CAPTHREE"}</definedName>
    <definedName name="fsd_3_5_3" hidden="1">{#N/A,#N/A,FALSE,"mgtsum.XLS";#N/A,#N/A,FALSE,"CAPONE";#N/A,#N/A,FALSE,"CAPTWO";#N/A,#N/A,FALSE,"CAPTHREE"}</definedName>
    <definedName name="fsd_3_5_4" hidden="1">{#N/A,#N/A,FALSE,"mgtsum.XLS";#N/A,#N/A,FALSE,"CAPONE";#N/A,#N/A,FALSE,"CAPTWO";#N/A,#N/A,FALSE,"CAPTHREE"}</definedName>
    <definedName name="fsd_3_5_5" hidden="1">{#N/A,#N/A,FALSE,"mgtsum.XLS";#N/A,#N/A,FALSE,"CAPONE";#N/A,#N/A,FALSE,"CAPTWO";#N/A,#N/A,FALSE,"CAPTHREE"}</definedName>
    <definedName name="fsd_4" hidden="1">{#N/A,#N/A,FALSE,"mgtsum.XLS";#N/A,#N/A,FALSE,"CAPONE";#N/A,#N/A,FALSE,"CAPTWO";#N/A,#N/A,FALSE,"CAPTHREE"}</definedName>
    <definedName name="fsd_4_1" hidden="1">{#N/A,#N/A,FALSE,"mgtsum.XLS";#N/A,#N/A,FALSE,"CAPONE";#N/A,#N/A,FALSE,"CAPTWO";#N/A,#N/A,FALSE,"CAPTHREE"}</definedName>
    <definedName name="fsd_4_1_1" hidden="1">{#N/A,#N/A,FALSE,"mgtsum.XLS";#N/A,#N/A,FALSE,"CAPONE";#N/A,#N/A,FALSE,"CAPTWO";#N/A,#N/A,FALSE,"CAPTHREE"}</definedName>
    <definedName name="fsd_4_1_1_1" hidden="1">{#N/A,#N/A,FALSE,"mgtsum.XLS";#N/A,#N/A,FALSE,"CAPONE";#N/A,#N/A,FALSE,"CAPTWO";#N/A,#N/A,FALSE,"CAPTHREE"}</definedName>
    <definedName name="fsd_4_1_1_2" hidden="1">{#N/A,#N/A,FALSE,"mgtsum.XLS";#N/A,#N/A,FALSE,"CAPONE";#N/A,#N/A,FALSE,"CAPTWO";#N/A,#N/A,FALSE,"CAPTHREE"}</definedName>
    <definedName name="fsd_4_1_1_3" hidden="1">{#N/A,#N/A,FALSE,"mgtsum.XLS";#N/A,#N/A,FALSE,"CAPONE";#N/A,#N/A,FALSE,"CAPTWO";#N/A,#N/A,FALSE,"CAPTHREE"}</definedName>
    <definedName name="fsd_4_1_1_4" hidden="1">{#N/A,#N/A,FALSE,"mgtsum.XLS";#N/A,#N/A,FALSE,"CAPONE";#N/A,#N/A,FALSE,"CAPTWO";#N/A,#N/A,FALSE,"CAPTHREE"}</definedName>
    <definedName name="fsd_4_1_1_5" hidden="1">{#N/A,#N/A,FALSE,"mgtsum.XLS";#N/A,#N/A,FALSE,"CAPONE";#N/A,#N/A,FALSE,"CAPTWO";#N/A,#N/A,FALSE,"CAPTHREE"}</definedName>
    <definedName name="fsd_4_1_2" hidden="1">{#N/A,#N/A,FALSE,"mgtsum.XLS";#N/A,#N/A,FALSE,"CAPONE";#N/A,#N/A,FALSE,"CAPTWO";#N/A,#N/A,FALSE,"CAPTHREE"}</definedName>
    <definedName name="fsd_4_1_2_1" hidden="1">{#N/A,#N/A,FALSE,"mgtsum.XLS";#N/A,#N/A,FALSE,"CAPONE";#N/A,#N/A,FALSE,"CAPTWO";#N/A,#N/A,FALSE,"CAPTHREE"}</definedName>
    <definedName name="fsd_4_1_2_2" hidden="1">{#N/A,#N/A,FALSE,"mgtsum.XLS";#N/A,#N/A,FALSE,"CAPONE";#N/A,#N/A,FALSE,"CAPTWO";#N/A,#N/A,FALSE,"CAPTHREE"}</definedName>
    <definedName name="fsd_4_1_2_3" hidden="1">{#N/A,#N/A,FALSE,"mgtsum.XLS";#N/A,#N/A,FALSE,"CAPONE";#N/A,#N/A,FALSE,"CAPTWO";#N/A,#N/A,FALSE,"CAPTHREE"}</definedName>
    <definedName name="fsd_4_1_2_4" hidden="1">{#N/A,#N/A,FALSE,"mgtsum.XLS";#N/A,#N/A,FALSE,"CAPONE";#N/A,#N/A,FALSE,"CAPTWO";#N/A,#N/A,FALSE,"CAPTHREE"}</definedName>
    <definedName name="fsd_4_1_2_5" hidden="1">{#N/A,#N/A,FALSE,"mgtsum.XLS";#N/A,#N/A,FALSE,"CAPONE";#N/A,#N/A,FALSE,"CAPTWO";#N/A,#N/A,FALSE,"CAPTHREE"}</definedName>
    <definedName name="fsd_4_1_3" hidden="1">{#N/A,#N/A,FALSE,"mgtsum.XLS";#N/A,#N/A,FALSE,"CAPONE";#N/A,#N/A,FALSE,"CAPTWO";#N/A,#N/A,FALSE,"CAPTHREE"}</definedName>
    <definedName name="fsd_4_1_3_1" hidden="1">{#N/A,#N/A,FALSE,"mgtsum.XLS";#N/A,#N/A,FALSE,"CAPONE";#N/A,#N/A,FALSE,"CAPTWO";#N/A,#N/A,FALSE,"CAPTHREE"}</definedName>
    <definedName name="fsd_4_1_3_2" hidden="1">{#N/A,#N/A,FALSE,"mgtsum.XLS";#N/A,#N/A,FALSE,"CAPONE";#N/A,#N/A,FALSE,"CAPTWO";#N/A,#N/A,FALSE,"CAPTHREE"}</definedName>
    <definedName name="fsd_4_1_3_3" hidden="1">{#N/A,#N/A,FALSE,"mgtsum.XLS";#N/A,#N/A,FALSE,"CAPONE";#N/A,#N/A,FALSE,"CAPTWO";#N/A,#N/A,FALSE,"CAPTHREE"}</definedName>
    <definedName name="fsd_4_1_3_4" hidden="1">{#N/A,#N/A,FALSE,"mgtsum.XLS";#N/A,#N/A,FALSE,"CAPONE";#N/A,#N/A,FALSE,"CAPTWO";#N/A,#N/A,FALSE,"CAPTHREE"}</definedName>
    <definedName name="fsd_4_1_3_5" hidden="1">{#N/A,#N/A,FALSE,"mgtsum.XLS";#N/A,#N/A,FALSE,"CAPONE";#N/A,#N/A,FALSE,"CAPTWO";#N/A,#N/A,FALSE,"CAPTHREE"}</definedName>
    <definedName name="fsd_4_1_4" hidden="1">{#N/A,#N/A,FALSE,"mgtsum.XLS";#N/A,#N/A,FALSE,"CAPONE";#N/A,#N/A,FALSE,"CAPTWO";#N/A,#N/A,FALSE,"CAPTHREE"}</definedName>
    <definedName name="fsd_4_1_5" hidden="1">{#N/A,#N/A,FALSE,"mgtsum.XLS";#N/A,#N/A,FALSE,"CAPONE";#N/A,#N/A,FALSE,"CAPTWO";#N/A,#N/A,FALSE,"CAPTHREE"}</definedName>
    <definedName name="fsd_4_2" hidden="1">{#N/A,#N/A,FALSE,"mgtsum.XLS";#N/A,#N/A,FALSE,"CAPONE";#N/A,#N/A,FALSE,"CAPTWO";#N/A,#N/A,FALSE,"CAPTHREE"}</definedName>
    <definedName name="fsd_4_2_1" hidden="1">{#N/A,#N/A,FALSE,"mgtsum.XLS";#N/A,#N/A,FALSE,"CAPONE";#N/A,#N/A,FALSE,"CAPTWO";#N/A,#N/A,FALSE,"CAPTHREE"}</definedName>
    <definedName name="fsd_4_2_2" hidden="1">{#N/A,#N/A,FALSE,"mgtsum.XLS";#N/A,#N/A,FALSE,"CAPONE";#N/A,#N/A,FALSE,"CAPTWO";#N/A,#N/A,FALSE,"CAPTHREE"}</definedName>
    <definedName name="fsd_4_2_3" hidden="1">{#N/A,#N/A,FALSE,"mgtsum.XLS";#N/A,#N/A,FALSE,"CAPONE";#N/A,#N/A,FALSE,"CAPTWO";#N/A,#N/A,FALSE,"CAPTHREE"}</definedName>
    <definedName name="fsd_4_2_4" hidden="1">{#N/A,#N/A,FALSE,"mgtsum.XLS";#N/A,#N/A,FALSE,"CAPONE";#N/A,#N/A,FALSE,"CAPTWO";#N/A,#N/A,FALSE,"CAPTHREE"}</definedName>
    <definedName name="fsd_4_2_5" hidden="1">{#N/A,#N/A,FALSE,"mgtsum.XLS";#N/A,#N/A,FALSE,"CAPONE";#N/A,#N/A,FALSE,"CAPTWO";#N/A,#N/A,FALSE,"CAPTHREE"}</definedName>
    <definedName name="fsd_4_3" hidden="1">{#N/A,#N/A,FALSE,"mgtsum.XLS";#N/A,#N/A,FALSE,"CAPONE";#N/A,#N/A,FALSE,"CAPTWO";#N/A,#N/A,FALSE,"CAPTHREE"}</definedName>
    <definedName name="fsd_4_3_1" hidden="1">{#N/A,#N/A,FALSE,"mgtsum.XLS";#N/A,#N/A,FALSE,"CAPONE";#N/A,#N/A,FALSE,"CAPTWO";#N/A,#N/A,FALSE,"CAPTHREE"}</definedName>
    <definedName name="fsd_4_3_2" hidden="1">{#N/A,#N/A,FALSE,"mgtsum.XLS";#N/A,#N/A,FALSE,"CAPONE";#N/A,#N/A,FALSE,"CAPTWO";#N/A,#N/A,FALSE,"CAPTHREE"}</definedName>
    <definedName name="fsd_4_3_3" hidden="1">{#N/A,#N/A,FALSE,"mgtsum.XLS";#N/A,#N/A,FALSE,"CAPONE";#N/A,#N/A,FALSE,"CAPTWO";#N/A,#N/A,FALSE,"CAPTHREE"}</definedName>
    <definedName name="fsd_4_3_4" hidden="1">{#N/A,#N/A,FALSE,"mgtsum.XLS";#N/A,#N/A,FALSE,"CAPONE";#N/A,#N/A,FALSE,"CAPTWO";#N/A,#N/A,FALSE,"CAPTHREE"}</definedName>
    <definedName name="fsd_4_3_5" hidden="1">{#N/A,#N/A,FALSE,"mgtsum.XLS";#N/A,#N/A,FALSE,"CAPONE";#N/A,#N/A,FALSE,"CAPTWO";#N/A,#N/A,FALSE,"CAPTHREE"}</definedName>
    <definedName name="fsd_4_4" hidden="1">{#N/A,#N/A,FALSE,"mgtsum.XLS";#N/A,#N/A,FALSE,"CAPONE";#N/A,#N/A,FALSE,"CAPTWO";#N/A,#N/A,FALSE,"CAPTHREE"}</definedName>
    <definedName name="fsd_4_5" hidden="1">{#N/A,#N/A,FALSE,"mgtsum.XLS";#N/A,#N/A,FALSE,"CAPONE";#N/A,#N/A,FALSE,"CAPTWO";#N/A,#N/A,FALSE,"CAPTHREE"}</definedName>
    <definedName name="fsd_5" hidden="1">{#N/A,#N/A,FALSE,"mgtsum.XLS";#N/A,#N/A,FALSE,"CAPONE";#N/A,#N/A,FALSE,"CAPTWO";#N/A,#N/A,FALSE,"CAPTHREE"}</definedName>
    <definedName name="fsd_5_1" hidden="1">{#N/A,#N/A,FALSE,"mgtsum.XLS";#N/A,#N/A,FALSE,"CAPONE";#N/A,#N/A,FALSE,"CAPTWO";#N/A,#N/A,FALSE,"CAPTHREE"}</definedName>
    <definedName name="fsd_5_1_1" hidden="1">{#N/A,#N/A,FALSE,"mgtsum.XLS";#N/A,#N/A,FALSE,"CAPONE";#N/A,#N/A,FALSE,"CAPTWO";#N/A,#N/A,FALSE,"CAPTHREE"}</definedName>
    <definedName name="fsd_5_1_2" hidden="1">{#N/A,#N/A,FALSE,"mgtsum.XLS";#N/A,#N/A,FALSE,"CAPONE";#N/A,#N/A,FALSE,"CAPTWO";#N/A,#N/A,FALSE,"CAPTHREE"}</definedName>
    <definedName name="fsd_5_1_3" hidden="1">{#N/A,#N/A,FALSE,"mgtsum.XLS";#N/A,#N/A,FALSE,"CAPONE";#N/A,#N/A,FALSE,"CAPTWO";#N/A,#N/A,FALSE,"CAPTHREE"}</definedName>
    <definedName name="fsd_5_1_4" hidden="1">{#N/A,#N/A,FALSE,"mgtsum.XLS";#N/A,#N/A,FALSE,"CAPONE";#N/A,#N/A,FALSE,"CAPTWO";#N/A,#N/A,FALSE,"CAPTHREE"}</definedName>
    <definedName name="fsd_5_1_5" hidden="1">{#N/A,#N/A,FALSE,"mgtsum.XLS";#N/A,#N/A,FALSE,"CAPONE";#N/A,#N/A,FALSE,"CAPTWO";#N/A,#N/A,FALSE,"CAPTHREE"}</definedName>
    <definedName name="fsd_5_2" hidden="1">{#N/A,#N/A,FALSE,"mgtsum.XLS";#N/A,#N/A,FALSE,"CAPONE";#N/A,#N/A,FALSE,"CAPTWO";#N/A,#N/A,FALSE,"CAPTHREE"}</definedName>
    <definedName name="fsd_5_2_1" hidden="1">{#N/A,#N/A,FALSE,"mgtsum.XLS";#N/A,#N/A,FALSE,"CAPONE";#N/A,#N/A,FALSE,"CAPTWO";#N/A,#N/A,FALSE,"CAPTHREE"}</definedName>
    <definedName name="fsd_5_2_2" hidden="1">{#N/A,#N/A,FALSE,"mgtsum.XLS";#N/A,#N/A,FALSE,"CAPONE";#N/A,#N/A,FALSE,"CAPTWO";#N/A,#N/A,FALSE,"CAPTHREE"}</definedName>
    <definedName name="fsd_5_2_3" hidden="1">{#N/A,#N/A,FALSE,"mgtsum.XLS";#N/A,#N/A,FALSE,"CAPONE";#N/A,#N/A,FALSE,"CAPTWO";#N/A,#N/A,FALSE,"CAPTHREE"}</definedName>
    <definedName name="fsd_5_2_4" hidden="1">{#N/A,#N/A,FALSE,"mgtsum.XLS";#N/A,#N/A,FALSE,"CAPONE";#N/A,#N/A,FALSE,"CAPTWO";#N/A,#N/A,FALSE,"CAPTHREE"}</definedName>
    <definedName name="fsd_5_2_5" hidden="1">{#N/A,#N/A,FALSE,"mgtsum.XLS";#N/A,#N/A,FALSE,"CAPONE";#N/A,#N/A,FALSE,"CAPTWO";#N/A,#N/A,FALSE,"CAPTHREE"}</definedName>
    <definedName name="fsd_5_3" hidden="1">{#N/A,#N/A,FALSE,"mgtsum.XLS";#N/A,#N/A,FALSE,"CAPONE";#N/A,#N/A,FALSE,"CAPTWO";#N/A,#N/A,FALSE,"CAPTHREE"}</definedName>
    <definedName name="fsd_5_4" hidden="1">{#N/A,#N/A,FALSE,"mgtsum.XLS";#N/A,#N/A,FALSE,"CAPONE";#N/A,#N/A,FALSE,"CAPTWO";#N/A,#N/A,FALSE,"CAPTHREE"}</definedName>
    <definedName name="fsd_5_5" hidden="1">{#N/A,#N/A,FALSE,"mgtsum.XLS";#N/A,#N/A,FALSE,"CAPONE";#N/A,#N/A,FALSE,"CAPTWO";#N/A,#N/A,FALSE,"CAPTHREE"}</definedName>
    <definedName name="fsda" hidden="1">{#N/A,#N/A,TRUE,"Basic";#N/A,#N/A,TRUE,"EXT-TABLE";#N/A,#N/A,TRUE,"STEEL";#N/A,#N/A,TRUE,"INT-Table";#N/A,#N/A,TRUE,"STEEL";#N/A,#N/A,TRUE,"Door"}</definedName>
    <definedName name="fsdf" hidden="1">#REF!</definedName>
    <definedName name="fsdfdsf" hidden="1">{"'Sheet1'!$L$16"}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D" hidden="1">{#N/A,#N/A,FALSE,"Çaykara ataköy (1)";#N/A,#N/A,FALSE,"Çaykara ataköy (2)";#N/A,#N/A,FALSE,"Rize Kalkandere ";#N/A,#N/A,FALSE,"meydancık";#N/A,#N/A,FALSE,"muratlı"}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fasfas" hidden="1">{#N/A,#N/A,FALSE,"HO Rates";#N/A,#N/A,FALSE,"HO Sum"}</definedName>
    <definedName name="fsgsdf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tss" hidden="1">{"FTS",#N/A,FALSE,"E"}</definedName>
    <definedName name="FUGIGIULQWG" hidden="1">{"PLANT BREAKUP",#N/A,FALSE,"E"}</definedName>
    <definedName name="fund" hidden="1">{"'Sheet1'!$A$4386:$N$4591"}</definedName>
    <definedName name="funds" hidden="1">{"'Sheet1'!$A$4386:$N$4591"}</definedName>
    <definedName name="FurnitureFixture" hidden="1">{#N/A,#N/A,FALSE,"AR2";#N/A,#N/A,FALSE,"SUM"}</definedName>
    <definedName name="fvcasdv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Fxx_P858_PROJECT___SUMMARY___M">#REF!</definedName>
    <definedName name="G">#REF!</definedName>
    <definedName name="G.M.Eköden.İht." hidden="1">{#N/A,#N/A,FALSE,"Çaykara ataköy (1)";#N/A,#N/A,FALSE,"Çaykara ataköy (2)";#N/A,#N/A,FALSE,"Rize Kalkandere ";#N/A,#N/A,FALSE,"meydancık";#N/A,#N/A,FALSE,"muratlı"}</definedName>
    <definedName name="g_2" hidden="1">{"form-D1",#N/A,FALSE,"FORM-D1";"form-D1_amt",#N/A,FALSE,"FORM-D1"}</definedName>
    <definedName name="g_3" hidden="1">{"form-D1",#N/A,FALSE,"FORM-D1";"form-D1_amt",#N/A,FALSE,"FORM-D1"}</definedName>
    <definedName name="G2G2G" hidden="1">{#N/A,#N/A,FALSE,"TELEFON"}</definedName>
    <definedName name="g43g" hidden="1">#REF!</definedName>
    <definedName name="G5R" hidden="1">#REF!</definedName>
    <definedName name="GAEA" hidden="1">#REF!</definedName>
    <definedName name="GAEAU" hidden="1">#REF!</definedName>
    <definedName name="GAEAUG" hidden="1">#REF!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as">#N/A</definedName>
    <definedName name="gasdgsa" hidden="1">#REF!</definedName>
    <definedName name="gb" hidden="1">#REF!</definedName>
    <definedName name="gbdf" hidden="1">#REF!</definedName>
    <definedName name="gb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gbfd" hidden="1">#REF!</definedName>
    <definedName name="gbfdg" hidden="1">#REF!</definedName>
    <definedName name="gbfdgbfd" hidden="1">#REF!</definedName>
    <definedName name="GDF" hidden="1">{#N/A,#N/A,FALSE,"COMP"}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hdhg" hidden="1">{#N/A,#N/A,FALSE,"Chi tiÆt"}</definedName>
    <definedName name="gdgwg" hidden="1">{"FTS",#N/A,FALSE,"E"}</definedName>
    <definedName name="gdsf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dwilugi" hidden="1">{"CASH FLOW",#N/A,FALSE,"A"}</definedName>
    <definedName name="geag" hidden="1">{#N/A,#N/A,TRUE,"Cover";#N/A,#N/A,TRUE,"Conts";#N/A,#N/A,TRUE,"VOS";#N/A,#N/A,TRUE,"Warrington";#N/A,#N/A,TRUE,"Widnes"}</definedName>
    <definedName name="GEMCO" hidden="1">#REF!</definedName>
    <definedName name="Gen.Müd.İhl" hidden="1">{#N/A,#N/A,FALSE,"Çaykara ataköy (1)";#N/A,#N/A,FALSE,"Çaykara ataköy (2)";#N/A,#N/A,FALSE,"Rize Kalkandere ";#N/A,#N/A,FALSE,"meydancık";#N/A,#N/A,FALSE,"muratlı"}</definedName>
    <definedName name="GEN_EXC">#REF!</definedName>
    <definedName name="General" hidden="1">{#N/A,#N/A,TRUE,"Equipment installation bm"}</definedName>
    <definedName name="gerger" hidden="1">{#N/A,#N/A,TRUE,"Cover";#N/A,#N/A,TRUE,"Conts";#N/A,#N/A,TRUE,"VOS";#N/A,#N/A,TRUE,"Warrington";#N/A,#N/A,TRUE,"Widnes"}</definedName>
    <definedName name="gf" hidden="1">#REF!</definedName>
    <definedName name="GF_CFA">#REF!</definedName>
    <definedName name="GF_GFA">#REF!</definedName>
    <definedName name="gfa">#REF!</definedName>
    <definedName name="gfareno">#REF!</definedName>
    <definedName name="gfd" hidden="1">#REF!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hnbfgh" hidden="1">#REF!</definedName>
    <definedName name="gfdh" hidden="1">{#N/A,#N/A,FALSE,"CCTV"}</definedName>
    <definedName name="GFDS" hidden="1">{#N/A,#N/A,FALSE,"CCTV"}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dfg" hidden="1">#REF!</definedName>
    <definedName name="gfg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FGFGFG" localSheetId="1" hidden="1">{#N/A,#N/A,FALSE,"mgtsum.XLS";#N/A,#N/A,FALSE,"CAPONE";#N/A,#N/A,FALSE,"CAPTWO";#N/A,#N/A,FALSE,"CAPTHREE"}</definedName>
    <definedName name="GFGFGFG" hidden="1">{#N/A,#N/A,FALSE,"mgtsum.XLS";#N/A,#N/A,FALSE,"CAPONE";#N/A,#N/A,FALSE,"CAPTWO";#N/A,#N/A,FALSE,"CAPTHREE"}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hfgh" hidden="1">{#N/A,#N/A,FALSE,"Chi tiÆt"}</definedName>
    <definedName name="gfhghgh" hidden="1">{"'Bill No. 7'!$A$1:$G$32"}</definedName>
    <definedName name="GFHJK" hidden="1">#REF!</definedName>
    <definedName name="gfj" hidden="1">{"'Sheet1'!$A$4386:$N$4591"}</definedName>
    <definedName name="gfj_1" hidden="1">{"'Sheet1'!$A$4386:$N$4591"}</definedName>
    <definedName name="gfj_2" hidden="1">{"'Sheet1'!$A$4386:$N$4591"}</definedName>
    <definedName name="gfj_3" hidden="1">{"'Sheet1'!$A$4386:$N$4591"}</definedName>
    <definedName name="gfjgfh" hidden="1">{#N/A,#N/A,FALSE,"CCTV"}</definedName>
    <definedName name="gfjgfhfg" hidden="1">{#N/A,#N/A,FALSE,"CCTV"}</definedName>
    <definedName name="GG" hidden="1">{#N/A,#N/A,FALSE,"Çaykara ataköy (1)";#N/A,#N/A,FALSE,"Çaykara ataköy (2)";#N/A,#N/A,FALSE,"Rize Kalkandere ";#N/A,#N/A,FALSE,"meydancık";#N/A,#N/A,FALSE,"muratlı"}</definedName>
    <definedName name="GG." hidden="1">{#N/A,#N/A,FALSE,"Çaykara ataköy (1)";#N/A,#N/A,FALSE,"Çaykara ataköy (2)";#N/A,#N/A,FALSE,"Rize Kalkandere ";#N/A,#N/A,FALSE,"meydancık";#N/A,#N/A,FALSE,"muratlı"}</definedName>
    <definedName name="gg_1" hidden="1">{"form-D1",#N/A,FALSE,"FORM-D1";"form-D1_amt",#N/A,FALSE,"FORM-D1"}</definedName>
    <definedName name="gg_2" hidden="1">{"form-D1",#N/A,FALSE,"FORM-D1";"form-D1_amt",#N/A,FALSE,"FORM-D1"}</definedName>
    <definedName name="gg_3" hidden="1">{"form-D1",#N/A,FALSE,"FORM-D1";"form-D1_amt",#N/A,FALSE,"FORM-D1"}</definedName>
    <definedName name="ggdrgdfhyyj" hidden="1">{#N/A,#N/A,TRUE,"Cover";#N/A,#N/A,TRUE,"Conts";#N/A,#N/A,TRUE,"VOS";#N/A,#N/A,TRUE,"Warrington";#N/A,#N/A,TRUE,"Widnes"}</definedName>
    <definedName name="ggg">#REF!</definedName>
    <definedName name="gggg">#REF!</definedName>
    <definedName name="GGGGGGGg">#REF!</definedName>
    <definedName name="gğıieau" hidden="1">{#VALUE!,#N/A,FALSE,0;#N/A,#N/A,FALSE,0;#N/A,#N/A,FALSE,0;#N/A,#N/A,FALSE,0;#N/A,#N/A,FALSE,0;#N/A,#N/A,FALSE,0;#N/A,#N/A,FALSE,0;#N/A,#N/A,FALSE,0;#N/A,#N/A,FALSE,0;#N/A,#N/A,FALSE,0}</definedName>
    <definedName name="ghfds" hidden="1">#REF!</definedName>
    <definedName name="ghfghfgh" hidden="1">{#VALUE!,#N/A,FALSE,0;#N/A,#N/A,FALSE,0;#N/A,#N/A,FALSE,0;#N/A,#N/A,FALSE,0;#N/A,#N/A,FALSE,0;#N/A,#N/A,FALSE,0;#N/A,#N/A,FALSE,0;#N/A,#N/A,FALSE,0}</definedName>
    <definedName name="GHFYRT" hidden="1">{#N/A,#N/A,FALSE,"mgtsum.XLS";#N/A,#N/A,FALSE,"CAPONE";#N/A,#N/A,FALSE,"CAPTWO";#N/A,#N/A,FALSE,"CAPTHREE"}</definedName>
    <definedName name="GHG">#REF!</definedName>
    <definedName name="GHGCF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GHGFHGFH" hidden="1">{#VALUE!,#N/A,FALSE,0;#N/A,#N/A,FALSE,0;#N/A,#N/A,FALSE,0;#N/A,#N/A,FALSE,0;#N/A,#N/A,FALSE,0;#N/A,#N/A,FALSE,0;#N/A,#N/A,FALSE,0;#N/A,#N/A,FALSE,0;#N/A,#N/A,FALSE,0;#N/A,#N/A,FALSE,0}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hhh" hidden="1">{#N/A,#N/A,FALSE,"COVER1.XLS ";#N/A,#N/A,FALSE,"RACT1.XLS";#N/A,#N/A,FALSE,"RACT2.XLS";#N/A,#N/A,FALSE,"ECCMP";#N/A,#N/A,FALSE,"WELDER.XLS"}</definedName>
    <definedName name="ghj" hidden="1">{#N/A,#N/A,FALSE,"gc (2)"}</definedName>
    <definedName name="ghnj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nmd" hidden="1">#REF!</definedName>
    <definedName name="ghs" hidden="1">#REF!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ğı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GIRDER.BEAM.SUMMARY" hidden="1">#REF!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_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_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_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_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_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_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ahgkj" hidden="1">{#N/A,#N/A,TRUE,"Cover";#N/A,#N/A,TRUE,"Conts";#N/A,#N/A,TRUE,"VOS";#N/A,#N/A,TRUE,"Warrington";#N/A,#N/A,TRUE,"Widnes"}</definedName>
    <definedName name="GJH" hidden="1">{"form-D1",#N/A,FALSE,"FORM-D1";"form-D1_amt",#N/A,FALSE,"FORM-D1"}</definedName>
    <definedName name="GJH_1" hidden="1">{"form-D1",#N/A,FALSE,"FORM-D1";"form-D1_amt",#N/A,FALSE,"FORM-D1"}</definedName>
    <definedName name="GJH_2" hidden="1">{"form-D1",#N/A,FALSE,"FORM-D1";"form-D1_amt",#N/A,FALSE,"FORM-D1"}</definedName>
    <definedName name="GJH_3" hidden="1">{"form-D1",#N/A,FALSE,"FORM-D1";"form-D1_amt",#N/A,FALSE,"FORM-D1"}</definedName>
    <definedName name="gjkkl" hidden="1">{#N/A,#N/A,TRUE,"Cover";#N/A,#N/A,TRUE,"Conts";#N/A,#N/A,TRUE,"VOS";#N/A,#N/A,TRUE,"Warrington";#N/A,#N/A,TRUE,"Widnes"}</definedName>
    <definedName name="gjygj" hidden="1">{#N/A,#N/A,FALSE,"COMP"}</definedName>
    <definedName name="glic" hidden="1">{#N/A,#N/A,FALSE,"MISC"}</definedName>
    <definedName name="globe" hidden="1">{#N/A,#N/A,FALSE,"Full";#N/A,#N/A,FALSE,"Half";#N/A,#N/A,FALSE,"Op Expenses";#N/A,#N/A,FALSE,"Cap Charge";#N/A,#N/A,FALSE,"Cost C";#N/A,#N/A,FALSE,"PP&amp;E";#N/A,#N/A,FALSE,"R&amp;D"}</definedName>
    <definedName name="GLP_REV.2" hidden="1">{#N/A,#N/A,TRUE,"Equipment installation bm"}</definedName>
    <definedName name="GLP_REV.2_1" hidden="1">{#N/A,#N/A,TRUE,"Equipment installation bm"}</definedName>
    <definedName name="GLP_REV.2_1_1" hidden="1">{#N/A,#N/A,TRUE,"Equipment installation bm"}</definedName>
    <definedName name="GLP_REV.2_1_1_1" hidden="1">{#N/A,#N/A,TRUE,"Equipment installation bm"}</definedName>
    <definedName name="GLP_REV.2_1_1_2" hidden="1">{#N/A,#N/A,TRUE,"Equipment installation bm"}</definedName>
    <definedName name="GLP_REV.2_1_1_3" hidden="1">{#N/A,#N/A,TRUE,"Equipment installation bm"}</definedName>
    <definedName name="GLP_REV.2_1_1_4" hidden="1">{#N/A,#N/A,TRUE,"Equipment installation bm"}</definedName>
    <definedName name="GLP_REV.2_1_1_5" hidden="1">{#N/A,#N/A,TRUE,"Equipment installation bm"}</definedName>
    <definedName name="GLP_REV.2_1_2" hidden="1">{#N/A,#N/A,TRUE,"Equipment installation bm"}</definedName>
    <definedName name="GLP_REV.2_1_2_1" hidden="1">{#N/A,#N/A,TRUE,"Equipment installation bm"}</definedName>
    <definedName name="GLP_REV.2_1_2_2" hidden="1">{#N/A,#N/A,TRUE,"Equipment installation bm"}</definedName>
    <definedName name="GLP_REV.2_1_2_3" hidden="1">{#N/A,#N/A,TRUE,"Equipment installation bm"}</definedName>
    <definedName name="GLP_REV.2_1_2_4" hidden="1">{#N/A,#N/A,TRUE,"Equipment installation bm"}</definedName>
    <definedName name="GLP_REV.2_1_2_5" hidden="1">{#N/A,#N/A,TRUE,"Equipment installation bm"}</definedName>
    <definedName name="GLP_REV.2_1_3" hidden="1">{#N/A,#N/A,TRUE,"Equipment installation bm"}</definedName>
    <definedName name="GLP_REV.2_1_3_1" hidden="1">{#N/A,#N/A,TRUE,"Equipment installation bm"}</definedName>
    <definedName name="GLP_REV.2_1_3_2" hidden="1">{#N/A,#N/A,TRUE,"Equipment installation bm"}</definedName>
    <definedName name="GLP_REV.2_1_3_3" hidden="1">{#N/A,#N/A,TRUE,"Equipment installation bm"}</definedName>
    <definedName name="GLP_REV.2_1_3_4" hidden="1">{#N/A,#N/A,TRUE,"Equipment installation bm"}</definedName>
    <definedName name="GLP_REV.2_1_3_5" hidden="1">{#N/A,#N/A,TRUE,"Equipment installation bm"}</definedName>
    <definedName name="GLP_REV.2_1_4" hidden="1">{#N/A,#N/A,TRUE,"Equipment installation bm"}</definedName>
    <definedName name="GLP_REV.2_1_4_1" hidden="1">{#N/A,#N/A,TRUE,"Equipment installation bm"}</definedName>
    <definedName name="GLP_REV.2_1_4_2" hidden="1">{#N/A,#N/A,TRUE,"Equipment installation bm"}</definedName>
    <definedName name="GLP_REV.2_1_4_3" hidden="1">{#N/A,#N/A,TRUE,"Equipment installation bm"}</definedName>
    <definedName name="GLP_REV.2_1_4_4" hidden="1">{#N/A,#N/A,TRUE,"Equipment installation bm"}</definedName>
    <definedName name="GLP_REV.2_1_4_5" hidden="1">{#N/A,#N/A,TRUE,"Equipment installation bm"}</definedName>
    <definedName name="GLP_REV.2_1_5" hidden="1">{#N/A,#N/A,TRUE,"Equipment installation bm"}</definedName>
    <definedName name="GLP_REV.2_1_5_1" hidden="1">{#N/A,#N/A,TRUE,"Equipment installation bm"}</definedName>
    <definedName name="GLP_REV.2_1_5_2" hidden="1">{#N/A,#N/A,TRUE,"Equipment installation bm"}</definedName>
    <definedName name="GLP_REV.2_1_5_3" hidden="1">{#N/A,#N/A,TRUE,"Equipment installation bm"}</definedName>
    <definedName name="GLP_REV.2_1_5_4" hidden="1">{#N/A,#N/A,TRUE,"Equipment installation bm"}</definedName>
    <definedName name="GLP_REV.2_1_5_5" hidden="1">{#N/A,#N/A,TRUE,"Equipment installation bm"}</definedName>
    <definedName name="GLP_REV.2_2" hidden="1">{#N/A,#N/A,TRUE,"Equipment installation bm"}</definedName>
    <definedName name="GLP_REV.2_2_1" hidden="1">{#N/A,#N/A,TRUE,"Equipment installation bm"}</definedName>
    <definedName name="GLP_REV.2_2_1_1" hidden="1">{#N/A,#N/A,TRUE,"Equipment installation bm"}</definedName>
    <definedName name="GLP_REV.2_2_1_2" hidden="1">{#N/A,#N/A,TRUE,"Equipment installation bm"}</definedName>
    <definedName name="GLP_REV.2_2_1_3" hidden="1">{#N/A,#N/A,TRUE,"Equipment installation bm"}</definedName>
    <definedName name="GLP_REV.2_2_1_4" hidden="1">{#N/A,#N/A,TRUE,"Equipment installation bm"}</definedName>
    <definedName name="GLP_REV.2_2_1_5" hidden="1">{#N/A,#N/A,TRUE,"Equipment installation bm"}</definedName>
    <definedName name="GLP_REV.2_2_2" hidden="1">{#N/A,#N/A,TRUE,"Equipment installation bm"}</definedName>
    <definedName name="GLP_REV.2_2_2_1" hidden="1">{#N/A,#N/A,TRUE,"Equipment installation bm"}</definedName>
    <definedName name="GLP_REV.2_2_2_2" hidden="1">{#N/A,#N/A,TRUE,"Equipment installation bm"}</definedName>
    <definedName name="GLP_REV.2_2_2_3" hidden="1">{#N/A,#N/A,TRUE,"Equipment installation bm"}</definedName>
    <definedName name="GLP_REV.2_2_2_4" hidden="1">{#N/A,#N/A,TRUE,"Equipment installation bm"}</definedName>
    <definedName name="GLP_REV.2_2_2_5" hidden="1">{#N/A,#N/A,TRUE,"Equipment installation bm"}</definedName>
    <definedName name="GLP_REV.2_2_3" hidden="1">{#N/A,#N/A,TRUE,"Equipment installation bm"}</definedName>
    <definedName name="GLP_REV.2_2_3_1" hidden="1">{#N/A,#N/A,TRUE,"Equipment installation bm"}</definedName>
    <definedName name="GLP_REV.2_2_3_2" hidden="1">{#N/A,#N/A,TRUE,"Equipment installation bm"}</definedName>
    <definedName name="GLP_REV.2_2_3_3" hidden="1">{#N/A,#N/A,TRUE,"Equipment installation bm"}</definedName>
    <definedName name="GLP_REV.2_2_3_4" hidden="1">{#N/A,#N/A,TRUE,"Equipment installation bm"}</definedName>
    <definedName name="GLP_REV.2_2_3_5" hidden="1">{#N/A,#N/A,TRUE,"Equipment installation bm"}</definedName>
    <definedName name="GLP_REV.2_2_4" hidden="1">{#N/A,#N/A,TRUE,"Equipment installation bm"}</definedName>
    <definedName name="GLP_REV.2_2_4_1" hidden="1">{#N/A,#N/A,TRUE,"Equipment installation bm"}</definedName>
    <definedName name="GLP_REV.2_2_4_2" hidden="1">{#N/A,#N/A,TRUE,"Equipment installation bm"}</definedName>
    <definedName name="GLP_REV.2_2_4_3" hidden="1">{#N/A,#N/A,TRUE,"Equipment installation bm"}</definedName>
    <definedName name="GLP_REV.2_2_4_4" hidden="1">{#N/A,#N/A,TRUE,"Equipment installation bm"}</definedName>
    <definedName name="GLP_REV.2_2_4_5" hidden="1">{#N/A,#N/A,TRUE,"Equipment installation bm"}</definedName>
    <definedName name="GLP_REV.2_2_5" hidden="1">{#N/A,#N/A,TRUE,"Equipment installation bm"}</definedName>
    <definedName name="GLP_REV.2_2_5_1" hidden="1">{#N/A,#N/A,TRUE,"Equipment installation bm"}</definedName>
    <definedName name="GLP_REV.2_2_5_2" hidden="1">{#N/A,#N/A,TRUE,"Equipment installation bm"}</definedName>
    <definedName name="GLP_REV.2_2_5_3" hidden="1">{#N/A,#N/A,TRUE,"Equipment installation bm"}</definedName>
    <definedName name="GLP_REV.2_2_5_4" hidden="1">{#N/A,#N/A,TRUE,"Equipment installation bm"}</definedName>
    <definedName name="GLP_REV.2_2_5_5" hidden="1">{#N/A,#N/A,TRUE,"Equipment installation bm"}</definedName>
    <definedName name="GLP_REV.2_3" hidden="1">{#N/A,#N/A,TRUE,"Equipment installation bm"}</definedName>
    <definedName name="GLP_REV.2_3_1" hidden="1">{#N/A,#N/A,TRUE,"Equipment installation bm"}</definedName>
    <definedName name="GLP_REV.2_3_1_1" hidden="1">{#N/A,#N/A,TRUE,"Equipment installation bm"}</definedName>
    <definedName name="GLP_REV.2_3_1_2" hidden="1">{#N/A,#N/A,TRUE,"Equipment installation bm"}</definedName>
    <definedName name="GLP_REV.2_3_1_3" hidden="1">{#N/A,#N/A,TRUE,"Equipment installation bm"}</definedName>
    <definedName name="GLP_REV.2_3_1_4" hidden="1">{#N/A,#N/A,TRUE,"Equipment installation bm"}</definedName>
    <definedName name="GLP_REV.2_3_1_5" hidden="1">{#N/A,#N/A,TRUE,"Equipment installation bm"}</definedName>
    <definedName name="GLP_REV.2_3_2" hidden="1">{#N/A,#N/A,TRUE,"Equipment installation bm"}</definedName>
    <definedName name="GLP_REV.2_3_2_1" hidden="1">{#N/A,#N/A,TRUE,"Equipment installation bm"}</definedName>
    <definedName name="GLP_REV.2_3_2_2" hidden="1">{#N/A,#N/A,TRUE,"Equipment installation bm"}</definedName>
    <definedName name="GLP_REV.2_3_2_3" hidden="1">{#N/A,#N/A,TRUE,"Equipment installation bm"}</definedName>
    <definedName name="GLP_REV.2_3_2_4" hidden="1">{#N/A,#N/A,TRUE,"Equipment installation bm"}</definedName>
    <definedName name="GLP_REV.2_3_2_5" hidden="1">{#N/A,#N/A,TRUE,"Equipment installation bm"}</definedName>
    <definedName name="GLP_REV.2_3_3" hidden="1">{#N/A,#N/A,TRUE,"Equipment installation bm"}</definedName>
    <definedName name="GLP_REV.2_3_3_1" hidden="1">{#N/A,#N/A,TRUE,"Equipment installation bm"}</definedName>
    <definedName name="GLP_REV.2_3_3_2" hidden="1">{#N/A,#N/A,TRUE,"Equipment installation bm"}</definedName>
    <definedName name="GLP_REV.2_3_3_3" hidden="1">{#N/A,#N/A,TRUE,"Equipment installation bm"}</definedName>
    <definedName name="GLP_REV.2_3_3_4" hidden="1">{#N/A,#N/A,TRUE,"Equipment installation bm"}</definedName>
    <definedName name="GLP_REV.2_3_3_5" hidden="1">{#N/A,#N/A,TRUE,"Equipment installation bm"}</definedName>
    <definedName name="GLP_REV.2_3_4" hidden="1">{#N/A,#N/A,TRUE,"Equipment installation bm"}</definedName>
    <definedName name="GLP_REV.2_3_4_1" hidden="1">{#N/A,#N/A,TRUE,"Equipment installation bm"}</definedName>
    <definedName name="GLP_REV.2_3_4_2" hidden="1">{#N/A,#N/A,TRUE,"Equipment installation bm"}</definedName>
    <definedName name="GLP_REV.2_3_4_3" hidden="1">{#N/A,#N/A,TRUE,"Equipment installation bm"}</definedName>
    <definedName name="GLP_REV.2_3_4_4" hidden="1">{#N/A,#N/A,TRUE,"Equipment installation bm"}</definedName>
    <definedName name="GLP_REV.2_3_4_5" hidden="1">{#N/A,#N/A,TRUE,"Equipment installation bm"}</definedName>
    <definedName name="GLP_REV.2_3_5" hidden="1">{#N/A,#N/A,TRUE,"Equipment installation bm"}</definedName>
    <definedName name="GLP_REV.2_3_5_1" hidden="1">{#N/A,#N/A,TRUE,"Equipment installation bm"}</definedName>
    <definedName name="GLP_REV.2_3_5_2" hidden="1">{#N/A,#N/A,TRUE,"Equipment installation bm"}</definedName>
    <definedName name="GLP_REV.2_3_5_3" hidden="1">{#N/A,#N/A,TRUE,"Equipment installation bm"}</definedName>
    <definedName name="GLP_REV.2_3_5_4" hidden="1">{#N/A,#N/A,TRUE,"Equipment installation bm"}</definedName>
    <definedName name="GLP_REV.2_3_5_5" hidden="1">{#N/A,#N/A,TRUE,"Equipment installation bm"}</definedName>
    <definedName name="GLP_REV.2_4" hidden="1">{#N/A,#N/A,TRUE,"Equipment installation bm"}</definedName>
    <definedName name="GLP_REV.2_4_1" hidden="1">{#N/A,#N/A,TRUE,"Equipment installation bm"}</definedName>
    <definedName name="GLP_REV.2_4_1_1" hidden="1">{#N/A,#N/A,TRUE,"Equipment installation bm"}</definedName>
    <definedName name="GLP_REV.2_4_1_2" hidden="1">{#N/A,#N/A,TRUE,"Equipment installation bm"}</definedName>
    <definedName name="GLP_REV.2_4_1_3" hidden="1">{#N/A,#N/A,TRUE,"Equipment installation bm"}</definedName>
    <definedName name="GLP_REV.2_4_1_4" hidden="1">{#N/A,#N/A,TRUE,"Equipment installation bm"}</definedName>
    <definedName name="GLP_REV.2_4_1_5" hidden="1">{#N/A,#N/A,TRUE,"Equipment installation bm"}</definedName>
    <definedName name="GLP_REV.2_4_2" hidden="1">{#N/A,#N/A,TRUE,"Equipment installation bm"}</definedName>
    <definedName name="GLP_REV.2_4_2_1" hidden="1">{#N/A,#N/A,TRUE,"Equipment installation bm"}</definedName>
    <definedName name="GLP_REV.2_4_2_2" hidden="1">{#N/A,#N/A,TRUE,"Equipment installation bm"}</definedName>
    <definedName name="GLP_REV.2_4_2_3" hidden="1">{#N/A,#N/A,TRUE,"Equipment installation bm"}</definedName>
    <definedName name="GLP_REV.2_4_2_4" hidden="1">{#N/A,#N/A,TRUE,"Equipment installation bm"}</definedName>
    <definedName name="GLP_REV.2_4_2_5" hidden="1">{#N/A,#N/A,TRUE,"Equipment installation bm"}</definedName>
    <definedName name="GLP_REV.2_4_3" hidden="1">{#N/A,#N/A,TRUE,"Equipment installation bm"}</definedName>
    <definedName name="GLP_REV.2_4_3_1" hidden="1">{#N/A,#N/A,TRUE,"Equipment installation bm"}</definedName>
    <definedName name="GLP_REV.2_4_3_2" hidden="1">{#N/A,#N/A,TRUE,"Equipment installation bm"}</definedName>
    <definedName name="GLP_REV.2_4_3_3" hidden="1">{#N/A,#N/A,TRUE,"Equipment installation bm"}</definedName>
    <definedName name="GLP_REV.2_4_3_4" hidden="1">{#N/A,#N/A,TRUE,"Equipment installation bm"}</definedName>
    <definedName name="GLP_REV.2_4_3_5" hidden="1">{#N/A,#N/A,TRUE,"Equipment installation bm"}</definedName>
    <definedName name="GLP_REV.2_4_4" hidden="1">{#N/A,#N/A,TRUE,"Equipment installation bm"}</definedName>
    <definedName name="GLP_REV.2_4_4_1" hidden="1">{#N/A,#N/A,TRUE,"Equipment installation bm"}</definedName>
    <definedName name="GLP_REV.2_4_4_2" hidden="1">{#N/A,#N/A,TRUE,"Equipment installation bm"}</definedName>
    <definedName name="GLP_REV.2_4_4_3" hidden="1">{#N/A,#N/A,TRUE,"Equipment installation bm"}</definedName>
    <definedName name="GLP_REV.2_4_4_4" hidden="1">{#N/A,#N/A,TRUE,"Equipment installation bm"}</definedName>
    <definedName name="GLP_REV.2_4_4_5" hidden="1">{#N/A,#N/A,TRUE,"Equipment installation bm"}</definedName>
    <definedName name="GLP_REV.2_4_5" hidden="1">{#N/A,#N/A,TRUE,"Equipment installation bm"}</definedName>
    <definedName name="GLP_REV.2_4_5_1" hidden="1">{#N/A,#N/A,TRUE,"Equipment installation bm"}</definedName>
    <definedName name="GLP_REV.2_4_5_2" hidden="1">{#N/A,#N/A,TRUE,"Equipment installation bm"}</definedName>
    <definedName name="GLP_REV.2_4_5_3" hidden="1">{#N/A,#N/A,TRUE,"Equipment installation bm"}</definedName>
    <definedName name="GLP_REV.2_4_5_4" hidden="1">{#N/A,#N/A,TRUE,"Equipment installation bm"}</definedName>
    <definedName name="GLP_REV.2_4_5_5" hidden="1">{#N/A,#N/A,TRUE,"Equipment installation bm"}</definedName>
    <definedName name="GLP_REV.2_5" hidden="1">{#N/A,#N/A,TRUE,"Equipment installation bm"}</definedName>
    <definedName name="GLP_REV.2_5_1" hidden="1">{#N/A,#N/A,TRUE,"Equipment installation bm"}</definedName>
    <definedName name="GLP_REV.2_5_1_1" hidden="1">{#N/A,#N/A,TRUE,"Equipment installation bm"}</definedName>
    <definedName name="GLP_REV.2_5_1_2" hidden="1">{#N/A,#N/A,TRUE,"Equipment installation bm"}</definedName>
    <definedName name="GLP_REV.2_5_1_3" hidden="1">{#N/A,#N/A,TRUE,"Equipment installation bm"}</definedName>
    <definedName name="GLP_REV.2_5_1_4" hidden="1">{#N/A,#N/A,TRUE,"Equipment installation bm"}</definedName>
    <definedName name="GLP_REV.2_5_1_5" hidden="1">{#N/A,#N/A,TRUE,"Equipment installation bm"}</definedName>
    <definedName name="GLP_REV.2_5_2" hidden="1">{#N/A,#N/A,TRUE,"Equipment installation bm"}</definedName>
    <definedName name="GLP_REV.2_5_2_1" hidden="1">{#N/A,#N/A,TRUE,"Equipment installation bm"}</definedName>
    <definedName name="GLP_REV.2_5_2_2" hidden="1">{#N/A,#N/A,TRUE,"Equipment installation bm"}</definedName>
    <definedName name="GLP_REV.2_5_2_3" hidden="1">{#N/A,#N/A,TRUE,"Equipment installation bm"}</definedName>
    <definedName name="GLP_REV.2_5_2_4" hidden="1">{#N/A,#N/A,TRUE,"Equipment installation bm"}</definedName>
    <definedName name="GLP_REV.2_5_2_5" hidden="1">{#N/A,#N/A,TRUE,"Equipment installation bm"}</definedName>
    <definedName name="GLP_REV.2_5_3" hidden="1">{#N/A,#N/A,TRUE,"Equipment installation bm"}</definedName>
    <definedName name="GLP_REV.2_5_3_1" hidden="1">{#N/A,#N/A,TRUE,"Equipment installation bm"}</definedName>
    <definedName name="GLP_REV.2_5_3_2" hidden="1">{#N/A,#N/A,TRUE,"Equipment installation bm"}</definedName>
    <definedName name="GLP_REV.2_5_3_3" hidden="1">{#N/A,#N/A,TRUE,"Equipment installation bm"}</definedName>
    <definedName name="GLP_REV.2_5_3_4" hidden="1">{#N/A,#N/A,TRUE,"Equipment installation bm"}</definedName>
    <definedName name="GLP_REV.2_5_3_5" hidden="1">{#N/A,#N/A,TRUE,"Equipment installation bm"}</definedName>
    <definedName name="GLP_REV.2_5_4" hidden="1">{#N/A,#N/A,TRUE,"Equipment installation bm"}</definedName>
    <definedName name="GLP_REV.2_5_4_1" hidden="1">{#N/A,#N/A,TRUE,"Equipment installation bm"}</definedName>
    <definedName name="GLP_REV.2_5_4_2" hidden="1">{#N/A,#N/A,TRUE,"Equipment installation bm"}</definedName>
    <definedName name="GLP_REV.2_5_4_3" hidden="1">{#N/A,#N/A,TRUE,"Equipment installation bm"}</definedName>
    <definedName name="GLP_REV.2_5_4_4" hidden="1">{#N/A,#N/A,TRUE,"Equipment installation bm"}</definedName>
    <definedName name="GLP_REV.2_5_4_5" hidden="1">{#N/A,#N/A,TRUE,"Equipment installation bm"}</definedName>
    <definedName name="GLP_REV.2_5_5" hidden="1">{#N/A,#N/A,TRUE,"Equipment installation bm"}</definedName>
    <definedName name="GLP_REV.2_5_5_1" hidden="1">{#N/A,#N/A,TRUE,"Equipment installation bm"}</definedName>
    <definedName name="GLP_REV.2_5_5_2" hidden="1">{#N/A,#N/A,TRUE,"Equipment installation bm"}</definedName>
    <definedName name="GLP_REV.2_5_5_3" hidden="1">{#N/A,#N/A,TRUE,"Equipment installation bm"}</definedName>
    <definedName name="GLP_REV.2_5_5_4" hidden="1">{#N/A,#N/A,TRUE,"Equipment installation bm"}</definedName>
    <definedName name="GLP_REV.2_5_5_5" hidden="1">{#N/A,#N/A,TRUE,"Equipment installation bm"}</definedName>
    <definedName name="gnfyat.anliz" hidden="1">{#N/A,#N/A,FALSE,"Çaykara ataköy (1)";#N/A,#N/A,FALSE,"Çaykara ataköy (2)";#N/A,#N/A,FALSE,"Rize Kalkandere ";#N/A,#N/A,FALSE,"meydancık";#N/A,#N/A,FALSE,"muratlı"}</definedName>
    <definedName name="gölge" hidden="1">{#N/A,#N/A,FALSE,"Çaykara ataköy (1)";#N/A,#N/A,FALSE,"Çaykara ataköy (2)";#N/A,#N/A,FALSE,"Rize Kalkandere ";#N/A,#N/A,FALSE,"meydancık";#N/A,#N/A,FALSE,"muratlı"}</definedName>
    <definedName name="gopi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p">#REF!</definedName>
    <definedName name="GPFC1">#REF!</definedName>
    <definedName name="GPFC2">#REF!</definedName>
    <definedName name="GPROFIT1">#REF!</definedName>
    <definedName name="GPROFIT2">#REF!</definedName>
    <definedName name="gre" hidden="1">#REF!,#REF!</definedName>
    <definedName name="gregr" hidden="1">{#N/A,#N/A,FALSE,"SUMMARY 4a";#N/A,#N/A,FALSE,"GBA 4b";#N/A,#N/A,FALSE,"TENANT 4c";#N/A,#N/A,FALSE,"BUDGET DETAIL";#N/A,#N/A,FALSE,"PRO FORMA"}</definedName>
    <definedName name="grewg" hidden="1">#REF!</definedName>
    <definedName name="Grounding_Tab">#REF!</definedName>
    <definedName name="GroutedRiprap">#REF!</definedName>
    <definedName name="grt">#REF!</definedName>
    <definedName name="GRWG" hidden="1">{#N/A,#N/A,FALSE,"SUMMARY 4a";#N/A,#N/A,FALSE,"GBA 4b";#N/A,#N/A,FALSE,"TENANT 4c";#N/A,#N/A,FALSE,"BUDGET DETAIL";#N/A,#N/A,FALSE,"PRO FORMA"}</definedName>
    <definedName name="GS">#REF!</definedName>
    <definedName name="gs." hidden="1">{#N/A,#N/A,FALSE,"Çaykara ataköy (1)";#N/A,#N/A,FALSE,"Çaykara ataköy (2)";#N/A,#N/A,FALSE,"Rize Kalkandere ";#N/A,#N/A,FALSE,"meydancık";#N/A,#N/A,FALSE,"muratlı"}</definedName>
    <definedName name="GSD">#REF!</definedName>
    <definedName name="gsdgsg" hidden="1">{#N/A,#N/A,FALSE,"TELEFON"}</definedName>
    <definedName name="gsec" hidden="1">{#N/A,#N/A,FALSE,"Aging Summary";#N/A,#N/A,FALSE,"Ratio Analysis";#N/A,#N/A,FALSE,"Test 120 Day Accts";#N/A,#N/A,FALSE,"Tickmarks"}</definedName>
    <definedName name="gsf">#REF!</definedName>
    <definedName name="GSFADD">#REF!</definedName>
    <definedName name="gsfBr">#REF!</definedName>
    <definedName name="gsfCub">#REF!</definedName>
    <definedName name="gsfd" hidden="1">#REF!</definedName>
    <definedName name="gsfFAB">#REF!</definedName>
    <definedName name="gsfFabGenl">#REF!</definedName>
    <definedName name="gsfFabManu">#REF!</definedName>
    <definedName name="gsfFabProcess">#REF!</definedName>
    <definedName name="G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G40_HRS">#N/A</definedName>
    <definedName name="GTG40_LAB">#N/A</definedName>
    <definedName name="GTG40_MAT">#N/A</definedName>
    <definedName name="GTG40_S_C">#N/A</definedName>
    <definedName name="GTG40_TOT">#N/A</definedName>
    <definedName name="gt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trghr" hidden="1">{#N/A,#N/A,TRUE,"Cover";#N/A,#N/A,TRUE,"Conts";#N/A,#N/A,TRUE,"VOS";#N/A,#N/A,TRUE,"Warrington";#N/A,#N/A,TRUE,"Widnes"}</definedName>
    <definedName name="gtwhh" hidden="1">#REF!</definedName>
    <definedName name="GTYJBUK" hidden="1">#REF!</definedName>
    <definedName name="ğüğopğp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UUU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V" hidden="1">{#N/A,#N/A,FALSE,"CCTV"}</definedName>
    <definedName name="gvbnhjk" hidden="1">{#N/A,#N/A,FALSE,"mgtsum.XLS";#N/A,#N/A,FALSE,"CAPONE";#N/A,#N/A,FALSE,"CAPTWO";#N/A,#N/A,FALSE,"CAPTHREE"}</definedName>
    <definedName name="gvfhjxs" hidden="1">{#N/A,#N/A,TRUE,"Str.";#N/A,#N/A,TRUE,"Steel &amp; Roof";#N/A,#N/A,TRUE,"Arc.";#N/A,#N/A,TRUE,"Preliminary";#N/A,#N/A,TRUE,"Sum_Prelim"}</definedName>
    <definedName name="gwag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gwbwalls">#REF!</definedName>
    <definedName name="gwgtergyr" hidden="1">{#N/A,#N/A,TRUE,"Cover";#N/A,#N/A,TRUE,"Conts";#N/A,#N/A,TRUE,"VOS";#N/A,#N/A,TRUE,"Warrington";#N/A,#N/A,TRUE,"Widnes"}</definedName>
    <definedName name="GWRE" hidden="1">#REF!</definedName>
    <definedName name="GWREHGE5" hidden="1">#REF!</definedName>
    <definedName name="g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">#REF!</definedName>
    <definedName name="ha" hidden="1">#REF!</definedName>
    <definedName name="haha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LLWAY">#REF!</definedName>
    <definedName name="hans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hardwar" hidden="1">#REF!</definedName>
    <definedName name="Hardware" localSheetId="1" hidden="1">{#N/A,#N/A,TRUE,"Str.";#N/A,#N/A,TRUE,"Steel &amp; Roof";#N/A,#N/A,TRUE,"Arc.";#N/A,#N/A,TRUE,"Preliminary";#N/A,#N/A,TRUE,"Sum_Prelim"}</definedName>
    <definedName name="Hardware" hidden="1">{#N/A,#N/A,TRUE,"Str.";#N/A,#N/A,TRUE,"Steel &amp; Roof";#N/A,#N/A,TRUE,"Arc.";#N/A,#N/A,TRUE,"Preliminary";#N/A,#N/A,TRUE,"Sum_Prelim"}</definedName>
    <definedName name="hasan" hidden="1">{#VALUE!,#N/A,TRUE,0;#N/A,#N/A,TRUE,0;#N/A,#N/A,TRUE,0;#N/A,#N/A,TRUE,0;#N/A,#N/A,TRUE,0;#N/A,#N/A,TRUE,0;#N/A,#N/A,TRUE,0;#N/A,#N/A,TRUE,0}</definedName>
    <definedName name="haul">#REF!</definedName>
    <definedName name="haziran2006" hidden="1">#REF!</definedName>
    <definedName name="HDF">#REF!</definedName>
    <definedName name="hdfyftrt" hidden="1">{"sheet1",#N/A,FALSE,"easheet";"sheet2a",#N/A,FALSE,"easheet";"sheet2b",#N/A,FALSE,"easheet";"sheet3",#N/A,FALSE,"easheet"}</definedName>
    <definedName name="hdhfj" hidden="1">{"PLANNING",#N/A,FALSE,"A"}</definedName>
    <definedName name="HeadWall">#REF!</definedName>
    <definedName name="Health_and_Safety_Risk">#REF!</definedName>
    <definedName name="hehheheh" hidden="1">{#N/A,#N/A,FALSE,"Aging Summary";#N/A,#N/A,FALSE,"Ratio Analysis";#N/A,#N/A,FALSE,"Test 120 Day Accts";#N/A,#N/A,FALSE,"Tickmarks"}</definedName>
    <definedName name="hello" hidden="1">{#N/A,#N/A,FALSE,"CAPTION LIST (As-Built)";#N/A,#N/A,FALSE,"DOCUMENT LIST (As-Built)";#N/A,#N/A,FALSE,"PLANT SPECIFICATION";#N/A,#N/A,FALSE,"PRODUCT LIST"}</definedName>
    <definedName name="helpceffact">#REF!</definedName>
    <definedName name="helpcefsummary">#REF!</definedName>
    <definedName name="helpfactsheet">#REF!</definedName>
    <definedName name="helpparta">#REF!</definedName>
    <definedName name="hfdgfdg" hidden="1">{#N/A,#N/A,FALSE,"CCTV"}</definedName>
    <definedName name="hfg" hidden="1">#REF!</definedName>
    <definedName name="hfhgf" hidden="1">{#N/A,#N/A,TRUE,"Cover";#N/A,#N/A,TRUE,"Conts";#N/A,#N/A,TRUE,"VOS";#N/A,#N/A,TRUE,"Warrington";#N/A,#N/A,TRUE,"Widnes"}</definedName>
    <definedName name="hfjhhjj" hidden="1">{#N/A,#N/A,FALSE,"CCTV"}</definedName>
    <definedName name="hfrytr" hidden="1">{"offequipsch",#N/A,FALSE,"GTC_Schedule";"onconstsch",#N/A,FALSE,"GTC_Schedule";"techsch",#N/A,FALSE,"GTC_Schedule";"totsch",#N/A,FALSE,"GTC_Schedule"}</definedName>
    <definedName name="HG">#REF!</definedName>
    <definedName name="hgf" hidden="1">#REF!</definedName>
    <definedName name="hgfhfgh" hidden="1">{#VALUE!,#N/A,FALSE,0;#N/A,#N/A,FALSE,0;#N/A,#N/A,FALSE,0;#N/A,#N/A,FALSE,0;#N/A,#N/A,FALSE,0;#N/A,#N/A,FALSE,0;#N/A,#N/A,FALSE,0;#N/A,#N/A,FALSE,0;#N/A,#N/A,FALSE,0;#N/A,#N/A,FALSE,0;#N/A,#N/A,FALSE,0;#N/A,#N/A,FALSE,0}</definedName>
    <definedName name="hghghg" hidden="1">{#N/A,#N/A,FALSE,"COVER1.XLS ";#N/A,#N/A,FALSE,"RACT1.XLS";#N/A,#N/A,FALSE,"RACT2.XLS";#N/A,#N/A,FALSE,"ECCMP";#N/A,#N/A,FALSE,"WELDER.XLS"}</definedName>
    <definedName name="hgj" hidden="1">#REF!</definedName>
    <definedName name="hgjd" hidden="1">#REF!</definedName>
    <definedName name="hgjfgh" hidden="1">{#N/A,#N/A,FALSE,"CCTV"}</definedName>
    <definedName name="hgjgfhgh" hidden="1">{#N/A,#N/A,FALSE,"CCTV"}</definedName>
    <definedName name="HH" hidden="1">{#N/A,#N/A,FALSE,"ihz. icmal";#N/A,#N/A,FALSE,"avans";#N/A,#N/A,FALSE,"mal_FF_icm";#N/A,#N/A,FALSE,"fat_ihz";#N/A,#N/A,FALSE,"söz_fiy_fark";#N/A,#N/A,FALSE,"kap2"}</definedName>
    <definedName name="hhh" hidden="1">#REF!</definedName>
    <definedName name="HHHH" hidden="1">{#N/A,#N/A,FALSE,"Çaykara ataköy (1)";#N/A,#N/A,FALSE,"Çaykara ataköy (2)";#N/A,#N/A,FALSE,"Rize Kalkandere ";#N/A,#N/A,FALSE,"meydancık";#N/A,#N/A,FALSE,"muratlı"}</definedName>
    <definedName name="HHHHHHHHHHHHHHHHHHHHHHHHHHHHHHHH" hidden="1">{#N/A,#N/A,FALSE,"Çaykara ataköy (1)";#N/A,#N/A,FALSE,"Çaykara ataköy (2)";#N/A,#N/A,FALSE,"Rize Kalkandere ";#N/A,#N/A,FALSE,"meydancık";#N/A,#N/A,FALSE,"muratlı"}</definedName>
    <definedName name="HiddenRows" hidden="1">#REF!</definedName>
    <definedName name="HIMEL">#REF!</definedName>
    <definedName name="hjdj" hidden="1">{#N/A,#N/A,TRUE,"Cover";#N/A,#N/A,TRUE,"Conts";#N/A,#N/A,TRUE,"VOS";#N/A,#N/A,TRUE,"Warrington";#N/A,#N/A,TRUE,"Widnes"}</definedName>
    <definedName name="HJGHJFG" hidden="1">{#VALUE!,#N/A,FALSE,0;#N/A,#N/A,FALSE,0;#N/A,#N/A,FALSE,0;#N/A,#N/A,FALSE,0;#N/A,#N/A,FALSE,0;#N/A,#N/A,FALSE,0;#N/A,#N/A,FALSE,0;#N/A,#N/A,FALSE,0;#N/A,#N/A,FALSE,0;#N/A,#N/A,FALSE,0;#N/A,#N/A,FALSE,0;#N/A,#N/A,FALSE,0}</definedName>
    <definedName name="HJGHJHJ" hidden="1">{#VALUE!,#N/A,TRUE,0;#N/A,#N/A,TRUE,0;#N/A,#N/A,TRUE,0;#N/A,#N/A,TRUE,0;#N/A,#N/A,TRUE,0;#N/A,#N/A,TRUE,0;#N/A,#N/A,TRUE,0}</definedName>
    <definedName name="hjhjh" hidden="1">{#N/A,#N/A,TRUE,"arnitower";#N/A,#N/A,TRUE,"arnigarage "}</definedName>
    <definedName name="hjhjjhk" hidden="1">{#VALUE!,#N/A,FALSE,0;#N/A,#N/A,FALSE,0;#N/A,#N/A,FALSE,0;#N/A,#N/A,FALSE,0;#N/A,#N/A,FALSE,0;#N/A,#N/A,FALSE,0;#N/A,#N/A,FALSE,0;#N/A,#N/A,FALSE,0;#N/A,#N/A,FALSE,0;#N/A,#N/A,FALSE,0;#N/A,#N/A,FALSE,0;#N/A,#N/A,FALSE,0}</definedName>
    <definedName name="hjjjjjj" hidden="1">{"form-D1",#N/A,FALSE,"FORM-D1";"form-D1_amt",#N/A,FALSE,"FORM-D1"}</definedName>
    <definedName name="hjjjjjj_1" hidden="1">{"form-D1",#N/A,FALSE,"FORM-D1";"form-D1_amt",#N/A,FALSE,"FORM-D1"}</definedName>
    <definedName name="hjjjjjj_2" hidden="1">{"form-D1",#N/A,FALSE,"FORM-D1";"form-D1_amt",#N/A,FALSE,"FORM-D1"}</definedName>
    <definedName name="hjjjjjj_3" hidden="1">{"form-D1",#N/A,FALSE,"FORM-D1";"form-D1_amt",#N/A,FALSE,"FORM-D1"}</definedName>
    <definedName name="hjk" hidden="1">{#N/A,#N/A,FALSE,"MARCH"}</definedName>
    <definedName name="HJKGKJFC" hidden="1">#REF!</definedName>
    <definedName name="hjmgk" hidden="1">#REF!</definedName>
    <definedName name="hjuu" hidden="1">{#N/A,#N/A,FALSE,"kal_iç_ihz";#N/A,#N/A,FALSE,"kal_iç_er";#N/A,#N/A,FALSE,"kal_iç_tut"}</definedName>
    <definedName name="hkhfhflhh" hidden="1">{#N/A,#N/A,FALSE,"India - 3f";#N/A,#N/A,FALSE,"India - 3";#N/A,#N/A,FALSE,"India - 4f";#N/A,#N/A,FALSE,"India - 4";#N/A,#N/A,FALSE,"Retail Spider"}</definedName>
    <definedName name="hkj" hidden="1">{#N/A,#N/A,FALSE,"Full";#N/A,#N/A,FALSE,"Half";#N/A,#N/A,FALSE,"Op Expenses";#N/A,#N/A,FALSE,"Cap Charge";#N/A,#N/A,FALSE,"Cost C";#N/A,#N/A,FALSE,"PP&amp;E";#N/A,#N/A,FALSE,"R&amp;D"}</definedName>
    <definedName name="hkjhk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lbd">#REF!</definedName>
    <definedName name="hlp">#REF!</definedName>
    <definedName name="hmtl.5" hidden="1">{"'Leverage'!$B$2:$M$418"}</definedName>
    <definedName name="HN">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RolledForward" hidden="1">FALSE</definedName>
    <definedName name="HNH">#REF!</definedName>
    <definedName name="HOPA." hidden="1">{#N/A,#N/A,FALSE,"Çaykara ataköy (1)";#N/A,#N/A,FALSE,"Çaykara ataköy (2)";#N/A,#N/A,FALSE,"Rize Kalkandere ";#N/A,#N/A,FALSE,"meydancık";#N/A,#N/A,FALSE,"muratlı"}</definedName>
    <definedName name="HP" hidden="1">{"form-D1",#N/A,FALSE,"FORM-D1";"form-D1_amt",#N/A,FALSE,"FORM-D1"}</definedName>
    <definedName name="HP_1" hidden="1">{"form-D1",#N/A,FALSE,"FORM-D1";"form-D1_amt",#N/A,FALSE,"FORM-D1"}</definedName>
    <definedName name="HP_2" hidden="1">{"form-D1",#N/A,FALSE,"FORM-D1";"form-D1_amt",#N/A,FALSE,"FORM-D1"}</definedName>
    <definedName name="HP_3" hidden="1">{"form-D1",#N/A,FALSE,"FORM-D1";"form-D1_amt",#N/A,FALSE,"FORM-D1"}</definedName>
    <definedName name="hpercent">#REF!</definedName>
    <definedName name="hpercent1">#REF!</definedName>
    <definedName name="HRSG30_HRS">#N/A</definedName>
    <definedName name="HRSG30_LAB">#N/A</definedName>
    <definedName name="HRSG30_MAT">#N/A</definedName>
    <definedName name="HRSG30_S_C">#N/A</definedName>
    <definedName name="HRSG30_TOT">#N/A</definedName>
    <definedName name="HRT" hidden="1">#REF!</definedName>
    <definedName name="hry" hidden="1">{"sheet1",#N/A,FALSE,"easheet";"sheet2a",#N/A,FALSE,"easheet";"sheet2b",#N/A,FALSE,"easheet";"sheet3",#N/A,FALSE,"easheet"}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m" hidden="1">{"'Leverage'!$B$2:$M$418"}</definedName>
    <definedName name="HTML" hidden="1">{"'照明目录'!$A$1:$H$31"}</definedName>
    <definedName name="html.0" hidden="1">{"'Leverage'!$B$2:$M$418"}</definedName>
    <definedName name="html.00" hidden="1">{"'Leverage'!$B$2:$M$418"}</definedName>
    <definedName name="html.000" hidden="1">{"'Leverage'!$B$2:$M$418"}</definedName>
    <definedName name="html.0000" hidden="1">{"'Leverage'!$B$2:$M$418"}</definedName>
    <definedName name="html.1" hidden="1">{"'Leverage'!$B$2:$M$418"}</definedName>
    <definedName name="html.14" hidden="1">{"'Leverage'!$B$2:$M$418"}</definedName>
    <definedName name="html.15" hidden="1">{"'Leverage'!$B$2:$M$418"}</definedName>
    <definedName name="html.2" hidden="1">{"'Leverage'!$B$2:$M$418"}</definedName>
    <definedName name="HTML_a" hidden="1">{"'Firr(선)'!$AS$1:$AY$62","'Firr(사)'!$AS$1:$AY$62","'Firr(회)'!$AS$1:$AY$62","'Firr(선)'!$L$1:$V$62","'Firr(사)'!$L$1:$V$62","'Firr(회)'!$L$1:$V$62"}</definedName>
    <definedName name="HTML_CodePage" hidden="1">932</definedName>
    <definedName name="HTML_Control" hidden="1">{"'000228 出張報告書'!$A$1:$AE$60"}</definedName>
    <definedName name="HTML_Control_1" hidden="1">{"'Bill No. 7'!$A$1:$G$32"}</definedName>
    <definedName name="HTML_Control_1_1" hidden="1">{"'Bill No. 7'!$A$1:$G$32"}</definedName>
    <definedName name="HTML_Control_1_2" hidden="1">{"'Bill No. 7'!$A$1:$G$32"}</definedName>
    <definedName name="HTML_Control_1_3" hidden="1">{"'Bill No. 7'!$A$1:$G$32"}</definedName>
    <definedName name="HTML_Control_2" hidden="1">{"'Bill No. 7'!$A$1:$G$32"}</definedName>
    <definedName name="HTML_Control_2_1" hidden="1">{"'Bill No. 7'!$A$1:$G$32"}</definedName>
    <definedName name="HTML_Control_2_2" hidden="1">{"'Bill No. 7'!$A$1:$G$32"}</definedName>
    <definedName name="HTML_Control_2_3" hidden="1">{"'Bill No. 7'!$A$1:$G$32"}</definedName>
    <definedName name="HTML_Control_3" hidden="1">{"'Bill No. 7'!$A$1:$G$32"}</definedName>
    <definedName name="HTML_Control_3_1" hidden="1">{"'Bill No. 7'!$A$1:$G$32"}</definedName>
    <definedName name="HTML_Control_3_2" hidden="1">{"'Bill No. 7'!$A$1:$G$32"}</definedName>
    <definedName name="HTML_Control_3_3" hidden="1">{"'Bill No. 7'!$A$1:$G$32"}</definedName>
    <definedName name="HTML_Control_4" hidden="1">{"'Bill No. 7'!$A$1:$G$32"}</definedName>
    <definedName name="HTML_Control_4_1" hidden="1">{"'Bill No. 7'!$A$1:$G$32"}</definedName>
    <definedName name="HTML_Control_4_2" hidden="1">{"'Bill No. 7'!$A$1:$G$32"}</definedName>
    <definedName name="HTML_Control_4_3" hidden="1">{"'Bill No. 7'!$A$1:$G$32"}</definedName>
    <definedName name="HTML_Control_5" hidden="1">{"'Bill No. 7'!$A$1:$G$32"}</definedName>
    <definedName name="HTML_Control_5_1" hidden="1">{"'Bill No. 7'!$A$1:$G$32"}</definedName>
    <definedName name="HTML_Control_5_2" hidden="1">{"'Bill No. 7'!$A$1:$G$32"}</definedName>
    <definedName name="HTML_Control_5_3" hidden="1">{"'Bill No. 7'!$A$1:$G$32"}</definedName>
    <definedName name="html_control1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"000228 出張報告書"</definedName>
    <definedName name="HTML_LastUpdate" hidden="1">"00/03/01"</definedName>
    <definedName name="HTML_LineAfter" hidden="1">FALSE</definedName>
    <definedName name="HTML_LineBefore" hidden="1">FALSE</definedName>
    <definedName name="HTML_Name" hidden="1">"段野 陽輔"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"C:\My Documents\Const_Sov_REV\HTMLTemp.htm"</definedName>
    <definedName name="HTML_Title" hidden="1">"000228_規格協会_改正動向説明会"</definedName>
    <definedName name="HTML1_1" hidden="1">"[mnsavg.xls]Sheet1!$A$1:$AD$11"</definedName>
    <definedName name="HTML1_10" hidden="1">"charles_l_blake@ccm.rr.intel.com"</definedName>
    <definedName name="HTML1_11" hidden="1">1</definedName>
    <definedName name="HTML1_12" hidden="1">"C:\CWeb\P858VFCPA\9712\timeline.htm"</definedName>
    <definedName name="HTML1_2" hidden="1">1</definedName>
    <definedName name="HTML1_3" hidden="1">"P858 VF CPA Time Line"</definedName>
    <definedName name="HTML1_4" hidden="1">"Schedule"</definedName>
    <definedName name="HTML1_5" hidden="1">""</definedName>
    <definedName name="HTML1_6" hidden="1">1</definedName>
    <definedName name="HTML1_7" hidden="1">1</definedName>
    <definedName name="HTML1_8" hidden="1">"10/20/97"</definedName>
    <definedName name="HTML1_9" hidden="1">"Charlie Blake"</definedName>
    <definedName name="HTML10_1" hidden="1">"'[SETTLE.XLS]Settlement Summary'!$A$3:$Q$80"</definedName>
    <definedName name="HTML10_10" hidden="1">""</definedName>
    <definedName name="HTML10_11" hidden="1">1</definedName>
    <definedName name="HTML10_12" hidden="1">"G:\INTRANET\settle.htm"</definedName>
    <definedName name="HTML10_2" hidden="1">1</definedName>
    <definedName name="HTML10_3" hidden="1">""</definedName>
    <definedName name="HTML10_4" hidden="1">"Settlement Summary"</definedName>
    <definedName name="HTML10_5" hidden="1">""</definedName>
    <definedName name="HTML10_6" hidden="1">-4146</definedName>
    <definedName name="HTML10_7" hidden="1">-4146</definedName>
    <definedName name="HTML10_8" hidden="1">"6/24/97"</definedName>
    <definedName name="HTML10_9" hidden="1">"Delta Air Lines, Inc."</definedName>
    <definedName name="html2" hidden="1">{"'Leverage'!$B$2:$M$418"}</definedName>
    <definedName name="HTML2_1" hidden="1">"[mnsavg.xls]Sheet1!$A$4:$K$33"</definedName>
    <definedName name="HTML2_10" hidden="1">""</definedName>
    <definedName name="HTML2_11" hidden="1">1</definedName>
    <definedName name="HTML2_12" hidden="1">"A:\mnsavg.htm"</definedName>
    <definedName name="HTML2_2" hidden="1">1</definedName>
    <definedName name="HTML2_3" hidden="1">"mnsavg"</definedName>
    <definedName name="HTML2_4" hidden="1">"Sheet1"</definedName>
    <definedName name="HTML2_5" hidden="1">""</definedName>
    <definedName name="HTML2_6" hidden="1">-4146</definedName>
    <definedName name="HTML2_7" hidden="1">-4146</definedName>
    <definedName name="HTML2_8" hidden="1">"98-10-26"</definedName>
    <definedName name="HTML2_9" hidden="1">"한국외환은행"</definedName>
    <definedName name="HTML3_1" hidden="1">"[keb97avrg.xls]Sheet1!$A$4:$O$32"</definedName>
    <definedName name="HTML3_10" hidden="1">""</definedName>
    <definedName name="HTML3_11" hidden="1">1</definedName>
    <definedName name="HTML3_12" hidden="1">"A:\97mns.htm"</definedName>
    <definedName name="HTML3_2" hidden="1">1</definedName>
    <definedName name="HTML3_3" hidden="1">"keb97avrg"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"99-02-08"</definedName>
    <definedName name="HTML3_9" hidden="1">"한국외환은행"</definedName>
    <definedName name="HTML4_1" hidden="1">"[LOG.XLS]Log!$A$1:$L$37"</definedName>
    <definedName name="HTML4_10" hidden="1">""</definedName>
    <definedName name="HTML4_11" hidden="1">1</definedName>
    <definedName name="HTML4_12" hidden="1">"G:\MIKEH\Risklog.htm"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"3/11/97"</definedName>
    <definedName name="HTML4_9" hidden="1">"Delta Air Lines, Inc."</definedName>
    <definedName name="HTML5_1" hidden="1">"[LOG.XLS]Log!$A$1:$M$34"</definedName>
    <definedName name="HTML5_10" hidden="1">""</definedName>
    <definedName name="HTML5_11" hidden="1">1</definedName>
    <definedName name="HTML5_12" hidden="1">"G:\MIKEH\Risklog.htm"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"3/11/97"</definedName>
    <definedName name="HTML5_9" hidden="1">"Delta Air Lines, Inc."</definedName>
    <definedName name="HTML6_1" hidden="1">"[LOG.XLS]Log!$A$1:$L$34"</definedName>
    <definedName name="HTML6_10" hidden="1">""</definedName>
    <definedName name="HTML6_11" hidden="1">1</definedName>
    <definedName name="HTML6_12" hidden="1">"G:\MIKEH\risklog.htm"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"3/11/97"</definedName>
    <definedName name="HTML6_9" hidden="1">"Delta Air Lines, Inc."</definedName>
    <definedName name="HTML7_1" hidden="1">"[LOG.XLS]Log!$A$1:$M$37"</definedName>
    <definedName name="HTML7_10" hidden="1">""</definedName>
    <definedName name="HTML7_11" hidden="1">1</definedName>
    <definedName name="HTML7_12" hidden="1">"G:\MIKEH\risklog.htm"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"3/11/97"</definedName>
    <definedName name="HTML7_9" hidden="1">"Delta Air Lines, Inc."</definedName>
    <definedName name="HTML8_1" hidden="1">"[LOG.XLS]Log!$A$1:$M$35"</definedName>
    <definedName name="HTML8_10" hidden="1">""</definedName>
    <definedName name="HTML8_11" hidden="1">1</definedName>
    <definedName name="HTML8_12" hidden="1">"G:\MIKEH\risklog.htm"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"3/11/97"</definedName>
    <definedName name="HTML8_9" hidden="1">"Delta Air Lines, Inc."</definedName>
    <definedName name="HTML9_1" hidden="1">"[LOG.XLS]sr120798!$A$1:$K$21"</definedName>
    <definedName name="HTML9_10" hidden="1">""</definedName>
    <definedName name="HTML9_11" hidden="1">1</definedName>
    <definedName name="HTML9_12" hidden="1">"G:\INTRANET\Risklog.htm"</definedName>
    <definedName name="HTML9_2" hidden="1">1</definedName>
    <definedName name="HTML9_3" hidden="1">"LOG"</definedName>
    <definedName name="HTML9_4" hidden="1">"sr120798"</definedName>
    <definedName name="HTML9_5" hidden="1">""</definedName>
    <definedName name="HTML9_6" hidden="1">1</definedName>
    <definedName name="HTML9_7" hidden="1">1</definedName>
    <definedName name="HTML9_8" hidden="1">"12/9/98"</definedName>
    <definedName name="HTML9_9" hidden="1">"Delta Air Lines, Inc."</definedName>
    <definedName name="HTMLCount" hidden="1">1</definedName>
    <definedName name="htmll" hidden="1">{"'Leverage'!$B$2:$M$418"}</definedName>
    <definedName name="htmmm" hidden="1">{"'Leverage'!$B$2:$M$418"}</definedName>
    <definedName name="htrhrsth" hidden="1">{#N/A,#N/A,TRUE,"Cover";#N/A,#N/A,TRUE,"Conts";#N/A,#N/A,TRUE,"VOS";#N/A,#N/A,TRUE,"Warrington";#N/A,#N/A,TRUE,"Widnes"}</definedName>
    <definedName name="Human_Resources_Risk">#REF!</definedName>
    <definedName name="hutgfru" hidden="1">{#N/A,#N/A,TRUE,"Cover";#N/A,#N/A,TRUE,"Conts";#N/A,#N/A,TRUE,"VOS";#N/A,#N/A,TRUE,"Warrington";#N/A,#N/A,TRUE,"Widnes"}</definedName>
    <definedName name="huy" hidden="1">{"'Sheet1'!$L$16"}</definedName>
    <definedName name="hy" hidden="1">{"CASH FLOW",#N/A,FALSE,"A"}</definedName>
    <definedName name="hyghd" hidden="1">{"PLANT BREAKUP",#N/A,FALSE,"E"}</definedName>
    <definedName name="Hyp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ı" hidden="1">{#N/A,#N/A,FALSE,"Çaykara ataköy (1)";#N/A,#N/A,FALSE,"Çaykara ataköy (2)";#N/A,#N/A,FALSE,"Rize Kalkandere ";#N/A,#N/A,FALSE,"meydancık";#N/A,#N/A,FALSE,"muratlı"}</definedName>
    <definedName name="I.Bill" hidden="1">{"FTS",#N/A,FALSE,"E"}</definedName>
    <definedName name="ı76r" hidden="1">#REF!</definedName>
    <definedName name="i8uiuyi" hidden="1">{#N/A,#N/A,TRUE,"Cover";#N/A,#N/A,TRUE,"Conts";#N/A,#N/A,TRUE,"VOS";#N/A,#N/A,TRUE,"Warrington";#N/A,#N/A,TRUE,"Widnes"}</definedName>
    <definedName name="IAM" hidden="1">{"'Sheet1'!$A$4386:$N$4591"}</definedName>
    <definedName name="id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diot" hidden="1">{"dep. full detail",#N/A,FALSE,"annex";"3cd annex",#N/A,FALSE,"annex";"co. dep.",#N/A,FALSE,"annex"}</definedName>
    <definedName name="ieatkakieai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eaueai" hidden="1">{#N/A,#N/A,FALSE,"kal_iç_ihz";#N/A,#N/A,FALSE,"kal_iç_er";#N/A,#N/A,FALSE,"kal_iç_tut"}</definedName>
    <definedName name="ieaüieaüüı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iğ" hidden="1">{#N/A,#N/A,FALSE,"avans";#N/A,#N/A,FALSE,"teminat_mektubu";#N/A,#N/A,FALSE,"ihz. icmal";#N/A,#N/A,FALSE,"söz_fiy_fark";#N/A,#N/A,FALSE,"kap2";#N/A,#N/A,FALSE,"mal_FF_icm";#N/A,#N/A,FALSE,"kap1"}</definedName>
    <definedName name="IGLE" hidden="1">#REF!</definedName>
    <definedName name="ihtiyaç" hidden="1">{#N/A,#N/A,FALSE,"Çaykara ataköy (1)";#N/A,#N/A,FALSE,"Çaykara ataköy (2)";#N/A,#N/A,FALSE,"Rize Kalkandere ";#N/A,#N/A,FALSE,"meydancık";#N/A,#N/A,FALSE,"muratlı"}</definedName>
    <definedName name="ii" hidden="1">{#N/A,#N/A,FALSE,"CCTV"}</definedName>
    <definedName name="iii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i" hidden="1">#REF!,#REF!</definedName>
    <definedName name="İİİİİİİİİİİİİİİİİİİİİİİİİİİİİİİİİİİİİİİİİİİİİİİ" hidden="1">{#N/A,#N/A,FALSE,"Çaykara ataköy (1)";#N/A,#N/A,FALSE,"Çaykara ataköy (2)";#N/A,#N/A,FALSE,"Rize Kalkandere ";#N/A,#N/A,FALSE,"meydancık";#N/A,#N/A,FALSE,"muratlı"}</definedName>
    <definedName name="iiouolkll" hidden="1">{#N/A,#N/A,FALSE,"CCTV"}</definedName>
    <definedName name="İIPŞYK" hidden="1">{"'Cash Requirements 5F '!$A$1:$AC$48"}</definedName>
    <definedName name="ııuu" hidden="1">{#N/A,#N/A,FALSE,"kal_iç_ihz";#N/A,#N/A,FALSE,"kal_iç_er";#N/A,#N/A,FALSE,"kal_iç_tut"}</definedName>
    <definedName name="ijhbvfr" hidden="1">{#N/A,#N/A,FALSE,"mgtsum.XLS";#N/A,#N/A,FALSE,"CAPONE";#N/A,#N/A,FALSE,"CAPTWO";#N/A,#N/A,FALSE,"CAPTHREE"}</definedName>
    <definedName name="ijn" hidden="1">{#N/A,#N/A,FALSE,"MARCH"}</definedName>
    <definedName name="ijsadk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ik" hidden="1">{#N/A,#N/A,FALSE,"Project Properties";#N/A,#N/A,FALSE,"Eng %";#N/A,#N/A,FALSE,"ENGFORM";#N/A,#N/A,FALSE,"staffing";#N/A,#N/A,FALSE,"spending"}</definedName>
    <definedName name="IK\" hidden="1">{"form-D1",#N/A,FALSE,"FORM-D1";"form-D1_amt",#N/A,FALSE,"FORM-D1"}</definedName>
    <definedName name="IK\_1" hidden="1">{"form-D1",#N/A,FALSE,"FORM-D1";"form-D1_amt",#N/A,FALSE,"FORM-D1"}</definedName>
    <definedName name="IK\_2" hidden="1">{"form-D1",#N/A,FALSE,"FORM-D1";"form-D1_amt",#N/A,FALSE,"FORM-D1"}</definedName>
    <definedName name="IK\_3" hidden="1">{"form-D1",#N/A,FALSE,"FORM-D1";"form-D1_amt",#N/A,FALSE,"FORM-D1"}</definedName>
    <definedName name="ıkl" hidden="1">{#N/A,#N/A,FALSE,"ihz. icmal";#N/A,#N/A,FALSE,"avans";#N/A,#N/A,FALSE,"mal_FF_icm";#N/A,#N/A,FALSE,"fat_ihz";#N/A,#N/A,FALSE,"söz_fiy_fark";#N/A,#N/A,FALSE,"kap2"}</definedName>
    <definedName name="ilk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m">#REF!</definedName>
    <definedName name="IMPORT">#REF!</definedName>
    <definedName name="İNCE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ncurr" hidden="1">{#N/A,#N/A,FALSE,"gc (2)"}</definedName>
    <definedName name="Indirec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Informal" hidden="1">{"PLANNING",#N/A,FALSE,"A"}</definedName>
    <definedName name="Infrastructure">#REF!</definedName>
    <definedName name="INNNNNNN">#REF!</definedName>
    <definedName name="insroof">#REF!</definedName>
    <definedName name="iNST_SC">#REF!</definedName>
    <definedName name="INSTALL_LINE">#N/A</definedName>
    <definedName name="Insulation_Acoustic">#REF!</definedName>
    <definedName name="Insulation_Ductwork">#REF!</definedName>
    <definedName name="Insulation_Pipework">#REF!</definedName>
    <definedName name="insunderslab">#REF!</definedName>
    <definedName name="Int">#REF!</definedName>
    <definedName name="Intel_Est">#REF!</definedName>
    <definedName name="Intel_Est2">#REF!</definedName>
    <definedName name="Intel_Masterformat">#REF!</definedName>
    <definedName name="IntelEst">#REF!</definedName>
    <definedName name="IntelJ">#REF!</definedName>
    <definedName name="Interest">#REF!</definedName>
    <definedName name="InterestAppraised">#REF!</definedName>
    <definedName name="INTRER">#REF!</definedName>
    <definedName name="INTT">#REF!</definedName>
    <definedName name="inv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PIOPOPO" hidden="1">{#VALUE!,#N/A,FALSE,0;#N/A,#N/A,FALSE,0;#N/A,#N/A,FALSE,0;#N/A,#N/A,FALSE,0;#N/A,#N/A,FALSE,0;#N/A,#N/A,FALSE,0;#N/A,#N/A,FALSE,0}</definedName>
    <definedName name="ioykyoyu" hidden="1">{#N/A,#N/A,TRUE,"Cover";#N/A,#N/A,TRUE,"Conts";#N/A,#N/A,TRUE,"VOS";#N/A,#N/A,TRUE,"Warrington";#N/A,#N/A,TRUE,"Widnes"}</definedName>
    <definedName name="IPC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39070.7352546296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MA" hidden="1">{"process graphs",#N/A,FALSE,"graphs&amp;data"}</definedName>
    <definedName name="isa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isaac" hidden="1">{"SUMMARY",#N/A,FALSE,"C"}</definedName>
    <definedName name="işçilik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IsColHidden" hidden="1">FALSE</definedName>
    <definedName name="IsLTMColHidden" hidden="1">FALSE</definedName>
    <definedName name="ISO9001.2000" hidden="1">{"'000228 出張報告書'!$A$1:$AE$60"}</definedName>
    <definedName name="ISOL">#REF!</definedName>
    <definedName name="isolator">#REF!</definedName>
    <definedName name="ITEM4_EXCV">#REF!</definedName>
    <definedName name="itr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ıu85ew6ujty" hidden="1">#REF!</definedName>
    <definedName name="iuh" hidden="1">{#N/A,#N/A,FALSE,"Aging Summary";#N/A,#N/A,FALSE,"Ratio Analysis";#N/A,#N/A,FALSE,"Test 120 Day Accts";#N/A,#N/A,FALSE,"Tickmarks"}</definedName>
    <definedName name="iui" hidden="1">{#N/A,#N/A,TRUE,"Cover";#N/A,#N/A,TRUE,"Conts";#N/A,#N/A,TRUE,"VOS";#N/A,#N/A,TRUE,"Warrington";#N/A,#N/A,TRUE,"Widnes"}</definedName>
    <definedName name="ıuıı" hidden="1">{#N/A,#N/A,FALSE,"müş_iç_ihz";#N/A,#N/A,FALSE,"müş_iç_er";#N/A,#N/A,FALSE,"müş_iç_tut"}</definedName>
    <definedName name="iuiou" hidden="1">{#N/A,#N/A,TRUE,"Cover";#N/A,#N/A,TRUE,"Conts";#N/A,#N/A,TRUE,"VOS";#N/A,#N/A,TRUE,"Warrington";#N/A,#N/A,TRUE,"Widnes"}</definedName>
    <definedName name="ıuıuı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iuk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ıu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ı" hidden="1">{#N/A,#N/A,FALSE,"elk_iç_er";#N/A,#N/A,FALSE,"elk_iç_tut";#N/A,#N/A,FALSE,"elk_iç_ihz"}</definedName>
    <definedName name="ıuuuıuı" hidden="1">{#N/A,#N/A,FALSE,"sıh_iç_ihz";#N/A,#N/A,FALSE,"sıh_iç_er";#N/A,#N/A,FALSE,"sıh_iç_tut"}</definedName>
    <definedName name="ıuuyı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UUYUIUIUY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uuyy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ıuy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yyu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ıuyyuı" hidden="1">{#N/A,#N/A,FALSE,"kal_iç_ihz";#N/A,#N/A,FALSE,"kal_iç_er";#N/A,#N/A,FALSE,"kal_iç_tut"}</definedName>
    <definedName name="ivrcl" hidden="1">{"'Sheet1'!$A$4386:$N$4591"}</definedName>
    <definedName name="ivu">#REF!</definedName>
    <definedName name="ivy">#REF!</definedName>
    <definedName name="ıy" hidden="1">#REF!,#REF!</definedName>
    <definedName name="ıyıı" hidden="1">{#N/A,#N/A,FALSE,"elk_iç_er";#N/A,#N/A,FALSE,"elk_iç_tut";#N/A,#N/A,FALSE,"elk_iç_ihz"}</definedName>
    <definedName name="ıytyutyu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yukt" hidden="1">#REF!</definedName>
    <definedName name="ıyur" hidden="1">#REF!,#REF!</definedName>
    <definedName name="ıyuuo" hidden="1">{#N/A,#N/A,FALSE,"elk_iç_er";#N/A,#N/A,FALSE,"elk_iç_tut";#N/A,#N/A,FALSE,"elk_iç_ihz"}</definedName>
    <definedName name="ıyy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yyuo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j">#REF!</definedName>
    <definedName name="jacket" hidden="1">{#N/A,#N/A,FALSE,"CCTV"}</definedName>
    <definedName name="jap" hidden="1">{"FTS",#N/A,FALSE,"E"}</definedName>
    <definedName name="Jay" hidden="1">{#N/A,#N/A,FALSE,"gc (2)"}</definedName>
    <definedName name="jçöhkjhl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Jem">#REF!</definedName>
    <definedName name="Jemco">#REF!</definedName>
    <definedName name="jen">#REF!</definedName>
    <definedName name="jf">#REF!</definedName>
    <definedName name="JGADFG" hidden="1">#REF!</definedName>
    <definedName name="JGJFJDJDJDJS" hidden="1">{"'장비'!$A$3:$M$12"}</definedName>
    <definedName name="jgjgj" hidden="1">{#N/A,#N/A,TRUE,"Equipment installation bm"}</definedName>
    <definedName name="JH" hidden="1">{"FTS",#N/A,FALSE,"E"}</definedName>
    <definedName name="JH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jhhhh" hidden="1">{#N/A,#N/A,FALSE,"CCTV"}</definedName>
    <definedName name="jire" hidden="1">{#N/A,#N/A,FALSE,"Summary";#N/A,#N/A,FALSE,"Adj to Option C";#N/A,#N/A,FALSE,"Dividend Analysis";#N/A,#N/A,FALSE,"Reserve Analysis";#N/A,#N/A,FALSE,"Depreciation";#N/A,#N/A,FALSE,"Other Tax Adj"}</definedName>
    <definedName name="JJ" hidden="1">{#N/A,#N/A,FALSE,"Çaykara ataköy (1)";#N/A,#N/A,FALSE,"Çaykara ataköy (2)";#N/A,#N/A,FALSE,"Rize Kalkandere ";#N/A,#N/A,FALSE,"meydancık";#N/A,#N/A,FALSE,"muratlı"}</definedName>
    <definedName name="JJ." hidden="1">{#N/A,#N/A,FALSE,"Çaykara ataköy (1)";#N/A,#N/A,FALSE,"Çaykara ataköy (2)";#N/A,#N/A,FALSE,"Rize Kalkandere ";#N/A,#N/A,FALSE,"meydancık";#N/A,#N/A,FALSE,"muratlı"}</definedName>
    <definedName name="JJJ" localSheetId="1" hidden="1">{#N/A,#N/A,FALSE,"mgtsum.XLS";#N/A,#N/A,FALSE,"CAPONE";#N/A,#N/A,FALSE,"CAPTWO";#N/A,#N/A,FALSE,"CAPTHREE"}</definedName>
    <definedName name="JJJ" hidden="1">{#N/A,#N/A,FALSE,"mgtsum.XLS";#N/A,#N/A,FALSE,"CAPONE";#N/A,#N/A,FALSE,"CAPTWO";#N/A,#N/A,FALSE,"CAPTHREE"}</definedName>
    <definedName name="jjj_1" hidden="1">{"form-D1",#N/A,FALSE,"FORM-D1";"form-D1_amt",#N/A,FALSE,"FORM-D1"}</definedName>
    <definedName name="jjj_2" hidden="1">{"form-D1",#N/A,FALSE,"FORM-D1";"form-D1_amt",#N/A,FALSE,"FORM-D1"}</definedName>
    <definedName name="jjj_3" hidden="1">{"form-D1",#N/A,FALSE,"FORM-D1";"form-D1_amt",#N/A,FALSE,"FORM-D1"}</definedName>
    <definedName name="jjjj" hidden="1">{#N/A,#N/A,FALSE,"müş_iç_ihz";#N/A,#N/A,FALSE,"müş_iç_er";#N/A,#N/A,FALSE,"müş_iç_tut"}</definedName>
    <definedName name="jjjjj" hidden="1">{#N/A,#N/A,FALSE,"sıh_iç_ihz";#N/A,#N/A,FALSE,"sıh_iç_er";#N/A,#N/A,FALSE,"sıh_iç_tut"}</definedName>
    <definedName name="jjjjjj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jjjjjj_1" hidden="1">{"form-D1",#N/A,FALSE,"FORM-D1";"form-D1_amt",#N/A,FALSE,"FORM-D1"}</definedName>
    <definedName name="jjjjjj_2" hidden="1">{"form-D1",#N/A,FALSE,"FORM-D1";"form-D1_amt",#N/A,FALSE,"FORM-D1"}</definedName>
    <definedName name="jjjjjj_3" hidden="1">{"form-D1",#N/A,FALSE,"FORM-D1";"form-D1_amt",#N/A,FALSE,"FORM-D1"}</definedName>
    <definedName name="jjjjjjjjj" hidden="1">{"form-D1",#N/A,FALSE,"FORM-D1";"form-D1_amt",#N/A,FALSE,"FORM-D1"}</definedName>
    <definedName name="jjjjjjjjj_1" hidden="1">{"form-D1",#N/A,FALSE,"FORM-D1";"form-D1_amt",#N/A,FALSE,"FORM-D1"}</definedName>
    <definedName name="jjjjjjjjj_2" hidden="1">{"form-D1",#N/A,FALSE,"FORM-D1";"form-D1_amt",#N/A,FALSE,"FORM-D1"}</definedName>
    <definedName name="jjjjjjjjj_3" hidden="1">{"form-D1",#N/A,FALSE,"FORM-D1";"form-D1_amt",#N/A,FALSE,"FORM-D1"}</definedName>
    <definedName name="jjjjjjjjjjjj" hidden="1">{"form-D1",#N/A,FALSE,"FORM-D1";"form-D1_amt",#N/A,FALSE,"FORM-D1"}</definedName>
    <definedName name="jjjjjjjjjjjj_1" hidden="1">{"form-D1",#N/A,FALSE,"FORM-D1";"form-D1_amt",#N/A,FALSE,"FORM-D1"}</definedName>
    <definedName name="jjjjjjjjjjjj_2" hidden="1">{"form-D1",#N/A,FALSE,"FORM-D1";"form-D1_amt",#N/A,FALSE,"FORM-D1"}</definedName>
    <definedName name="jjjjjjjjjjjj_3" hidden="1">{"form-D1",#N/A,FALSE,"FORM-D1";"form-D1_amt",#N/A,FALSE,"FORM-D1"}</definedName>
    <definedName name="jjjjjjjjjjjjjjj" hidden="1">{#N/A,#N/A,FALSE,"Çaykara ataköy (1)";#N/A,#N/A,FALSE,"Çaykara ataköy (2)";#N/A,#N/A,FALSE,"Rize Kalkandere ";#N/A,#N/A,FALSE,"meydancık";#N/A,#N/A,FALSE,"muratlı"}</definedName>
    <definedName name="jjjokio" hidden="1">255</definedName>
    <definedName name="JK" hidden="1">{#N/A,#N/A,FALSE,"MODULE3"}</definedName>
    <definedName name="jk.j.oi" hidden="1">{#N/A,#N/A,TRUE,"Cover";#N/A,#N/A,TRUE,"Conts";#N/A,#N/A,TRUE,"VOS";#N/A,#N/A,TRUE,"Warrington";#N/A,#N/A,TRUE,"Widnes"}</definedName>
    <definedName name="JK_1" hidden="1">{#N/A,#N/A,FALSE,"MODULE3"}</definedName>
    <definedName name="JK_2" hidden="1">{#N/A,#N/A,FALSE,"MODULE3"}</definedName>
    <definedName name="JK_3" hidden="1">{#N/A,#N/A,FALSE,"MODULE3"}</definedName>
    <definedName name="JKE" hidden="1">{#N/A,#N/A,FALSE,"CCTV"}</definedName>
    <definedName name="JK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JKGKJHK" hidden="1">{#N/A,#N/A,TRUE,"Cover";#N/A,#N/A,TRUE,"Conts";#N/A,#N/A,TRUE,"VOS";#N/A,#N/A,TRUE,"Warrington";#N/A,#N/A,TRUE,"Widnes"}</definedName>
    <definedName name="jkh" hidden="1">{#N/A,#N/A,FALSE,"Chi tiÆt"}</definedName>
    <definedName name="jkhjkhkj" hidden="1">{#VALUE!,#N/A,FALSE,0;#N/A,#N/A,FALSE,0;#N/A,#N/A,FALSE,0;#N/A,#N/A,FALSE,0;#N/A,#N/A,FALSE,0;#N/A,#N/A,FALSE,0;#N/A,#N/A,FALSE,0}</definedName>
    <definedName name="jkjk" hidden="1">{"'Sheet1'!$L$16"}</definedName>
    <definedName name="jkljljkl" hidden="1">{#N/A,#N/A,TRUE,"Cover";#N/A,#N/A,TRUE,"Conts";#N/A,#N/A,TRUE,"VOS";#N/A,#N/A,TRUE,"Warrington";#N/A,#N/A,TRUE,"Widnes"}</definedName>
    <definedName name="JKLKJLJK" hidden="1">{#VALUE!,#N/A,FALSE,0;#N/A,#N/A,FALSE,0;#N/A,#N/A,FALSE,0;#N/A,#N/A,FALSE,0;#N/A,#N/A,FALSE,0;#N/A,#N/A,FALSE,0;#N/A,#N/A,FALSE,0;#N/A,#N/A,FALSE,0;#N/A,#N/A,FALSE,0;#N/A,#N/A,FALSE,0;#N/A,#N/A,FALSE,0;#N/A,#N/A,FALSE,0}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u" hidden="1">#REF!,#REF!</definedName>
    <definedName name="jky" hidden="1">{#N/A,#N/A,TRUE,"Cover";#N/A,#N/A,TRUE,"Conts";#N/A,#N/A,TRUE,"VOS";#N/A,#N/A,TRUE,"Warrington";#N/A,#N/A,TRUE,"Widnes"}</definedName>
    <definedName name="jm">#REF!</definedName>
    <definedName name="JOAN">#REF!</definedName>
    <definedName name="JobID">#REF!</definedName>
    <definedName name="Joe" hidden="1">{#N/A,#N/A,FALSE,"Cover Page";#N/A,#N/A,FALSE,"Facing Page";#N/A,#N/A,FALSE,"Main Page";#N/A,#N/A,FALSE,"Risk-Adjusted";#N/A,#N/A,FALSE,"Profit Improvement"}</definedName>
    <definedName name="joh" hidden="1">#REF!</definedName>
    <definedName name="Joinery">#REF!</definedName>
    <definedName name="joseph">#REF!</definedName>
    <definedName name="JPY">#REF!</definedName>
    <definedName name="jty" hidden="1">#REF!,#REF!</definedName>
    <definedName name="jtyhjswjy" hidden="1">{#N/A,#N/A,TRUE,"Cover";#N/A,#N/A,TRUE,"Conts";#N/A,#N/A,TRUE,"VOS";#N/A,#N/A,TRUE,"Warrington";#N/A,#N/A,TRUE,"Widnes"}</definedName>
    <definedName name="j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juask" hidden="1">#REF!</definedName>
    <definedName name="juiyh.xl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uj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uuu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juyr" hidden="1">#REF!</definedName>
    <definedName name="jwsjkks" hidden="1">#REF!</definedName>
    <definedName name="jydkkde" hidden="1">#REF!</definedName>
    <definedName name="jyskdkklds" hidden="1">#REF!</definedName>
    <definedName name="jytfgh" hidden="1">#REF!</definedName>
    <definedName name="jyurf" hidden="1">#REF!</definedName>
    <definedName name="jyutrf" hidden="1">#REF!</definedName>
    <definedName name="K">#REF!</definedName>
    <definedName name="k.artışı" hidden="1">{#N/A,#N/A,FALSE,"Çaykara ataköy (1)";#N/A,#N/A,FALSE,"Çaykara ataköy (2)";#N/A,#N/A,FALSE,"Rize Kalkandere ";#N/A,#N/A,FALSE,"meydancık";#N/A,#N/A,FALSE,"muratlı"}</definedName>
    <definedName name="KA">#REF!</definedName>
    <definedName name="KALIP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m" hidden="1">#REF!</definedName>
    <definedName name="KAMAL" hidden="1">{"form-D1",#N/A,FALSE,"FORM-D1";"form-D1_amt",#N/A,FALSE,"FORM-D1"}</definedName>
    <definedName name="KAMAL_1" hidden="1">{"form-D1",#N/A,FALSE,"FORM-D1";"form-D1_amt",#N/A,FALSE,"FORM-D1"}</definedName>
    <definedName name="KAMAL_2" hidden="1">{"form-D1",#N/A,FALSE,"FORM-D1";"form-D1_amt",#N/A,FALSE,"FORM-D1"}</definedName>
    <definedName name="KAMAL_3" hidden="1">{"form-D1",#N/A,FALSE,"FORM-D1";"form-D1_amt",#N/A,FALSE,"FORM-D1"}</definedName>
    <definedName name="KAMALIK" hidden="1">{#N/A,#N/A,FALSE,"Çaykara ataköy (1)";#N/A,#N/A,FALSE,"Çaykara ataköy (2)";#N/A,#N/A,FALSE,"Rize Kalkandere ";#N/A,#N/A,FALSE,"meydancık";#N/A,#N/A,FALSE,"muratlı"}</definedName>
    <definedName name="kaml" hidden="1">{"form-D1",#N/A,FALSE,"FORM-D1";"form-D1_amt",#N/A,FALSE,"FORM-D1"}</definedName>
    <definedName name="kaml_1" hidden="1">{"form-D1",#N/A,FALSE,"FORM-D1";"form-D1_amt",#N/A,FALSE,"FORM-D1"}</definedName>
    <definedName name="kaml_2" hidden="1">{"form-D1",#N/A,FALSE,"FORM-D1";"form-D1_amt",#N/A,FALSE,"FORM-D1"}</definedName>
    <definedName name="kaml_3" hidden="1">{"form-D1",#N/A,FALSE,"FORM-D1";"form-D1_amt",#N/A,FALSE,"FORM-D1"}</definedName>
    <definedName name="kasdfjhd" hidden="1">{"'Typical Costs Estimates'!$C$158:$H$161"}</definedName>
    <definedName name="K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ay" hidden="1">{#N/A,#N/A,FALSE,"kal_iç_ihz";#N/A,#N/A,FALSE,"kal_iç_er";#N/A,#N/A,FALSE,"kal_iç_tut"}</definedName>
    <definedName name="kbg">#N/A</definedName>
    <definedName name="KCC">#REF!</definedName>
    <definedName name="keerioew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KFGS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KFHJFIH" hidden="1">#REF!</definedName>
    <definedName name="kghlgh" hidden="1">{#N/A,#N/A,FALSE,"CCTV"}</definedName>
    <definedName name="kgj" hidden="1">{#N/A,#N/A,FALSE,"MARCH"}</definedName>
    <definedName name="kgjfgjgj" hidden="1">{#N/A,#N/A,TRUE,"Cover";#N/A,#N/A,TRUE,"Conts";#N/A,#N/A,TRUE,"VOS";#N/A,#N/A,TRUE,"Warrington";#N/A,#N/A,TRUE,"Widnes"}</definedName>
    <definedName name="KHF" hidden="1">{"PLANNING",#N/A,FALSE,"A"}</definedName>
    <definedName name="khj" hidden="1">{"offequipsch",#N/A,FALSE,"GTC_Schedule";"onconstsch",#N/A,FALSE,"GTC_Schedule";"techsch",#N/A,FALSE,"GTC_Schedule";"totsch",#N/A,FALSE,"GTC_Schedule"}</definedName>
    <definedName name="khongtruotgia" hidden="1">{"'Sheet1'!$L$16"}</definedName>
    <definedName name="kı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id" hidden="1">#REF!</definedName>
    <definedName name="kij" hidden="1">{#N/A,#N/A,FALSE,"MARCH"}</definedName>
    <definedName name="KIL" hidden="1">{"PLANT BREAKUP",#N/A,FALSE,"E"}</definedName>
    <definedName name="kiulil" hidden="1">{#N/A,#N/A,FALSE,"CCTV"}</definedName>
    <definedName name="kj">#REF!</definedName>
    <definedName name="kjdgffds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kjh" hidden="1">{#N/A,#N/A,FALSE,"Chi tiÆt"}</definedName>
    <definedName name="kjhgf" hidden="1">{#N/A,#N/A,FALSE,"ihz. icmal";#N/A,#N/A,FALSE,"avans";#N/A,#N/A,FALSE,"mal_FF_icm";#N/A,#N/A,FALSE,"fat_ihz";#N/A,#N/A,FALSE,"söz_fiy_fark";#N/A,#N/A,FALSE,"kap2"}</definedName>
    <definedName name="kjhkhjkhjkjk" hidden="1">{#VALUE!,#N/A,FALSE,0;#N/A,#N/A,FALSE,0;#N/A,#N/A,FALSE,0;#N/A,#N/A,FALSE,0;#N/A,#N/A,FALSE,0;#N/A,#N/A,FALSE,0;#N/A,#N/A,FALSE,0;#N/A,#N/A,FALSE,0}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lh" hidden="1">{#N/A,#N/A,FALSE,"CCTV"}</definedName>
    <definedName name="kjhljhk" hidden="1">{#N/A,#N/A,FALSE,"CCTV"}</definedName>
    <definedName name="kjo" hidden="1">#REF!</definedName>
    <definedName name="kjuyf" hidden="1">#REF!</definedName>
    <definedName name="KK" hidden="1">{#N/A,#N/A,FALSE,"MODULE3"}</definedName>
    <definedName name="kkck" hidden="1">{#VALUE!,#N/A,TRUE,0;#N/A,#N/A,TRUE,0;#N/A,#N/A,TRUE,0;#N/A,#N/A,TRUE,0;#N/A,#N/A,TRUE,0;#N/A,#N/A,TRUE,0;#N/A,#N/A,TRUE,0}</definedName>
    <definedName name="KKK" hidden="1">{#N/A,#N/A,FALSE,"MODULE3"}</definedName>
    <definedName name="KKK_1" hidden="1">{#N/A,#N/A,FALSE,"MODULE3"}</definedName>
    <definedName name="KKK_2" hidden="1">{#N/A,#N/A,FALSE,"MODULE3"}</definedName>
    <definedName name="KKK_3" hidden="1">{#N/A,#N/A,FALSE,"MODULE3"}</definedName>
    <definedName name="kkkj" hidden="1">{#VALUE!,#N/A,FALSE,0;#N/A,#N/A,FALSE,0;#N/A,#N/A,FALSE,0;#N/A,#N/A,FALSE,0;#N/A,#N/A,FALSE,0;#N/A,#N/A,FALSE,0;#N/A,#N/A,FALSE,0;#N/A,#N/A,FALSE,0;#N/A,#N/A,FALSE,0;#N/A,#N/A,FALSE,0;#N/A,#N/A,FALSE,0;#N/A,#N/A,FALSE,0}</definedName>
    <definedName name="KKKK" hidden="1">{"ss",#N/A,FALSE,"MODULE3"}</definedName>
    <definedName name="kkkkk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KKKK_1" hidden="1">{"ss",#N/A,FALSE,"MODULE3"}</definedName>
    <definedName name="KKKKK_2" hidden="1">{"ss",#N/A,FALSE,"MODULE3"}</definedName>
    <definedName name="KKKKK_3" hidden="1">{"ss",#N/A,FALSE,"MODULE3"}</definedName>
    <definedName name="kkkkkk" hidden="1">#REF!</definedName>
    <definedName name="kkkkkkk" hidden="1">{"CASH FLOW",#N/A,FALSE,"A"}</definedName>
    <definedName name="KKKKKKKK" hidden="1">{#VALUE!,#N/A,TRUE,0;#N/A,#N/A,TRUE,0;#N/A,#N/A,TRUE,0;#N/A,#N/A,TRUE,0;#N/A,#N/A,TRUE,0;#N/A,#N/A,TRUE,0;#N/A,#N/A,TRUE,0}</definedName>
    <definedName name="klhjkjkkgj" hidden="1">{#VALUE!,#N/A,FALSE,0;#N/A,#N/A,FALSE,0;#N/A,#N/A,FALSE,0;#N/A,#N/A,FALSE,0;#N/A,#N/A,FALSE,0;#N/A,#N/A,FALSE,0;#N/A,#N/A,FALSE,0;#N/A,#N/A,FALSE,0;#N/A,#N/A,FALSE,0;#N/A,#N/A,FALSE,0;#N/A,#N/A,FALSE,0;#N/A,#N/A,FALSE,0}</definedName>
    <definedName name="KLICK">#REF!</definedName>
    <definedName name="KLIOU" hidden="1">#REF!</definedName>
    <definedName name="klıuy" hidden="1">#REF!</definedName>
    <definedName name="klm" hidden="1">#REF!</definedName>
    <definedName name="knjl" hidden="1">{"PLANT BREAKUP",#N/A,FALSE,"E"}</definedName>
    <definedName name="ko" hidden="1">#REF!</definedName>
    <definedName name="KÖ" hidden="1">{#N/A,#N/A,FALSE,"Çaykara ataköy (1)";#N/A,#N/A,FALSE,"Çaykara ataköy (2)";#N/A,#N/A,FALSE,"Rize Kalkandere ";#N/A,#N/A,FALSE,"meydancık";#N/A,#N/A,FALSE,"muratlı"}</definedName>
    <definedName name="kondapally" hidden="1">{"'Sheet1'!$A$4386:$N$4591"}</definedName>
    <definedName name="Kopy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öse" hidden="1">{#N/A,#N/A,FALSE,"Çaykara ataköy (1)";#N/A,#N/A,FALSE,"Çaykara ataköy (2)";#N/A,#N/A,FALSE,"Rize Kalkandere ";#N/A,#N/A,FALSE,"meydancık";#N/A,#N/A,FALSE,"muratlı"}</definedName>
    <definedName name="kp" hidden="1">#REF!</definedName>
    <definedName name="Krise" hidden="1">#REF!</definedName>
    <definedName name="kryk" hidden="1">{#N/A,#N/A,TRUE,"Cover";#N/A,#N/A,TRUE,"Conts";#N/A,#N/A,TRUE,"VOS";#N/A,#N/A,TRUE,"Warrington";#N/A,#N/A,TRUE,"Widnes"}</definedName>
    <definedName name="ks" hidden="1">{#N/A,#N/A,FALSE,"COVER.XLS";#N/A,#N/A,FALSE,"RACT1.XLS";#N/A,#N/A,FALSE,"RACT2.XLS";#N/A,#N/A,FALSE,"ECCMP";#N/A,#N/A,FALSE,"WELDER.XLS"}</definedName>
    <definedName name="ksbn" hidden="1">{"'Sheet1'!$L$16"}</definedName>
    <definedName name="kshn" hidden="1">{"'Sheet1'!$L$16"}</definedName>
    <definedName name="kskk" hidden="1">{#N/A,#N/A,FALSE,"COVER.XLS";#N/A,#N/A,FALSE,"RACT1.XLS";#N/A,#N/A,FALSE,"RACT2.XLS";#N/A,#N/A,FALSE,"ECCMP";#N/A,#N/A,FALSE,"WELDER.XLS"}</definedName>
    <definedName name="ksls" hidden="1">{"'Sheet1'!$L$16"}</definedName>
    <definedName name="ksy.99" hidden="1">{#N/A,#N/A,FALSE,"Çaykara ataköy (1)";#N/A,#N/A,FALSE,"Çaykara ataköy (2)";#N/A,#N/A,FALSE,"Rize Kalkandere ";#N/A,#N/A,FALSE,"meydancık";#N/A,#N/A,FALSE,"muratlı"}</definedName>
    <definedName name="ksy.sON" hidden="1">{#N/A,#N/A,FALSE,"Çaykara ataköy (1)";#N/A,#N/A,FALSE,"Çaykara ataköy (2)";#N/A,#N/A,FALSE,"Rize Kalkandere ";#N/A,#N/A,FALSE,"meydancık";#N/A,#N/A,FALSE,"muratlı"}</definedName>
    <definedName name="ktf" hidden="1">#REF!</definedName>
    <definedName name="kty" hidden="1">#REF!</definedName>
    <definedName name="kuıkuk" hidden="1">{#VALUE!,#N/A,TRUE,0;#N/A,#N/A,TRUE,0;#N/A,#N/A,TRUE,0;#N/A,#N/A,TRUE,0;#N/A,#N/A,TRUE,0;#N/A,#N/A,TRUE,0;#N/A,#N/A,TRUE,0}</definedName>
    <definedName name="kukuku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kump" hidden="1">#REF!</definedName>
    <definedName name="KurFarki">#REF!</definedName>
    <definedName name="Kutehr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kuytk" hidden="1">#REF!</definedName>
    <definedName name="kv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vv" hidden="1">{#N/A,#N/A,FALSE,"COVER.XLS";#N/A,#N/A,FALSE,"RACT1.XLS";#N/A,#N/A,FALSE,"RACT2.XLS";#N/A,#N/A,FALSE,"ECCMP";#N/A,#N/A,FALSE,"WELDER.XLS"}</definedName>
    <definedName name="KW">#N/A</definedName>
    <definedName name="KW_MULT">#N/A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KYSTH" hidden="1">{#N/A,#N/A,TRUE,"Cover";#N/A,#N/A,TRUE,"Conts";#N/A,#N/A,TRUE,"VOS";#N/A,#N/A,TRUE,"Warrington";#N/A,#N/A,TRUE,"Widnes"}</definedName>
    <definedName name="kyuıt" hidden="1">#REF!</definedName>
    <definedName name="kyut" hidden="1">#REF!,#REF!</definedName>
    <definedName name="L">#REF!</definedName>
    <definedName name="L.Prot_Tab">#REF!</definedName>
    <definedName name="L1_TAB">#REF!</definedName>
    <definedName name="L1_TAB_1">#REF!</definedName>
    <definedName name="L1_TAB_1_3">#N/A</definedName>
    <definedName name="L1_TAB_1_5">#N/A</definedName>
    <definedName name="L1_TAB_1_5_3">#N/A</definedName>
    <definedName name="L1_TAB_10">#REF!</definedName>
    <definedName name="L1_TAB_10_3">#N/A</definedName>
    <definedName name="L1_TAB_10_5">#N/A</definedName>
    <definedName name="L1_TAB_10_5_3">#N/A</definedName>
    <definedName name="L1_TAB_3">#N/A</definedName>
    <definedName name="L1_TAB_5_3">#N/A</definedName>
    <definedName name="L1_TAB_5_5">#N/A</definedName>
    <definedName name="L1_TAB_5_5_3">#N/A</definedName>
    <definedName name="L1_TAB_6">#REF!</definedName>
    <definedName name="L1_TAB_6_3">#N/A</definedName>
    <definedName name="L1_TAB_6_5">#REF!</definedName>
    <definedName name="L1_TAB_6_5_3">#N/A</definedName>
    <definedName name="L1_TAB_6_5_5">#N/A</definedName>
    <definedName name="L1_TAB_6_5_5_3">#N/A</definedName>
    <definedName name="L1_TAB_9">#REF!</definedName>
    <definedName name="L1_TAB_9_3">#N/A</definedName>
    <definedName name="L1_TAB_9_5">#N/A</definedName>
    <definedName name="L1_TAB_9_5_3">#N/A</definedName>
    <definedName name="L2_TAB">#REF!</definedName>
    <definedName name="L2_TAB_1">#REF!</definedName>
    <definedName name="L2_TAB_1_3">#N/A</definedName>
    <definedName name="L2_TAB_1_5">#N/A</definedName>
    <definedName name="L2_TAB_1_5_3">#N/A</definedName>
    <definedName name="L2_TAB_10">#REF!</definedName>
    <definedName name="L2_TAB_10_3">#N/A</definedName>
    <definedName name="L2_TAB_10_5">#N/A</definedName>
    <definedName name="L2_TAB_10_5_3">#N/A</definedName>
    <definedName name="L2_TAB_3">#N/A</definedName>
    <definedName name="L2_TAB_5_3">#N/A</definedName>
    <definedName name="L2_TAB_5_5">#N/A</definedName>
    <definedName name="L2_TAB_5_5_3">#N/A</definedName>
    <definedName name="L2_TAB_6">#REF!</definedName>
    <definedName name="L2_TAB_6_3">#N/A</definedName>
    <definedName name="L2_TAB_6_5">#REF!</definedName>
    <definedName name="L2_TAB_6_5_3">#N/A</definedName>
    <definedName name="L2_TAB_6_5_5">#N/A</definedName>
    <definedName name="L2_TAB_6_5_5_3">#N/A</definedName>
    <definedName name="L2_TAB_9">#REF!</definedName>
    <definedName name="L2_TAB_9_3">#N/A</definedName>
    <definedName name="L2_TAB_9_5">#N/A</definedName>
    <definedName name="L2_TAB_9_5_3">#N/A</definedName>
    <definedName name="L3_TAB">#REF!</definedName>
    <definedName name="L3_TAB_1">#REF!</definedName>
    <definedName name="L3_TAB_1_3">#N/A</definedName>
    <definedName name="L3_TAB_1_5">#N/A</definedName>
    <definedName name="L3_TAB_1_5_3">#N/A</definedName>
    <definedName name="L3_TAB_10">#REF!</definedName>
    <definedName name="L3_TAB_10_3">#N/A</definedName>
    <definedName name="L3_TAB_10_5">#N/A</definedName>
    <definedName name="L3_TAB_10_5_3">#N/A</definedName>
    <definedName name="L3_TAB_3">#N/A</definedName>
    <definedName name="L3_TAB_5_3">#N/A</definedName>
    <definedName name="L3_TAB_5_5">#N/A</definedName>
    <definedName name="L3_TAB_5_5_3">#N/A</definedName>
    <definedName name="L3_TAB_6">#REF!</definedName>
    <definedName name="L3_TAB_6_3">#N/A</definedName>
    <definedName name="L3_TAB_6_5">#REF!</definedName>
    <definedName name="L3_TAB_6_5_3">#N/A</definedName>
    <definedName name="L3_TAB_6_5_5">#N/A</definedName>
    <definedName name="L3_TAB_6_5_5_3">#N/A</definedName>
    <definedName name="L3_TAB_9">#REF!</definedName>
    <definedName name="L3_TAB_9_3">#N/A</definedName>
    <definedName name="L3_TAB_9_5">#N/A</definedName>
    <definedName name="L3_TAB_9_5_3">#N/A</definedName>
    <definedName name="L4_TAB">#REF!</definedName>
    <definedName name="L4_TAB_1">#REF!</definedName>
    <definedName name="L4_TAB_1_3">#N/A</definedName>
    <definedName name="L4_TAB_1_5">#N/A</definedName>
    <definedName name="L4_TAB_1_5_3">#N/A</definedName>
    <definedName name="L4_TAB_10">#REF!</definedName>
    <definedName name="L4_TAB_10_3">#N/A</definedName>
    <definedName name="L4_TAB_10_5">#N/A</definedName>
    <definedName name="L4_TAB_10_5_3">#N/A</definedName>
    <definedName name="L4_TAB_3">#N/A</definedName>
    <definedName name="L4_TAB_5_3">#N/A</definedName>
    <definedName name="L4_TAB_5_5">#N/A</definedName>
    <definedName name="L4_TAB_5_5_3">#N/A</definedName>
    <definedName name="L4_TAB_6">#REF!</definedName>
    <definedName name="L4_TAB_6_3">#N/A</definedName>
    <definedName name="L4_TAB_6_5">#REF!</definedName>
    <definedName name="L4_TAB_6_5_3">#N/A</definedName>
    <definedName name="L4_TAB_6_5_5">#N/A</definedName>
    <definedName name="L4_TAB_6_5_5_3">#N/A</definedName>
    <definedName name="L4_TAB_9">#REF!</definedName>
    <definedName name="L4_TAB_9_3">#N/A</definedName>
    <definedName name="L4_TAB_9_5">#N/A</definedName>
    <definedName name="L4_TAB_9_5_3">#N/A</definedName>
    <definedName name="la" hidden="1">#REF!</definedName>
    <definedName name="LAB">#REF!</definedName>
    <definedName name="Lab_Misc">30%</definedName>
    <definedName name="LabFac">1</definedName>
    <definedName name="LAGI" hidden="1">#REF!</definedName>
    <definedName name="lama" hidden="1">#REF!</definedName>
    <definedName name="Landscaping">#REF!</definedName>
    <definedName name="langson" hidden="1">{"'Sheet1'!$L$16"}</definedName>
    <definedName name="LAUNV">#REF!</definedName>
    <definedName name="Layout">#REF!</definedName>
    <definedName name="LC">#REF!</definedName>
    <definedName name="LD">#REF!</definedName>
    <definedName name="ldfgklgkdfg" hidden="1">#REF!</definedName>
    <definedName name="LeanConcrete">#REF!</definedName>
    <definedName name="lef">#REF!</definedName>
    <definedName name="lel">#REF!</definedName>
    <definedName name="less_eq">#REF!</definedName>
    <definedName name="level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fT">#REF!</definedName>
    <definedName name="LGD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lgoguliu" hidden="1">{#N/A,#N/A,TRUE,"Cover";#N/A,#N/A,TRUE,"Conts";#N/A,#N/A,TRUE,"VOS";#N/A,#N/A,TRUE,"Warrington";#N/A,#N/A,TRUE,"Widnes"}</definedName>
    <definedName name="Lighting_cost">#REF!</definedName>
    <definedName name="Lighting_Tab">#REF!</definedName>
    <definedName name="lıjk" hidden="1">#REF!</definedName>
    <definedName name="lıljkghjghj" hidden="1">{#VALUE!,#N/A,FALSE,0;#N/A,#N/A,FALSE,0;#N/A,#N/A,FALSE,0;#N/A,#N/A,FALSE,0;#N/A,#N/A,FALSE,0;#N/A,#N/A,FALSE,0;#N/A,#N/A,FALSE,0;#N/A,#N/A,FALSE,0}</definedName>
    <definedName name="limcount" hidden="1">1</definedName>
    <definedName name="LINE1">#N/A</definedName>
    <definedName name="LINE3">#N/A</definedName>
    <definedName name="LINE5">#N/A</definedName>
    <definedName name="LINE6">#N/A</definedName>
    <definedName name="LINE7">#N/A</definedName>
    <definedName name="LINE8">#N/A</definedName>
    <definedName name="LINE9">#N/A</definedName>
    <definedName name="Link">#REF!</definedName>
    <definedName name="Link1">#REF!</definedName>
    <definedName name="Link2">#REF!</definedName>
    <definedName name="Lipat">#REF!</definedName>
    <definedName name="Liquidity_Risk">#REF!</definedName>
    <definedName name="list" hidden="1">{#N/A,#N/A,TRUE,"Basic";#N/A,#N/A,TRUE,"EXT-TABLE";#N/A,#N/A,TRUE,"STEEL";#N/A,#N/A,TRUE,"INT-Table";#N/A,#N/A,TRUE,"STEEL";#N/A,#N/A,TRUE,"Door"}</definedName>
    <definedName name="list01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jcb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ljkㅏㅎ" hidden="1">{#N/A,#N/A,FALSE,"2~8번"}</definedName>
    <definedName name="lk" localSheetId="1" hidden="1">{#N/A,#N/A,FALSE,"mgtsum.XLS";#N/A,#N/A,FALSE,"CAPONE";#N/A,#N/A,FALSE,"CAPTWO";#N/A,#N/A,FALSE,"CAPTHREE"}</definedName>
    <definedName name="lk" hidden="1">{#N/A,#N/A,FALSE,"mgtsum.XLS";#N/A,#N/A,FALSE,"CAPONE";#N/A,#N/A,FALSE,"CAPTWO";#N/A,#N/A,FALSE,"CAPTHREE"}</definedName>
    <definedName name="lk_1" hidden="1">{#N/A,#N/A,FALSE,"mgtsum.XLS";#N/A,#N/A,FALSE,"CAPONE";#N/A,#N/A,FALSE,"CAPTWO";#N/A,#N/A,FALSE,"CAPTHREE"}</definedName>
    <definedName name="lk_1_1" hidden="1">{#N/A,#N/A,FALSE,"mgtsum.XLS";#N/A,#N/A,FALSE,"CAPONE";#N/A,#N/A,FALSE,"CAPTWO";#N/A,#N/A,FALSE,"CAPTHREE"}</definedName>
    <definedName name="lk_1_1_1" hidden="1">{#N/A,#N/A,FALSE,"mgtsum.XLS";#N/A,#N/A,FALSE,"CAPONE";#N/A,#N/A,FALSE,"CAPTWO";#N/A,#N/A,FALSE,"CAPTHREE"}</definedName>
    <definedName name="lk_1_1_1_1" hidden="1">{#N/A,#N/A,FALSE,"mgtsum.XLS";#N/A,#N/A,FALSE,"CAPONE";#N/A,#N/A,FALSE,"CAPTWO";#N/A,#N/A,FALSE,"CAPTHREE"}</definedName>
    <definedName name="lk_1_1_1_2" hidden="1">{#N/A,#N/A,FALSE,"mgtsum.XLS";#N/A,#N/A,FALSE,"CAPONE";#N/A,#N/A,FALSE,"CAPTWO";#N/A,#N/A,FALSE,"CAPTHREE"}</definedName>
    <definedName name="lk_1_1_1_3" hidden="1">{#N/A,#N/A,FALSE,"mgtsum.XLS";#N/A,#N/A,FALSE,"CAPONE";#N/A,#N/A,FALSE,"CAPTWO";#N/A,#N/A,FALSE,"CAPTHREE"}</definedName>
    <definedName name="lk_1_1_1_4" hidden="1">{#N/A,#N/A,FALSE,"mgtsum.XLS";#N/A,#N/A,FALSE,"CAPONE";#N/A,#N/A,FALSE,"CAPTWO";#N/A,#N/A,FALSE,"CAPTHREE"}</definedName>
    <definedName name="lk_1_1_1_5" hidden="1">{#N/A,#N/A,FALSE,"mgtsum.XLS";#N/A,#N/A,FALSE,"CAPONE";#N/A,#N/A,FALSE,"CAPTWO";#N/A,#N/A,FALSE,"CAPTHREE"}</definedName>
    <definedName name="lk_1_1_2" hidden="1">{#N/A,#N/A,FALSE,"mgtsum.XLS";#N/A,#N/A,FALSE,"CAPONE";#N/A,#N/A,FALSE,"CAPTWO";#N/A,#N/A,FALSE,"CAPTHREE"}</definedName>
    <definedName name="lk_1_1_2_1" hidden="1">{#N/A,#N/A,FALSE,"mgtsum.XLS";#N/A,#N/A,FALSE,"CAPONE";#N/A,#N/A,FALSE,"CAPTWO";#N/A,#N/A,FALSE,"CAPTHREE"}</definedName>
    <definedName name="lk_1_1_2_2" hidden="1">{#N/A,#N/A,FALSE,"mgtsum.XLS";#N/A,#N/A,FALSE,"CAPONE";#N/A,#N/A,FALSE,"CAPTWO";#N/A,#N/A,FALSE,"CAPTHREE"}</definedName>
    <definedName name="lk_1_1_2_3" hidden="1">{#N/A,#N/A,FALSE,"mgtsum.XLS";#N/A,#N/A,FALSE,"CAPONE";#N/A,#N/A,FALSE,"CAPTWO";#N/A,#N/A,FALSE,"CAPTHREE"}</definedName>
    <definedName name="lk_1_1_2_4" hidden="1">{#N/A,#N/A,FALSE,"mgtsum.XLS";#N/A,#N/A,FALSE,"CAPONE";#N/A,#N/A,FALSE,"CAPTWO";#N/A,#N/A,FALSE,"CAPTHREE"}</definedName>
    <definedName name="lk_1_1_2_5" hidden="1">{#N/A,#N/A,FALSE,"mgtsum.XLS";#N/A,#N/A,FALSE,"CAPONE";#N/A,#N/A,FALSE,"CAPTWO";#N/A,#N/A,FALSE,"CAPTHREE"}</definedName>
    <definedName name="lk_1_1_3" hidden="1">{#N/A,#N/A,FALSE,"mgtsum.XLS";#N/A,#N/A,FALSE,"CAPONE";#N/A,#N/A,FALSE,"CAPTWO";#N/A,#N/A,FALSE,"CAPTHREE"}</definedName>
    <definedName name="lk_1_1_3_1" hidden="1">{#N/A,#N/A,FALSE,"mgtsum.XLS";#N/A,#N/A,FALSE,"CAPONE";#N/A,#N/A,FALSE,"CAPTWO";#N/A,#N/A,FALSE,"CAPTHREE"}</definedName>
    <definedName name="lk_1_1_3_2" hidden="1">{#N/A,#N/A,FALSE,"mgtsum.XLS";#N/A,#N/A,FALSE,"CAPONE";#N/A,#N/A,FALSE,"CAPTWO";#N/A,#N/A,FALSE,"CAPTHREE"}</definedName>
    <definedName name="lk_1_1_3_3" hidden="1">{#N/A,#N/A,FALSE,"mgtsum.XLS";#N/A,#N/A,FALSE,"CAPONE";#N/A,#N/A,FALSE,"CAPTWO";#N/A,#N/A,FALSE,"CAPTHREE"}</definedName>
    <definedName name="lk_1_1_3_4" hidden="1">{#N/A,#N/A,FALSE,"mgtsum.XLS";#N/A,#N/A,FALSE,"CAPONE";#N/A,#N/A,FALSE,"CAPTWO";#N/A,#N/A,FALSE,"CAPTHREE"}</definedName>
    <definedName name="lk_1_1_3_5" hidden="1">{#N/A,#N/A,FALSE,"mgtsum.XLS";#N/A,#N/A,FALSE,"CAPONE";#N/A,#N/A,FALSE,"CAPTWO";#N/A,#N/A,FALSE,"CAPTHREE"}</definedName>
    <definedName name="lk_1_1_4" hidden="1">{#N/A,#N/A,FALSE,"mgtsum.XLS";#N/A,#N/A,FALSE,"CAPONE";#N/A,#N/A,FALSE,"CAPTWO";#N/A,#N/A,FALSE,"CAPTHREE"}</definedName>
    <definedName name="lk_1_1_5" hidden="1">{#N/A,#N/A,FALSE,"mgtsum.XLS";#N/A,#N/A,FALSE,"CAPONE";#N/A,#N/A,FALSE,"CAPTWO";#N/A,#N/A,FALSE,"CAPTHREE"}</definedName>
    <definedName name="lk_1_2" hidden="1">{#N/A,#N/A,FALSE,"mgtsum.XLS";#N/A,#N/A,FALSE,"CAPONE";#N/A,#N/A,FALSE,"CAPTWO";#N/A,#N/A,FALSE,"CAPTHREE"}</definedName>
    <definedName name="lk_1_2_1" hidden="1">{#N/A,#N/A,FALSE,"mgtsum.XLS";#N/A,#N/A,FALSE,"CAPONE";#N/A,#N/A,FALSE,"CAPTWO";#N/A,#N/A,FALSE,"CAPTHREE"}</definedName>
    <definedName name="lk_1_2_1_1" hidden="1">{#N/A,#N/A,FALSE,"mgtsum.XLS";#N/A,#N/A,FALSE,"CAPONE";#N/A,#N/A,FALSE,"CAPTWO";#N/A,#N/A,FALSE,"CAPTHREE"}</definedName>
    <definedName name="lk_1_2_1_2" hidden="1">{#N/A,#N/A,FALSE,"mgtsum.XLS";#N/A,#N/A,FALSE,"CAPONE";#N/A,#N/A,FALSE,"CAPTWO";#N/A,#N/A,FALSE,"CAPTHREE"}</definedName>
    <definedName name="lk_1_2_1_3" hidden="1">{#N/A,#N/A,FALSE,"mgtsum.XLS";#N/A,#N/A,FALSE,"CAPONE";#N/A,#N/A,FALSE,"CAPTWO";#N/A,#N/A,FALSE,"CAPTHREE"}</definedName>
    <definedName name="lk_1_2_1_4" hidden="1">{#N/A,#N/A,FALSE,"mgtsum.XLS";#N/A,#N/A,FALSE,"CAPONE";#N/A,#N/A,FALSE,"CAPTWO";#N/A,#N/A,FALSE,"CAPTHREE"}</definedName>
    <definedName name="lk_1_2_1_5" hidden="1">{#N/A,#N/A,FALSE,"mgtsum.XLS";#N/A,#N/A,FALSE,"CAPONE";#N/A,#N/A,FALSE,"CAPTWO";#N/A,#N/A,FALSE,"CAPTHREE"}</definedName>
    <definedName name="lk_1_2_2" hidden="1">{#N/A,#N/A,FALSE,"mgtsum.XLS";#N/A,#N/A,FALSE,"CAPONE";#N/A,#N/A,FALSE,"CAPTWO";#N/A,#N/A,FALSE,"CAPTHREE"}</definedName>
    <definedName name="lk_1_2_2_1" hidden="1">{#N/A,#N/A,FALSE,"mgtsum.XLS";#N/A,#N/A,FALSE,"CAPONE";#N/A,#N/A,FALSE,"CAPTWO";#N/A,#N/A,FALSE,"CAPTHREE"}</definedName>
    <definedName name="lk_1_2_2_2" hidden="1">{#N/A,#N/A,FALSE,"mgtsum.XLS";#N/A,#N/A,FALSE,"CAPONE";#N/A,#N/A,FALSE,"CAPTWO";#N/A,#N/A,FALSE,"CAPTHREE"}</definedName>
    <definedName name="lk_1_2_2_3" hidden="1">{#N/A,#N/A,FALSE,"mgtsum.XLS";#N/A,#N/A,FALSE,"CAPONE";#N/A,#N/A,FALSE,"CAPTWO";#N/A,#N/A,FALSE,"CAPTHREE"}</definedName>
    <definedName name="lk_1_2_2_4" hidden="1">{#N/A,#N/A,FALSE,"mgtsum.XLS";#N/A,#N/A,FALSE,"CAPONE";#N/A,#N/A,FALSE,"CAPTWO";#N/A,#N/A,FALSE,"CAPTHREE"}</definedName>
    <definedName name="lk_1_2_2_5" hidden="1">{#N/A,#N/A,FALSE,"mgtsum.XLS";#N/A,#N/A,FALSE,"CAPONE";#N/A,#N/A,FALSE,"CAPTWO";#N/A,#N/A,FALSE,"CAPTHREE"}</definedName>
    <definedName name="lk_1_2_3" hidden="1">{#N/A,#N/A,FALSE,"mgtsum.XLS";#N/A,#N/A,FALSE,"CAPONE";#N/A,#N/A,FALSE,"CAPTWO";#N/A,#N/A,FALSE,"CAPTHREE"}</definedName>
    <definedName name="lk_1_2_4" hidden="1">{#N/A,#N/A,FALSE,"mgtsum.XLS";#N/A,#N/A,FALSE,"CAPONE";#N/A,#N/A,FALSE,"CAPTWO";#N/A,#N/A,FALSE,"CAPTHREE"}</definedName>
    <definedName name="lk_1_2_5" hidden="1">{#N/A,#N/A,FALSE,"mgtsum.XLS";#N/A,#N/A,FALSE,"CAPONE";#N/A,#N/A,FALSE,"CAPTWO";#N/A,#N/A,FALSE,"CAPTHREE"}</definedName>
    <definedName name="lk_1_3" hidden="1">{#N/A,#N/A,FALSE,"mgtsum.XLS";#N/A,#N/A,FALSE,"CAPONE";#N/A,#N/A,FALSE,"CAPTWO";#N/A,#N/A,FALSE,"CAPTHREE"}</definedName>
    <definedName name="lk_1_3_1" hidden="1">{#N/A,#N/A,FALSE,"mgtsum.XLS";#N/A,#N/A,FALSE,"CAPONE";#N/A,#N/A,FALSE,"CAPTWO";#N/A,#N/A,FALSE,"CAPTHREE"}</definedName>
    <definedName name="lk_1_3_1_1" hidden="1">{#N/A,#N/A,FALSE,"mgtsum.XLS";#N/A,#N/A,FALSE,"CAPONE";#N/A,#N/A,FALSE,"CAPTWO";#N/A,#N/A,FALSE,"CAPTHREE"}</definedName>
    <definedName name="lk_1_3_1_2" hidden="1">{#N/A,#N/A,FALSE,"mgtsum.XLS";#N/A,#N/A,FALSE,"CAPONE";#N/A,#N/A,FALSE,"CAPTWO";#N/A,#N/A,FALSE,"CAPTHREE"}</definedName>
    <definedName name="lk_1_3_1_3" hidden="1">{#N/A,#N/A,FALSE,"mgtsum.XLS";#N/A,#N/A,FALSE,"CAPONE";#N/A,#N/A,FALSE,"CAPTWO";#N/A,#N/A,FALSE,"CAPTHREE"}</definedName>
    <definedName name="lk_1_3_1_4" hidden="1">{#N/A,#N/A,FALSE,"mgtsum.XLS";#N/A,#N/A,FALSE,"CAPONE";#N/A,#N/A,FALSE,"CAPTWO";#N/A,#N/A,FALSE,"CAPTHREE"}</definedName>
    <definedName name="lk_1_3_1_5" hidden="1">{#N/A,#N/A,FALSE,"mgtsum.XLS";#N/A,#N/A,FALSE,"CAPONE";#N/A,#N/A,FALSE,"CAPTWO";#N/A,#N/A,FALSE,"CAPTHREE"}</definedName>
    <definedName name="lk_1_3_2" hidden="1">{#N/A,#N/A,FALSE,"mgtsum.XLS";#N/A,#N/A,FALSE,"CAPONE";#N/A,#N/A,FALSE,"CAPTWO";#N/A,#N/A,FALSE,"CAPTHREE"}</definedName>
    <definedName name="lk_1_3_2_1" hidden="1">{#N/A,#N/A,FALSE,"mgtsum.XLS";#N/A,#N/A,FALSE,"CAPONE";#N/A,#N/A,FALSE,"CAPTWO";#N/A,#N/A,FALSE,"CAPTHREE"}</definedName>
    <definedName name="lk_1_3_2_2" hidden="1">{#N/A,#N/A,FALSE,"mgtsum.XLS";#N/A,#N/A,FALSE,"CAPONE";#N/A,#N/A,FALSE,"CAPTWO";#N/A,#N/A,FALSE,"CAPTHREE"}</definedName>
    <definedName name="lk_1_3_2_3" hidden="1">{#N/A,#N/A,FALSE,"mgtsum.XLS";#N/A,#N/A,FALSE,"CAPONE";#N/A,#N/A,FALSE,"CAPTWO";#N/A,#N/A,FALSE,"CAPTHREE"}</definedName>
    <definedName name="lk_1_3_2_4" hidden="1">{#N/A,#N/A,FALSE,"mgtsum.XLS";#N/A,#N/A,FALSE,"CAPONE";#N/A,#N/A,FALSE,"CAPTWO";#N/A,#N/A,FALSE,"CAPTHREE"}</definedName>
    <definedName name="lk_1_3_2_5" hidden="1">{#N/A,#N/A,FALSE,"mgtsum.XLS";#N/A,#N/A,FALSE,"CAPONE";#N/A,#N/A,FALSE,"CAPTWO";#N/A,#N/A,FALSE,"CAPTHREE"}</definedName>
    <definedName name="lk_1_3_3" hidden="1">{#N/A,#N/A,FALSE,"mgtsum.XLS";#N/A,#N/A,FALSE,"CAPONE";#N/A,#N/A,FALSE,"CAPTWO";#N/A,#N/A,FALSE,"CAPTHREE"}</definedName>
    <definedName name="lk_1_3_4" hidden="1">{#N/A,#N/A,FALSE,"mgtsum.XLS";#N/A,#N/A,FALSE,"CAPONE";#N/A,#N/A,FALSE,"CAPTWO";#N/A,#N/A,FALSE,"CAPTHREE"}</definedName>
    <definedName name="lk_1_3_5" hidden="1">{#N/A,#N/A,FALSE,"mgtsum.XLS";#N/A,#N/A,FALSE,"CAPONE";#N/A,#N/A,FALSE,"CAPTWO";#N/A,#N/A,FALSE,"CAPTHREE"}</definedName>
    <definedName name="lk_1_4" hidden="1">{#N/A,#N/A,FALSE,"mgtsum.XLS";#N/A,#N/A,FALSE,"CAPONE";#N/A,#N/A,FALSE,"CAPTWO";#N/A,#N/A,FALSE,"CAPTHREE"}</definedName>
    <definedName name="lk_1_4_1" hidden="1">{#N/A,#N/A,FALSE,"mgtsum.XLS";#N/A,#N/A,FALSE,"CAPONE";#N/A,#N/A,FALSE,"CAPTWO";#N/A,#N/A,FALSE,"CAPTHREE"}</definedName>
    <definedName name="lk_1_4_1_1" hidden="1">{#N/A,#N/A,FALSE,"mgtsum.XLS";#N/A,#N/A,FALSE,"CAPONE";#N/A,#N/A,FALSE,"CAPTWO";#N/A,#N/A,FALSE,"CAPTHREE"}</definedName>
    <definedName name="lk_1_4_1_2" hidden="1">{#N/A,#N/A,FALSE,"mgtsum.XLS";#N/A,#N/A,FALSE,"CAPONE";#N/A,#N/A,FALSE,"CAPTWO";#N/A,#N/A,FALSE,"CAPTHREE"}</definedName>
    <definedName name="lk_1_4_1_3" hidden="1">{#N/A,#N/A,FALSE,"mgtsum.XLS";#N/A,#N/A,FALSE,"CAPONE";#N/A,#N/A,FALSE,"CAPTWO";#N/A,#N/A,FALSE,"CAPTHREE"}</definedName>
    <definedName name="lk_1_4_1_4" hidden="1">{#N/A,#N/A,FALSE,"mgtsum.XLS";#N/A,#N/A,FALSE,"CAPONE";#N/A,#N/A,FALSE,"CAPTWO";#N/A,#N/A,FALSE,"CAPTHREE"}</definedName>
    <definedName name="lk_1_4_1_5" hidden="1">{#N/A,#N/A,FALSE,"mgtsum.XLS";#N/A,#N/A,FALSE,"CAPONE";#N/A,#N/A,FALSE,"CAPTWO";#N/A,#N/A,FALSE,"CAPTHREE"}</definedName>
    <definedName name="lk_1_4_2" hidden="1">{#N/A,#N/A,FALSE,"mgtsum.XLS";#N/A,#N/A,FALSE,"CAPONE";#N/A,#N/A,FALSE,"CAPTWO";#N/A,#N/A,FALSE,"CAPTHREE"}</definedName>
    <definedName name="lk_1_4_2_1" hidden="1">{#N/A,#N/A,FALSE,"mgtsum.XLS";#N/A,#N/A,FALSE,"CAPONE";#N/A,#N/A,FALSE,"CAPTWO";#N/A,#N/A,FALSE,"CAPTHREE"}</definedName>
    <definedName name="lk_1_4_2_2" hidden="1">{#N/A,#N/A,FALSE,"mgtsum.XLS";#N/A,#N/A,FALSE,"CAPONE";#N/A,#N/A,FALSE,"CAPTWO";#N/A,#N/A,FALSE,"CAPTHREE"}</definedName>
    <definedName name="lk_1_4_2_3" hidden="1">{#N/A,#N/A,FALSE,"mgtsum.XLS";#N/A,#N/A,FALSE,"CAPONE";#N/A,#N/A,FALSE,"CAPTWO";#N/A,#N/A,FALSE,"CAPTHREE"}</definedName>
    <definedName name="lk_1_4_2_4" hidden="1">{#N/A,#N/A,FALSE,"mgtsum.XLS";#N/A,#N/A,FALSE,"CAPONE";#N/A,#N/A,FALSE,"CAPTWO";#N/A,#N/A,FALSE,"CAPTHREE"}</definedName>
    <definedName name="lk_1_4_2_5" hidden="1">{#N/A,#N/A,FALSE,"mgtsum.XLS";#N/A,#N/A,FALSE,"CAPONE";#N/A,#N/A,FALSE,"CAPTWO";#N/A,#N/A,FALSE,"CAPTHREE"}</definedName>
    <definedName name="lk_1_4_3" hidden="1">{#N/A,#N/A,FALSE,"mgtsum.XLS";#N/A,#N/A,FALSE,"CAPONE";#N/A,#N/A,FALSE,"CAPTWO";#N/A,#N/A,FALSE,"CAPTHREE"}</definedName>
    <definedName name="lk_1_4_4" hidden="1">{#N/A,#N/A,FALSE,"mgtsum.XLS";#N/A,#N/A,FALSE,"CAPONE";#N/A,#N/A,FALSE,"CAPTWO";#N/A,#N/A,FALSE,"CAPTHREE"}</definedName>
    <definedName name="lk_1_4_5" hidden="1">{#N/A,#N/A,FALSE,"mgtsum.XLS";#N/A,#N/A,FALSE,"CAPONE";#N/A,#N/A,FALSE,"CAPTWO";#N/A,#N/A,FALSE,"CAPTHREE"}</definedName>
    <definedName name="lk_1_5" hidden="1">{#N/A,#N/A,FALSE,"mgtsum.XLS";#N/A,#N/A,FALSE,"CAPONE";#N/A,#N/A,FALSE,"CAPTWO";#N/A,#N/A,FALSE,"CAPTHREE"}</definedName>
    <definedName name="lk_1_5_1" hidden="1">{#N/A,#N/A,FALSE,"mgtsum.XLS";#N/A,#N/A,FALSE,"CAPONE";#N/A,#N/A,FALSE,"CAPTWO";#N/A,#N/A,FALSE,"CAPTHREE"}</definedName>
    <definedName name="lk_1_5_1_1" hidden="1">{#N/A,#N/A,FALSE,"mgtsum.XLS";#N/A,#N/A,FALSE,"CAPONE";#N/A,#N/A,FALSE,"CAPTWO";#N/A,#N/A,FALSE,"CAPTHREE"}</definedName>
    <definedName name="lk_1_5_1_2" hidden="1">{#N/A,#N/A,FALSE,"mgtsum.XLS";#N/A,#N/A,FALSE,"CAPONE";#N/A,#N/A,FALSE,"CAPTWO";#N/A,#N/A,FALSE,"CAPTHREE"}</definedName>
    <definedName name="lk_1_5_1_3" hidden="1">{#N/A,#N/A,FALSE,"mgtsum.XLS";#N/A,#N/A,FALSE,"CAPONE";#N/A,#N/A,FALSE,"CAPTWO";#N/A,#N/A,FALSE,"CAPTHREE"}</definedName>
    <definedName name="lk_1_5_1_4" hidden="1">{#N/A,#N/A,FALSE,"mgtsum.XLS";#N/A,#N/A,FALSE,"CAPONE";#N/A,#N/A,FALSE,"CAPTWO";#N/A,#N/A,FALSE,"CAPTHREE"}</definedName>
    <definedName name="lk_1_5_1_5" hidden="1">{#N/A,#N/A,FALSE,"mgtsum.XLS";#N/A,#N/A,FALSE,"CAPONE";#N/A,#N/A,FALSE,"CAPTWO";#N/A,#N/A,FALSE,"CAPTHREE"}</definedName>
    <definedName name="lk_1_5_2" hidden="1">{#N/A,#N/A,FALSE,"mgtsum.XLS";#N/A,#N/A,FALSE,"CAPONE";#N/A,#N/A,FALSE,"CAPTWO";#N/A,#N/A,FALSE,"CAPTHREE"}</definedName>
    <definedName name="lk_1_5_2_1" hidden="1">{#N/A,#N/A,FALSE,"mgtsum.XLS";#N/A,#N/A,FALSE,"CAPONE";#N/A,#N/A,FALSE,"CAPTWO";#N/A,#N/A,FALSE,"CAPTHREE"}</definedName>
    <definedName name="lk_1_5_2_2" hidden="1">{#N/A,#N/A,FALSE,"mgtsum.XLS";#N/A,#N/A,FALSE,"CAPONE";#N/A,#N/A,FALSE,"CAPTWO";#N/A,#N/A,FALSE,"CAPTHREE"}</definedName>
    <definedName name="lk_1_5_2_3" hidden="1">{#N/A,#N/A,FALSE,"mgtsum.XLS";#N/A,#N/A,FALSE,"CAPONE";#N/A,#N/A,FALSE,"CAPTWO";#N/A,#N/A,FALSE,"CAPTHREE"}</definedName>
    <definedName name="lk_1_5_2_4" hidden="1">{#N/A,#N/A,FALSE,"mgtsum.XLS";#N/A,#N/A,FALSE,"CAPONE";#N/A,#N/A,FALSE,"CAPTWO";#N/A,#N/A,FALSE,"CAPTHREE"}</definedName>
    <definedName name="lk_1_5_2_5" hidden="1">{#N/A,#N/A,FALSE,"mgtsum.XLS";#N/A,#N/A,FALSE,"CAPONE";#N/A,#N/A,FALSE,"CAPTWO";#N/A,#N/A,FALSE,"CAPTHREE"}</definedName>
    <definedName name="lk_1_5_3" hidden="1">{#N/A,#N/A,FALSE,"mgtsum.XLS";#N/A,#N/A,FALSE,"CAPONE";#N/A,#N/A,FALSE,"CAPTWO";#N/A,#N/A,FALSE,"CAPTHREE"}</definedName>
    <definedName name="lk_1_5_4" hidden="1">{#N/A,#N/A,FALSE,"mgtsum.XLS";#N/A,#N/A,FALSE,"CAPONE";#N/A,#N/A,FALSE,"CAPTWO";#N/A,#N/A,FALSE,"CAPTHREE"}</definedName>
    <definedName name="lk_1_5_5" hidden="1">{#N/A,#N/A,FALSE,"mgtsum.XLS";#N/A,#N/A,FALSE,"CAPONE";#N/A,#N/A,FALSE,"CAPTWO";#N/A,#N/A,FALSE,"CAPTHREE"}</definedName>
    <definedName name="lk_2" hidden="1">{#N/A,#N/A,FALSE,"mgtsum.XLS";#N/A,#N/A,FALSE,"CAPONE";#N/A,#N/A,FALSE,"CAPTWO";#N/A,#N/A,FALSE,"CAPTHREE"}</definedName>
    <definedName name="lk_2_1" hidden="1">{#N/A,#N/A,FALSE,"mgtsum.XLS";#N/A,#N/A,FALSE,"CAPONE";#N/A,#N/A,FALSE,"CAPTWO";#N/A,#N/A,FALSE,"CAPTHREE"}</definedName>
    <definedName name="lk_2_1_1" hidden="1">{#N/A,#N/A,FALSE,"mgtsum.XLS";#N/A,#N/A,FALSE,"CAPONE";#N/A,#N/A,FALSE,"CAPTWO";#N/A,#N/A,FALSE,"CAPTHREE"}</definedName>
    <definedName name="lk_2_1_1_1" hidden="1">{#N/A,#N/A,FALSE,"mgtsum.XLS";#N/A,#N/A,FALSE,"CAPONE";#N/A,#N/A,FALSE,"CAPTWO";#N/A,#N/A,FALSE,"CAPTHREE"}</definedName>
    <definedName name="lk_2_1_1_2" hidden="1">{#N/A,#N/A,FALSE,"mgtsum.XLS";#N/A,#N/A,FALSE,"CAPONE";#N/A,#N/A,FALSE,"CAPTWO";#N/A,#N/A,FALSE,"CAPTHREE"}</definedName>
    <definedName name="lk_2_1_1_3" hidden="1">{#N/A,#N/A,FALSE,"mgtsum.XLS";#N/A,#N/A,FALSE,"CAPONE";#N/A,#N/A,FALSE,"CAPTWO";#N/A,#N/A,FALSE,"CAPTHREE"}</definedName>
    <definedName name="lk_2_1_1_4" hidden="1">{#N/A,#N/A,FALSE,"mgtsum.XLS";#N/A,#N/A,FALSE,"CAPONE";#N/A,#N/A,FALSE,"CAPTWO";#N/A,#N/A,FALSE,"CAPTHREE"}</definedName>
    <definedName name="lk_2_1_1_5" hidden="1">{#N/A,#N/A,FALSE,"mgtsum.XLS";#N/A,#N/A,FALSE,"CAPONE";#N/A,#N/A,FALSE,"CAPTWO";#N/A,#N/A,FALSE,"CAPTHREE"}</definedName>
    <definedName name="lk_2_1_2" hidden="1">{#N/A,#N/A,FALSE,"mgtsum.XLS";#N/A,#N/A,FALSE,"CAPONE";#N/A,#N/A,FALSE,"CAPTWO";#N/A,#N/A,FALSE,"CAPTHREE"}</definedName>
    <definedName name="lk_2_1_2_1" hidden="1">{#N/A,#N/A,FALSE,"mgtsum.XLS";#N/A,#N/A,FALSE,"CAPONE";#N/A,#N/A,FALSE,"CAPTWO";#N/A,#N/A,FALSE,"CAPTHREE"}</definedName>
    <definedName name="lk_2_1_2_2" hidden="1">{#N/A,#N/A,FALSE,"mgtsum.XLS";#N/A,#N/A,FALSE,"CAPONE";#N/A,#N/A,FALSE,"CAPTWO";#N/A,#N/A,FALSE,"CAPTHREE"}</definedName>
    <definedName name="lk_2_1_2_3" hidden="1">{#N/A,#N/A,FALSE,"mgtsum.XLS";#N/A,#N/A,FALSE,"CAPONE";#N/A,#N/A,FALSE,"CAPTWO";#N/A,#N/A,FALSE,"CAPTHREE"}</definedName>
    <definedName name="lk_2_1_2_4" hidden="1">{#N/A,#N/A,FALSE,"mgtsum.XLS";#N/A,#N/A,FALSE,"CAPONE";#N/A,#N/A,FALSE,"CAPTWO";#N/A,#N/A,FALSE,"CAPTHREE"}</definedName>
    <definedName name="lk_2_1_2_5" hidden="1">{#N/A,#N/A,FALSE,"mgtsum.XLS";#N/A,#N/A,FALSE,"CAPONE";#N/A,#N/A,FALSE,"CAPTWO";#N/A,#N/A,FALSE,"CAPTHREE"}</definedName>
    <definedName name="lk_2_1_3" hidden="1">{#N/A,#N/A,FALSE,"mgtsum.XLS";#N/A,#N/A,FALSE,"CAPONE";#N/A,#N/A,FALSE,"CAPTWO";#N/A,#N/A,FALSE,"CAPTHREE"}</definedName>
    <definedName name="lk_2_1_3_1" hidden="1">{#N/A,#N/A,FALSE,"mgtsum.XLS";#N/A,#N/A,FALSE,"CAPONE";#N/A,#N/A,FALSE,"CAPTWO";#N/A,#N/A,FALSE,"CAPTHREE"}</definedName>
    <definedName name="lk_2_1_3_2" hidden="1">{#N/A,#N/A,FALSE,"mgtsum.XLS";#N/A,#N/A,FALSE,"CAPONE";#N/A,#N/A,FALSE,"CAPTWO";#N/A,#N/A,FALSE,"CAPTHREE"}</definedName>
    <definedName name="lk_2_1_3_3" hidden="1">{#N/A,#N/A,FALSE,"mgtsum.XLS";#N/A,#N/A,FALSE,"CAPONE";#N/A,#N/A,FALSE,"CAPTWO";#N/A,#N/A,FALSE,"CAPTHREE"}</definedName>
    <definedName name="lk_2_1_3_4" hidden="1">{#N/A,#N/A,FALSE,"mgtsum.XLS";#N/A,#N/A,FALSE,"CAPONE";#N/A,#N/A,FALSE,"CAPTWO";#N/A,#N/A,FALSE,"CAPTHREE"}</definedName>
    <definedName name="lk_2_1_3_5" hidden="1">{#N/A,#N/A,FALSE,"mgtsum.XLS";#N/A,#N/A,FALSE,"CAPONE";#N/A,#N/A,FALSE,"CAPTWO";#N/A,#N/A,FALSE,"CAPTHREE"}</definedName>
    <definedName name="lk_2_1_4" hidden="1">{#N/A,#N/A,FALSE,"mgtsum.XLS";#N/A,#N/A,FALSE,"CAPONE";#N/A,#N/A,FALSE,"CAPTWO";#N/A,#N/A,FALSE,"CAPTHREE"}</definedName>
    <definedName name="lk_2_1_5" hidden="1">{#N/A,#N/A,FALSE,"mgtsum.XLS";#N/A,#N/A,FALSE,"CAPONE";#N/A,#N/A,FALSE,"CAPTWO";#N/A,#N/A,FALSE,"CAPTHREE"}</definedName>
    <definedName name="lk_2_2" hidden="1">{#N/A,#N/A,FALSE,"mgtsum.XLS";#N/A,#N/A,FALSE,"CAPONE";#N/A,#N/A,FALSE,"CAPTWO";#N/A,#N/A,FALSE,"CAPTHREE"}</definedName>
    <definedName name="lk_2_2_1" hidden="1">{#N/A,#N/A,FALSE,"mgtsum.XLS";#N/A,#N/A,FALSE,"CAPONE";#N/A,#N/A,FALSE,"CAPTWO";#N/A,#N/A,FALSE,"CAPTHREE"}</definedName>
    <definedName name="lk_2_2_1_1" hidden="1">{#N/A,#N/A,FALSE,"mgtsum.XLS";#N/A,#N/A,FALSE,"CAPONE";#N/A,#N/A,FALSE,"CAPTWO";#N/A,#N/A,FALSE,"CAPTHREE"}</definedName>
    <definedName name="lk_2_2_1_2" hidden="1">{#N/A,#N/A,FALSE,"mgtsum.XLS";#N/A,#N/A,FALSE,"CAPONE";#N/A,#N/A,FALSE,"CAPTWO";#N/A,#N/A,FALSE,"CAPTHREE"}</definedName>
    <definedName name="lk_2_2_1_3" hidden="1">{#N/A,#N/A,FALSE,"mgtsum.XLS";#N/A,#N/A,FALSE,"CAPONE";#N/A,#N/A,FALSE,"CAPTWO";#N/A,#N/A,FALSE,"CAPTHREE"}</definedName>
    <definedName name="lk_2_2_1_4" hidden="1">{#N/A,#N/A,FALSE,"mgtsum.XLS";#N/A,#N/A,FALSE,"CAPONE";#N/A,#N/A,FALSE,"CAPTWO";#N/A,#N/A,FALSE,"CAPTHREE"}</definedName>
    <definedName name="lk_2_2_1_5" hidden="1">{#N/A,#N/A,FALSE,"mgtsum.XLS";#N/A,#N/A,FALSE,"CAPONE";#N/A,#N/A,FALSE,"CAPTWO";#N/A,#N/A,FALSE,"CAPTHREE"}</definedName>
    <definedName name="lk_2_2_2" hidden="1">{#N/A,#N/A,FALSE,"mgtsum.XLS";#N/A,#N/A,FALSE,"CAPONE";#N/A,#N/A,FALSE,"CAPTWO";#N/A,#N/A,FALSE,"CAPTHREE"}</definedName>
    <definedName name="lk_2_2_2_1" hidden="1">{#N/A,#N/A,FALSE,"mgtsum.XLS";#N/A,#N/A,FALSE,"CAPONE";#N/A,#N/A,FALSE,"CAPTWO";#N/A,#N/A,FALSE,"CAPTHREE"}</definedName>
    <definedName name="lk_2_2_2_2" hidden="1">{#N/A,#N/A,FALSE,"mgtsum.XLS";#N/A,#N/A,FALSE,"CAPONE";#N/A,#N/A,FALSE,"CAPTWO";#N/A,#N/A,FALSE,"CAPTHREE"}</definedName>
    <definedName name="lk_2_2_2_3" hidden="1">{#N/A,#N/A,FALSE,"mgtsum.XLS";#N/A,#N/A,FALSE,"CAPONE";#N/A,#N/A,FALSE,"CAPTWO";#N/A,#N/A,FALSE,"CAPTHREE"}</definedName>
    <definedName name="lk_2_2_2_4" hidden="1">{#N/A,#N/A,FALSE,"mgtsum.XLS";#N/A,#N/A,FALSE,"CAPONE";#N/A,#N/A,FALSE,"CAPTWO";#N/A,#N/A,FALSE,"CAPTHREE"}</definedName>
    <definedName name="lk_2_2_2_5" hidden="1">{#N/A,#N/A,FALSE,"mgtsum.XLS";#N/A,#N/A,FALSE,"CAPONE";#N/A,#N/A,FALSE,"CAPTWO";#N/A,#N/A,FALSE,"CAPTHREE"}</definedName>
    <definedName name="lk_2_2_3" hidden="1">{#N/A,#N/A,FALSE,"mgtsum.XLS";#N/A,#N/A,FALSE,"CAPONE";#N/A,#N/A,FALSE,"CAPTWO";#N/A,#N/A,FALSE,"CAPTHREE"}</definedName>
    <definedName name="lk_2_2_4" hidden="1">{#N/A,#N/A,FALSE,"mgtsum.XLS";#N/A,#N/A,FALSE,"CAPONE";#N/A,#N/A,FALSE,"CAPTWO";#N/A,#N/A,FALSE,"CAPTHREE"}</definedName>
    <definedName name="lk_2_2_5" hidden="1">{#N/A,#N/A,FALSE,"mgtsum.XLS";#N/A,#N/A,FALSE,"CAPONE";#N/A,#N/A,FALSE,"CAPTWO";#N/A,#N/A,FALSE,"CAPTHREE"}</definedName>
    <definedName name="lk_2_3" hidden="1">{#N/A,#N/A,FALSE,"mgtsum.XLS";#N/A,#N/A,FALSE,"CAPONE";#N/A,#N/A,FALSE,"CAPTWO";#N/A,#N/A,FALSE,"CAPTHREE"}</definedName>
    <definedName name="lk_2_3_1" hidden="1">{#N/A,#N/A,FALSE,"mgtsum.XLS";#N/A,#N/A,FALSE,"CAPONE";#N/A,#N/A,FALSE,"CAPTWO";#N/A,#N/A,FALSE,"CAPTHREE"}</definedName>
    <definedName name="lk_2_3_1_1" hidden="1">{#N/A,#N/A,FALSE,"mgtsum.XLS";#N/A,#N/A,FALSE,"CAPONE";#N/A,#N/A,FALSE,"CAPTWO";#N/A,#N/A,FALSE,"CAPTHREE"}</definedName>
    <definedName name="lk_2_3_1_2" hidden="1">{#N/A,#N/A,FALSE,"mgtsum.XLS";#N/A,#N/A,FALSE,"CAPONE";#N/A,#N/A,FALSE,"CAPTWO";#N/A,#N/A,FALSE,"CAPTHREE"}</definedName>
    <definedName name="lk_2_3_1_3" hidden="1">{#N/A,#N/A,FALSE,"mgtsum.XLS";#N/A,#N/A,FALSE,"CAPONE";#N/A,#N/A,FALSE,"CAPTWO";#N/A,#N/A,FALSE,"CAPTHREE"}</definedName>
    <definedName name="lk_2_3_1_4" hidden="1">{#N/A,#N/A,FALSE,"mgtsum.XLS";#N/A,#N/A,FALSE,"CAPONE";#N/A,#N/A,FALSE,"CAPTWO";#N/A,#N/A,FALSE,"CAPTHREE"}</definedName>
    <definedName name="lk_2_3_1_5" hidden="1">{#N/A,#N/A,FALSE,"mgtsum.XLS";#N/A,#N/A,FALSE,"CAPONE";#N/A,#N/A,FALSE,"CAPTWO";#N/A,#N/A,FALSE,"CAPTHREE"}</definedName>
    <definedName name="lk_2_3_2" hidden="1">{#N/A,#N/A,FALSE,"mgtsum.XLS";#N/A,#N/A,FALSE,"CAPONE";#N/A,#N/A,FALSE,"CAPTWO";#N/A,#N/A,FALSE,"CAPTHREE"}</definedName>
    <definedName name="lk_2_3_2_1" hidden="1">{#N/A,#N/A,FALSE,"mgtsum.XLS";#N/A,#N/A,FALSE,"CAPONE";#N/A,#N/A,FALSE,"CAPTWO";#N/A,#N/A,FALSE,"CAPTHREE"}</definedName>
    <definedName name="lk_2_3_2_2" hidden="1">{#N/A,#N/A,FALSE,"mgtsum.XLS";#N/A,#N/A,FALSE,"CAPONE";#N/A,#N/A,FALSE,"CAPTWO";#N/A,#N/A,FALSE,"CAPTHREE"}</definedName>
    <definedName name="lk_2_3_2_3" hidden="1">{#N/A,#N/A,FALSE,"mgtsum.XLS";#N/A,#N/A,FALSE,"CAPONE";#N/A,#N/A,FALSE,"CAPTWO";#N/A,#N/A,FALSE,"CAPTHREE"}</definedName>
    <definedName name="lk_2_3_2_4" hidden="1">{#N/A,#N/A,FALSE,"mgtsum.XLS";#N/A,#N/A,FALSE,"CAPONE";#N/A,#N/A,FALSE,"CAPTWO";#N/A,#N/A,FALSE,"CAPTHREE"}</definedName>
    <definedName name="lk_2_3_2_5" hidden="1">{#N/A,#N/A,FALSE,"mgtsum.XLS";#N/A,#N/A,FALSE,"CAPONE";#N/A,#N/A,FALSE,"CAPTWO";#N/A,#N/A,FALSE,"CAPTHREE"}</definedName>
    <definedName name="lk_2_3_3" hidden="1">{#N/A,#N/A,FALSE,"mgtsum.XLS";#N/A,#N/A,FALSE,"CAPONE";#N/A,#N/A,FALSE,"CAPTWO";#N/A,#N/A,FALSE,"CAPTHREE"}</definedName>
    <definedName name="lk_2_3_4" hidden="1">{#N/A,#N/A,FALSE,"mgtsum.XLS";#N/A,#N/A,FALSE,"CAPONE";#N/A,#N/A,FALSE,"CAPTWO";#N/A,#N/A,FALSE,"CAPTHREE"}</definedName>
    <definedName name="lk_2_3_5" hidden="1">{#N/A,#N/A,FALSE,"mgtsum.XLS";#N/A,#N/A,FALSE,"CAPONE";#N/A,#N/A,FALSE,"CAPTWO";#N/A,#N/A,FALSE,"CAPTHREE"}</definedName>
    <definedName name="lk_2_4" hidden="1">{#N/A,#N/A,FALSE,"mgtsum.XLS";#N/A,#N/A,FALSE,"CAPONE";#N/A,#N/A,FALSE,"CAPTWO";#N/A,#N/A,FALSE,"CAPTHREE"}</definedName>
    <definedName name="lk_2_4_1" hidden="1">{#N/A,#N/A,FALSE,"mgtsum.XLS";#N/A,#N/A,FALSE,"CAPONE";#N/A,#N/A,FALSE,"CAPTWO";#N/A,#N/A,FALSE,"CAPTHREE"}</definedName>
    <definedName name="lk_2_4_1_1" hidden="1">{#N/A,#N/A,FALSE,"mgtsum.XLS";#N/A,#N/A,FALSE,"CAPONE";#N/A,#N/A,FALSE,"CAPTWO";#N/A,#N/A,FALSE,"CAPTHREE"}</definedName>
    <definedName name="lk_2_4_1_2" hidden="1">{#N/A,#N/A,FALSE,"mgtsum.XLS";#N/A,#N/A,FALSE,"CAPONE";#N/A,#N/A,FALSE,"CAPTWO";#N/A,#N/A,FALSE,"CAPTHREE"}</definedName>
    <definedName name="lk_2_4_1_3" hidden="1">{#N/A,#N/A,FALSE,"mgtsum.XLS";#N/A,#N/A,FALSE,"CAPONE";#N/A,#N/A,FALSE,"CAPTWO";#N/A,#N/A,FALSE,"CAPTHREE"}</definedName>
    <definedName name="lk_2_4_1_4" hidden="1">{#N/A,#N/A,FALSE,"mgtsum.XLS";#N/A,#N/A,FALSE,"CAPONE";#N/A,#N/A,FALSE,"CAPTWO";#N/A,#N/A,FALSE,"CAPTHREE"}</definedName>
    <definedName name="lk_2_4_1_5" hidden="1">{#N/A,#N/A,FALSE,"mgtsum.XLS";#N/A,#N/A,FALSE,"CAPONE";#N/A,#N/A,FALSE,"CAPTWO";#N/A,#N/A,FALSE,"CAPTHREE"}</definedName>
    <definedName name="lk_2_4_2" hidden="1">{#N/A,#N/A,FALSE,"mgtsum.XLS";#N/A,#N/A,FALSE,"CAPONE";#N/A,#N/A,FALSE,"CAPTWO";#N/A,#N/A,FALSE,"CAPTHREE"}</definedName>
    <definedName name="lk_2_4_2_1" hidden="1">{#N/A,#N/A,FALSE,"mgtsum.XLS";#N/A,#N/A,FALSE,"CAPONE";#N/A,#N/A,FALSE,"CAPTWO";#N/A,#N/A,FALSE,"CAPTHREE"}</definedName>
    <definedName name="lk_2_4_2_2" hidden="1">{#N/A,#N/A,FALSE,"mgtsum.XLS";#N/A,#N/A,FALSE,"CAPONE";#N/A,#N/A,FALSE,"CAPTWO";#N/A,#N/A,FALSE,"CAPTHREE"}</definedName>
    <definedName name="lk_2_4_2_3" hidden="1">{#N/A,#N/A,FALSE,"mgtsum.XLS";#N/A,#N/A,FALSE,"CAPONE";#N/A,#N/A,FALSE,"CAPTWO";#N/A,#N/A,FALSE,"CAPTHREE"}</definedName>
    <definedName name="lk_2_4_2_4" hidden="1">{#N/A,#N/A,FALSE,"mgtsum.XLS";#N/A,#N/A,FALSE,"CAPONE";#N/A,#N/A,FALSE,"CAPTWO";#N/A,#N/A,FALSE,"CAPTHREE"}</definedName>
    <definedName name="lk_2_4_2_5" hidden="1">{#N/A,#N/A,FALSE,"mgtsum.XLS";#N/A,#N/A,FALSE,"CAPONE";#N/A,#N/A,FALSE,"CAPTWO";#N/A,#N/A,FALSE,"CAPTHREE"}</definedName>
    <definedName name="lk_2_4_3" hidden="1">{#N/A,#N/A,FALSE,"mgtsum.XLS";#N/A,#N/A,FALSE,"CAPONE";#N/A,#N/A,FALSE,"CAPTWO";#N/A,#N/A,FALSE,"CAPTHREE"}</definedName>
    <definedName name="lk_2_4_4" hidden="1">{#N/A,#N/A,FALSE,"mgtsum.XLS";#N/A,#N/A,FALSE,"CAPONE";#N/A,#N/A,FALSE,"CAPTWO";#N/A,#N/A,FALSE,"CAPTHREE"}</definedName>
    <definedName name="lk_2_4_5" hidden="1">{#N/A,#N/A,FALSE,"mgtsum.XLS";#N/A,#N/A,FALSE,"CAPONE";#N/A,#N/A,FALSE,"CAPTWO";#N/A,#N/A,FALSE,"CAPTHREE"}</definedName>
    <definedName name="lk_2_5" hidden="1">{#N/A,#N/A,FALSE,"mgtsum.XLS";#N/A,#N/A,FALSE,"CAPONE";#N/A,#N/A,FALSE,"CAPTWO";#N/A,#N/A,FALSE,"CAPTHREE"}</definedName>
    <definedName name="lk_2_5_1" hidden="1">{#N/A,#N/A,FALSE,"mgtsum.XLS";#N/A,#N/A,FALSE,"CAPONE";#N/A,#N/A,FALSE,"CAPTWO";#N/A,#N/A,FALSE,"CAPTHREE"}</definedName>
    <definedName name="lk_2_5_2" hidden="1">{#N/A,#N/A,FALSE,"mgtsum.XLS";#N/A,#N/A,FALSE,"CAPONE";#N/A,#N/A,FALSE,"CAPTWO";#N/A,#N/A,FALSE,"CAPTHREE"}</definedName>
    <definedName name="lk_2_5_3" hidden="1">{#N/A,#N/A,FALSE,"mgtsum.XLS";#N/A,#N/A,FALSE,"CAPONE";#N/A,#N/A,FALSE,"CAPTWO";#N/A,#N/A,FALSE,"CAPTHREE"}</definedName>
    <definedName name="lk_2_5_4" hidden="1">{#N/A,#N/A,FALSE,"mgtsum.XLS";#N/A,#N/A,FALSE,"CAPONE";#N/A,#N/A,FALSE,"CAPTWO";#N/A,#N/A,FALSE,"CAPTHREE"}</definedName>
    <definedName name="lk_2_5_5" hidden="1">{#N/A,#N/A,FALSE,"mgtsum.XLS";#N/A,#N/A,FALSE,"CAPONE";#N/A,#N/A,FALSE,"CAPTWO";#N/A,#N/A,FALSE,"CAPTHREE"}</definedName>
    <definedName name="lk_3" hidden="1">{#N/A,#N/A,FALSE,"mgtsum.XLS";#N/A,#N/A,FALSE,"CAPONE";#N/A,#N/A,FALSE,"CAPTWO";#N/A,#N/A,FALSE,"CAPTHREE"}</definedName>
    <definedName name="lk_3_1" hidden="1">{#N/A,#N/A,FALSE,"mgtsum.XLS";#N/A,#N/A,FALSE,"CAPONE";#N/A,#N/A,FALSE,"CAPTWO";#N/A,#N/A,FALSE,"CAPTHREE"}</definedName>
    <definedName name="lk_3_1_1" hidden="1">{#N/A,#N/A,FALSE,"mgtsum.XLS";#N/A,#N/A,FALSE,"CAPONE";#N/A,#N/A,FALSE,"CAPTWO";#N/A,#N/A,FALSE,"CAPTHREE"}</definedName>
    <definedName name="lk_3_1_1_1" hidden="1">{#N/A,#N/A,FALSE,"mgtsum.XLS";#N/A,#N/A,FALSE,"CAPONE";#N/A,#N/A,FALSE,"CAPTWO";#N/A,#N/A,FALSE,"CAPTHREE"}</definedName>
    <definedName name="lk_3_1_1_2" hidden="1">{#N/A,#N/A,FALSE,"mgtsum.XLS";#N/A,#N/A,FALSE,"CAPONE";#N/A,#N/A,FALSE,"CAPTWO";#N/A,#N/A,FALSE,"CAPTHREE"}</definedName>
    <definedName name="lk_3_1_1_3" hidden="1">{#N/A,#N/A,FALSE,"mgtsum.XLS";#N/A,#N/A,FALSE,"CAPONE";#N/A,#N/A,FALSE,"CAPTWO";#N/A,#N/A,FALSE,"CAPTHREE"}</definedName>
    <definedName name="lk_3_1_1_4" hidden="1">{#N/A,#N/A,FALSE,"mgtsum.XLS";#N/A,#N/A,FALSE,"CAPONE";#N/A,#N/A,FALSE,"CAPTWO";#N/A,#N/A,FALSE,"CAPTHREE"}</definedName>
    <definedName name="lk_3_1_1_5" hidden="1">{#N/A,#N/A,FALSE,"mgtsum.XLS";#N/A,#N/A,FALSE,"CAPONE";#N/A,#N/A,FALSE,"CAPTWO";#N/A,#N/A,FALSE,"CAPTHREE"}</definedName>
    <definedName name="lk_3_1_2" hidden="1">{#N/A,#N/A,FALSE,"mgtsum.XLS";#N/A,#N/A,FALSE,"CAPONE";#N/A,#N/A,FALSE,"CAPTWO";#N/A,#N/A,FALSE,"CAPTHREE"}</definedName>
    <definedName name="lk_3_1_2_1" hidden="1">{#N/A,#N/A,FALSE,"mgtsum.XLS";#N/A,#N/A,FALSE,"CAPONE";#N/A,#N/A,FALSE,"CAPTWO";#N/A,#N/A,FALSE,"CAPTHREE"}</definedName>
    <definedName name="lk_3_1_2_2" hidden="1">{#N/A,#N/A,FALSE,"mgtsum.XLS";#N/A,#N/A,FALSE,"CAPONE";#N/A,#N/A,FALSE,"CAPTWO";#N/A,#N/A,FALSE,"CAPTHREE"}</definedName>
    <definedName name="lk_3_1_2_3" hidden="1">{#N/A,#N/A,FALSE,"mgtsum.XLS";#N/A,#N/A,FALSE,"CAPONE";#N/A,#N/A,FALSE,"CAPTWO";#N/A,#N/A,FALSE,"CAPTHREE"}</definedName>
    <definedName name="lk_3_1_2_4" hidden="1">{#N/A,#N/A,FALSE,"mgtsum.XLS";#N/A,#N/A,FALSE,"CAPONE";#N/A,#N/A,FALSE,"CAPTWO";#N/A,#N/A,FALSE,"CAPTHREE"}</definedName>
    <definedName name="lk_3_1_2_5" hidden="1">{#N/A,#N/A,FALSE,"mgtsum.XLS";#N/A,#N/A,FALSE,"CAPONE";#N/A,#N/A,FALSE,"CAPTWO";#N/A,#N/A,FALSE,"CAPTHREE"}</definedName>
    <definedName name="lk_3_1_3" hidden="1">{#N/A,#N/A,FALSE,"mgtsum.XLS";#N/A,#N/A,FALSE,"CAPONE";#N/A,#N/A,FALSE,"CAPTWO";#N/A,#N/A,FALSE,"CAPTHREE"}</definedName>
    <definedName name="lk_3_1_3_1" hidden="1">{#N/A,#N/A,FALSE,"mgtsum.XLS";#N/A,#N/A,FALSE,"CAPONE";#N/A,#N/A,FALSE,"CAPTWO";#N/A,#N/A,FALSE,"CAPTHREE"}</definedName>
    <definedName name="lk_3_1_3_2" hidden="1">{#N/A,#N/A,FALSE,"mgtsum.XLS";#N/A,#N/A,FALSE,"CAPONE";#N/A,#N/A,FALSE,"CAPTWO";#N/A,#N/A,FALSE,"CAPTHREE"}</definedName>
    <definedName name="lk_3_1_3_3" hidden="1">{#N/A,#N/A,FALSE,"mgtsum.XLS";#N/A,#N/A,FALSE,"CAPONE";#N/A,#N/A,FALSE,"CAPTWO";#N/A,#N/A,FALSE,"CAPTHREE"}</definedName>
    <definedName name="lk_3_1_3_4" hidden="1">{#N/A,#N/A,FALSE,"mgtsum.XLS";#N/A,#N/A,FALSE,"CAPONE";#N/A,#N/A,FALSE,"CAPTWO";#N/A,#N/A,FALSE,"CAPTHREE"}</definedName>
    <definedName name="lk_3_1_3_5" hidden="1">{#N/A,#N/A,FALSE,"mgtsum.XLS";#N/A,#N/A,FALSE,"CAPONE";#N/A,#N/A,FALSE,"CAPTWO";#N/A,#N/A,FALSE,"CAPTHREE"}</definedName>
    <definedName name="lk_3_1_4" hidden="1">{#N/A,#N/A,FALSE,"mgtsum.XLS";#N/A,#N/A,FALSE,"CAPONE";#N/A,#N/A,FALSE,"CAPTWO";#N/A,#N/A,FALSE,"CAPTHREE"}</definedName>
    <definedName name="lk_3_1_5" hidden="1">{#N/A,#N/A,FALSE,"mgtsum.XLS";#N/A,#N/A,FALSE,"CAPONE";#N/A,#N/A,FALSE,"CAPTWO";#N/A,#N/A,FALSE,"CAPTHREE"}</definedName>
    <definedName name="lk_3_2" hidden="1">{#N/A,#N/A,FALSE,"mgtsum.XLS";#N/A,#N/A,FALSE,"CAPONE";#N/A,#N/A,FALSE,"CAPTWO";#N/A,#N/A,FALSE,"CAPTHREE"}</definedName>
    <definedName name="lk_3_2_1" hidden="1">{#N/A,#N/A,FALSE,"mgtsum.XLS";#N/A,#N/A,FALSE,"CAPONE";#N/A,#N/A,FALSE,"CAPTWO";#N/A,#N/A,FALSE,"CAPTHREE"}</definedName>
    <definedName name="lk_3_2_1_1" hidden="1">{#N/A,#N/A,FALSE,"mgtsum.XLS";#N/A,#N/A,FALSE,"CAPONE";#N/A,#N/A,FALSE,"CAPTWO";#N/A,#N/A,FALSE,"CAPTHREE"}</definedName>
    <definedName name="lk_3_2_1_2" hidden="1">{#N/A,#N/A,FALSE,"mgtsum.XLS";#N/A,#N/A,FALSE,"CAPONE";#N/A,#N/A,FALSE,"CAPTWO";#N/A,#N/A,FALSE,"CAPTHREE"}</definedName>
    <definedName name="lk_3_2_1_3" hidden="1">{#N/A,#N/A,FALSE,"mgtsum.XLS";#N/A,#N/A,FALSE,"CAPONE";#N/A,#N/A,FALSE,"CAPTWO";#N/A,#N/A,FALSE,"CAPTHREE"}</definedName>
    <definedName name="lk_3_2_1_4" hidden="1">{#N/A,#N/A,FALSE,"mgtsum.XLS";#N/A,#N/A,FALSE,"CAPONE";#N/A,#N/A,FALSE,"CAPTWO";#N/A,#N/A,FALSE,"CAPTHREE"}</definedName>
    <definedName name="lk_3_2_1_5" hidden="1">{#N/A,#N/A,FALSE,"mgtsum.XLS";#N/A,#N/A,FALSE,"CAPONE";#N/A,#N/A,FALSE,"CAPTWO";#N/A,#N/A,FALSE,"CAPTHREE"}</definedName>
    <definedName name="lk_3_2_2" hidden="1">{#N/A,#N/A,FALSE,"mgtsum.XLS";#N/A,#N/A,FALSE,"CAPONE";#N/A,#N/A,FALSE,"CAPTWO";#N/A,#N/A,FALSE,"CAPTHREE"}</definedName>
    <definedName name="lk_3_2_2_1" hidden="1">{#N/A,#N/A,FALSE,"mgtsum.XLS";#N/A,#N/A,FALSE,"CAPONE";#N/A,#N/A,FALSE,"CAPTWO";#N/A,#N/A,FALSE,"CAPTHREE"}</definedName>
    <definedName name="lk_3_2_2_2" hidden="1">{#N/A,#N/A,FALSE,"mgtsum.XLS";#N/A,#N/A,FALSE,"CAPONE";#N/A,#N/A,FALSE,"CAPTWO";#N/A,#N/A,FALSE,"CAPTHREE"}</definedName>
    <definedName name="lk_3_2_2_3" hidden="1">{#N/A,#N/A,FALSE,"mgtsum.XLS";#N/A,#N/A,FALSE,"CAPONE";#N/A,#N/A,FALSE,"CAPTWO";#N/A,#N/A,FALSE,"CAPTHREE"}</definedName>
    <definedName name="lk_3_2_2_4" hidden="1">{#N/A,#N/A,FALSE,"mgtsum.XLS";#N/A,#N/A,FALSE,"CAPONE";#N/A,#N/A,FALSE,"CAPTWO";#N/A,#N/A,FALSE,"CAPTHREE"}</definedName>
    <definedName name="lk_3_2_2_5" hidden="1">{#N/A,#N/A,FALSE,"mgtsum.XLS";#N/A,#N/A,FALSE,"CAPONE";#N/A,#N/A,FALSE,"CAPTWO";#N/A,#N/A,FALSE,"CAPTHREE"}</definedName>
    <definedName name="lk_3_2_3" hidden="1">{#N/A,#N/A,FALSE,"mgtsum.XLS";#N/A,#N/A,FALSE,"CAPONE";#N/A,#N/A,FALSE,"CAPTWO";#N/A,#N/A,FALSE,"CAPTHREE"}</definedName>
    <definedName name="lk_3_2_4" hidden="1">{#N/A,#N/A,FALSE,"mgtsum.XLS";#N/A,#N/A,FALSE,"CAPONE";#N/A,#N/A,FALSE,"CAPTWO";#N/A,#N/A,FALSE,"CAPTHREE"}</definedName>
    <definedName name="lk_3_2_5" hidden="1">{#N/A,#N/A,FALSE,"mgtsum.XLS";#N/A,#N/A,FALSE,"CAPONE";#N/A,#N/A,FALSE,"CAPTWO";#N/A,#N/A,FALSE,"CAPTHREE"}</definedName>
    <definedName name="lk_3_3" hidden="1">{#N/A,#N/A,FALSE,"mgtsum.XLS";#N/A,#N/A,FALSE,"CAPONE";#N/A,#N/A,FALSE,"CAPTWO";#N/A,#N/A,FALSE,"CAPTHREE"}</definedName>
    <definedName name="lk_3_3_1" hidden="1">{#N/A,#N/A,FALSE,"mgtsum.XLS";#N/A,#N/A,FALSE,"CAPONE";#N/A,#N/A,FALSE,"CAPTWO";#N/A,#N/A,FALSE,"CAPTHREE"}</definedName>
    <definedName name="lk_3_3_1_1" hidden="1">{#N/A,#N/A,FALSE,"mgtsum.XLS";#N/A,#N/A,FALSE,"CAPONE";#N/A,#N/A,FALSE,"CAPTWO";#N/A,#N/A,FALSE,"CAPTHREE"}</definedName>
    <definedName name="lk_3_3_1_2" hidden="1">{#N/A,#N/A,FALSE,"mgtsum.XLS";#N/A,#N/A,FALSE,"CAPONE";#N/A,#N/A,FALSE,"CAPTWO";#N/A,#N/A,FALSE,"CAPTHREE"}</definedName>
    <definedName name="lk_3_3_1_3" hidden="1">{#N/A,#N/A,FALSE,"mgtsum.XLS";#N/A,#N/A,FALSE,"CAPONE";#N/A,#N/A,FALSE,"CAPTWO";#N/A,#N/A,FALSE,"CAPTHREE"}</definedName>
    <definedName name="lk_3_3_1_4" hidden="1">{#N/A,#N/A,FALSE,"mgtsum.XLS";#N/A,#N/A,FALSE,"CAPONE";#N/A,#N/A,FALSE,"CAPTWO";#N/A,#N/A,FALSE,"CAPTHREE"}</definedName>
    <definedName name="lk_3_3_1_5" hidden="1">{#N/A,#N/A,FALSE,"mgtsum.XLS";#N/A,#N/A,FALSE,"CAPONE";#N/A,#N/A,FALSE,"CAPTWO";#N/A,#N/A,FALSE,"CAPTHREE"}</definedName>
    <definedName name="lk_3_3_2" hidden="1">{#N/A,#N/A,FALSE,"mgtsum.XLS";#N/A,#N/A,FALSE,"CAPONE";#N/A,#N/A,FALSE,"CAPTWO";#N/A,#N/A,FALSE,"CAPTHREE"}</definedName>
    <definedName name="lk_3_3_2_1" hidden="1">{#N/A,#N/A,FALSE,"mgtsum.XLS";#N/A,#N/A,FALSE,"CAPONE";#N/A,#N/A,FALSE,"CAPTWO";#N/A,#N/A,FALSE,"CAPTHREE"}</definedName>
    <definedName name="lk_3_3_2_2" hidden="1">{#N/A,#N/A,FALSE,"mgtsum.XLS";#N/A,#N/A,FALSE,"CAPONE";#N/A,#N/A,FALSE,"CAPTWO";#N/A,#N/A,FALSE,"CAPTHREE"}</definedName>
    <definedName name="lk_3_3_2_3" hidden="1">{#N/A,#N/A,FALSE,"mgtsum.XLS";#N/A,#N/A,FALSE,"CAPONE";#N/A,#N/A,FALSE,"CAPTWO";#N/A,#N/A,FALSE,"CAPTHREE"}</definedName>
    <definedName name="lk_3_3_2_4" hidden="1">{#N/A,#N/A,FALSE,"mgtsum.XLS";#N/A,#N/A,FALSE,"CAPONE";#N/A,#N/A,FALSE,"CAPTWO";#N/A,#N/A,FALSE,"CAPTHREE"}</definedName>
    <definedName name="lk_3_3_2_5" hidden="1">{#N/A,#N/A,FALSE,"mgtsum.XLS";#N/A,#N/A,FALSE,"CAPONE";#N/A,#N/A,FALSE,"CAPTWO";#N/A,#N/A,FALSE,"CAPTHREE"}</definedName>
    <definedName name="lk_3_3_3" hidden="1">{#N/A,#N/A,FALSE,"mgtsum.XLS";#N/A,#N/A,FALSE,"CAPONE";#N/A,#N/A,FALSE,"CAPTWO";#N/A,#N/A,FALSE,"CAPTHREE"}</definedName>
    <definedName name="lk_3_3_4" hidden="1">{#N/A,#N/A,FALSE,"mgtsum.XLS";#N/A,#N/A,FALSE,"CAPONE";#N/A,#N/A,FALSE,"CAPTWO";#N/A,#N/A,FALSE,"CAPTHREE"}</definedName>
    <definedName name="lk_3_3_5" hidden="1">{#N/A,#N/A,FALSE,"mgtsum.XLS";#N/A,#N/A,FALSE,"CAPONE";#N/A,#N/A,FALSE,"CAPTWO";#N/A,#N/A,FALSE,"CAPTHREE"}</definedName>
    <definedName name="lk_3_4" hidden="1">{#N/A,#N/A,FALSE,"mgtsum.XLS";#N/A,#N/A,FALSE,"CAPONE";#N/A,#N/A,FALSE,"CAPTWO";#N/A,#N/A,FALSE,"CAPTHREE"}</definedName>
    <definedName name="lk_3_4_1" hidden="1">{#N/A,#N/A,FALSE,"mgtsum.XLS";#N/A,#N/A,FALSE,"CAPONE";#N/A,#N/A,FALSE,"CAPTWO";#N/A,#N/A,FALSE,"CAPTHREE"}</definedName>
    <definedName name="lk_3_4_1_1" hidden="1">{#N/A,#N/A,FALSE,"mgtsum.XLS";#N/A,#N/A,FALSE,"CAPONE";#N/A,#N/A,FALSE,"CAPTWO";#N/A,#N/A,FALSE,"CAPTHREE"}</definedName>
    <definedName name="lk_3_4_1_2" hidden="1">{#N/A,#N/A,FALSE,"mgtsum.XLS";#N/A,#N/A,FALSE,"CAPONE";#N/A,#N/A,FALSE,"CAPTWO";#N/A,#N/A,FALSE,"CAPTHREE"}</definedName>
    <definedName name="lk_3_4_1_3" hidden="1">{#N/A,#N/A,FALSE,"mgtsum.XLS";#N/A,#N/A,FALSE,"CAPONE";#N/A,#N/A,FALSE,"CAPTWO";#N/A,#N/A,FALSE,"CAPTHREE"}</definedName>
    <definedName name="lk_3_4_1_4" hidden="1">{#N/A,#N/A,FALSE,"mgtsum.XLS";#N/A,#N/A,FALSE,"CAPONE";#N/A,#N/A,FALSE,"CAPTWO";#N/A,#N/A,FALSE,"CAPTHREE"}</definedName>
    <definedName name="lk_3_4_1_5" hidden="1">{#N/A,#N/A,FALSE,"mgtsum.XLS";#N/A,#N/A,FALSE,"CAPONE";#N/A,#N/A,FALSE,"CAPTWO";#N/A,#N/A,FALSE,"CAPTHREE"}</definedName>
    <definedName name="lk_3_4_2" hidden="1">{#N/A,#N/A,FALSE,"mgtsum.XLS";#N/A,#N/A,FALSE,"CAPONE";#N/A,#N/A,FALSE,"CAPTWO";#N/A,#N/A,FALSE,"CAPTHREE"}</definedName>
    <definedName name="lk_3_4_2_1" hidden="1">{#N/A,#N/A,FALSE,"mgtsum.XLS";#N/A,#N/A,FALSE,"CAPONE";#N/A,#N/A,FALSE,"CAPTWO";#N/A,#N/A,FALSE,"CAPTHREE"}</definedName>
    <definedName name="lk_3_4_2_2" hidden="1">{#N/A,#N/A,FALSE,"mgtsum.XLS";#N/A,#N/A,FALSE,"CAPONE";#N/A,#N/A,FALSE,"CAPTWO";#N/A,#N/A,FALSE,"CAPTHREE"}</definedName>
    <definedName name="lk_3_4_2_3" hidden="1">{#N/A,#N/A,FALSE,"mgtsum.XLS";#N/A,#N/A,FALSE,"CAPONE";#N/A,#N/A,FALSE,"CAPTWO";#N/A,#N/A,FALSE,"CAPTHREE"}</definedName>
    <definedName name="lk_3_4_2_4" hidden="1">{#N/A,#N/A,FALSE,"mgtsum.XLS";#N/A,#N/A,FALSE,"CAPONE";#N/A,#N/A,FALSE,"CAPTWO";#N/A,#N/A,FALSE,"CAPTHREE"}</definedName>
    <definedName name="lk_3_4_2_5" hidden="1">{#N/A,#N/A,FALSE,"mgtsum.XLS";#N/A,#N/A,FALSE,"CAPONE";#N/A,#N/A,FALSE,"CAPTWO";#N/A,#N/A,FALSE,"CAPTHREE"}</definedName>
    <definedName name="lk_3_4_3" hidden="1">{#N/A,#N/A,FALSE,"mgtsum.XLS";#N/A,#N/A,FALSE,"CAPONE";#N/A,#N/A,FALSE,"CAPTWO";#N/A,#N/A,FALSE,"CAPTHREE"}</definedName>
    <definedName name="lk_3_4_4" hidden="1">{#N/A,#N/A,FALSE,"mgtsum.XLS";#N/A,#N/A,FALSE,"CAPONE";#N/A,#N/A,FALSE,"CAPTWO";#N/A,#N/A,FALSE,"CAPTHREE"}</definedName>
    <definedName name="lk_3_4_5" hidden="1">{#N/A,#N/A,FALSE,"mgtsum.XLS";#N/A,#N/A,FALSE,"CAPONE";#N/A,#N/A,FALSE,"CAPTWO";#N/A,#N/A,FALSE,"CAPTHREE"}</definedName>
    <definedName name="lk_3_5" hidden="1">{#N/A,#N/A,FALSE,"mgtsum.XLS";#N/A,#N/A,FALSE,"CAPONE";#N/A,#N/A,FALSE,"CAPTWO";#N/A,#N/A,FALSE,"CAPTHREE"}</definedName>
    <definedName name="lk_3_5_1" hidden="1">{#N/A,#N/A,FALSE,"mgtsum.XLS";#N/A,#N/A,FALSE,"CAPONE";#N/A,#N/A,FALSE,"CAPTWO";#N/A,#N/A,FALSE,"CAPTHREE"}</definedName>
    <definedName name="lk_3_5_2" hidden="1">{#N/A,#N/A,FALSE,"mgtsum.XLS";#N/A,#N/A,FALSE,"CAPONE";#N/A,#N/A,FALSE,"CAPTWO";#N/A,#N/A,FALSE,"CAPTHREE"}</definedName>
    <definedName name="lk_3_5_3" hidden="1">{#N/A,#N/A,FALSE,"mgtsum.XLS";#N/A,#N/A,FALSE,"CAPONE";#N/A,#N/A,FALSE,"CAPTWO";#N/A,#N/A,FALSE,"CAPTHREE"}</definedName>
    <definedName name="lk_3_5_4" hidden="1">{#N/A,#N/A,FALSE,"mgtsum.XLS";#N/A,#N/A,FALSE,"CAPONE";#N/A,#N/A,FALSE,"CAPTWO";#N/A,#N/A,FALSE,"CAPTHREE"}</definedName>
    <definedName name="lk_3_5_5" hidden="1">{#N/A,#N/A,FALSE,"mgtsum.XLS";#N/A,#N/A,FALSE,"CAPONE";#N/A,#N/A,FALSE,"CAPTWO";#N/A,#N/A,FALSE,"CAPTHREE"}</definedName>
    <definedName name="lk_4" hidden="1">{#N/A,#N/A,FALSE,"mgtsum.XLS";#N/A,#N/A,FALSE,"CAPONE";#N/A,#N/A,FALSE,"CAPTWO";#N/A,#N/A,FALSE,"CAPTHREE"}</definedName>
    <definedName name="lk_4_1" hidden="1">{#N/A,#N/A,FALSE,"mgtsum.XLS";#N/A,#N/A,FALSE,"CAPONE";#N/A,#N/A,FALSE,"CAPTWO";#N/A,#N/A,FALSE,"CAPTHREE"}</definedName>
    <definedName name="lk_4_1_1" hidden="1">{#N/A,#N/A,FALSE,"mgtsum.XLS";#N/A,#N/A,FALSE,"CAPONE";#N/A,#N/A,FALSE,"CAPTWO";#N/A,#N/A,FALSE,"CAPTHREE"}</definedName>
    <definedName name="lk_4_1_1_1" hidden="1">{#N/A,#N/A,FALSE,"mgtsum.XLS";#N/A,#N/A,FALSE,"CAPONE";#N/A,#N/A,FALSE,"CAPTWO";#N/A,#N/A,FALSE,"CAPTHREE"}</definedName>
    <definedName name="lk_4_1_1_2" hidden="1">{#N/A,#N/A,FALSE,"mgtsum.XLS";#N/A,#N/A,FALSE,"CAPONE";#N/A,#N/A,FALSE,"CAPTWO";#N/A,#N/A,FALSE,"CAPTHREE"}</definedName>
    <definedName name="lk_4_1_1_3" hidden="1">{#N/A,#N/A,FALSE,"mgtsum.XLS";#N/A,#N/A,FALSE,"CAPONE";#N/A,#N/A,FALSE,"CAPTWO";#N/A,#N/A,FALSE,"CAPTHREE"}</definedName>
    <definedName name="lk_4_1_1_4" hidden="1">{#N/A,#N/A,FALSE,"mgtsum.XLS";#N/A,#N/A,FALSE,"CAPONE";#N/A,#N/A,FALSE,"CAPTWO";#N/A,#N/A,FALSE,"CAPTHREE"}</definedName>
    <definedName name="lk_4_1_1_5" hidden="1">{#N/A,#N/A,FALSE,"mgtsum.XLS";#N/A,#N/A,FALSE,"CAPONE";#N/A,#N/A,FALSE,"CAPTWO";#N/A,#N/A,FALSE,"CAPTHREE"}</definedName>
    <definedName name="lk_4_1_2" hidden="1">{#N/A,#N/A,FALSE,"mgtsum.XLS";#N/A,#N/A,FALSE,"CAPONE";#N/A,#N/A,FALSE,"CAPTWO";#N/A,#N/A,FALSE,"CAPTHREE"}</definedName>
    <definedName name="lk_4_1_2_1" hidden="1">{#N/A,#N/A,FALSE,"mgtsum.XLS";#N/A,#N/A,FALSE,"CAPONE";#N/A,#N/A,FALSE,"CAPTWO";#N/A,#N/A,FALSE,"CAPTHREE"}</definedName>
    <definedName name="lk_4_1_2_2" hidden="1">{#N/A,#N/A,FALSE,"mgtsum.XLS";#N/A,#N/A,FALSE,"CAPONE";#N/A,#N/A,FALSE,"CAPTWO";#N/A,#N/A,FALSE,"CAPTHREE"}</definedName>
    <definedName name="lk_4_1_2_3" hidden="1">{#N/A,#N/A,FALSE,"mgtsum.XLS";#N/A,#N/A,FALSE,"CAPONE";#N/A,#N/A,FALSE,"CAPTWO";#N/A,#N/A,FALSE,"CAPTHREE"}</definedName>
    <definedName name="lk_4_1_2_4" hidden="1">{#N/A,#N/A,FALSE,"mgtsum.XLS";#N/A,#N/A,FALSE,"CAPONE";#N/A,#N/A,FALSE,"CAPTWO";#N/A,#N/A,FALSE,"CAPTHREE"}</definedName>
    <definedName name="lk_4_1_2_5" hidden="1">{#N/A,#N/A,FALSE,"mgtsum.XLS";#N/A,#N/A,FALSE,"CAPONE";#N/A,#N/A,FALSE,"CAPTWO";#N/A,#N/A,FALSE,"CAPTHREE"}</definedName>
    <definedName name="lk_4_1_3" hidden="1">{#N/A,#N/A,FALSE,"mgtsum.XLS";#N/A,#N/A,FALSE,"CAPONE";#N/A,#N/A,FALSE,"CAPTWO";#N/A,#N/A,FALSE,"CAPTHREE"}</definedName>
    <definedName name="lk_4_1_3_1" hidden="1">{#N/A,#N/A,FALSE,"mgtsum.XLS";#N/A,#N/A,FALSE,"CAPONE";#N/A,#N/A,FALSE,"CAPTWO";#N/A,#N/A,FALSE,"CAPTHREE"}</definedName>
    <definedName name="lk_4_1_3_2" hidden="1">{#N/A,#N/A,FALSE,"mgtsum.XLS";#N/A,#N/A,FALSE,"CAPONE";#N/A,#N/A,FALSE,"CAPTWO";#N/A,#N/A,FALSE,"CAPTHREE"}</definedName>
    <definedName name="lk_4_1_3_3" hidden="1">{#N/A,#N/A,FALSE,"mgtsum.XLS";#N/A,#N/A,FALSE,"CAPONE";#N/A,#N/A,FALSE,"CAPTWO";#N/A,#N/A,FALSE,"CAPTHREE"}</definedName>
    <definedName name="lk_4_1_3_4" hidden="1">{#N/A,#N/A,FALSE,"mgtsum.XLS";#N/A,#N/A,FALSE,"CAPONE";#N/A,#N/A,FALSE,"CAPTWO";#N/A,#N/A,FALSE,"CAPTHREE"}</definedName>
    <definedName name="lk_4_1_3_5" hidden="1">{#N/A,#N/A,FALSE,"mgtsum.XLS";#N/A,#N/A,FALSE,"CAPONE";#N/A,#N/A,FALSE,"CAPTWO";#N/A,#N/A,FALSE,"CAPTHREE"}</definedName>
    <definedName name="lk_4_1_4" hidden="1">{#N/A,#N/A,FALSE,"mgtsum.XLS";#N/A,#N/A,FALSE,"CAPONE";#N/A,#N/A,FALSE,"CAPTWO";#N/A,#N/A,FALSE,"CAPTHREE"}</definedName>
    <definedName name="lk_4_1_5" hidden="1">{#N/A,#N/A,FALSE,"mgtsum.XLS";#N/A,#N/A,FALSE,"CAPONE";#N/A,#N/A,FALSE,"CAPTWO";#N/A,#N/A,FALSE,"CAPTHREE"}</definedName>
    <definedName name="lk_4_2" hidden="1">{#N/A,#N/A,FALSE,"mgtsum.XLS";#N/A,#N/A,FALSE,"CAPONE";#N/A,#N/A,FALSE,"CAPTWO";#N/A,#N/A,FALSE,"CAPTHREE"}</definedName>
    <definedName name="lk_4_2_1" hidden="1">{#N/A,#N/A,FALSE,"mgtsum.XLS";#N/A,#N/A,FALSE,"CAPONE";#N/A,#N/A,FALSE,"CAPTWO";#N/A,#N/A,FALSE,"CAPTHREE"}</definedName>
    <definedName name="lk_4_2_2" hidden="1">{#N/A,#N/A,FALSE,"mgtsum.XLS";#N/A,#N/A,FALSE,"CAPONE";#N/A,#N/A,FALSE,"CAPTWO";#N/A,#N/A,FALSE,"CAPTHREE"}</definedName>
    <definedName name="lk_4_2_3" hidden="1">{#N/A,#N/A,FALSE,"mgtsum.XLS";#N/A,#N/A,FALSE,"CAPONE";#N/A,#N/A,FALSE,"CAPTWO";#N/A,#N/A,FALSE,"CAPTHREE"}</definedName>
    <definedName name="lk_4_2_4" hidden="1">{#N/A,#N/A,FALSE,"mgtsum.XLS";#N/A,#N/A,FALSE,"CAPONE";#N/A,#N/A,FALSE,"CAPTWO";#N/A,#N/A,FALSE,"CAPTHREE"}</definedName>
    <definedName name="lk_4_2_5" hidden="1">{#N/A,#N/A,FALSE,"mgtsum.XLS";#N/A,#N/A,FALSE,"CAPONE";#N/A,#N/A,FALSE,"CAPTWO";#N/A,#N/A,FALSE,"CAPTHREE"}</definedName>
    <definedName name="lk_4_3" hidden="1">{#N/A,#N/A,FALSE,"mgtsum.XLS";#N/A,#N/A,FALSE,"CAPONE";#N/A,#N/A,FALSE,"CAPTWO";#N/A,#N/A,FALSE,"CAPTHREE"}</definedName>
    <definedName name="lk_4_3_1" hidden="1">{#N/A,#N/A,FALSE,"mgtsum.XLS";#N/A,#N/A,FALSE,"CAPONE";#N/A,#N/A,FALSE,"CAPTWO";#N/A,#N/A,FALSE,"CAPTHREE"}</definedName>
    <definedName name="lk_4_3_2" hidden="1">{#N/A,#N/A,FALSE,"mgtsum.XLS";#N/A,#N/A,FALSE,"CAPONE";#N/A,#N/A,FALSE,"CAPTWO";#N/A,#N/A,FALSE,"CAPTHREE"}</definedName>
    <definedName name="lk_4_3_3" hidden="1">{#N/A,#N/A,FALSE,"mgtsum.XLS";#N/A,#N/A,FALSE,"CAPONE";#N/A,#N/A,FALSE,"CAPTWO";#N/A,#N/A,FALSE,"CAPTHREE"}</definedName>
    <definedName name="lk_4_3_4" hidden="1">{#N/A,#N/A,FALSE,"mgtsum.XLS";#N/A,#N/A,FALSE,"CAPONE";#N/A,#N/A,FALSE,"CAPTWO";#N/A,#N/A,FALSE,"CAPTHREE"}</definedName>
    <definedName name="lk_4_3_5" hidden="1">{#N/A,#N/A,FALSE,"mgtsum.XLS";#N/A,#N/A,FALSE,"CAPONE";#N/A,#N/A,FALSE,"CAPTWO";#N/A,#N/A,FALSE,"CAPTHREE"}</definedName>
    <definedName name="lk_4_4" hidden="1">{#N/A,#N/A,FALSE,"mgtsum.XLS";#N/A,#N/A,FALSE,"CAPONE";#N/A,#N/A,FALSE,"CAPTWO";#N/A,#N/A,FALSE,"CAPTHREE"}</definedName>
    <definedName name="lk_4_5" hidden="1">{#N/A,#N/A,FALSE,"mgtsum.XLS";#N/A,#N/A,FALSE,"CAPONE";#N/A,#N/A,FALSE,"CAPTWO";#N/A,#N/A,FALSE,"CAPTHREE"}</definedName>
    <definedName name="lk_5" hidden="1">{#N/A,#N/A,FALSE,"mgtsum.XLS";#N/A,#N/A,FALSE,"CAPONE";#N/A,#N/A,FALSE,"CAPTWO";#N/A,#N/A,FALSE,"CAPTHREE"}</definedName>
    <definedName name="lk_5_1" hidden="1">{#N/A,#N/A,FALSE,"mgtsum.XLS";#N/A,#N/A,FALSE,"CAPONE";#N/A,#N/A,FALSE,"CAPTWO";#N/A,#N/A,FALSE,"CAPTHREE"}</definedName>
    <definedName name="lk_5_1_1" hidden="1">{#N/A,#N/A,FALSE,"mgtsum.XLS";#N/A,#N/A,FALSE,"CAPONE";#N/A,#N/A,FALSE,"CAPTWO";#N/A,#N/A,FALSE,"CAPTHREE"}</definedName>
    <definedName name="lk_5_1_2" hidden="1">{#N/A,#N/A,FALSE,"mgtsum.XLS";#N/A,#N/A,FALSE,"CAPONE";#N/A,#N/A,FALSE,"CAPTWO";#N/A,#N/A,FALSE,"CAPTHREE"}</definedName>
    <definedName name="lk_5_1_3" hidden="1">{#N/A,#N/A,FALSE,"mgtsum.XLS";#N/A,#N/A,FALSE,"CAPONE";#N/A,#N/A,FALSE,"CAPTWO";#N/A,#N/A,FALSE,"CAPTHREE"}</definedName>
    <definedName name="lk_5_1_4" hidden="1">{#N/A,#N/A,FALSE,"mgtsum.XLS";#N/A,#N/A,FALSE,"CAPONE";#N/A,#N/A,FALSE,"CAPTWO";#N/A,#N/A,FALSE,"CAPTHREE"}</definedName>
    <definedName name="lk_5_1_5" hidden="1">{#N/A,#N/A,FALSE,"mgtsum.XLS";#N/A,#N/A,FALSE,"CAPONE";#N/A,#N/A,FALSE,"CAPTWO";#N/A,#N/A,FALSE,"CAPTHREE"}</definedName>
    <definedName name="lk_5_2" hidden="1">{#N/A,#N/A,FALSE,"mgtsum.XLS";#N/A,#N/A,FALSE,"CAPONE";#N/A,#N/A,FALSE,"CAPTWO";#N/A,#N/A,FALSE,"CAPTHREE"}</definedName>
    <definedName name="lk_5_2_1" hidden="1">{#N/A,#N/A,FALSE,"mgtsum.XLS";#N/A,#N/A,FALSE,"CAPONE";#N/A,#N/A,FALSE,"CAPTWO";#N/A,#N/A,FALSE,"CAPTHREE"}</definedName>
    <definedName name="lk_5_2_2" hidden="1">{#N/A,#N/A,FALSE,"mgtsum.XLS";#N/A,#N/A,FALSE,"CAPONE";#N/A,#N/A,FALSE,"CAPTWO";#N/A,#N/A,FALSE,"CAPTHREE"}</definedName>
    <definedName name="lk_5_2_3" hidden="1">{#N/A,#N/A,FALSE,"mgtsum.XLS";#N/A,#N/A,FALSE,"CAPONE";#N/A,#N/A,FALSE,"CAPTWO";#N/A,#N/A,FALSE,"CAPTHREE"}</definedName>
    <definedName name="lk_5_2_4" hidden="1">{#N/A,#N/A,FALSE,"mgtsum.XLS";#N/A,#N/A,FALSE,"CAPONE";#N/A,#N/A,FALSE,"CAPTWO";#N/A,#N/A,FALSE,"CAPTHREE"}</definedName>
    <definedName name="lk_5_2_5" hidden="1">{#N/A,#N/A,FALSE,"mgtsum.XLS";#N/A,#N/A,FALSE,"CAPONE";#N/A,#N/A,FALSE,"CAPTWO";#N/A,#N/A,FALSE,"CAPTHREE"}</definedName>
    <definedName name="lk_5_3" hidden="1">{#N/A,#N/A,FALSE,"mgtsum.XLS";#N/A,#N/A,FALSE,"CAPONE";#N/A,#N/A,FALSE,"CAPTWO";#N/A,#N/A,FALSE,"CAPTHREE"}</definedName>
    <definedName name="lk_5_4" hidden="1">{#N/A,#N/A,FALSE,"mgtsum.XLS";#N/A,#N/A,FALSE,"CAPONE";#N/A,#N/A,FALSE,"CAPTWO";#N/A,#N/A,FALSE,"CAPTHREE"}</definedName>
    <definedName name="lk_5_5" hidden="1">{#N/A,#N/A,FALSE,"mgtsum.XLS";#N/A,#N/A,FALSE,"CAPONE";#N/A,#N/A,FALSE,"CAPTWO";#N/A,#N/A,FALSE,"CAPTHREE"}</definedName>
    <definedName name="LKAOIS" hidden="1">#REF!</definedName>
    <definedName name="lkashhkhlfj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lkfdjfoied" hidden="1">{#N/A,#N/A,FALSE,"Cover";#N/A,#N/A,FALSE,"Profits";#N/A,#N/A,FALSE,"ABS";#N/A,#N/A,FALSE,"TFLE Detail";#N/A,#N/A,FALSE,"TFLE Walk";#N/A,#N/A,FALSE,"Variable Cost";#N/A,#N/A,FALSE,"V.C. Walk"}</definedName>
    <definedName name="LKGP" hidden="1">#REF!</definedName>
    <definedName name="lkı" hidden="1">{#N/A,#N/A,FALSE,"ihz. icmal";#N/A,#N/A,FALSE,"avans";#N/A,#N/A,FALSE,"mal_FF_icm";#N/A,#N/A,FALSE,"fat_ihz";#N/A,#N/A,FALSE,"söz_fiy_fark";#N/A,#N/A,FALSE,"kap2"}</definedName>
    <definedName name="lkio098" hidden="1">#REF!</definedName>
    <definedName name="lkj" hidden="1">#REF!</definedName>
    <definedName name="lkjh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lkjhgft" hidden="1">{#N/A,#N/A,FALSE,"mgtsum.XLS";#N/A,#N/A,FALSE,"CAPONE";#N/A,#N/A,FALSE,"CAPTWO";#N/A,#N/A,FALSE,"CAPTHREE"}</definedName>
    <definedName name="lkjljkljkl" hidden="1">{#VALUE!,#N/A,TRUE,0;#N/A,#N/A,TRUE,0;#N/A,#N/A,TRUE,0;#N/A,#N/A,TRUE,0;#N/A,#N/A,TRUE,0;#N/A,#N/A,TRUE,0;#N/A,#N/A,TRUE,0}</definedName>
    <definedName name="lkjlkj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lkkkk" hidden="1">{#N/A,#N/A,FALSE,"müş_iç_ihz";#N/A,#N/A,FALSE,"müş_iç_er";#N/A,#N/A,FALSE,"müş_iç_tut"}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hlkjl" hidden="1">{#N/A,#N/A,FALSE,"CCTV"}</definedName>
    <definedName name="lklkljl" hidden="1">{"SUMMARY",#N/A,FALSE,"C"}</definedName>
    <definedName name="lkmjnhbgv" hidden="1">{#N/A,#N/A,FALSE,"mgtsum.XLS";#N/A,#N/A,FALSE,"CAPONE";#N/A,#N/A,FALSE,"CAPTWO";#N/A,#N/A,FALSE,"CAPTHREE"}</definedName>
    <definedName name="lkmnhy" hidden="1">#REF!</definedName>
    <definedName name="lkylk" hidden="1">#REF!</definedName>
    <definedName name="ll">#REF!</definedName>
    <definedName name="ll_2" hidden="1">{#N/A,#N/A,FALSE,"MODULE3"}</definedName>
    <definedName name="ll_3" hidden="1">{#N/A,#N/A,FALSE,"MODULE3"}</definedName>
    <definedName name="LLC" hidden="1">{"PLANNING",#N/A,FALSE,"A"}</definedName>
    <definedName name="LLD">#REF!</definedName>
    <definedName name="LLG">#REF!</definedName>
    <definedName name="lll">#REF!</definedName>
    <definedName name="LM">#N/A</definedName>
    <definedName name="LNKJLKM" hidden="1">{#N/A,#N/A,FALSE,"kal_iç_ihz";#N/A,#N/A,FALSE,"kal_iç_er";#N/A,#N/A,FALSE,"kal_iç_tut"}</definedName>
    <definedName name="lo" hidden="1">{"PLANT BREAKUP",#N/A,FALSE,"E"}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d" hidden="1">#REF!</definedName>
    <definedName name="lohari" hidden="1">{"form-D1",#N/A,FALSE,"FORM-D1";"form-D1_amt",#N/A,FALSE,"FORM-D1"}</definedName>
    <definedName name="lohter" hidden="1">#REF!</definedName>
    <definedName name="lo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oihd" hidden="1">#REF!</definedName>
    <definedName name="loikju" hidden="1">#REF!</definedName>
    <definedName name="loisdnht" hidden="1">#REF!</definedName>
    <definedName name="lopiuuyt" hidden="1">{#N/A,#N/A,FALSE,"mgtsum.XLS";#N/A,#N/A,FALSE,"CAPONE";#N/A,#N/A,FALSE,"CAPTWO";#N/A,#N/A,FALSE,"CAPTHREE"}</definedName>
    <definedName name="loueb" hidden="1">#REF!</definedName>
    <definedName name="lp" hidden="1">#REF!</definedName>
    <definedName name="luı" hidden="1">#REF!</definedName>
    <definedName name="luıo" hidden="1">#REF!,#REF!</definedName>
    <definedName name="lum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_3">#N/A</definedName>
    <definedName name="m_acid">#REF!</definedName>
    <definedName name="m_up">#REF!</definedName>
    <definedName name="M12aE" hidden="1">{"'照明目录'!$A$1:$H$31"}</definedName>
    <definedName name="M2_CFA">#REF!</definedName>
    <definedName name="MA">#REF!</definedName>
    <definedName name="Machinary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macid">#REF!</definedName>
    <definedName name="MACRO_LST">#N/A</definedName>
    <definedName name="MACROS">#N/A</definedName>
    <definedName name="Maguey">#REF!</definedName>
    <definedName name="ma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main_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main_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main_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mal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.HESAP2" hidden="1">{#N/A,#N/A,FALSE,"ihz. icmal";#N/A,#N/A,FALSE,"avans";#N/A,#N/A,FALSE,"mal_FF_icm";#N/A,#N/A,FALSE,"fat_ihz";#N/A,#N/A,FALSE,"söz_fiy_fark";#N/A,#N/A,FALSE,"kap2"}</definedName>
    <definedName name="MAL.F.F.HESAP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3" hidden="1">{#N/A,#N/A,FALSE,"ihz. icmal";#N/A,#N/A,FALSE,"avans";#N/A,#N/A,FALSE,"mal_FF_icm";#N/A,#N/A,FALSE,"fat_ihz";#N/A,#N/A,FALSE,"söz_fiy_fark";#N/A,#N/A,FALSE,"kap2"}</definedName>
    <definedName name="MAL.F.F4" hidden="1">{#N/A,#N/A,FALSE,"ihz. icmal";#N/A,#N/A,FALSE,"avans";#N/A,#N/A,FALSE,"mal_FF_icm";#N/A,#N/A,FALSE,"fat_ihz";#N/A,#N/A,FALSE,"söz_fiy_fark";#N/A,#N/A,FALSE,"kap2"}</definedName>
    <definedName name="MALZEME2" hidden="1">#REF!</definedName>
    <definedName name="Man" hidden="1">{"form-D1",#N/A,FALSE,"FORM-D1";"form-D1_amt",#N/A,FALSE,"FORM-D1"}</definedName>
    <definedName name="mani" hidden="1">{"form-D1",#N/A,FALSE,"FORM-D1";"form-D1_amt",#N/A,FALSE,"FORM-D1"}</definedName>
    <definedName name="mani_1" hidden="1">{"form-D1",#N/A,FALSE,"FORM-D1";"form-D1_amt",#N/A,FALSE,"FORM-D1"}</definedName>
    <definedName name="mani_2" hidden="1">{"form-D1",#N/A,FALSE,"FORM-D1";"form-D1_amt",#N/A,FALSE,"FORM-D1"}</definedName>
    <definedName name="mani_3" hidden="1">{"form-D1",#N/A,FALSE,"FORM-D1";"form-D1_amt",#N/A,FALSE,"FORM-D1"}</definedName>
    <definedName name="Manish" hidden="1">{"form-D1",#N/A,FALSE,"FORM-D1";"form-D1_amt",#N/A,FALSE,"FORM-D1"}</definedName>
    <definedName name="Manish_1" hidden="1">{"form-D1",#N/A,FALSE,"FORM-D1";"form-D1_amt",#N/A,FALSE,"FORM-D1"}</definedName>
    <definedName name="Manish_2" hidden="1">{"form-D1",#N/A,FALSE,"FORM-D1";"form-D1_amt",#N/A,FALSE,"FORM-D1"}</definedName>
    <definedName name="Manish_3" hidden="1">{"form-D1",#N/A,FALSE,"FORM-D1";"form-D1_amt",#N/A,FALSE,"FORM-D1"}</definedName>
    <definedName name="manpow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arch">#REF!</definedName>
    <definedName name="march_1" hidden="1">{"'Sheet1'!$A$4386:$N$4591"}</definedName>
    <definedName name="march_2" hidden="1">{"'Sheet1'!$A$4386:$N$4591"}</definedName>
    <definedName name="march_3" hidden="1">{"'Sheet1'!$A$4386:$N$4591"}</definedName>
    <definedName name="markf">#REF!</definedName>
    <definedName name="MARKL">#REF!</definedName>
    <definedName name="MARKP">#REF!</definedName>
    <definedName name="MarkUp36">#REF!</definedName>
    <definedName name="MarkUp36C">#REF!</definedName>
    <definedName name="MarkUp76">#REF!</definedName>
    <definedName name="MarkUp76C">#REF!</definedName>
    <definedName name="MarkupAdjustment1">#REF!</definedName>
    <definedName name="MarkupAdjustment1.1">#REF!</definedName>
    <definedName name="MarkupAdjustment1C">#REF!</definedName>
    <definedName name="MarkupAdjustment2">#REF!</definedName>
    <definedName name="masa" hidden="1">{"'000228 出張報告書'!$A$1:$AE$60"}</definedName>
    <definedName name="Masonry">#REF!</definedName>
    <definedName name="MaterialToBeCrushed">#REF!</definedName>
    <definedName name="MaterialToBeScreened">#REF!</definedName>
    <definedName name="MatFac">1</definedName>
    <definedName name="matl">#REF!</definedName>
    <definedName name="matlsdim">#REF!</definedName>
    <definedName name="matlssds">#REF!</definedName>
    <definedName name="matlssewer">#REF!</definedName>
    <definedName name="MATLTO" hidden="1">#REF!</definedName>
    <definedName name="May" hidden="1">{#N/A,#N/A,FALSE,"MARCH"}</definedName>
    <definedName name="MC_">#REF!</definedName>
    <definedName name="MCB">#REF!</definedName>
    <definedName name="mcc" hidden="1">{#N/A,#N/A,TRUE,"Sheet1";#N/A,#N/A,TRUE,"Sheet2";#N/A,#N/A,TRUE,"Sheet3";#N/A,#N/A,TRUE,"Sheet4"}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D">#REF!</definedName>
    <definedName name="mdc">#REF!</definedName>
    <definedName name="ME" hidden="1">{"CASH FLOW",#N/A,FALSE,"A"}</definedName>
    <definedName name="MECH">#REF!</definedName>
    <definedName name="MECH_PROD">#N/A</definedName>
    <definedName name="MECH30_HRS">#N/A</definedName>
    <definedName name="MECH30_LAB">#N/A</definedName>
    <definedName name="MECH30_MAT">#N/A</definedName>
    <definedName name="MECH30_PROD">#N/A</definedName>
    <definedName name="MECH30_S_C">#N/A</definedName>
    <definedName name="MECH30_SC">#N/A</definedName>
    <definedName name="MECH30_TOT">#N/A</definedName>
    <definedName name="MechCleanRm">#REF!</definedName>
    <definedName name="Mechlabrate">#REF!</definedName>
    <definedName name="megawide" hidden="1">{#N/A,#N/A,FALSE,"Aging Summary";#N/A,#N/A,FALSE,"Ratio Analysis";#N/A,#N/A,FALSE,"Test 120 Day Accts";#N/A,#N/A,FALSE,"Tickmarks"}</definedName>
    <definedName name="ME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NU">#N/A</definedName>
    <definedName name="MENU10">#N/A</definedName>
    <definedName name="MENU11">#N/A</definedName>
    <definedName name="MENU12">#N/A</definedName>
    <definedName name="MENU13">#N/A</definedName>
    <definedName name="MENU14">#N/A</definedName>
    <definedName name="MENU15">#N/A</definedName>
    <definedName name="MENU16">#N/A</definedName>
    <definedName name="MENU2">#N/A</definedName>
    <definedName name="MENU3">#N/A</definedName>
    <definedName name="MENU4">#N/A</definedName>
    <definedName name="MENU5">#N/A</definedName>
    <definedName name="MENU6">#N/A</definedName>
    <definedName name="MENU7">#N/A</definedName>
    <definedName name="MENU8">#N/A</definedName>
    <definedName name="MENU9">#N/A</definedName>
    <definedName name="MEPFT3">#REF!</definedName>
    <definedName name="MEPFT4">#REF!</definedName>
    <definedName name="Metalwork">#REF!</definedName>
    <definedName name="metering" hidden="1">#REF!</definedName>
    <definedName name="MEWarning" hidden="1">1</definedName>
    <definedName name="MFACTOR1">#REF!</definedName>
    <definedName name="MFACTOR2">#REF!</definedName>
    <definedName name="mg">#REF!</definedName>
    <definedName name="mha">#REF!</definedName>
    <definedName name="mhay" hidden="1">#REF!</definedName>
    <definedName name="mhjj" hidden="1">{"'Bill No. 7'!$A$1:$G$32"}</definedName>
    <definedName name="mhjj_1" hidden="1">{"'Bill No. 7'!$A$1:$G$32"}</definedName>
    <definedName name="mhjj_2" hidden="1">{"'Bill No. 7'!$A$1:$G$32"}</definedName>
    <definedName name="mhjj_3" hidden="1">{"'Bill No. 7'!$A$1:$G$32"}</definedName>
    <definedName name="MHR">#REF!</definedName>
    <definedName name="MhrFac">1</definedName>
    <definedName name="mhs">#REF!</definedName>
    <definedName name="mhsealant">#REF!</definedName>
    <definedName name="mi" hidden="1">{"FTS",#N/A,FALSE,"E"}</definedName>
    <definedName name="michelle" hidden="1">OFFSET([0]!Data.Top.Left,1,0)</definedName>
    <definedName name="Million">1000000</definedName>
    <definedName name="mimim" hidden="1">{"CASH FLOW",#N/A,FALSE,"A"}</definedName>
    <definedName name="MIN">#REF!</definedName>
    <definedName name="min_wag">#REF!</definedName>
    <definedName name="MISC">#REF!</definedName>
    <definedName name="misc_BWIC">#REF!</definedName>
    <definedName name="misc_FRP_Enclosures">#REF!</definedName>
    <definedName name="misc_Hot_taps">#REF!</definedName>
    <definedName name="misc_Labels">#REF!</definedName>
    <definedName name="misc_Painting">#REF!</definedName>
    <definedName name="MISC_SP">#REF!</definedName>
    <definedName name="MiscFac">1</definedName>
    <definedName name="MisFac">1</definedName>
    <definedName name="mito" hidden="1">{#N/A,#N/A,FALSE,"India - 3f";#N/A,#N/A,FALSE,"India - 3";#N/A,#N/A,FALSE,"India - 4f";#N/A,#N/A,FALSE,"India - 4";#N/A,#N/A,FALSE,"Retail Spider"}</definedName>
    <definedName name="MK">#REF!</definedName>
    <definedName name="mkliop" hidden="1">{#N/A,#N/A,FALSE,"mgtsum.XLS";#N/A,#N/A,FALSE,"CAPONE";#N/A,#N/A,FALSE,"CAPTWO";#N/A,#N/A,FALSE,"CAPTHREE"}</definedName>
    <definedName name="ML">#REF!</definedName>
    <definedName name="Mlz.Mik.Hs.Tb." hidden="1">{#N/A,#N/A,FALSE,"Çaykara ataköy (1)";#N/A,#N/A,FALSE,"Çaykara ataköy (2)";#N/A,#N/A,FALSE,"Rize Kalkandere ";#N/A,#N/A,FALSE,"meydancık";#N/A,#N/A,FALSE,"muratlı"}</definedName>
    <definedName name="mm">#REF!</definedName>
    <definedName name="mmm">#N/A</definedName>
    <definedName name="mmmmm" hidden="1">{#N/A,#N/A,FALSE,"CCTV"}</definedName>
    <definedName name="mohan" hidden="1">{"form-D1",#N/A,FALSE,"FORM-D1";"form-D1_amt",#N/A,FALSE,"FORM-D1"}</definedName>
    <definedName name="MÖMMMMM" hidden="1">{#VALUE!,#N/A,FALSE,0;#N/A,#N/A,FALSE,0;#N/A,#N/A,FALSE,0;#N/A,#N/A,FALSE,0;#N/A,#N/A,FALSE,0;#N/A,#N/A,FALSE,0;#N/A,#N/A,FALSE,0;#N/A,#N/A,FALSE,0;#N/A,#N/A,FALSE,0;#N/A,#N/A,FALSE,0;#N/A,#N/A,FALSE,0;#N/A,#N/A,FALSE,0}</definedName>
    <definedName name="MontlyPercentCompletion">#REF!</definedName>
    <definedName name="MOS_Arcylic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mouli" hidden="1">{"'Sheet1'!$A$4386:$N$4591"}</definedName>
    <definedName name="Move">#REF!</definedName>
    <definedName name="MR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sjdjhk" hidden="1">{"PLANT BREAKUP",#N/A,FALSE,"E"}</definedName>
    <definedName name="msraju" hidden="1">{"'Sheet1'!$A$4386:$N$4591"}</definedName>
    <definedName name="mtrlds">#REF!</definedName>
    <definedName name="mtrles">#REF!</definedName>
    <definedName name="mtrlss">#REF!</definedName>
    <definedName name="mtrltel">#REF!</definedName>
    <definedName name="mtrlwt">#REF!</definedName>
    <definedName name="mtrrew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mu_gmp">#REF!</definedName>
    <definedName name="mu_mdc">#REF!</definedName>
    <definedName name="mu_slex">#REF!</definedName>
    <definedName name="mule">#REF!</definedName>
    <definedName name="Multiplier">#REF!</definedName>
    <definedName name="Multiplier1">#REF!</definedName>
    <definedName name="mum">#REF!</definedName>
    <definedName name="mumumu" hidden="1">#REF!</definedName>
    <definedName name="mura" hidden="1">{"PLANNING",#N/A,FALSE,"A"}</definedName>
    <definedName name="murali" hidden="1">{"PLANNING",#N/A,FALSE,"A"}</definedName>
    <definedName name="mus">#REF!</definedName>
    <definedName name="myrtet" hidden="1">{"PLANT BREAKUP",#N/A,FALSE,"E"}</definedName>
    <definedName name="N">#REF!</definedName>
    <definedName name="na" hidden="1">{#N/A,#N/A,TRUE,"Report";#N/A,#N/A,TRUE,"Trade Summary";#N/A,#N/A,TRUE,"ProvSums";#N/A,#N/A,TRUE,"VOs";#N/A,#N/A,TRUE,"Cashflow";#N/A,#N/A,TRUE,"Cover";#N/A,#N/A,TRUE,"Reconcile"}</definedName>
    <definedName name="nakits" hidden="1">#REF!</definedName>
    <definedName name="NAME" hidden="1">#REF!</definedName>
    <definedName name="name1">#REF!</definedName>
    <definedName name="name2">#REF!</definedName>
    <definedName name="name3">#REF!</definedName>
    <definedName name="NAMES">#N/A</definedName>
    <definedName name="nami" hidden="1">{"form-D1",#N/A,FALSE,"FORM-D1";"form-D1_amt",#N/A,FALSE,"FORM-D1"}</definedName>
    <definedName name="nandan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nb" hidden="1">{"'장비'!$A$3:$M$12"}</definedName>
    <definedName name="n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bvazqw345" hidden="1">#REF!</definedName>
    <definedName name="ncik" hidden="1">{"proc_tot_nums",#N/A,TRUE,"Act Numbers";"summary_proc",#N/A,TRUE,"Blank1";"PlanProc",#N/A,TRUE,"PlanProc";"process graphs",#N/A,TRUE,"graphs&amp;data";"proj_nums",#N/A,TRUE,"Act Numbers";"Internal_Proj",#N/A,TRUE,"Internal Proj.";#N/A,#N/A,TRUE,"Plan ProjProg";"project graphs",#N/A,TRUE,"graphs&amp;data";"mtm_proc",#N/A,TRUE,"MTM Proc";"MTM_proj",#N/A,TRUE,"MTM Proj"}</definedName>
    <definedName name="nddddddddf" hidden="1">{#N/A,#N/A,TRUE,"Cover";#N/A,#N/A,TRUE,"Conts";#N/A,#N/A,TRUE,"VOS";#N/A,#N/A,TRUE,"Warrington";#N/A,#N/A,TRUE,"Widnes"}</definedName>
    <definedName name="necdet" hidden="1">#REF!</definedName>
    <definedName name="NetEstimatedCost">#REF!</definedName>
    <definedName name="new">#REF!</definedName>
    <definedName name="new_1" hidden="1">{#N/A,#N/A,TRUE,"Equipment installation bm"}</definedName>
    <definedName name="new_1_1" hidden="1">{#N/A,#N/A,TRUE,"Equipment installation bm"}</definedName>
    <definedName name="new_1_1_1" hidden="1">{#N/A,#N/A,TRUE,"Equipment installation bm"}</definedName>
    <definedName name="new_1_1_2" hidden="1">{#N/A,#N/A,TRUE,"Equipment installation bm"}</definedName>
    <definedName name="new_1_1_3" hidden="1">{#N/A,#N/A,TRUE,"Equipment installation bm"}</definedName>
    <definedName name="new_1_1_4" hidden="1">{#N/A,#N/A,TRUE,"Equipment installation bm"}</definedName>
    <definedName name="new_1_1_5" hidden="1">{#N/A,#N/A,TRUE,"Equipment installation bm"}</definedName>
    <definedName name="new_1_2" hidden="1">{#N/A,#N/A,TRUE,"Equipment installation bm"}</definedName>
    <definedName name="new_1_2_1" hidden="1">{#N/A,#N/A,TRUE,"Equipment installation bm"}</definedName>
    <definedName name="new_1_2_2" hidden="1">{#N/A,#N/A,TRUE,"Equipment installation bm"}</definedName>
    <definedName name="new_1_2_3" hidden="1">{#N/A,#N/A,TRUE,"Equipment installation bm"}</definedName>
    <definedName name="new_1_2_4" hidden="1">{#N/A,#N/A,TRUE,"Equipment installation bm"}</definedName>
    <definedName name="new_1_2_5" hidden="1">{#N/A,#N/A,TRUE,"Equipment installation bm"}</definedName>
    <definedName name="new_1_3" hidden="1">{#N/A,#N/A,TRUE,"Equipment installation bm"}</definedName>
    <definedName name="new_1_3_1" hidden="1">{#N/A,#N/A,TRUE,"Equipment installation bm"}</definedName>
    <definedName name="new_1_3_2" hidden="1">{#N/A,#N/A,TRUE,"Equipment installation bm"}</definedName>
    <definedName name="new_1_3_3" hidden="1">{#N/A,#N/A,TRUE,"Equipment installation bm"}</definedName>
    <definedName name="new_1_3_4" hidden="1">{#N/A,#N/A,TRUE,"Equipment installation bm"}</definedName>
    <definedName name="new_1_3_5" hidden="1">{#N/A,#N/A,TRUE,"Equipment installation bm"}</definedName>
    <definedName name="new_1_4" hidden="1">{#N/A,#N/A,TRUE,"Equipment installation bm"}</definedName>
    <definedName name="new_1_4_1" hidden="1">{#N/A,#N/A,TRUE,"Equipment installation bm"}</definedName>
    <definedName name="new_1_4_2" hidden="1">{#N/A,#N/A,TRUE,"Equipment installation bm"}</definedName>
    <definedName name="new_1_4_3" hidden="1">{#N/A,#N/A,TRUE,"Equipment installation bm"}</definedName>
    <definedName name="new_1_4_4" hidden="1">{#N/A,#N/A,TRUE,"Equipment installation bm"}</definedName>
    <definedName name="new_1_4_5" hidden="1">{#N/A,#N/A,TRUE,"Equipment installation bm"}</definedName>
    <definedName name="new_1_5" hidden="1">{#N/A,#N/A,TRUE,"Equipment installation bm"}</definedName>
    <definedName name="new_1_5_1" hidden="1">{#N/A,#N/A,TRUE,"Equipment installation bm"}</definedName>
    <definedName name="new_1_5_2" hidden="1">{#N/A,#N/A,TRUE,"Equipment installation bm"}</definedName>
    <definedName name="new_1_5_3" hidden="1">{#N/A,#N/A,TRUE,"Equipment installation bm"}</definedName>
    <definedName name="new_1_5_4" hidden="1">{#N/A,#N/A,TRUE,"Equipment installation bm"}</definedName>
    <definedName name="new_1_5_5" hidden="1">{#N/A,#N/A,TRUE,"Equipment installation bm"}</definedName>
    <definedName name="new_2" hidden="1">{#N/A,#N/A,TRUE,"Equipment installation bm"}</definedName>
    <definedName name="new_2_1" hidden="1">{#N/A,#N/A,TRUE,"Equipment installation bm"}</definedName>
    <definedName name="new_2_1_1" hidden="1">{#N/A,#N/A,TRUE,"Equipment installation bm"}</definedName>
    <definedName name="new_2_1_2" hidden="1">{#N/A,#N/A,TRUE,"Equipment installation bm"}</definedName>
    <definedName name="new_2_1_3" hidden="1">{#N/A,#N/A,TRUE,"Equipment installation bm"}</definedName>
    <definedName name="new_2_1_4" hidden="1">{#N/A,#N/A,TRUE,"Equipment installation bm"}</definedName>
    <definedName name="new_2_1_5" hidden="1">{#N/A,#N/A,TRUE,"Equipment installation bm"}</definedName>
    <definedName name="new_2_2" hidden="1">{#N/A,#N/A,TRUE,"Equipment installation bm"}</definedName>
    <definedName name="new_2_2_1" hidden="1">{#N/A,#N/A,TRUE,"Equipment installation bm"}</definedName>
    <definedName name="new_2_2_2" hidden="1">{#N/A,#N/A,TRUE,"Equipment installation bm"}</definedName>
    <definedName name="new_2_2_3" hidden="1">{#N/A,#N/A,TRUE,"Equipment installation bm"}</definedName>
    <definedName name="new_2_2_4" hidden="1">{#N/A,#N/A,TRUE,"Equipment installation bm"}</definedName>
    <definedName name="new_2_2_5" hidden="1">{#N/A,#N/A,TRUE,"Equipment installation bm"}</definedName>
    <definedName name="new_2_3" hidden="1">{#N/A,#N/A,TRUE,"Equipment installation bm"}</definedName>
    <definedName name="new_2_3_1" hidden="1">{#N/A,#N/A,TRUE,"Equipment installation bm"}</definedName>
    <definedName name="new_2_3_2" hidden="1">{#N/A,#N/A,TRUE,"Equipment installation bm"}</definedName>
    <definedName name="new_2_3_3" hidden="1">{#N/A,#N/A,TRUE,"Equipment installation bm"}</definedName>
    <definedName name="new_2_3_4" hidden="1">{#N/A,#N/A,TRUE,"Equipment installation bm"}</definedName>
    <definedName name="new_2_3_5" hidden="1">{#N/A,#N/A,TRUE,"Equipment installation bm"}</definedName>
    <definedName name="new_2_4" hidden="1">{#N/A,#N/A,TRUE,"Equipment installation bm"}</definedName>
    <definedName name="new_2_4_1" hidden="1">{#N/A,#N/A,TRUE,"Equipment installation bm"}</definedName>
    <definedName name="new_2_4_2" hidden="1">{#N/A,#N/A,TRUE,"Equipment installation bm"}</definedName>
    <definedName name="new_2_4_3" hidden="1">{#N/A,#N/A,TRUE,"Equipment installation bm"}</definedName>
    <definedName name="new_2_4_4" hidden="1">{#N/A,#N/A,TRUE,"Equipment installation bm"}</definedName>
    <definedName name="new_2_4_5" hidden="1">{#N/A,#N/A,TRUE,"Equipment installation bm"}</definedName>
    <definedName name="new_2_5" hidden="1">{#N/A,#N/A,TRUE,"Equipment installation bm"}</definedName>
    <definedName name="new_2_5_1" hidden="1">{#N/A,#N/A,TRUE,"Equipment installation bm"}</definedName>
    <definedName name="new_2_5_2" hidden="1">{#N/A,#N/A,TRUE,"Equipment installation bm"}</definedName>
    <definedName name="new_2_5_3" hidden="1">{#N/A,#N/A,TRUE,"Equipment installation bm"}</definedName>
    <definedName name="new_2_5_4" hidden="1">{#N/A,#N/A,TRUE,"Equipment installation bm"}</definedName>
    <definedName name="new_2_5_5" hidden="1">{#N/A,#N/A,TRUE,"Equipment installation bm"}</definedName>
    <definedName name="new_3" hidden="1">{#N/A,#N/A,TRUE,"Equipment installation bm"}</definedName>
    <definedName name="new_3_1" hidden="1">{#N/A,#N/A,TRUE,"Equipment installation bm"}</definedName>
    <definedName name="new_3_1_1" hidden="1">{#N/A,#N/A,TRUE,"Equipment installation bm"}</definedName>
    <definedName name="new_3_1_2" hidden="1">{#N/A,#N/A,TRUE,"Equipment installation bm"}</definedName>
    <definedName name="new_3_1_3" hidden="1">{#N/A,#N/A,TRUE,"Equipment installation bm"}</definedName>
    <definedName name="new_3_1_4" hidden="1">{#N/A,#N/A,TRUE,"Equipment installation bm"}</definedName>
    <definedName name="new_3_1_5" hidden="1">{#N/A,#N/A,TRUE,"Equipment installation bm"}</definedName>
    <definedName name="new_3_2" hidden="1">{#N/A,#N/A,TRUE,"Equipment installation bm"}</definedName>
    <definedName name="new_3_2_1" hidden="1">{#N/A,#N/A,TRUE,"Equipment installation bm"}</definedName>
    <definedName name="new_3_2_2" hidden="1">{#N/A,#N/A,TRUE,"Equipment installation bm"}</definedName>
    <definedName name="new_3_2_3" hidden="1">{#N/A,#N/A,TRUE,"Equipment installation bm"}</definedName>
    <definedName name="new_3_2_4" hidden="1">{#N/A,#N/A,TRUE,"Equipment installation bm"}</definedName>
    <definedName name="new_3_2_5" hidden="1">{#N/A,#N/A,TRUE,"Equipment installation bm"}</definedName>
    <definedName name="new_3_3" hidden="1">{#N/A,#N/A,TRUE,"Equipment installation bm"}</definedName>
    <definedName name="new_3_3_1" hidden="1">{#N/A,#N/A,TRUE,"Equipment installation bm"}</definedName>
    <definedName name="new_3_3_2" hidden="1">{#N/A,#N/A,TRUE,"Equipment installation bm"}</definedName>
    <definedName name="new_3_3_3" hidden="1">{#N/A,#N/A,TRUE,"Equipment installation bm"}</definedName>
    <definedName name="new_3_3_4" hidden="1">{#N/A,#N/A,TRUE,"Equipment installation bm"}</definedName>
    <definedName name="new_3_3_5" hidden="1">{#N/A,#N/A,TRUE,"Equipment installation bm"}</definedName>
    <definedName name="new_3_4" hidden="1">{#N/A,#N/A,TRUE,"Equipment installation bm"}</definedName>
    <definedName name="new_3_4_1" hidden="1">{#N/A,#N/A,TRUE,"Equipment installation bm"}</definedName>
    <definedName name="new_3_4_2" hidden="1">{#N/A,#N/A,TRUE,"Equipment installation bm"}</definedName>
    <definedName name="new_3_4_3" hidden="1">{#N/A,#N/A,TRUE,"Equipment installation bm"}</definedName>
    <definedName name="new_3_4_4" hidden="1">{#N/A,#N/A,TRUE,"Equipment installation bm"}</definedName>
    <definedName name="new_3_4_5" hidden="1">{#N/A,#N/A,TRUE,"Equipment installation bm"}</definedName>
    <definedName name="new_3_5" hidden="1">{#N/A,#N/A,TRUE,"Equipment installation bm"}</definedName>
    <definedName name="new_3_5_1" hidden="1">{#N/A,#N/A,TRUE,"Equipment installation bm"}</definedName>
    <definedName name="new_3_5_2" hidden="1">{#N/A,#N/A,TRUE,"Equipment installation bm"}</definedName>
    <definedName name="new_3_5_3" hidden="1">{#N/A,#N/A,TRUE,"Equipment installation bm"}</definedName>
    <definedName name="new_3_5_4" hidden="1">{#N/A,#N/A,TRUE,"Equipment installation bm"}</definedName>
    <definedName name="new_3_5_5" hidden="1">{#N/A,#N/A,TRUE,"Equipment installation bm"}</definedName>
    <definedName name="new_4" hidden="1">{#N/A,#N/A,TRUE,"Equipment installation bm"}</definedName>
    <definedName name="new_4_1" hidden="1">{#N/A,#N/A,TRUE,"Equipment installation bm"}</definedName>
    <definedName name="new_4_1_1" hidden="1">{#N/A,#N/A,TRUE,"Equipment installation bm"}</definedName>
    <definedName name="new_4_1_2" hidden="1">{#N/A,#N/A,TRUE,"Equipment installation bm"}</definedName>
    <definedName name="new_4_1_3" hidden="1">{#N/A,#N/A,TRUE,"Equipment installation bm"}</definedName>
    <definedName name="new_4_1_4" hidden="1">{#N/A,#N/A,TRUE,"Equipment installation bm"}</definedName>
    <definedName name="new_4_1_5" hidden="1">{#N/A,#N/A,TRUE,"Equipment installation bm"}</definedName>
    <definedName name="new_4_2" hidden="1">{#N/A,#N/A,TRUE,"Equipment installation bm"}</definedName>
    <definedName name="new_4_2_1" hidden="1">{#N/A,#N/A,TRUE,"Equipment installation bm"}</definedName>
    <definedName name="new_4_2_2" hidden="1">{#N/A,#N/A,TRUE,"Equipment installation bm"}</definedName>
    <definedName name="new_4_2_3" hidden="1">{#N/A,#N/A,TRUE,"Equipment installation bm"}</definedName>
    <definedName name="new_4_2_4" hidden="1">{#N/A,#N/A,TRUE,"Equipment installation bm"}</definedName>
    <definedName name="new_4_2_5" hidden="1">{#N/A,#N/A,TRUE,"Equipment installation bm"}</definedName>
    <definedName name="new_4_3" hidden="1">{#N/A,#N/A,TRUE,"Equipment installation bm"}</definedName>
    <definedName name="new_4_3_1" hidden="1">{#N/A,#N/A,TRUE,"Equipment installation bm"}</definedName>
    <definedName name="new_4_3_2" hidden="1">{#N/A,#N/A,TRUE,"Equipment installation bm"}</definedName>
    <definedName name="new_4_3_3" hidden="1">{#N/A,#N/A,TRUE,"Equipment installation bm"}</definedName>
    <definedName name="new_4_3_4" hidden="1">{#N/A,#N/A,TRUE,"Equipment installation bm"}</definedName>
    <definedName name="new_4_3_5" hidden="1">{#N/A,#N/A,TRUE,"Equipment installation bm"}</definedName>
    <definedName name="new_4_4" hidden="1">{#N/A,#N/A,TRUE,"Equipment installation bm"}</definedName>
    <definedName name="new_4_4_1" hidden="1">{#N/A,#N/A,TRUE,"Equipment installation bm"}</definedName>
    <definedName name="new_4_4_2" hidden="1">{#N/A,#N/A,TRUE,"Equipment installation bm"}</definedName>
    <definedName name="new_4_4_3" hidden="1">{#N/A,#N/A,TRUE,"Equipment installation bm"}</definedName>
    <definedName name="new_4_4_4" hidden="1">{#N/A,#N/A,TRUE,"Equipment installation bm"}</definedName>
    <definedName name="new_4_4_5" hidden="1">{#N/A,#N/A,TRUE,"Equipment installation bm"}</definedName>
    <definedName name="new_4_5" hidden="1">{#N/A,#N/A,TRUE,"Equipment installation bm"}</definedName>
    <definedName name="new_4_5_1" hidden="1">{#N/A,#N/A,TRUE,"Equipment installation bm"}</definedName>
    <definedName name="new_4_5_2" hidden="1">{#N/A,#N/A,TRUE,"Equipment installation bm"}</definedName>
    <definedName name="new_4_5_3" hidden="1">{#N/A,#N/A,TRUE,"Equipment installation bm"}</definedName>
    <definedName name="new_4_5_4" hidden="1">{#N/A,#N/A,TRUE,"Equipment installation bm"}</definedName>
    <definedName name="new_4_5_5" hidden="1">{#N/A,#N/A,TRUE,"Equipment installation bm"}</definedName>
    <definedName name="new_5" hidden="1">{#N/A,#N/A,TRUE,"Equipment installation bm"}</definedName>
    <definedName name="new_5_1" hidden="1">{#N/A,#N/A,TRUE,"Equipment installation bm"}</definedName>
    <definedName name="new_5_1_1" hidden="1">{#N/A,#N/A,TRUE,"Equipment installation bm"}</definedName>
    <definedName name="new_5_1_2" hidden="1">{#N/A,#N/A,TRUE,"Equipment installation bm"}</definedName>
    <definedName name="new_5_1_3" hidden="1">{#N/A,#N/A,TRUE,"Equipment installation bm"}</definedName>
    <definedName name="new_5_1_4" hidden="1">{#N/A,#N/A,TRUE,"Equipment installation bm"}</definedName>
    <definedName name="new_5_1_5" hidden="1">{#N/A,#N/A,TRUE,"Equipment installation bm"}</definedName>
    <definedName name="new_5_2" hidden="1">{#N/A,#N/A,TRUE,"Equipment installation bm"}</definedName>
    <definedName name="new_5_2_1" hidden="1">{#N/A,#N/A,TRUE,"Equipment installation bm"}</definedName>
    <definedName name="new_5_2_2" hidden="1">{#N/A,#N/A,TRUE,"Equipment installation bm"}</definedName>
    <definedName name="new_5_2_3" hidden="1">{#N/A,#N/A,TRUE,"Equipment installation bm"}</definedName>
    <definedName name="new_5_2_4" hidden="1">{#N/A,#N/A,TRUE,"Equipment installation bm"}</definedName>
    <definedName name="new_5_2_5" hidden="1">{#N/A,#N/A,TRUE,"Equipment installation bm"}</definedName>
    <definedName name="new_5_3" hidden="1">{#N/A,#N/A,TRUE,"Equipment installation bm"}</definedName>
    <definedName name="new_5_3_1" hidden="1">{#N/A,#N/A,TRUE,"Equipment installation bm"}</definedName>
    <definedName name="new_5_3_2" hidden="1">{#N/A,#N/A,TRUE,"Equipment installation bm"}</definedName>
    <definedName name="new_5_3_3" hidden="1">{#N/A,#N/A,TRUE,"Equipment installation bm"}</definedName>
    <definedName name="new_5_3_4" hidden="1">{#N/A,#N/A,TRUE,"Equipment installation bm"}</definedName>
    <definedName name="new_5_3_5" hidden="1">{#N/A,#N/A,TRUE,"Equipment installation bm"}</definedName>
    <definedName name="new_5_4" hidden="1">{#N/A,#N/A,TRUE,"Equipment installation bm"}</definedName>
    <definedName name="new_5_4_1" hidden="1">{#N/A,#N/A,TRUE,"Equipment installation bm"}</definedName>
    <definedName name="new_5_4_2" hidden="1">{#N/A,#N/A,TRUE,"Equipment installation bm"}</definedName>
    <definedName name="new_5_4_3" hidden="1">{#N/A,#N/A,TRUE,"Equipment installation bm"}</definedName>
    <definedName name="new_5_4_4" hidden="1">{#N/A,#N/A,TRUE,"Equipment installation bm"}</definedName>
    <definedName name="new_5_4_5" hidden="1">{#N/A,#N/A,TRUE,"Equipment installation bm"}</definedName>
    <definedName name="new_5_5" hidden="1">{#N/A,#N/A,TRUE,"Equipment installation bm"}</definedName>
    <definedName name="new_5_5_1" hidden="1">{#N/A,#N/A,TRUE,"Equipment installation bm"}</definedName>
    <definedName name="new_5_5_2" hidden="1">{#N/A,#N/A,TRUE,"Equipment installation bm"}</definedName>
    <definedName name="new_5_5_3" hidden="1">{#N/A,#N/A,TRUE,"Equipment installation bm"}</definedName>
    <definedName name="new_5_5_4" hidden="1">{#N/A,#N/A,TRUE,"Equipment installation bm"}</definedName>
    <definedName name="new_5_5_5" hidden="1">{#N/A,#N/A,TRUE,"Equipment installation bm"}</definedName>
    <definedName name="newdara" hidden="1">OFFSET([0]!Data.Top.Left,1,0)</definedName>
    <definedName name="NEWNAME" hidden="1">{#N/A,#N/A,FALSE,"CCTV"}</definedName>
    <definedName name="NEWROW1">#N/A</definedName>
    <definedName name="NEWROW3">#N/A</definedName>
    <definedName name="NEWROW4">#N/A</definedName>
    <definedName name="ney" hidden="1">{#N/A,#N/A,FALSE,"CAPTION LIST (As-Built)";#N/A,#N/A,FALSE,"DOCUMENT LIST (As-Built)";#N/A,#N/A,FALSE,"PLANT SPECIFICATION";#N/A,#N/A,FALSE,"PRODUCT LIST"}</definedName>
    <definedName name="NGC">#REF!</definedName>
    <definedName name="NH">#REF!</definedName>
    <definedName name="NHN">#REF!</definedName>
    <definedName name="nhy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Nick" hidden="1">{"proc_tot_nums",#N/A,TRUE,"Act Numbers";"summary_proc",#N/A,TRUE,"Blank1";"PlanProc",#N/A,TRUE,"PlanProc";"process graphs",#N/A,TRUE,"graphs&amp;data";"proj_nums",#N/A,TRUE,"Act Numbers";"Internal_Proj",#N/A,TRUE,"Internal Proj.";#N/A,#N/A,TRUE,"Plan ProjProg";"project graphs",#N/A,TRUE,"graphs&amp;data";"mtm_proc",#N/A,TRUE,"MTM Proc";"MTM_proj",#N/A,TRUE,"MTM Proj"}</definedName>
    <definedName name="NINE">#REF!</definedName>
    <definedName name="NINETEEN">#REF!</definedName>
    <definedName name="njhjhj" hidden="1">{#N/A,#N/A,FALSE,"COVER1.XLS ";#N/A,#N/A,FALSE,"RACT1.XLS";#N/A,#N/A,FALSE,"RACT2.XLS";#N/A,#N/A,FALSE,"ECCMP";#N/A,#N/A,FALSE,"WELDER.XLS"}</definedName>
    <definedName name="nkknk" hidden="1">{#N/A,#N/A,FALSE,"CCTV"}</definedName>
    <definedName name="nllsmfsmf" hidden="1">{#N/A,#N/A,FALSE,"Profit Status";#N/A,#N/A,FALSE,"Invest";#N/A,#N/A,FALSE,"Revenue";#N/A,#N/A,FALSE,"Variable Cost";#N/A,#N/A,FALSE,"Options &amp; Series"}</definedName>
    <definedName name="NM">#REF!</definedName>
    <definedName name="NMASC1" hidden="1">{"'Sheet1'!$A$4386:$N$4591"}</definedName>
    <definedName name="nmkljmkl" hidden="1">{#N/A,#N/A,FALSE,"India - 3f";#N/A,#N/A,FALSE,"India - 3";#N/A,#N/A,FALSE,"India - 4f";#N/A,#N/A,FALSE,"India - 4";#N/A,#N/A,FALSE,"Retail Spider"}</definedName>
    <definedName name="nmqwaz" hidden="1">{#N/A,#N/A,TRUE,"Str.";#N/A,#N/A,TRUE,"Steel &amp; Roof";#N/A,#N/A,TRUE,"Arc.";#N/A,#N/A,TRUE,"Preliminary";#N/A,#N/A,TRUE,"Sum_Prelim"}</definedName>
    <definedName name="nn" hidden="1">{"FTS",#N/A,FALSE,"E"}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_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nnn_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nnn_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NNNN" hidden="1">#REF!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nnn" hidden="1">#REF!</definedName>
    <definedName name="No0">#REF!</definedName>
    <definedName name="noc">#REF!</definedName>
    <definedName name="nogmaals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NOSW" hidden="1">{"'Sheet1'!$A$4386:$N$4591"}</definedName>
    <definedName name="note">#N/A</definedName>
    <definedName name="notes">#N/A</definedName>
    <definedName name="nr" hidden="1">#REF!</definedName>
    <definedName name="nry" hidden="1">{"offequipsch",#N/A,FALSE,"GTC_Schedule";"onconstsch",#N/A,FALSE,"GTC_Schedule";"techsch",#N/A,FALSE,"GTC_Schedule";"totsch",#N/A,FALSE,"GTC_Schedule"}</definedName>
    <definedName name="NS">#REF!</definedName>
    <definedName name="ntr" hidden="1">#REF!</definedName>
    <definedName name="NVBNBNVBN" hidden="1">{#VALUE!,#N/A,FALSE,0;#N/A,#N/A,FALSE,0;#N/A,#N/A,FALSE,0;#N/A,#N/A,FALSE,0;#N/A,#N/A,FALSE,0;#N/A,#N/A,FALSE,0;#N/A,#N/A,FALSE,0;#N/A,#N/A,FALSE,0;#N/A,#N/A,FALSE,0;#N/A,#N/A,FALSE,0;#N/A,#N/A,FALSE,0;#N/A,#N/A,FALSE,0}</definedName>
    <definedName name="O">#N/A</definedName>
    <definedName name="o9u0piupi" hidden="1">{#N/A,#N/A,TRUE,"Cover";#N/A,#N/A,TRUE,"Conts";#N/A,#N/A,TRUE,"VOS";#N/A,#N/A,TRUE,"Warrington";#N/A,#N/A,TRUE,"Widnes"}</definedName>
    <definedName name="OÇ" hidden="1">{#N/A,#N/A,FALSE,"ihz. icmal";#N/A,#N/A,FALSE,"avans";#N/A,#N/A,FALSE,"mal_FF_icm";#N/A,#N/A,FALSE,"fat_ihz";#N/A,#N/A,FALSE,"söz_fiy_fark";#N/A,#N/A,FALSE,"kap2"}</definedName>
    <definedName name="öççç" hidden="1">{#N/A,#N/A,FALSE,"kal_iç_ihz";#N/A,#N/A,FALSE,"kal_iç_er";#N/A,#N/A,FALSE,"kal_iç_tut"}</definedName>
    <definedName name="ocf" hidden="1">#REF!</definedName>
    <definedName name="ödenek" hidden="1">{#N/A,#N/A,FALSE,"Çaykara ataköy (1)";#N/A,#N/A,FALSE,"Çaykara ataköy (2)";#N/A,#N/A,FALSE,"Rize Kalkandere ";#N/A,#N/A,FALSE,"meydancık";#N/A,#N/A,FALSE,"muratlı"}</definedName>
    <definedName name="ODH" hidden="1">#REF!</definedName>
    <definedName name="ODia">#N/A</definedName>
    <definedName name="OFF">#N/A</definedName>
    <definedName name="OFFPLOT">#REF!</definedName>
    <definedName name="OFFSITE">#REF!</definedName>
    <definedName name="OFFSITE_51">#N/A</definedName>
    <definedName name="OH" hidden="1">{"form-D1",#N/A,FALSE,"FORM-D1";"form-D1_amt",#N/A,FALSE,"FORM-D1"}</definedName>
    <definedName name="OH_1" hidden="1">{"form-D1",#N/A,FALSE,"FORM-D1";"form-D1_amt",#N/A,FALSE,"FORM-D1"}</definedName>
    <definedName name="OH_2" hidden="1">{"form-D1",#N/A,FALSE,"FORM-D1";"form-D1_amt",#N/A,FALSE,"FORM-D1"}</definedName>
    <definedName name="OH_3" hidden="1">{"form-D1",#N/A,FALSE,"FORM-D1";"form-D1_amt",#N/A,FALSE,"FORM-D1"}</definedName>
    <definedName name="ohwiohw" hidden="1">{"PLANT BREAKUP",#N/A,FALSE,"E"}</definedName>
    <definedName name="oi" hidden="1">{"FTS",#N/A,FALSE,"E"}</definedName>
    <definedName name="OIFHWIOQGH" hidden="1">{"SUMMARY",#N/A,FALSE,"C"}</definedName>
    <definedName name="oihyuuh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oıı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oililui" hidden="1">{#N/A,#N/A,FALSE,"CCTV"}</definedName>
    <definedName name="oiuoij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oıy" hidden="1">#REF!</definedName>
    <definedName name="oıyş" hidden="1">#REF!</definedName>
    <definedName name="ok">#REF!</definedName>
    <definedName name="okjlkj" hidden="1">{"Co1statements",#N/A,FALSE,"Cmpy1";"Co2statement",#N/A,FALSE,"Cmpy2";"co1pm",#N/A,FALSE,"Co1PM";"co2PM",#N/A,FALSE,"Co2PM";"value",#N/A,FALSE,"value";"opco",#N/A,FALSE,"NewSparkle";"adjusts",#N/A,FALSE,"Adjustments"}</definedName>
    <definedName name="oks" hidden="1">#REF!</definedName>
    <definedName name="Oktober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ol" hidden="1">{#N/A,#N/A,FALSE,"ihz. icmal";#N/A,#N/A,FALSE,"avans";#N/A,#N/A,FALSE,"mal_FF_icm";#N/A,#N/A,FALSE,"fat_ihz";#N/A,#N/A,FALSE,"söz_fiy_fark";#N/A,#N/A,FALSE,"kap2"}</definedName>
    <definedName name="old" hidden="1">3</definedName>
    <definedName name="oldban" hidden="1">#REF!</definedName>
    <definedName name="oll" hidden="1">{#N/A,#N/A,FALSE,"ihz. icmal";#N/A,#N/A,FALSE,"avans";#N/A,#N/A,FALSE,"mal_FF_icm";#N/A,#N/A,FALSE,"fat_ihz";#N/A,#N/A,FALSE,"söz_fiy_fark";#N/A,#N/A,FALSE,"kap2"}</definedName>
    <definedName name="ömıut" hidden="1">#REF!</definedName>
    <definedName name="one" hidden="1">OFFSET([0]!Data.Top.Left,1,0)</definedName>
    <definedName name="Öner" hidden="1">{#N/A,#N/A,FALSE,"Çaykara ataköy (1)";#N/A,#N/A,FALSE,"Çaykara ataköy (2)";#N/A,#N/A,FALSE,"Rize Kalkandere ";#N/A,#N/A,FALSE,"meydancık";#N/A,#N/A,FALSE,"muratlı"}</definedName>
    <definedName name="onframing">#REF!</definedName>
    <definedName name="onfurring">#REF!</definedName>
    <definedName name="onw" hidden="1">OFFSET([0]!Data.Top.Left,1,0)</definedName>
    <definedName name="OO" hidden="1">{"'Sheet1'!$A$4386:$N$4591"}</definedName>
    <definedName name="öoı" hidden="1">#REF!</definedName>
    <definedName name="OOO2CIVIL" hidden="1">#REF!</definedName>
    <definedName name="oooo" hidden="1">{#N/A,#N/A,FALSE,"Cover Page";#N/A,#N/A,FALSE,"Facing Page";#N/A,#N/A,FALSE,"Main Page";#N/A,#N/A,FALSE,"Risk-Adjusted";#N/A,#N/A,FALSE,"Profit Improvement"}</definedName>
    <definedName name="ööööö" hidden="1">{#N/A,#N/A,FALSE,"Çaykara ataköy (1)";#N/A,#N/A,FALSE,"Çaykara ataköy (2)";#N/A,#N/A,FALSE,"Rize Kalkandere ";#N/A,#N/A,FALSE,"meydancık";#N/A,#N/A,FALSE,"muratlı"}</definedName>
    <definedName name="ooooooooooooooooooooooooo" hidden="1">{#N/A,#N/A,FALSE,"Çaykara ataköy (1)";#N/A,#N/A,FALSE,"Çaykara ataköy (2)";#N/A,#N/A,FALSE,"Rize Kalkandere ";#N/A,#N/A,FALSE,"meydancık";#N/A,#N/A,FALSE,"muratlı"}</definedName>
    <definedName name="op" hidden="1">{"PLANT BREAKUP",#N/A,FALSE,"E"}</definedName>
    <definedName name="opc">#REF!</definedName>
    <definedName name="Operations">#REF!</definedName>
    <definedName name="Operator">#REF!</definedName>
    <definedName name="opiuyt" hidden="1">{#N/A,#N/A,FALSE,"mgtsum.XLS";#N/A,#N/A,FALSE,"CAPONE";#N/A,#N/A,FALSE,"CAPTWO";#N/A,#N/A,FALSE,"CAPTHREE"}</definedName>
    <definedName name="opogd" hidden="1">{#N/A,#N/A,TRUE,"Cover";#N/A,#N/A,TRUE,"Conts";#N/A,#N/A,TRUE,"VOS";#N/A,#N/A,TRUE,"Warrington";#N/A,#N/A,TRUE,"Widnes"}</definedName>
    <definedName name="Option1" hidden="1">#REF!</definedName>
    <definedName name="OrderTable" hidden="1">#REF!</definedName>
    <definedName name="ÖRNEK2" hidden="1">{#N/A,#N/A,FALSE,"ihz. icmal";#N/A,#N/A,FALSE,"avans";#N/A,#N/A,FALSE,"mal_FF_icm";#N/A,#N/A,FALSE,"fat_ihz";#N/A,#N/A,FALSE,"söz_fiy_fark";#N/A,#N/A,FALSE,"kap2"}</definedName>
    <definedName name="OSBL" hidden="1">{#N/A,#N/A,FALSE,"CCTV"}</definedName>
    <definedName name="OSM" hidden="1">{#N/A,#N/A,FALSE,"TELEFON"}</definedName>
    <definedName name="osman" hidden="1">{#N/A,#N/A,FALSE,"Çaykara ataköy (1)";#N/A,#N/A,FALSE,"Çaykara ataköy (2)";#N/A,#N/A,FALSE,"Rize Kalkandere ";#N/A,#N/A,FALSE,"meydancık";#N/A,#N/A,FALSE,"muratlı"}</definedName>
    <definedName name="ÖTNEK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öuhjkg" hidden="1">#REF!</definedName>
    <definedName name="öuıt" hidden="1">#REF!</definedName>
    <definedName name="Outsourcing_Risk">#REF!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wn" hidden="1">OFFSET([0]!Data.Top.Left,1,0)</definedName>
    <definedName name="owne" hidden="1">OFFSET([0]!Data.Top.Left,1,0)</definedName>
    <definedName name="owner.1" hidden="1">OFFSET([0]!Data.Top.Left,1,0)</definedName>
    <definedName name="owner.15" hidden="1">OFFSET([0]!Data.Top.Left,1,0)</definedName>
    <definedName name="owner.16" hidden="1">OFFSET([0]!Data.Top.Left,1,0)</definedName>
    <definedName name="owner.5" hidden="1">OFFSET([0]!Data.Top.Left,1,0)</definedName>
    <definedName name="owner2" hidden="1">OFFSET([0]!Data.Top.Left,1,0)</definedName>
    <definedName name="owners" hidden="1">OFFSET([0]!Data.Top.Left,1,0)</definedName>
    <definedName name="Ownership" hidden="1">OFFSET([0]!Data.Top.Left,1,0)</definedName>
    <definedName name="ownership.0" hidden="1">OFFSET([0]!Data.Top.Left,1,0)</definedName>
    <definedName name="ownership.0000" hidden="1">OFFSET([0]!Data.Top.Left,1,0)</definedName>
    <definedName name="ownership.1" hidden="1">OFFSET([0]!Data.Top.Left,1,0)</definedName>
    <definedName name="ownership.16" hidden="1">OFFSET([0]!Data.Top.Left,1,0)</definedName>
    <definedName name="ownership.17" hidden="1">OFFSET([0]!Data.Top.Left,1,0)</definedName>
    <definedName name="ownership.2" hidden="1">OFFSET([0]!Data.Top.Left,1,0)</definedName>
    <definedName name="ownership.5" hidden="1">OFFSET([0]!Data.Top.Left,1,0)</definedName>
    <definedName name="ownership.oo" hidden="1">OFFSET([0]!Data.Top.Left,1,0)</definedName>
    <definedName name="ownership.oo0" hidden="1">OFFSET([0]!Data.Top.Left,1,0)</definedName>
    <definedName name="ownership2" hidden="1">OFFSET([0]!Data.Top.Left,1,0)</definedName>
    <definedName name="ownership6" hidden="1">OFFSET([0]!Data.Top.Left,1,0)</definedName>
    <definedName name="ownership9" hidden="1">OFFSET([0]!Data.Top.Left,1,0)</definedName>
    <definedName name="ownerssss" hidden="1">OFFSET([0]!Data.Top.Left,1,0)</definedName>
    <definedName name="ownnn" hidden="1">OFFSET([0]!Data.Top.Left,1,0)</definedName>
    <definedName name="ozkan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p" hidden="1">#REF!</definedName>
    <definedName name="p7y" hidden="1">{#N/A,#N/A,TRUE,"Cover";#N/A,#N/A,TRUE,"Conts";#N/A,#N/A,TRUE,"VOS";#N/A,#N/A,TRUE,"Warrington";#N/A,#N/A,TRUE,"Widnes"}</definedName>
    <definedName name="PACE">#REF!</definedName>
    <definedName name="pafegseg" hidden="1">{#N/A,#N/A,TRUE,"Cover";#N/A,#N/A,TRUE,"Conts";#N/A,#N/A,TRUE,"VOS";#N/A,#N/A,TRUE,"Warrington";#N/A,#N/A,TRUE,"Widnes"}</definedName>
    <definedName name="Page3a" hidden="1">{"proc_tot_nums",#N/A,TRUE,"Act Numbers";"summary_proc",#N/A,TRUE,"Blank1";"PlanProc",#N/A,TRUE,"PlanProc";"process graphs",#N/A,TRUE,"graphs&amp;data";"proj_nums",#N/A,TRUE,"Act Numbers";"Internal_Proj",#N/A,TRUE,"Internal Proj.";#N/A,#N/A,TRUE,"Plan ProjProg";"project graphs",#N/A,TRUE,"graphs&amp;data";"mtm_proc",#N/A,TRUE,"MTM Proc";"MTM_proj",#N/A,TRUE,"MTM Proj"}</definedName>
    <definedName name="Panel_Tab">#REF!</definedName>
    <definedName name="PAO" hidden="1">#REF!</definedName>
    <definedName name="PAR_CIVIL">#N/A</definedName>
    <definedName name="PAR_ELECT">#N/A</definedName>
    <definedName name="PAR_MECH">#N/A</definedName>
    <definedName name="PARALI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paratonersiz" hidden="1">{#N/A,#N/A,FALSE,"kal_iç_ihz";#N/A,#N/A,FALSE,"kal_iç_er";#N/A,#N/A,FALSE,"kal_iç_tut"}</definedName>
    <definedName name="pare" hidden="1">{"form-D1",#N/A,FALSE,"FORM-D1";"form-D1_amt",#N/A,FALSE,"FORM-D1"}</definedName>
    <definedName name="Partition" hidden="1">#REF!</definedName>
    <definedName name="Partitions">#REF!</definedName>
    <definedName name="patata" hidden="1">{#N/A,#N/A,FALSE,"Çaykara ataköy (1)";#N/A,#N/A,FALSE,"Çaykara ataköy (2)";#N/A,#N/A,FALSE,"Rize Kalkandere ";#N/A,#N/A,FALSE,"meydancık";#N/A,#N/A,FALSE,"muratlı"}</definedName>
    <definedName name="PavementMarking">#REF!</definedName>
    <definedName name="PAY">#N/A</definedName>
    <definedName name="PAYCRIT">#N/A</definedName>
    <definedName name="PAYITEM">#N/A</definedName>
    <definedName name="pc" hidden="1">{#N/A,#N/A,FALSE,"elk_iç_er";#N/A,#N/A,FALSE,"elk_iç_tut";#N/A,#N/A,FALSE,"elk_iç_ihz"}</definedName>
    <definedName name="pencil_1">#REF!</definedName>
    <definedName name="Peninsula">#REF!</definedName>
    <definedName name="People">#REF!</definedName>
    <definedName name="PERCENT">#REF!</definedName>
    <definedName name="PERCENTAGE_DELIVERED">#REF!</definedName>
    <definedName name="Performance_Gap_Risk">#REF!</definedName>
    <definedName name="Permalitetf_7">#REF!</definedName>
    <definedName name="Permalitetf_7_3">"#REF!"</definedName>
    <definedName name="Permalitetf_7_5">"#REF!"</definedName>
    <definedName name="Permalitetf_7_5_3">"#REF!"</definedName>
    <definedName name="Permits">#REF!</definedName>
    <definedName name="peroxide" hidden="1">{#N/A,#N/A,FALSE,"CCTV"}</definedName>
    <definedName name="pete">#REF!</definedName>
    <definedName name="pfr" hidden="1">{"form-D1",#N/A,FALSE,"FORM-D1";"form-D1_amt",#N/A,FALSE,"FORM-D1"}</definedName>
    <definedName name="p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ph5a">#REF!</definedName>
    <definedName name="ph5b">#REF!</definedName>
    <definedName name="PHASE" hidden="1">{#N/A,#N/A,TRUE,"Basic";#N/A,#N/A,TRUE,"EXT-TABLE";#N/A,#N/A,TRUE,"STEEL";#N/A,#N/A,TRUE,"INT-Table";#N/A,#N/A,TRUE,"STEEL";#N/A,#N/A,TRUE,"Door"}</definedName>
    <definedName name="Physical" hidden="1">#REF!</definedName>
    <definedName name="piles">20</definedName>
    <definedName name="piles1">#REF!</definedName>
    <definedName name="piles2">#REF!</definedName>
    <definedName name="piles3">#REF!</definedName>
    <definedName name="piles4">#REF!</definedName>
    <definedName name="piles5">#REF!</definedName>
    <definedName name="piles6">#REF!</definedName>
    <definedName name="pink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PIPE_SLEEVE">#REF!</definedName>
    <definedName name="PIPE50_PROD">#N/A</definedName>
    <definedName name="PIPE51_QTY">#N/A</definedName>
    <definedName name="PipeCulverts">#REF!</definedName>
    <definedName name="pipoi" hidden="1">{"Co1statements",#N/A,FALSE,"Cmpy1";"Co2statement",#N/A,FALSE,"Cmpy2";"co1pm",#N/A,FALSE,"Co1PM";"co2PM",#N/A,FALSE,"Co2PM";"value",#N/A,FALSE,"value";"opco",#N/A,FALSE,"NewSparkle";"adjusts",#N/A,FALSE,"Adjustments"}</definedName>
    <definedName name="Pippo" hidden="1">#REF!</definedName>
    <definedName name="pippo1" hidden="1">#REF!</definedName>
    <definedName name="pl">#REF!</definedName>
    <definedName name="pl_3">"#REF!"</definedName>
    <definedName name="pl_5">"#REF!"</definedName>
    <definedName name="pl_5_3">"#REF!"</definedName>
    <definedName name="PL22_5">"#REF!"</definedName>
    <definedName name="PL22_5_3">"#REF!"</definedName>
    <definedName name="pla">#REF!</definedName>
    <definedName name="PLABOUR">#REF!</definedName>
    <definedName name="planing" hidden="1">{"PLANNING",#N/A,FALSE,"A"}</definedName>
    <definedName name="PLANT" hidden="1">{"PLANT BREAKUP",#N/A,FALSE,"E"}</definedName>
    <definedName name="plant2" hidden="1">#REF!</definedName>
    <definedName name="PLAT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lng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MaIL">#REF!</definedName>
    <definedName name="PMI">#REF!</definedName>
    <definedName name="PMLC">#REF!</definedName>
    <definedName name="PMT">#REF!</definedName>
    <definedName name="PO" hidden="1">{"PLANT BREAKUP",#N/A,FALSE,"E"}</definedName>
    <definedName name="PO_1" hidden="1">{"form-D1",#N/A,FALSE,"FORM-D1";"form-D1_amt",#N/A,FALSE,"FORM-D1"}</definedName>
    <definedName name="PO_2" hidden="1">{"form-D1",#N/A,FALSE,"FORM-D1";"form-D1_amt",#N/A,FALSE,"FORM-D1"}</definedName>
    <definedName name="PO_3" hidden="1">{"form-D1",#N/A,FALSE,"FORM-D1";"form-D1_amt",#N/A,FALSE,"FORM-D1"}</definedName>
    <definedName name="POGHJ" hidden="1">{"form-D1",#N/A,FALSE,"FORM-D1";"form-D1_amt",#N/A,FALSE,"FORM-D1"}</definedName>
    <definedName name="POGHJ_1" hidden="1">{"form-D1",#N/A,FALSE,"FORM-D1";"form-D1_amt",#N/A,FALSE,"FORM-D1"}</definedName>
    <definedName name="POGHJ_2" hidden="1">{"form-D1",#N/A,FALSE,"FORM-D1";"form-D1_amt",#N/A,FALSE,"FORM-D1"}</definedName>
    <definedName name="POGHJ_3" hidden="1">{"form-D1",#N/A,FALSE,"FORM-D1";"form-D1_amt",#N/A,FALSE,"FORM-D1"}</definedName>
    <definedName name="poging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oipo" hidden="1">{"CASH FLOW",#N/A,FALSE,"A"}</definedName>
    <definedName name="poipoi" hidden="1">{"Co1statements",#N/A,FALSE,"Cmpy1";"Co2statement",#N/A,FALSE,"Cmpy2";"co1pm",#N/A,FALSE,"Co1PM";"co2PM",#N/A,FALSE,"Co2PM";"value",#N/A,FALSE,"value";"opco",#N/A,FALSE,"NewSparkle";"adjusts",#N/A,FALSE,"Adjustments"}</definedName>
    <definedName name="poiuy" hidden="1">#REF!</definedName>
    <definedName name="poiuyb" hidden="1">{#N/A,#N/A,FALSE,"mgtsum.XLS";#N/A,#N/A,FALSE,"CAPONE";#N/A,#N/A,FALSE,"CAPTWO";#N/A,#N/A,FALSE,"CAPTHREE"}</definedName>
    <definedName name="POMNQ" hidden="1">{#N/A,#N/A,FALSE,"mgtsum.XLS";#N/A,#N/A,FALSE,"CAPONE";#N/A,#N/A,FALSE,"CAPTWO";#N/A,#N/A,FALSE,"CAPTHREE"}</definedName>
    <definedName name="PONDICHERY" hidden="1">{"'Sheet1'!$A$4386:$N$4591"}</definedName>
    <definedName name="pooiwut" hidden="1">{"PLANNING",#N/A,FALSE,"A"}</definedName>
    <definedName name="pop" hidden="1">{"PLANNING",#N/A,FALSE,"A"}</definedName>
    <definedName name="popo" hidden="1">#REF!</definedName>
    <definedName name="POPUH1IPO" hidden="1">{"PLANNING",#N/A,FALSE,"A"}</definedName>
    <definedName name="popuoy" hidden="1">{"FTS",#N/A,FALSE,"E"}</definedName>
    <definedName name="pp" hidden="1">{"PLANT BREAKUP",#N/A,FALSE,"E"}</definedName>
    <definedName name="PP6FIRE_DEC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PPH_MULT">#N/A</definedName>
    <definedName name="ppl" hidden="1">{#N/A,#N/A,FALSE,"gc (2)"}</definedName>
    <definedName name="PPMV">#REF!</definedName>
    <definedName name="ppp" hidden="1">{"'000228 出張報告書'!$A$1:$AE$60"}</definedName>
    <definedName name="ppppp" hidden="1">{#N/A,#N/A,FALSE,"İÇ TOPRAK";#N/A,#N/A,FALSE,"İÇ SANAT";#N/A,#N/A,FALSE,"İÇ AYASOFYA ";#N/A,#N/A,FALSE,"İÇ AKYAZI";#N/A,#N/A,FALSE,"İÇ BEŞİRLİ";#N/A,#N/A,FALSE,"İÇ HAVAALANI";#N/A,#N/A,FALSE,"İÇ SONDAJ";#N/A,#N/A,FALSE,"İÇ KAMU";#N/A,#N/A,FALSE,"İÇ FAROZ"}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_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_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_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tap" hidden="1">{"'Sheet1'!$A$4386:$N$4591"}</definedName>
    <definedName name="PRAYER" hidden="1">{#N/A,#N/A,FALSE,"CCTV"}</definedName>
    <definedName name="Preambles" hidden="1">{#N/A,#N/A,TRUE,"Equipment installation bm"}</definedName>
    <definedName name="Prelims">#REF!</definedName>
    <definedName name="PREVIOUS">#N/A</definedName>
    <definedName name="price" hidden="1">{#N/A,#N/A,FALSE,"Sheet1";#N/A,#N/A,FALSE,"Sheet1";#N/A,#N/A,FALSE,"Sheet1";#N/A,#N/A,FALSE,"Sheet1"}</definedName>
    <definedName name="PriceBid" hidden="1">#REF!</definedName>
    <definedName name="PrimeCoat">#REF!</definedName>
    <definedName name="_xlnm.Print_Area" localSheetId="1">'Bid Summary'!$A$1:$J$76</definedName>
    <definedName name="_xlnm.Print_Area">#REF!</definedName>
    <definedName name="Print_Area_et">#REF!</definedName>
    <definedName name="PRINT_AREA_MI">#N/A</definedName>
    <definedName name="PRINT_LST">#N/A</definedName>
    <definedName name="_xlnm.Print_Titles" localSheetId="0">'BCB Breakdown'!$1:$13</definedName>
    <definedName name="_xlnm.Print_Titles">#N/A</definedName>
    <definedName name="PRINT_TITLES_MI">#N/A</definedName>
    <definedName name="Prio">#REF!</definedName>
    <definedName name="Prio2">#REF!</definedName>
    <definedName name="Prio3">#REF!</definedName>
    <definedName name="Prio4">#REF!</definedName>
    <definedName name="PRLINK">#REF!</definedName>
    <definedName name="Proc_Obj">#REF!</definedName>
    <definedName name="PROCESS">#REF!</definedName>
    <definedName name="ProdForm" hidden="1">#REF!</definedName>
    <definedName name="Product" hidden="1">#REF!</definedName>
    <definedName name="proj_dur">#REF!</definedName>
    <definedName name="ProjectManagement">#REF!</definedName>
    <definedName name="PROPOSED_CONTINENTAL_TEMIC_EXTENSION_BLDG.">#REF!</definedName>
    <definedName name="PropStat">#REF!</definedName>
    <definedName name="prw" hidden="1">{"form-D1",#N/A,FALSE,"FORM-D1";"form-D1_amt",#N/A,FALSE,"FORM-D1"}</definedName>
    <definedName name="pş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pswyry" hidden="1">{#N/A,#N/A,TRUE,"Cover";#N/A,#N/A,TRUE,"Conts";#N/A,#N/A,TRUE,"VOS";#N/A,#N/A,TRUE,"Warrington";#N/A,#N/A,TRUE,"Widnes"}</definedName>
    <definedName name="PT">#REF!</definedName>
    <definedName name="PUB_FileID" hidden="1">"L10003649.xls"</definedName>
    <definedName name="PUB_UserID" hidden="1">"MAYERX"</definedName>
    <definedName name="pump" hidden="1">{"'장비'!$A$3:$M$12"}</definedName>
    <definedName name="put" localSheetId="1" hidden="1">{#N/A,#N/A,TRUE,"Equipment installation bm"}</definedName>
    <definedName name="put" hidden="1">{#N/A,#N/A,TRUE,"Equipment installation bm"}</definedName>
    <definedName name="pw_ABS">#REF!</definedName>
    <definedName name="pw_Carbon_Steel">#REF!</definedName>
    <definedName name="pw_CPVC">#REF!</definedName>
    <definedName name="pw_Cu_IS238">#REF!</definedName>
    <definedName name="pw_Cu_Table_X">#REF!</definedName>
    <definedName name="pw_Cu_Valves">#REF!</definedName>
    <definedName name="pw_HDPE">#REF!</definedName>
    <definedName name="pw_Mild_Steel">#REF!</definedName>
    <definedName name="pw_PE_PE_Twin_Wall">#REF!</definedName>
    <definedName name="pw_PFA">#REF!</definedName>
    <definedName name="pw_PVC_Schd_80">#REF!</definedName>
    <definedName name="pw_PVDF">#REF!</definedName>
    <definedName name="pw_Sprinklers">#REF!</definedName>
    <definedName name="pw_SS_HP">#REF!</definedName>
    <definedName name="pw_SS_Mech">#REF!</definedName>
    <definedName name="PWHT">#REF!</definedName>
    <definedName name="q">#REF!</definedName>
    <definedName name="Q3_00">#REF!</definedName>
    <definedName name="q3tqtq" hidden="1">{#N/A,#N/A,TRUE,"Cover";#N/A,#N/A,TRUE,"Conts";#N/A,#N/A,TRUE,"VOS";#N/A,#N/A,TRUE,"Warrington";#N/A,#N/A,TRUE,"Widnes"}</definedName>
    <definedName name="Q4_00">#REF!</definedName>
    <definedName name="q5ttyr" hidden="1">{#N/A,#N/A,TRUE,"Cover";#N/A,#N/A,TRUE,"Conts";#N/A,#N/A,TRUE,"VOS";#N/A,#N/A,TRUE,"Warrington";#N/A,#N/A,TRUE,"Widnes"}</definedName>
    <definedName name="q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ap" hidden="1">{"'Typical Costs Estimates'!$C$158:$H$161"}</definedName>
    <definedName name="qaswpo099" hidden="1">{#N/A,#N/A,TRUE,"Str.";#N/A,#N/A,TRUE,"Steel &amp; Roof";#N/A,#N/A,TRUE,"Arc.";#N/A,#N/A,TRUE,"Preliminary";#N/A,#N/A,TRUE,"Sum_Prelim"}</definedName>
    <definedName name="Q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ddf" hidden="1">{#VALUE!,#N/A,FALSE,0;#N/A,#N/A,FALSE,0;#N/A,#N/A,FALSE,0;#N/A,#N/A,FALSE,0;#N/A,#N/A,FALSE,0;#N/A,#N/A,FALSE,0;#N/A,#N/A,FALSE,0;#N/A,#N/A,FALSE,0;#N/A,#N/A,FALSE,0;#N/A,#N/A,FALSE,0}</definedName>
    <definedName name="QEEERRR">#REF!</definedName>
    <definedName name="qegqrg" hidden="1">{#N/A,#N/A,FALSE,"SUMMARY 4a";#N/A,#N/A,FALSE,"GBA 4b";#N/A,#N/A,FALSE,"TENANT 4c";#N/A,#N/A,FALSE,"BUDGET DETAIL";#N/A,#N/A,FALSE,"PRO FORMA"}</definedName>
    <definedName name="QG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gqg" hidden="1">{#N/A,#N/A,FALSE,"Leasing 6A"}</definedName>
    <definedName name="qiche" hidden="1">{"'照明目录'!$A$1:$H$31"}</definedName>
    <definedName name="QK" hidden="1">{#N/A,#N/A,FALSE,"ihz. icmal";#N/A,#N/A,FALSE,"avans";#N/A,#N/A,FALSE,"mal_FF_icm";#N/A,#N/A,FALSE,"fat_ihz";#N/A,#N/A,FALSE,"söz_fiy_fark";#N/A,#N/A,FALSE,"kap2"}</definedName>
    <definedName name="qkl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L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louk" hidden="1">{#N/A,#N/A,FALSE,"mgtsum.XLS";#N/A,#N/A,FALSE,"CAPONE";#N/A,#N/A,FALSE,"CAPTWO";#N/A,#N/A,FALSE,"CAPTHREE"}</definedName>
    <definedName name="QO" hidden="1">{#N/A,#N/A,FALSE,"ihz. icmal";#N/A,#N/A,FALSE,"avans";#N/A,#N/A,FALSE,"mal_FF_icm";#N/A,#N/A,FALSE,"fat_ihz";#N/A,#N/A,FALSE,"söz_fiy_fark";#N/A,#N/A,FALSE,"kap2"}</definedName>
    <definedName name="qor" hidden="1">#REF!</definedName>
    <definedName name="qp" hidden="1">#REF!</definedName>
    <definedName name="qpş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qq" hidden="1">{"'장비'!$A$3:$M$12"}</definedName>
    <definedName name="qqq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qqq" hidden="1">{"'장비'!$A$3:$M$12"}</definedName>
    <definedName name="QQQQ_1" hidden="1">{"form-D1",#N/A,FALSE,"FORM-D1";"form-D1_amt",#N/A,FALSE,"FORM-D1"}</definedName>
    <definedName name="QQQQ_2" hidden="1">{"form-D1",#N/A,FALSE,"FORM-D1";"form-D1_amt",#N/A,FALSE,"FORM-D1"}</definedName>
    <definedName name="QQQQ_3" hidden="1">{"form-D1",#N/A,FALSE,"FORM-D1";"form-D1_amt",#N/A,FALSE,"FORM-D1"}</definedName>
    <definedName name="qqqqq" hidden="1">{#N/A,#N/A,TRUE,"Basic";#N/A,#N/A,TRUE,"EXT-TABLE";#N/A,#N/A,TRUE,"STEEL";#N/A,#N/A,TRUE,"INT-Table";#N/A,#N/A,TRUE,"STEEL";#N/A,#N/A,TRUE,"Door"}</definedName>
    <definedName name="QQQQQQQ" hidden="1">{"assumptions",#N/A,FALSE,"HC-TOTAL";"misc. - standards",#N/A,FALSE,"HC-TOTAL";"misc - total",#N/A,FALSE,"HC-TOTAL";"R&amp;M - STANDARDS",#N/A,FALSE,"HC-TOTAL";"R&amp;M - TOTAL",#N/A,FALSE,"I.T. COSTS";"IT COSTS - STD.",#N/A,FALSE,"HC-TOTAL";"IT COSTS - TOTAL",#N/A,FALSE,"HC-TOTAL";"SPACE COSTS - STD.",#N/A,FALSE,"HC-TOTAL";"SPACE COSTS - TOTAL",#N/A,FALSE,"HC-TOTAL";"RENT",#N/A,FALSE,"HC-TOTAL";"COST SHEET",#N/A,FALSE,"HC-TOTAL";"COMM. LINKS",#N/A,FALSE,"HC-TOTAL";"ADVERTISEMENT",#N/A,FALSE,"HC-TOTAL";"business support head count",#N/A,FALSE,"HC-TOTAL";"capacity",#N/A,FALSE,"HC-TOTAL";"capacity",#N/A,FALSE,"HC-TOTAL"}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r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d" hidden="1">{#N/A,#N/A,FALSE,"ihz. icmal";#N/A,#N/A,FALSE,"avans";#N/A,#N/A,FALSE,"mal_FF_icm";#N/A,#N/A,FALSE,"fat_ihz";#N/A,#N/A,FALSE,"söz_fiy_fark";#N/A,#N/A,FALSE,"kap2"}</definedName>
    <definedName name="qse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ttyry" hidden="1">{#N/A,#N/A,TRUE,"Cover";#N/A,#N/A,TRUE,"Conts";#N/A,#N/A,TRUE,"VOS";#N/A,#N/A,TRUE,"Warrington";#N/A,#N/A,TRUE,"Widnes"}</definedName>
    <definedName name="QtyFac">1</definedName>
    <definedName name="qtyhytrh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qualification2">#REF!</definedName>
    <definedName name="qualify">#REF!</definedName>
    <definedName name="Quality_Failure_Risk">#REF!</definedName>
    <definedName name="quantity">#REF!</definedName>
    <definedName name="quez" hidden="1">{#N/A,#N/A,TRUE,"Equipment installation bm"}</definedName>
    <definedName name="qulilification1" hidden="1">{"EXEC",#N/A,FALSE,"Header";"EXEC_3",#N/A,FALSE,"Summary_3"}</definedName>
    <definedName name="quote3" hidden="1">#REF!</definedName>
    <definedName name="qv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VQQVV" hidden="1">#REF!</definedName>
    <definedName name="qw" hidden="1">{#N/A,#N/A,FALSE,"Project Properties";#N/A,#N/A,FALSE,"Eng %";#N/A,#N/A,FALSE,"ENGFORM";#N/A,#N/A,FALSE,"staffing";#N/A,#N/A,FALSE,"spending"}</definedName>
    <definedName name="QWASE4567" hidden="1">#REF!</definedName>
    <definedName name="QWE">#REF!</definedName>
    <definedName name="qweq" hidden="1">#REF!</definedName>
    <definedName name="qwer" hidden="1">#REF!</definedName>
    <definedName name="qwerewq" hidden="1">{"20 Years",#N/A,FALSE,"P&amp;Ls";"2001",#N/A,FALSE,"P&amp;Ls"}</definedName>
    <definedName name="qwerewqr" hidden="1">{"20 Years",#N/A,FALSE,"P&amp;Ls";"2001",#N/A,FALSE,"P&amp;Ls"}</definedName>
    <definedName name="qwerfg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wert" hidden="1">{#N/A,#N/A,FALSE,"ihz. icmal";#N/A,#N/A,FALSE,"avans";#N/A,#N/A,FALSE,"mal_FF_icm";#N/A,#N/A,FALSE,"fat_ihz";#N/A,#N/A,FALSE,"söz_fiy_fark";#N/A,#N/A,FALSE,"kap2"}</definedName>
    <definedName name="QWERTB" hidden="1">#REF!</definedName>
    <definedName name="qwerwerqwer" hidden="1">#REF!</definedName>
    <definedName name="qwerwerwrr" hidden="1">{#N/A,#N/A,FALSE,"Clients Office";#N/A,#N/A,FALSE,"Co Sum"}</definedName>
    <definedName name="qwplo" hidden="1">{#N/A,#N/A,FALSE,"mgtsum.XLS";#N/A,#N/A,FALSE,"CAPONE";#N/A,#N/A,FALSE,"CAPTWO";#N/A,#N/A,FALSE,"CAPTHREE"}</definedName>
    <definedName name="qwq" hidden="1">#REF!</definedName>
    <definedName name="qwqw" hidden="1">{#VALUE!,#N/A,FALSE,0;#N/A,#N/A,FALSE,0;#N/A,#N/A,FALSE,0;#N/A,#N/A,FALSE,0;#N/A,#N/A,FALSE,0;#N/A,#N/A,FALSE,0;#N/A,#N/A,FALSE,0;#N/A,#N/A,FALSE,0;#N/A,#N/A,FALSE,0;#N/A,#N/A,FALSE,0;#N/A,#N/A,FALSE,0;#N/A,#N/A,FALSE,0}</definedName>
    <definedName name="qws" hidden="1">#REF!</definedName>
    <definedName name="qwscb" hidden="1">#REF!</definedName>
    <definedName name="qwy" hidden="1">{#N/A,#N/A,FALSE,"ihz. icmal";#N/A,#N/A,FALSE,"avans";#N/A,#N/A,FALSE,"mal_FF_icm";#N/A,#N/A,FALSE,"fat_ihz";#N/A,#N/A,FALSE,"söz_fiy_fark";#N/A,#N/A,FALSE,"kap2"}</definedName>
    <definedName name="qxc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yt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Z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raaa" hidden="1">{"'Sheet1'!$A$4386:$N$4591"}</definedName>
    <definedName name="railway" hidden="1">{"'Sheet1'!$A$4386:$N$4591"}</definedName>
    <definedName name="Raj" hidden="1">{"'Sheet1'!$A$4386:$N$4591"}</definedName>
    <definedName name="ralph">#REF!</definedName>
    <definedName name="RANGE_NAME">#N/A</definedName>
    <definedName name="RANGE_NAMES">#N/A</definedName>
    <definedName name="rarewt" hidden="1">{#N/A,#N/A,FALSE,"CCTV"}</definedName>
    <definedName name="rasgg" hidden="1">{#N/A,#N/A,TRUE,"Cover";#N/A,#N/A,TRUE,"Conts";#N/A,#N/A,TRUE,"VOS";#N/A,#N/A,TRUE,"Warrington";#N/A,#N/A,TRUE,"Widnes"}</definedName>
    <definedName name="Rate">#REF!</definedName>
    <definedName name="Rateanalisys" hidden="1">{"'Sheet1'!$A$4386:$N$4591"}</definedName>
    <definedName name="rav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B7.4" hidden="1">#REF!</definedName>
    <definedName name="RC_">#REF!</definedName>
    <definedName name="RCArea" hidden="1">#REF!</definedName>
    <definedName name="RCD">#REF!</definedName>
    <definedName name="rdegsegrg" hidden="1">{#N/A,#N/A,TRUE,"Cover";#N/A,#N/A,TRUE,"Conts";#N/A,#N/A,TRUE,"VOS";#N/A,#N/A,TRUE,"Warrington";#N/A,#N/A,TRUE,"Widnes"}</definedName>
    <definedName name="RDFSDFSDFSDFSDFDS">#REF!</definedName>
    <definedName name="rdsyn" hidden="1">#REF!</definedName>
    <definedName name="RE" hidden="1">{#N/A,#N/A,FALSE,"kal_iç_ihz";#N/A,#N/A,FALSE,"kal_iç_er";#N/A,#N/A,FALSE,"kal_iç_tut"}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_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_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_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_40actual">#REF!</definedName>
    <definedName name="reb_60actual">#REF!</definedName>
    <definedName name="rebar_rate">#REF!</definedName>
    <definedName name="rebars">#REF!</definedName>
    <definedName name="RECON" hidden="1">{"form-D1",#N/A,FALSE,"FORM-D1";"form-D1_amt",#N/A,FALSE,"FORM-D1"}</definedName>
    <definedName name="RECON_1" hidden="1">{"form-D1",#N/A,FALSE,"FORM-D1";"form-D1_amt",#N/A,FALSE,"FORM-D1"}</definedName>
    <definedName name="RECON_2" hidden="1">{"form-D1",#N/A,FALSE,"FORM-D1";"form-D1_amt",#N/A,FALSE,"FORM-D1"}</definedName>
    <definedName name="RECON_3" hidden="1">{"form-D1",#N/A,FALSE,"FORM-D1";"form-D1_amt",#N/A,FALSE,"FORM-D1"}</definedName>
    <definedName name="_xlnm.Recorder" hidden="1">#REF!</definedName>
    <definedName name="recv" hidden="1">#REF!</definedName>
    <definedName name="RED">#REF!</definedName>
    <definedName name="redo" localSheetId="1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do1" localSheetId="1" hidden="1">{#N/A,#N/A,FALSE,"ACQ_GRAPHS";#N/A,#N/A,FALSE,"T_1 GRAPHS";#N/A,#N/A,FALSE,"T_2 GRAPHS";#N/A,#N/A,FALSE,"COMB_GRAPHS"}</definedName>
    <definedName name="redo1" hidden="1">{#N/A,#N/A,FALSE,"ACQ_GRAPHS";#N/A,#N/A,FALSE,"T_1 GRAPHS";#N/A,#N/A,FALSE,"T_2 GRAPHS";#N/A,#N/A,FALSE,"COMB_GRAPHS"}</definedName>
    <definedName name="Redondo">#REF!</definedName>
    <definedName name="refds" hidden="1">{"assumptions",#N/A,FALSE,"Scenario 1";"valuation",#N/A,FALSE,"Scenario 1"}</definedName>
    <definedName name="Regional" localSheetId="1" hidden="1">{#N/A,#N/A,FALSE,"mgtsum.XLS";#N/A,#N/A,FALSE,"CAPONE";#N/A,#N/A,FALSE,"CAPTWO";#N/A,#N/A,FALSE,"CAPTHREE"}</definedName>
    <definedName name="Regional" hidden="1">{#N/A,#N/A,FALSE,"mgtsum.XLS";#N/A,#N/A,FALSE,"CAPONE";#N/A,#N/A,FALSE,"CAPTWO";#N/A,#N/A,FALSE,"CAPTHREE"}</definedName>
    <definedName name="Regional_1" hidden="1">{#N/A,#N/A,FALSE,"mgtsum.XLS";#N/A,#N/A,FALSE,"CAPONE";#N/A,#N/A,FALSE,"CAPTWO";#N/A,#N/A,FALSE,"CAPTHREE"}</definedName>
    <definedName name="Regional_1_1" hidden="1">{#N/A,#N/A,FALSE,"mgtsum.XLS";#N/A,#N/A,FALSE,"CAPONE";#N/A,#N/A,FALSE,"CAPTWO";#N/A,#N/A,FALSE,"CAPTHREE"}</definedName>
    <definedName name="Regional_1_1_1" hidden="1">{#N/A,#N/A,FALSE,"mgtsum.XLS";#N/A,#N/A,FALSE,"CAPONE";#N/A,#N/A,FALSE,"CAPTWO";#N/A,#N/A,FALSE,"CAPTHREE"}</definedName>
    <definedName name="Regional_1_1_1_1" hidden="1">{#N/A,#N/A,FALSE,"mgtsum.XLS";#N/A,#N/A,FALSE,"CAPONE";#N/A,#N/A,FALSE,"CAPTWO";#N/A,#N/A,FALSE,"CAPTHREE"}</definedName>
    <definedName name="Regional_1_1_1_2" hidden="1">{#N/A,#N/A,FALSE,"mgtsum.XLS";#N/A,#N/A,FALSE,"CAPONE";#N/A,#N/A,FALSE,"CAPTWO";#N/A,#N/A,FALSE,"CAPTHREE"}</definedName>
    <definedName name="Regional_1_1_1_3" hidden="1">{#N/A,#N/A,FALSE,"mgtsum.XLS";#N/A,#N/A,FALSE,"CAPONE";#N/A,#N/A,FALSE,"CAPTWO";#N/A,#N/A,FALSE,"CAPTHREE"}</definedName>
    <definedName name="Regional_1_1_1_4" hidden="1">{#N/A,#N/A,FALSE,"mgtsum.XLS";#N/A,#N/A,FALSE,"CAPONE";#N/A,#N/A,FALSE,"CAPTWO";#N/A,#N/A,FALSE,"CAPTHREE"}</definedName>
    <definedName name="Regional_1_1_1_5" hidden="1">{#N/A,#N/A,FALSE,"mgtsum.XLS";#N/A,#N/A,FALSE,"CAPONE";#N/A,#N/A,FALSE,"CAPTWO";#N/A,#N/A,FALSE,"CAPTHREE"}</definedName>
    <definedName name="Regional_1_1_2" hidden="1">{#N/A,#N/A,FALSE,"mgtsum.XLS";#N/A,#N/A,FALSE,"CAPONE";#N/A,#N/A,FALSE,"CAPTWO";#N/A,#N/A,FALSE,"CAPTHREE"}</definedName>
    <definedName name="Regional_1_1_2_1" hidden="1">{#N/A,#N/A,FALSE,"mgtsum.XLS";#N/A,#N/A,FALSE,"CAPONE";#N/A,#N/A,FALSE,"CAPTWO";#N/A,#N/A,FALSE,"CAPTHREE"}</definedName>
    <definedName name="Regional_1_1_2_2" hidden="1">{#N/A,#N/A,FALSE,"mgtsum.XLS";#N/A,#N/A,FALSE,"CAPONE";#N/A,#N/A,FALSE,"CAPTWO";#N/A,#N/A,FALSE,"CAPTHREE"}</definedName>
    <definedName name="Regional_1_1_2_3" hidden="1">{#N/A,#N/A,FALSE,"mgtsum.XLS";#N/A,#N/A,FALSE,"CAPONE";#N/A,#N/A,FALSE,"CAPTWO";#N/A,#N/A,FALSE,"CAPTHREE"}</definedName>
    <definedName name="Regional_1_1_2_4" hidden="1">{#N/A,#N/A,FALSE,"mgtsum.XLS";#N/A,#N/A,FALSE,"CAPONE";#N/A,#N/A,FALSE,"CAPTWO";#N/A,#N/A,FALSE,"CAPTHREE"}</definedName>
    <definedName name="Regional_1_1_2_5" hidden="1">{#N/A,#N/A,FALSE,"mgtsum.XLS";#N/A,#N/A,FALSE,"CAPONE";#N/A,#N/A,FALSE,"CAPTWO";#N/A,#N/A,FALSE,"CAPTHREE"}</definedName>
    <definedName name="Regional_1_1_3" hidden="1">{#N/A,#N/A,FALSE,"mgtsum.XLS";#N/A,#N/A,FALSE,"CAPONE";#N/A,#N/A,FALSE,"CAPTWO";#N/A,#N/A,FALSE,"CAPTHREE"}</definedName>
    <definedName name="Regional_1_1_3_1" hidden="1">{#N/A,#N/A,FALSE,"mgtsum.XLS";#N/A,#N/A,FALSE,"CAPONE";#N/A,#N/A,FALSE,"CAPTWO";#N/A,#N/A,FALSE,"CAPTHREE"}</definedName>
    <definedName name="Regional_1_1_3_2" hidden="1">{#N/A,#N/A,FALSE,"mgtsum.XLS";#N/A,#N/A,FALSE,"CAPONE";#N/A,#N/A,FALSE,"CAPTWO";#N/A,#N/A,FALSE,"CAPTHREE"}</definedName>
    <definedName name="Regional_1_1_3_3" hidden="1">{#N/A,#N/A,FALSE,"mgtsum.XLS";#N/A,#N/A,FALSE,"CAPONE";#N/A,#N/A,FALSE,"CAPTWO";#N/A,#N/A,FALSE,"CAPTHREE"}</definedName>
    <definedName name="Regional_1_1_3_4" hidden="1">{#N/A,#N/A,FALSE,"mgtsum.XLS";#N/A,#N/A,FALSE,"CAPONE";#N/A,#N/A,FALSE,"CAPTWO";#N/A,#N/A,FALSE,"CAPTHREE"}</definedName>
    <definedName name="Regional_1_1_3_5" hidden="1">{#N/A,#N/A,FALSE,"mgtsum.XLS";#N/A,#N/A,FALSE,"CAPONE";#N/A,#N/A,FALSE,"CAPTWO";#N/A,#N/A,FALSE,"CAPTHREE"}</definedName>
    <definedName name="Regional_1_1_4" hidden="1">{#N/A,#N/A,FALSE,"mgtsum.XLS";#N/A,#N/A,FALSE,"CAPONE";#N/A,#N/A,FALSE,"CAPTWO";#N/A,#N/A,FALSE,"CAPTHREE"}</definedName>
    <definedName name="Regional_1_1_5" hidden="1">{#N/A,#N/A,FALSE,"mgtsum.XLS";#N/A,#N/A,FALSE,"CAPONE";#N/A,#N/A,FALSE,"CAPTWO";#N/A,#N/A,FALSE,"CAPTHREE"}</definedName>
    <definedName name="Regional_1_2" hidden="1">{#N/A,#N/A,FALSE,"mgtsum.XLS";#N/A,#N/A,FALSE,"CAPONE";#N/A,#N/A,FALSE,"CAPTWO";#N/A,#N/A,FALSE,"CAPTHREE"}</definedName>
    <definedName name="Regional_1_2_1" hidden="1">{#N/A,#N/A,FALSE,"mgtsum.XLS";#N/A,#N/A,FALSE,"CAPONE";#N/A,#N/A,FALSE,"CAPTWO";#N/A,#N/A,FALSE,"CAPTHREE"}</definedName>
    <definedName name="Regional_1_2_1_1" hidden="1">{#N/A,#N/A,FALSE,"mgtsum.XLS";#N/A,#N/A,FALSE,"CAPONE";#N/A,#N/A,FALSE,"CAPTWO";#N/A,#N/A,FALSE,"CAPTHREE"}</definedName>
    <definedName name="Regional_1_2_1_2" hidden="1">{#N/A,#N/A,FALSE,"mgtsum.XLS";#N/A,#N/A,FALSE,"CAPONE";#N/A,#N/A,FALSE,"CAPTWO";#N/A,#N/A,FALSE,"CAPTHREE"}</definedName>
    <definedName name="Regional_1_2_1_3" hidden="1">{#N/A,#N/A,FALSE,"mgtsum.XLS";#N/A,#N/A,FALSE,"CAPONE";#N/A,#N/A,FALSE,"CAPTWO";#N/A,#N/A,FALSE,"CAPTHREE"}</definedName>
    <definedName name="Regional_1_2_1_4" hidden="1">{#N/A,#N/A,FALSE,"mgtsum.XLS";#N/A,#N/A,FALSE,"CAPONE";#N/A,#N/A,FALSE,"CAPTWO";#N/A,#N/A,FALSE,"CAPTHREE"}</definedName>
    <definedName name="Regional_1_2_1_5" hidden="1">{#N/A,#N/A,FALSE,"mgtsum.XLS";#N/A,#N/A,FALSE,"CAPONE";#N/A,#N/A,FALSE,"CAPTWO";#N/A,#N/A,FALSE,"CAPTHREE"}</definedName>
    <definedName name="Regional_1_2_2" hidden="1">{#N/A,#N/A,FALSE,"mgtsum.XLS";#N/A,#N/A,FALSE,"CAPONE";#N/A,#N/A,FALSE,"CAPTWO";#N/A,#N/A,FALSE,"CAPTHREE"}</definedName>
    <definedName name="Regional_1_2_2_1" hidden="1">{#N/A,#N/A,FALSE,"mgtsum.XLS";#N/A,#N/A,FALSE,"CAPONE";#N/A,#N/A,FALSE,"CAPTWO";#N/A,#N/A,FALSE,"CAPTHREE"}</definedName>
    <definedName name="Regional_1_2_2_2" hidden="1">{#N/A,#N/A,FALSE,"mgtsum.XLS";#N/A,#N/A,FALSE,"CAPONE";#N/A,#N/A,FALSE,"CAPTWO";#N/A,#N/A,FALSE,"CAPTHREE"}</definedName>
    <definedName name="Regional_1_2_2_3" hidden="1">{#N/A,#N/A,FALSE,"mgtsum.XLS";#N/A,#N/A,FALSE,"CAPONE";#N/A,#N/A,FALSE,"CAPTWO";#N/A,#N/A,FALSE,"CAPTHREE"}</definedName>
    <definedName name="Regional_1_2_2_4" hidden="1">{#N/A,#N/A,FALSE,"mgtsum.XLS";#N/A,#N/A,FALSE,"CAPONE";#N/A,#N/A,FALSE,"CAPTWO";#N/A,#N/A,FALSE,"CAPTHREE"}</definedName>
    <definedName name="Regional_1_2_2_5" hidden="1">{#N/A,#N/A,FALSE,"mgtsum.XLS";#N/A,#N/A,FALSE,"CAPONE";#N/A,#N/A,FALSE,"CAPTWO";#N/A,#N/A,FALSE,"CAPTHREE"}</definedName>
    <definedName name="Regional_1_2_3" hidden="1">{#N/A,#N/A,FALSE,"mgtsum.XLS";#N/A,#N/A,FALSE,"CAPONE";#N/A,#N/A,FALSE,"CAPTWO";#N/A,#N/A,FALSE,"CAPTHREE"}</definedName>
    <definedName name="Regional_1_2_4" hidden="1">{#N/A,#N/A,FALSE,"mgtsum.XLS";#N/A,#N/A,FALSE,"CAPONE";#N/A,#N/A,FALSE,"CAPTWO";#N/A,#N/A,FALSE,"CAPTHREE"}</definedName>
    <definedName name="Regional_1_2_5" hidden="1">{#N/A,#N/A,FALSE,"mgtsum.XLS";#N/A,#N/A,FALSE,"CAPONE";#N/A,#N/A,FALSE,"CAPTWO";#N/A,#N/A,FALSE,"CAPTHREE"}</definedName>
    <definedName name="Regional_1_3" hidden="1">{#N/A,#N/A,FALSE,"mgtsum.XLS";#N/A,#N/A,FALSE,"CAPONE";#N/A,#N/A,FALSE,"CAPTWO";#N/A,#N/A,FALSE,"CAPTHREE"}</definedName>
    <definedName name="Regional_1_3_1" hidden="1">{#N/A,#N/A,FALSE,"mgtsum.XLS";#N/A,#N/A,FALSE,"CAPONE";#N/A,#N/A,FALSE,"CAPTWO";#N/A,#N/A,FALSE,"CAPTHREE"}</definedName>
    <definedName name="Regional_1_3_1_1" hidden="1">{#N/A,#N/A,FALSE,"mgtsum.XLS";#N/A,#N/A,FALSE,"CAPONE";#N/A,#N/A,FALSE,"CAPTWO";#N/A,#N/A,FALSE,"CAPTHREE"}</definedName>
    <definedName name="Regional_1_3_1_2" hidden="1">{#N/A,#N/A,FALSE,"mgtsum.XLS";#N/A,#N/A,FALSE,"CAPONE";#N/A,#N/A,FALSE,"CAPTWO";#N/A,#N/A,FALSE,"CAPTHREE"}</definedName>
    <definedName name="Regional_1_3_1_3" hidden="1">{#N/A,#N/A,FALSE,"mgtsum.XLS";#N/A,#N/A,FALSE,"CAPONE";#N/A,#N/A,FALSE,"CAPTWO";#N/A,#N/A,FALSE,"CAPTHREE"}</definedName>
    <definedName name="Regional_1_3_1_4" hidden="1">{#N/A,#N/A,FALSE,"mgtsum.XLS";#N/A,#N/A,FALSE,"CAPONE";#N/A,#N/A,FALSE,"CAPTWO";#N/A,#N/A,FALSE,"CAPTHREE"}</definedName>
    <definedName name="Regional_1_3_1_5" hidden="1">{#N/A,#N/A,FALSE,"mgtsum.XLS";#N/A,#N/A,FALSE,"CAPONE";#N/A,#N/A,FALSE,"CAPTWO";#N/A,#N/A,FALSE,"CAPTHREE"}</definedName>
    <definedName name="Regional_1_3_2" hidden="1">{#N/A,#N/A,FALSE,"mgtsum.XLS";#N/A,#N/A,FALSE,"CAPONE";#N/A,#N/A,FALSE,"CAPTWO";#N/A,#N/A,FALSE,"CAPTHREE"}</definedName>
    <definedName name="Regional_1_3_2_1" hidden="1">{#N/A,#N/A,FALSE,"mgtsum.XLS";#N/A,#N/A,FALSE,"CAPONE";#N/A,#N/A,FALSE,"CAPTWO";#N/A,#N/A,FALSE,"CAPTHREE"}</definedName>
    <definedName name="Regional_1_3_2_2" hidden="1">{#N/A,#N/A,FALSE,"mgtsum.XLS";#N/A,#N/A,FALSE,"CAPONE";#N/A,#N/A,FALSE,"CAPTWO";#N/A,#N/A,FALSE,"CAPTHREE"}</definedName>
    <definedName name="Regional_1_3_2_3" hidden="1">{#N/A,#N/A,FALSE,"mgtsum.XLS";#N/A,#N/A,FALSE,"CAPONE";#N/A,#N/A,FALSE,"CAPTWO";#N/A,#N/A,FALSE,"CAPTHREE"}</definedName>
    <definedName name="Regional_1_3_2_4" hidden="1">{#N/A,#N/A,FALSE,"mgtsum.XLS";#N/A,#N/A,FALSE,"CAPONE";#N/A,#N/A,FALSE,"CAPTWO";#N/A,#N/A,FALSE,"CAPTHREE"}</definedName>
    <definedName name="Regional_1_3_2_5" hidden="1">{#N/A,#N/A,FALSE,"mgtsum.XLS";#N/A,#N/A,FALSE,"CAPONE";#N/A,#N/A,FALSE,"CAPTWO";#N/A,#N/A,FALSE,"CAPTHREE"}</definedName>
    <definedName name="Regional_1_3_3" hidden="1">{#N/A,#N/A,FALSE,"mgtsum.XLS";#N/A,#N/A,FALSE,"CAPONE";#N/A,#N/A,FALSE,"CAPTWO";#N/A,#N/A,FALSE,"CAPTHREE"}</definedName>
    <definedName name="Regional_1_3_4" hidden="1">{#N/A,#N/A,FALSE,"mgtsum.XLS";#N/A,#N/A,FALSE,"CAPONE";#N/A,#N/A,FALSE,"CAPTWO";#N/A,#N/A,FALSE,"CAPTHREE"}</definedName>
    <definedName name="Regional_1_3_5" hidden="1">{#N/A,#N/A,FALSE,"mgtsum.XLS";#N/A,#N/A,FALSE,"CAPONE";#N/A,#N/A,FALSE,"CAPTWO";#N/A,#N/A,FALSE,"CAPTHREE"}</definedName>
    <definedName name="Regional_1_4" hidden="1">{#N/A,#N/A,FALSE,"mgtsum.XLS";#N/A,#N/A,FALSE,"CAPONE";#N/A,#N/A,FALSE,"CAPTWO";#N/A,#N/A,FALSE,"CAPTHREE"}</definedName>
    <definedName name="Regional_1_4_1" hidden="1">{#N/A,#N/A,FALSE,"mgtsum.XLS";#N/A,#N/A,FALSE,"CAPONE";#N/A,#N/A,FALSE,"CAPTWO";#N/A,#N/A,FALSE,"CAPTHREE"}</definedName>
    <definedName name="Regional_1_4_1_1" hidden="1">{#N/A,#N/A,FALSE,"mgtsum.XLS";#N/A,#N/A,FALSE,"CAPONE";#N/A,#N/A,FALSE,"CAPTWO";#N/A,#N/A,FALSE,"CAPTHREE"}</definedName>
    <definedName name="Regional_1_4_1_2" hidden="1">{#N/A,#N/A,FALSE,"mgtsum.XLS";#N/A,#N/A,FALSE,"CAPONE";#N/A,#N/A,FALSE,"CAPTWO";#N/A,#N/A,FALSE,"CAPTHREE"}</definedName>
    <definedName name="Regional_1_4_1_3" hidden="1">{#N/A,#N/A,FALSE,"mgtsum.XLS";#N/A,#N/A,FALSE,"CAPONE";#N/A,#N/A,FALSE,"CAPTWO";#N/A,#N/A,FALSE,"CAPTHREE"}</definedName>
    <definedName name="Regional_1_4_1_4" hidden="1">{#N/A,#N/A,FALSE,"mgtsum.XLS";#N/A,#N/A,FALSE,"CAPONE";#N/A,#N/A,FALSE,"CAPTWO";#N/A,#N/A,FALSE,"CAPTHREE"}</definedName>
    <definedName name="Regional_1_4_1_5" hidden="1">{#N/A,#N/A,FALSE,"mgtsum.XLS";#N/A,#N/A,FALSE,"CAPONE";#N/A,#N/A,FALSE,"CAPTWO";#N/A,#N/A,FALSE,"CAPTHREE"}</definedName>
    <definedName name="Regional_1_4_2" hidden="1">{#N/A,#N/A,FALSE,"mgtsum.XLS";#N/A,#N/A,FALSE,"CAPONE";#N/A,#N/A,FALSE,"CAPTWO";#N/A,#N/A,FALSE,"CAPTHREE"}</definedName>
    <definedName name="Regional_1_4_2_1" hidden="1">{#N/A,#N/A,FALSE,"mgtsum.XLS";#N/A,#N/A,FALSE,"CAPONE";#N/A,#N/A,FALSE,"CAPTWO";#N/A,#N/A,FALSE,"CAPTHREE"}</definedName>
    <definedName name="Regional_1_4_2_2" hidden="1">{#N/A,#N/A,FALSE,"mgtsum.XLS";#N/A,#N/A,FALSE,"CAPONE";#N/A,#N/A,FALSE,"CAPTWO";#N/A,#N/A,FALSE,"CAPTHREE"}</definedName>
    <definedName name="Regional_1_4_2_3" hidden="1">{#N/A,#N/A,FALSE,"mgtsum.XLS";#N/A,#N/A,FALSE,"CAPONE";#N/A,#N/A,FALSE,"CAPTWO";#N/A,#N/A,FALSE,"CAPTHREE"}</definedName>
    <definedName name="Regional_1_4_2_4" hidden="1">{#N/A,#N/A,FALSE,"mgtsum.XLS";#N/A,#N/A,FALSE,"CAPONE";#N/A,#N/A,FALSE,"CAPTWO";#N/A,#N/A,FALSE,"CAPTHREE"}</definedName>
    <definedName name="Regional_1_4_2_5" hidden="1">{#N/A,#N/A,FALSE,"mgtsum.XLS";#N/A,#N/A,FALSE,"CAPONE";#N/A,#N/A,FALSE,"CAPTWO";#N/A,#N/A,FALSE,"CAPTHREE"}</definedName>
    <definedName name="Regional_1_4_3" hidden="1">{#N/A,#N/A,FALSE,"mgtsum.XLS";#N/A,#N/A,FALSE,"CAPONE";#N/A,#N/A,FALSE,"CAPTWO";#N/A,#N/A,FALSE,"CAPTHREE"}</definedName>
    <definedName name="Regional_1_4_4" hidden="1">{#N/A,#N/A,FALSE,"mgtsum.XLS";#N/A,#N/A,FALSE,"CAPONE";#N/A,#N/A,FALSE,"CAPTWO";#N/A,#N/A,FALSE,"CAPTHREE"}</definedName>
    <definedName name="Regional_1_4_5" hidden="1">{#N/A,#N/A,FALSE,"mgtsum.XLS";#N/A,#N/A,FALSE,"CAPONE";#N/A,#N/A,FALSE,"CAPTWO";#N/A,#N/A,FALSE,"CAPTHREE"}</definedName>
    <definedName name="Regional_1_5" hidden="1">{#N/A,#N/A,FALSE,"mgtsum.XLS";#N/A,#N/A,FALSE,"CAPONE";#N/A,#N/A,FALSE,"CAPTWO";#N/A,#N/A,FALSE,"CAPTHREE"}</definedName>
    <definedName name="Regional_1_5_1" hidden="1">{#N/A,#N/A,FALSE,"mgtsum.XLS";#N/A,#N/A,FALSE,"CAPONE";#N/A,#N/A,FALSE,"CAPTWO";#N/A,#N/A,FALSE,"CAPTHREE"}</definedName>
    <definedName name="Regional_1_5_1_1" hidden="1">{#N/A,#N/A,FALSE,"mgtsum.XLS";#N/A,#N/A,FALSE,"CAPONE";#N/A,#N/A,FALSE,"CAPTWO";#N/A,#N/A,FALSE,"CAPTHREE"}</definedName>
    <definedName name="Regional_1_5_1_2" hidden="1">{#N/A,#N/A,FALSE,"mgtsum.XLS";#N/A,#N/A,FALSE,"CAPONE";#N/A,#N/A,FALSE,"CAPTWO";#N/A,#N/A,FALSE,"CAPTHREE"}</definedName>
    <definedName name="Regional_1_5_1_3" hidden="1">{#N/A,#N/A,FALSE,"mgtsum.XLS";#N/A,#N/A,FALSE,"CAPONE";#N/A,#N/A,FALSE,"CAPTWO";#N/A,#N/A,FALSE,"CAPTHREE"}</definedName>
    <definedName name="Regional_1_5_1_4" hidden="1">{#N/A,#N/A,FALSE,"mgtsum.XLS";#N/A,#N/A,FALSE,"CAPONE";#N/A,#N/A,FALSE,"CAPTWO";#N/A,#N/A,FALSE,"CAPTHREE"}</definedName>
    <definedName name="Regional_1_5_1_5" hidden="1">{#N/A,#N/A,FALSE,"mgtsum.XLS";#N/A,#N/A,FALSE,"CAPONE";#N/A,#N/A,FALSE,"CAPTWO";#N/A,#N/A,FALSE,"CAPTHREE"}</definedName>
    <definedName name="Regional_1_5_2" hidden="1">{#N/A,#N/A,FALSE,"mgtsum.XLS";#N/A,#N/A,FALSE,"CAPONE";#N/A,#N/A,FALSE,"CAPTWO";#N/A,#N/A,FALSE,"CAPTHREE"}</definedName>
    <definedName name="Regional_1_5_2_1" hidden="1">{#N/A,#N/A,FALSE,"mgtsum.XLS";#N/A,#N/A,FALSE,"CAPONE";#N/A,#N/A,FALSE,"CAPTWO";#N/A,#N/A,FALSE,"CAPTHREE"}</definedName>
    <definedName name="Regional_1_5_2_2" hidden="1">{#N/A,#N/A,FALSE,"mgtsum.XLS";#N/A,#N/A,FALSE,"CAPONE";#N/A,#N/A,FALSE,"CAPTWO";#N/A,#N/A,FALSE,"CAPTHREE"}</definedName>
    <definedName name="Regional_1_5_2_3" hidden="1">{#N/A,#N/A,FALSE,"mgtsum.XLS";#N/A,#N/A,FALSE,"CAPONE";#N/A,#N/A,FALSE,"CAPTWO";#N/A,#N/A,FALSE,"CAPTHREE"}</definedName>
    <definedName name="Regional_1_5_2_4" hidden="1">{#N/A,#N/A,FALSE,"mgtsum.XLS";#N/A,#N/A,FALSE,"CAPONE";#N/A,#N/A,FALSE,"CAPTWO";#N/A,#N/A,FALSE,"CAPTHREE"}</definedName>
    <definedName name="Regional_1_5_2_5" hidden="1">{#N/A,#N/A,FALSE,"mgtsum.XLS";#N/A,#N/A,FALSE,"CAPONE";#N/A,#N/A,FALSE,"CAPTWO";#N/A,#N/A,FALSE,"CAPTHREE"}</definedName>
    <definedName name="Regional_1_5_3" hidden="1">{#N/A,#N/A,FALSE,"mgtsum.XLS";#N/A,#N/A,FALSE,"CAPONE";#N/A,#N/A,FALSE,"CAPTWO";#N/A,#N/A,FALSE,"CAPTHREE"}</definedName>
    <definedName name="Regional_1_5_4" hidden="1">{#N/A,#N/A,FALSE,"mgtsum.XLS";#N/A,#N/A,FALSE,"CAPONE";#N/A,#N/A,FALSE,"CAPTWO";#N/A,#N/A,FALSE,"CAPTHREE"}</definedName>
    <definedName name="Regional_1_5_5" hidden="1">{#N/A,#N/A,FALSE,"mgtsum.XLS";#N/A,#N/A,FALSE,"CAPONE";#N/A,#N/A,FALSE,"CAPTWO";#N/A,#N/A,FALSE,"CAPTHREE"}</definedName>
    <definedName name="Regional_2" hidden="1">{#N/A,#N/A,FALSE,"mgtsum.XLS";#N/A,#N/A,FALSE,"CAPONE";#N/A,#N/A,FALSE,"CAPTWO";#N/A,#N/A,FALSE,"CAPTHREE"}</definedName>
    <definedName name="Regional_2_1" hidden="1">{#N/A,#N/A,FALSE,"mgtsum.XLS";#N/A,#N/A,FALSE,"CAPONE";#N/A,#N/A,FALSE,"CAPTWO";#N/A,#N/A,FALSE,"CAPTHREE"}</definedName>
    <definedName name="Regional_2_1_1" hidden="1">{#N/A,#N/A,FALSE,"mgtsum.XLS";#N/A,#N/A,FALSE,"CAPONE";#N/A,#N/A,FALSE,"CAPTWO";#N/A,#N/A,FALSE,"CAPTHREE"}</definedName>
    <definedName name="Regional_2_1_1_1" hidden="1">{#N/A,#N/A,FALSE,"mgtsum.XLS";#N/A,#N/A,FALSE,"CAPONE";#N/A,#N/A,FALSE,"CAPTWO";#N/A,#N/A,FALSE,"CAPTHREE"}</definedName>
    <definedName name="Regional_2_1_1_2" hidden="1">{#N/A,#N/A,FALSE,"mgtsum.XLS";#N/A,#N/A,FALSE,"CAPONE";#N/A,#N/A,FALSE,"CAPTWO";#N/A,#N/A,FALSE,"CAPTHREE"}</definedName>
    <definedName name="Regional_2_1_1_3" hidden="1">{#N/A,#N/A,FALSE,"mgtsum.XLS";#N/A,#N/A,FALSE,"CAPONE";#N/A,#N/A,FALSE,"CAPTWO";#N/A,#N/A,FALSE,"CAPTHREE"}</definedName>
    <definedName name="Regional_2_1_1_4" hidden="1">{#N/A,#N/A,FALSE,"mgtsum.XLS";#N/A,#N/A,FALSE,"CAPONE";#N/A,#N/A,FALSE,"CAPTWO";#N/A,#N/A,FALSE,"CAPTHREE"}</definedName>
    <definedName name="Regional_2_1_1_5" hidden="1">{#N/A,#N/A,FALSE,"mgtsum.XLS";#N/A,#N/A,FALSE,"CAPONE";#N/A,#N/A,FALSE,"CAPTWO";#N/A,#N/A,FALSE,"CAPTHREE"}</definedName>
    <definedName name="Regional_2_1_2" hidden="1">{#N/A,#N/A,FALSE,"mgtsum.XLS";#N/A,#N/A,FALSE,"CAPONE";#N/A,#N/A,FALSE,"CAPTWO";#N/A,#N/A,FALSE,"CAPTHREE"}</definedName>
    <definedName name="Regional_2_1_2_1" hidden="1">{#N/A,#N/A,FALSE,"mgtsum.XLS";#N/A,#N/A,FALSE,"CAPONE";#N/A,#N/A,FALSE,"CAPTWO";#N/A,#N/A,FALSE,"CAPTHREE"}</definedName>
    <definedName name="Regional_2_1_2_2" hidden="1">{#N/A,#N/A,FALSE,"mgtsum.XLS";#N/A,#N/A,FALSE,"CAPONE";#N/A,#N/A,FALSE,"CAPTWO";#N/A,#N/A,FALSE,"CAPTHREE"}</definedName>
    <definedName name="Regional_2_1_2_3" hidden="1">{#N/A,#N/A,FALSE,"mgtsum.XLS";#N/A,#N/A,FALSE,"CAPONE";#N/A,#N/A,FALSE,"CAPTWO";#N/A,#N/A,FALSE,"CAPTHREE"}</definedName>
    <definedName name="Regional_2_1_2_4" hidden="1">{#N/A,#N/A,FALSE,"mgtsum.XLS";#N/A,#N/A,FALSE,"CAPONE";#N/A,#N/A,FALSE,"CAPTWO";#N/A,#N/A,FALSE,"CAPTHREE"}</definedName>
    <definedName name="Regional_2_1_2_5" hidden="1">{#N/A,#N/A,FALSE,"mgtsum.XLS";#N/A,#N/A,FALSE,"CAPONE";#N/A,#N/A,FALSE,"CAPTWO";#N/A,#N/A,FALSE,"CAPTHREE"}</definedName>
    <definedName name="Regional_2_1_3" hidden="1">{#N/A,#N/A,FALSE,"mgtsum.XLS";#N/A,#N/A,FALSE,"CAPONE";#N/A,#N/A,FALSE,"CAPTWO";#N/A,#N/A,FALSE,"CAPTHREE"}</definedName>
    <definedName name="Regional_2_1_3_1" hidden="1">{#N/A,#N/A,FALSE,"mgtsum.XLS";#N/A,#N/A,FALSE,"CAPONE";#N/A,#N/A,FALSE,"CAPTWO";#N/A,#N/A,FALSE,"CAPTHREE"}</definedName>
    <definedName name="Regional_2_1_3_2" hidden="1">{#N/A,#N/A,FALSE,"mgtsum.XLS";#N/A,#N/A,FALSE,"CAPONE";#N/A,#N/A,FALSE,"CAPTWO";#N/A,#N/A,FALSE,"CAPTHREE"}</definedName>
    <definedName name="Regional_2_1_3_3" hidden="1">{#N/A,#N/A,FALSE,"mgtsum.XLS";#N/A,#N/A,FALSE,"CAPONE";#N/A,#N/A,FALSE,"CAPTWO";#N/A,#N/A,FALSE,"CAPTHREE"}</definedName>
    <definedName name="Regional_2_1_3_4" hidden="1">{#N/A,#N/A,FALSE,"mgtsum.XLS";#N/A,#N/A,FALSE,"CAPONE";#N/A,#N/A,FALSE,"CAPTWO";#N/A,#N/A,FALSE,"CAPTHREE"}</definedName>
    <definedName name="Regional_2_1_3_5" hidden="1">{#N/A,#N/A,FALSE,"mgtsum.XLS";#N/A,#N/A,FALSE,"CAPONE";#N/A,#N/A,FALSE,"CAPTWO";#N/A,#N/A,FALSE,"CAPTHREE"}</definedName>
    <definedName name="Regional_2_1_4" hidden="1">{#N/A,#N/A,FALSE,"mgtsum.XLS";#N/A,#N/A,FALSE,"CAPONE";#N/A,#N/A,FALSE,"CAPTWO";#N/A,#N/A,FALSE,"CAPTHREE"}</definedName>
    <definedName name="Regional_2_1_5" hidden="1">{#N/A,#N/A,FALSE,"mgtsum.XLS";#N/A,#N/A,FALSE,"CAPONE";#N/A,#N/A,FALSE,"CAPTWO";#N/A,#N/A,FALSE,"CAPTHREE"}</definedName>
    <definedName name="Regional_2_2" hidden="1">{#N/A,#N/A,FALSE,"mgtsum.XLS";#N/A,#N/A,FALSE,"CAPONE";#N/A,#N/A,FALSE,"CAPTWO";#N/A,#N/A,FALSE,"CAPTHREE"}</definedName>
    <definedName name="Regional_2_2_1" hidden="1">{#N/A,#N/A,FALSE,"mgtsum.XLS";#N/A,#N/A,FALSE,"CAPONE";#N/A,#N/A,FALSE,"CAPTWO";#N/A,#N/A,FALSE,"CAPTHREE"}</definedName>
    <definedName name="Regional_2_2_1_1" hidden="1">{#N/A,#N/A,FALSE,"mgtsum.XLS";#N/A,#N/A,FALSE,"CAPONE";#N/A,#N/A,FALSE,"CAPTWO";#N/A,#N/A,FALSE,"CAPTHREE"}</definedName>
    <definedName name="Regional_2_2_1_2" hidden="1">{#N/A,#N/A,FALSE,"mgtsum.XLS";#N/A,#N/A,FALSE,"CAPONE";#N/A,#N/A,FALSE,"CAPTWO";#N/A,#N/A,FALSE,"CAPTHREE"}</definedName>
    <definedName name="Regional_2_2_1_3" hidden="1">{#N/A,#N/A,FALSE,"mgtsum.XLS";#N/A,#N/A,FALSE,"CAPONE";#N/A,#N/A,FALSE,"CAPTWO";#N/A,#N/A,FALSE,"CAPTHREE"}</definedName>
    <definedName name="Regional_2_2_1_4" hidden="1">{#N/A,#N/A,FALSE,"mgtsum.XLS";#N/A,#N/A,FALSE,"CAPONE";#N/A,#N/A,FALSE,"CAPTWO";#N/A,#N/A,FALSE,"CAPTHREE"}</definedName>
    <definedName name="Regional_2_2_1_5" hidden="1">{#N/A,#N/A,FALSE,"mgtsum.XLS";#N/A,#N/A,FALSE,"CAPONE";#N/A,#N/A,FALSE,"CAPTWO";#N/A,#N/A,FALSE,"CAPTHREE"}</definedName>
    <definedName name="Regional_2_2_2" hidden="1">{#N/A,#N/A,FALSE,"mgtsum.XLS";#N/A,#N/A,FALSE,"CAPONE";#N/A,#N/A,FALSE,"CAPTWO";#N/A,#N/A,FALSE,"CAPTHREE"}</definedName>
    <definedName name="Regional_2_2_2_1" hidden="1">{#N/A,#N/A,FALSE,"mgtsum.XLS";#N/A,#N/A,FALSE,"CAPONE";#N/A,#N/A,FALSE,"CAPTWO";#N/A,#N/A,FALSE,"CAPTHREE"}</definedName>
    <definedName name="Regional_2_2_2_2" hidden="1">{#N/A,#N/A,FALSE,"mgtsum.XLS";#N/A,#N/A,FALSE,"CAPONE";#N/A,#N/A,FALSE,"CAPTWO";#N/A,#N/A,FALSE,"CAPTHREE"}</definedName>
    <definedName name="Regional_2_2_2_3" hidden="1">{#N/A,#N/A,FALSE,"mgtsum.XLS";#N/A,#N/A,FALSE,"CAPONE";#N/A,#N/A,FALSE,"CAPTWO";#N/A,#N/A,FALSE,"CAPTHREE"}</definedName>
    <definedName name="Regional_2_2_2_4" hidden="1">{#N/A,#N/A,FALSE,"mgtsum.XLS";#N/A,#N/A,FALSE,"CAPONE";#N/A,#N/A,FALSE,"CAPTWO";#N/A,#N/A,FALSE,"CAPTHREE"}</definedName>
    <definedName name="Regional_2_2_2_5" hidden="1">{#N/A,#N/A,FALSE,"mgtsum.XLS";#N/A,#N/A,FALSE,"CAPONE";#N/A,#N/A,FALSE,"CAPTWO";#N/A,#N/A,FALSE,"CAPTHREE"}</definedName>
    <definedName name="Regional_2_2_3" hidden="1">{#N/A,#N/A,FALSE,"mgtsum.XLS";#N/A,#N/A,FALSE,"CAPONE";#N/A,#N/A,FALSE,"CAPTWO";#N/A,#N/A,FALSE,"CAPTHREE"}</definedName>
    <definedName name="Regional_2_2_4" hidden="1">{#N/A,#N/A,FALSE,"mgtsum.XLS";#N/A,#N/A,FALSE,"CAPONE";#N/A,#N/A,FALSE,"CAPTWO";#N/A,#N/A,FALSE,"CAPTHREE"}</definedName>
    <definedName name="Regional_2_2_5" hidden="1">{#N/A,#N/A,FALSE,"mgtsum.XLS";#N/A,#N/A,FALSE,"CAPONE";#N/A,#N/A,FALSE,"CAPTWO";#N/A,#N/A,FALSE,"CAPTHREE"}</definedName>
    <definedName name="Regional_2_3" hidden="1">{#N/A,#N/A,FALSE,"mgtsum.XLS";#N/A,#N/A,FALSE,"CAPONE";#N/A,#N/A,FALSE,"CAPTWO";#N/A,#N/A,FALSE,"CAPTHREE"}</definedName>
    <definedName name="Regional_2_3_1" hidden="1">{#N/A,#N/A,FALSE,"mgtsum.XLS";#N/A,#N/A,FALSE,"CAPONE";#N/A,#N/A,FALSE,"CAPTWO";#N/A,#N/A,FALSE,"CAPTHREE"}</definedName>
    <definedName name="Regional_2_3_1_1" hidden="1">{#N/A,#N/A,FALSE,"mgtsum.XLS";#N/A,#N/A,FALSE,"CAPONE";#N/A,#N/A,FALSE,"CAPTWO";#N/A,#N/A,FALSE,"CAPTHREE"}</definedName>
    <definedName name="Regional_2_3_1_2" hidden="1">{#N/A,#N/A,FALSE,"mgtsum.XLS";#N/A,#N/A,FALSE,"CAPONE";#N/A,#N/A,FALSE,"CAPTWO";#N/A,#N/A,FALSE,"CAPTHREE"}</definedName>
    <definedName name="Regional_2_3_1_3" hidden="1">{#N/A,#N/A,FALSE,"mgtsum.XLS";#N/A,#N/A,FALSE,"CAPONE";#N/A,#N/A,FALSE,"CAPTWO";#N/A,#N/A,FALSE,"CAPTHREE"}</definedName>
    <definedName name="Regional_2_3_1_4" hidden="1">{#N/A,#N/A,FALSE,"mgtsum.XLS";#N/A,#N/A,FALSE,"CAPONE";#N/A,#N/A,FALSE,"CAPTWO";#N/A,#N/A,FALSE,"CAPTHREE"}</definedName>
    <definedName name="Regional_2_3_1_5" hidden="1">{#N/A,#N/A,FALSE,"mgtsum.XLS";#N/A,#N/A,FALSE,"CAPONE";#N/A,#N/A,FALSE,"CAPTWO";#N/A,#N/A,FALSE,"CAPTHREE"}</definedName>
    <definedName name="Regional_2_3_2" hidden="1">{#N/A,#N/A,FALSE,"mgtsum.XLS";#N/A,#N/A,FALSE,"CAPONE";#N/A,#N/A,FALSE,"CAPTWO";#N/A,#N/A,FALSE,"CAPTHREE"}</definedName>
    <definedName name="Regional_2_3_2_1" hidden="1">{#N/A,#N/A,FALSE,"mgtsum.XLS";#N/A,#N/A,FALSE,"CAPONE";#N/A,#N/A,FALSE,"CAPTWO";#N/A,#N/A,FALSE,"CAPTHREE"}</definedName>
    <definedName name="Regional_2_3_2_2" hidden="1">{#N/A,#N/A,FALSE,"mgtsum.XLS";#N/A,#N/A,FALSE,"CAPONE";#N/A,#N/A,FALSE,"CAPTWO";#N/A,#N/A,FALSE,"CAPTHREE"}</definedName>
    <definedName name="Regional_2_3_2_3" hidden="1">{#N/A,#N/A,FALSE,"mgtsum.XLS";#N/A,#N/A,FALSE,"CAPONE";#N/A,#N/A,FALSE,"CAPTWO";#N/A,#N/A,FALSE,"CAPTHREE"}</definedName>
    <definedName name="Regional_2_3_2_4" hidden="1">{#N/A,#N/A,FALSE,"mgtsum.XLS";#N/A,#N/A,FALSE,"CAPONE";#N/A,#N/A,FALSE,"CAPTWO";#N/A,#N/A,FALSE,"CAPTHREE"}</definedName>
    <definedName name="Regional_2_3_2_5" hidden="1">{#N/A,#N/A,FALSE,"mgtsum.XLS";#N/A,#N/A,FALSE,"CAPONE";#N/A,#N/A,FALSE,"CAPTWO";#N/A,#N/A,FALSE,"CAPTHREE"}</definedName>
    <definedName name="Regional_2_3_3" hidden="1">{#N/A,#N/A,FALSE,"mgtsum.XLS";#N/A,#N/A,FALSE,"CAPONE";#N/A,#N/A,FALSE,"CAPTWO";#N/A,#N/A,FALSE,"CAPTHREE"}</definedName>
    <definedName name="Regional_2_3_4" hidden="1">{#N/A,#N/A,FALSE,"mgtsum.XLS";#N/A,#N/A,FALSE,"CAPONE";#N/A,#N/A,FALSE,"CAPTWO";#N/A,#N/A,FALSE,"CAPTHREE"}</definedName>
    <definedName name="Regional_2_3_5" hidden="1">{#N/A,#N/A,FALSE,"mgtsum.XLS";#N/A,#N/A,FALSE,"CAPONE";#N/A,#N/A,FALSE,"CAPTWO";#N/A,#N/A,FALSE,"CAPTHREE"}</definedName>
    <definedName name="Regional_2_4" hidden="1">{#N/A,#N/A,FALSE,"mgtsum.XLS";#N/A,#N/A,FALSE,"CAPONE";#N/A,#N/A,FALSE,"CAPTWO";#N/A,#N/A,FALSE,"CAPTHREE"}</definedName>
    <definedName name="Regional_2_4_1" hidden="1">{#N/A,#N/A,FALSE,"mgtsum.XLS";#N/A,#N/A,FALSE,"CAPONE";#N/A,#N/A,FALSE,"CAPTWO";#N/A,#N/A,FALSE,"CAPTHREE"}</definedName>
    <definedName name="Regional_2_4_1_1" hidden="1">{#N/A,#N/A,FALSE,"mgtsum.XLS";#N/A,#N/A,FALSE,"CAPONE";#N/A,#N/A,FALSE,"CAPTWO";#N/A,#N/A,FALSE,"CAPTHREE"}</definedName>
    <definedName name="Regional_2_4_1_2" hidden="1">{#N/A,#N/A,FALSE,"mgtsum.XLS";#N/A,#N/A,FALSE,"CAPONE";#N/A,#N/A,FALSE,"CAPTWO";#N/A,#N/A,FALSE,"CAPTHREE"}</definedName>
    <definedName name="Regional_2_4_1_3" hidden="1">{#N/A,#N/A,FALSE,"mgtsum.XLS";#N/A,#N/A,FALSE,"CAPONE";#N/A,#N/A,FALSE,"CAPTWO";#N/A,#N/A,FALSE,"CAPTHREE"}</definedName>
    <definedName name="Regional_2_4_1_4" hidden="1">{#N/A,#N/A,FALSE,"mgtsum.XLS";#N/A,#N/A,FALSE,"CAPONE";#N/A,#N/A,FALSE,"CAPTWO";#N/A,#N/A,FALSE,"CAPTHREE"}</definedName>
    <definedName name="Regional_2_4_1_5" hidden="1">{#N/A,#N/A,FALSE,"mgtsum.XLS";#N/A,#N/A,FALSE,"CAPONE";#N/A,#N/A,FALSE,"CAPTWO";#N/A,#N/A,FALSE,"CAPTHREE"}</definedName>
    <definedName name="Regional_2_4_2" hidden="1">{#N/A,#N/A,FALSE,"mgtsum.XLS";#N/A,#N/A,FALSE,"CAPONE";#N/A,#N/A,FALSE,"CAPTWO";#N/A,#N/A,FALSE,"CAPTHREE"}</definedName>
    <definedName name="Regional_2_4_2_1" hidden="1">{#N/A,#N/A,FALSE,"mgtsum.XLS";#N/A,#N/A,FALSE,"CAPONE";#N/A,#N/A,FALSE,"CAPTWO";#N/A,#N/A,FALSE,"CAPTHREE"}</definedName>
    <definedName name="Regional_2_4_2_2" hidden="1">{#N/A,#N/A,FALSE,"mgtsum.XLS";#N/A,#N/A,FALSE,"CAPONE";#N/A,#N/A,FALSE,"CAPTWO";#N/A,#N/A,FALSE,"CAPTHREE"}</definedName>
    <definedName name="Regional_2_4_2_3" hidden="1">{#N/A,#N/A,FALSE,"mgtsum.XLS";#N/A,#N/A,FALSE,"CAPONE";#N/A,#N/A,FALSE,"CAPTWO";#N/A,#N/A,FALSE,"CAPTHREE"}</definedName>
    <definedName name="Regional_2_4_2_4" hidden="1">{#N/A,#N/A,FALSE,"mgtsum.XLS";#N/A,#N/A,FALSE,"CAPONE";#N/A,#N/A,FALSE,"CAPTWO";#N/A,#N/A,FALSE,"CAPTHREE"}</definedName>
    <definedName name="Regional_2_4_2_5" hidden="1">{#N/A,#N/A,FALSE,"mgtsum.XLS";#N/A,#N/A,FALSE,"CAPONE";#N/A,#N/A,FALSE,"CAPTWO";#N/A,#N/A,FALSE,"CAPTHREE"}</definedName>
    <definedName name="Regional_2_4_3" hidden="1">{#N/A,#N/A,FALSE,"mgtsum.XLS";#N/A,#N/A,FALSE,"CAPONE";#N/A,#N/A,FALSE,"CAPTWO";#N/A,#N/A,FALSE,"CAPTHREE"}</definedName>
    <definedName name="Regional_2_4_4" hidden="1">{#N/A,#N/A,FALSE,"mgtsum.XLS";#N/A,#N/A,FALSE,"CAPONE";#N/A,#N/A,FALSE,"CAPTWO";#N/A,#N/A,FALSE,"CAPTHREE"}</definedName>
    <definedName name="Regional_2_4_5" hidden="1">{#N/A,#N/A,FALSE,"mgtsum.XLS";#N/A,#N/A,FALSE,"CAPONE";#N/A,#N/A,FALSE,"CAPTWO";#N/A,#N/A,FALSE,"CAPTHREE"}</definedName>
    <definedName name="Regional_2_5" hidden="1">{#N/A,#N/A,FALSE,"mgtsum.XLS";#N/A,#N/A,FALSE,"CAPONE";#N/A,#N/A,FALSE,"CAPTWO";#N/A,#N/A,FALSE,"CAPTHREE"}</definedName>
    <definedName name="Regional_2_5_1" hidden="1">{#N/A,#N/A,FALSE,"mgtsum.XLS";#N/A,#N/A,FALSE,"CAPONE";#N/A,#N/A,FALSE,"CAPTWO";#N/A,#N/A,FALSE,"CAPTHREE"}</definedName>
    <definedName name="Regional_2_5_2" hidden="1">{#N/A,#N/A,FALSE,"mgtsum.XLS";#N/A,#N/A,FALSE,"CAPONE";#N/A,#N/A,FALSE,"CAPTWO";#N/A,#N/A,FALSE,"CAPTHREE"}</definedName>
    <definedName name="Regional_2_5_3" hidden="1">{#N/A,#N/A,FALSE,"mgtsum.XLS";#N/A,#N/A,FALSE,"CAPONE";#N/A,#N/A,FALSE,"CAPTWO";#N/A,#N/A,FALSE,"CAPTHREE"}</definedName>
    <definedName name="Regional_2_5_4" hidden="1">{#N/A,#N/A,FALSE,"mgtsum.XLS";#N/A,#N/A,FALSE,"CAPONE";#N/A,#N/A,FALSE,"CAPTWO";#N/A,#N/A,FALSE,"CAPTHREE"}</definedName>
    <definedName name="Regional_2_5_5" hidden="1">{#N/A,#N/A,FALSE,"mgtsum.XLS";#N/A,#N/A,FALSE,"CAPONE";#N/A,#N/A,FALSE,"CAPTWO";#N/A,#N/A,FALSE,"CAPTHREE"}</definedName>
    <definedName name="Regional_3" hidden="1">{#N/A,#N/A,FALSE,"mgtsum.XLS";#N/A,#N/A,FALSE,"CAPONE";#N/A,#N/A,FALSE,"CAPTWO";#N/A,#N/A,FALSE,"CAPTHREE"}</definedName>
    <definedName name="Regional_3_1" hidden="1">{#N/A,#N/A,FALSE,"mgtsum.XLS";#N/A,#N/A,FALSE,"CAPONE";#N/A,#N/A,FALSE,"CAPTWO";#N/A,#N/A,FALSE,"CAPTHREE"}</definedName>
    <definedName name="Regional_3_1_1" hidden="1">{#N/A,#N/A,FALSE,"mgtsum.XLS";#N/A,#N/A,FALSE,"CAPONE";#N/A,#N/A,FALSE,"CAPTWO";#N/A,#N/A,FALSE,"CAPTHREE"}</definedName>
    <definedName name="Regional_3_1_1_1" hidden="1">{#N/A,#N/A,FALSE,"mgtsum.XLS";#N/A,#N/A,FALSE,"CAPONE";#N/A,#N/A,FALSE,"CAPTWO";#N/A,#N/A,FALSE,"CAPTHREE"}</definedName>
    <definedName name="Regional_3_1_1_2" hidden="1">{#N/A,#N/A,FALSE,"mgtsum.XLS";#N/A,#N/A,FALSE,"CAPONE";#N/A,#N/A,FALSE,"CAPTWO";#N/A,#N/A,FALSE,"CAPTHREE"}</definedName>
    <definedName name="Regional_3_1_1_3" hidden="1">{#N/A,#N/A,FALSE,"mgtsum.XLS";#N/A,#N/A,FALSE,"CAPONE";#N/A,#N/A,FALSE,"CAPTWO";#N/A,#N/A,FALSE,"CAPTHREE"}</definedName>
    <definedName name="Regional_3_1_1_4" hidden="1">{#N/A,#N/A,FALSE,"mgtsum.XLS";#N/A,#N/A,FALSE,"CAPONE";#N/A,#N/A,FALSE,"CAPTWO";#N/A,#N/A,FALSE,"CAPTHREE"}</definedName>
    <definedName name="Regional_3_1_1_5" hidden="1">{#N/A,#N/A,FALSE,"mgtsum.XLS";#N/A,#N/A,FALSE,"CAPONE";#N/A,#N/A,FALSE,"CAPTWO";#N/A,#N/A,FALSE,"CAPTHREE"}</definedName>
    <definedName name="Regional_3_1_2" hidden="1">{#N/A,#N/A,FALSE,"mgtsum.XLS";#N/A,#N/A,FALSE,"CAPONE";#N/A,#N/A,FALSE,"CAPTWO";#N/A,#N/A,FALSE,"CAPTHREE"}</definedName>
    <definedName name="Regional_3_1_2_1" hidden="1">{#N/A,#N/A,FALSE,"mgtsum.XLS";#N/A,#N/A,FALSE,"CAPONE";#N/A,#N/A,FALSE,"CAPTWO";#N/A,#N/A,FALSE,"CAPTHREE"}</definedName>
    <definedName name="Regional_3_1_2_2" hidden="1">{#N/A,#N/A,FALSE,"mgtsum.XLS";#N/A,#N/A,FALSE,"CAPONE";#N/A,#N/A,FALSE,"CAPTWO";#N/A,#N/A,FALSE,"CAPTHREE"}</definedName>
    <definedName name="Regional_3_1_2_3" hidden="1">{#N/A,#N/A,FALSE,"mgtsum.XLS";#N/A,#N/A,FALSE,"CAPONE";#N/A,#N/A,FALSE,"CAPTWO";#N/A,#N/A,FALSE,"CAPTHREE"}</definedName>
    <definedName name="Regional_3_1_2_4" hidden="1">{#N/A,#N/A,FALSE,"mgtsum.XLS";#N/A,#N/A,FALSE,"CAPONE";#N/A,#N/A,FALSE,"CAPTWO";#N/A,#N/A,FALSE,"CAPTHREE"}</definedName>
    <definedName name="Regional_3_1_2_5" hidden="1">{#N/A,#N/A,FALSE,"mgtsum.XLS";#N/A,#N/A,FALSE,"CAPONE";#N/A,#N/A,FALSE,"CAPTWO";#N/A,#N/A,FALSE,"CAPTHREE"}</definedName>
    <definedName name="Regional_3_1_3" hidden="1">{#N/A,#N/A,FALSE,"mgtsum.XLS";#N/A,#N/A,FALSE,"CAPONE";#N/A,#N/A,FALSE,"CAPTWO";#N/A,#N/A,FALSE,"CAPTHREE"}</definedName>
    <definedName name="Regional_3_1_3_1" hidden="1">{#N/A,#N/A,FALSE,"mgtsum.XLS";#N/A,#N/A,FALSE,"CAPONE";#N/A,#N/A,FALSE,"CAPTWO";#N/A,#N/A,FALSE,"CAPTHREE"}</definedName>
    <definedName name="Regional_3_1_3_2" hidden="1">{#N/A,#N/A,FALSE,"mgtsum.XLS";#N/A,#N/A,FALSE,"CAPONE";#N/A,#N/A,FALSE,"CAPTWO";#N/A,#N/A,FALSE,"CAPTHREE"}</definedName>
    <definedName name="Regional_3_1_3_3" hidden="1">{#N/A,#N/A,FALSE,"mgtsum.XLS";#N/A,#N/A,FALSE,"CAPONE";#N/A,#N/A,FALSE,"CAPTWO";#N/A,#N/A,FALSE,"CAPTHREE"}</definedName>
    <definedName name="Regional_3_1_3_4" hidden="1">{#N/A,#N/A,FALSE,"mgtsum.XLS";#N/A,#N/A,FALSE,"CAPONE";#N/A,#N/A,FALSE,"CAPTWO";#N/A,#N/A,FALSE,"CAPTHREE"}</definedName>
    <definedName name="Regional_3_1_3_5" hidden="1">{#N/A,#N/A,FALSE,"mgtsum.XLS";#N/A,#N/A,FALSE,"CAPONE";#N/A,#N/A,FALSE,"CAPTWO";#N/A,#N/A,FALSE,"CAPTHREE"}</definedName>
    <definedName name="Regional_3_1_4" hidden="1">{#N/A,#N/A,FALSE,"mgtsum.XLS";#N/A,#N/A,FALSE,"CAPONE";#N/A,#N/A,FALSE,"CAPTWO";#N/A,#N/A,FALSE,"CAPTHREE"}</definedName>
    <definedName name="Regional_3_1_5" hidden="1">{#N/A,#N/A,FALSE,"mgtsum.XLS";#N/A,#N/A,FALSE,"CAPONE";#N/A,#N/A,FALSE,"CAPTWO";#N/A,#N/A,FALSE,"CAPTHREE"}</definedName>
    <definedName name="Regional_3_2" hidden="1">{#N/A,#N/A,FALSE,"mgtsum.XLS";#N/A,#N/A,FALSE,"CAPONE";#N/A,#N/A,FALSE,"CAPTWO";#N/A,#N/A,FALSE,"CAPTHREE"}</definedName>
    <definedName name="Regional_3_2_1" hidden="1">{#N/A,#N/A,FALSE,"mgtsum.XLS";#N/A,#N/A,FALSE,"CAPONE";#N/A,#N/A,FALSE,"CAPTWO";#N/A,#N/A,FALSE,"CAPTHREE"}</definedName>
    <definedName name="Regional_3_2_1_1" hidden="1">{#N/A,#N/A,FALSE,"mgtsum.XLS";#N/A,#N/A,FALSE,"CAPONE";#N/A,#N/A,FALSE,"CAPTWO";#N/A,#N/A,FALSE,"CAPTHREE"}</definedName>
    <definedName name="Regional_3_2_1_2" hidden="1">{#N/A,#N/A,FALSE,"mgtsum.XLS";#N/A,#N/A,FALSE,"CAPONE";#N/A,#N/A,FALSE,"CAPTWO";#N/A,#N/A,FALSE,"CAPTHREE"}</definedName>
    <definedName name="Regional_3_2_1_3" hidden="1">{#N/A,#N/A,FALSE,"mgtsum.XLS";#N/A,#N/A,FALSE,"CAPONE";#N/A,#N/A,FALSE,"CAPTWO";#N/A,#N/A,FALSE,"CAPTHREE"}</definedName>
    <definedName name="Regional_3_2_1_4" hidden="1">{#N/A,#N/A,FALSE,"mgtsum.XLS";#N/A,#N/A,FALSE,"CAPONE";#N/A,#N/A,FALSE,"CAPTWO";#N/A,#N/A,FALSE,"CAPTHREE"}</definedName>
    <definedName name="Regional_3_2_1_5" hidden="1">{#N/A,#N/A,FALSE,"mgtsum.XLS";#N/A,#N/A,FALSE,"CAPONE";#N/A,#N/A,FALSE,"CAPTWO";#N/A,#N/A,FALSE,"CAPTHREE"}</definedName>
    <definedName name="Regional_3_2_2" hidden="1">{#N/A,#N/A,FALSE,"mgtsum.XLS";#N/A,#N/A,FALSE,"CAPONE";#N/A,#N/A,FALSE,"CAPTWO";#N/A,#N/A,FALSE,"CAPTHREE"}</definedName>
    <definedName name="Regional_3_2_2_1" hidden="1">{#N/A,#N/A,FALSE,"mgtsum.XLS";#N/A,#N/A,FALSE,"CAPONE";#N/A,#N/A,FALSE,"CAPTWO";#N/A,#N/A,FALSE,"CAPTHREE"}</definedName>
    <definedName name="Regional_3_2_2_2" hidden="1">{#N/A,#N/A,FALSE,"mgtsum.XLS";#N/A,#N/A,FALSE,"CAPONE";#N/A,#N/A,FALSE,"CAPTWO";#N/A,#N/A,FALSE,"CAPTHREE"}</definedName>
    <definedName name="Regional_3_2_2_3" hidden="1">{#N/A,#N/A,FALSE,"mgtsum.XLS";#N/A,#N/A,FALSE,"CAPONE";#N/A,#N/A,FALSE,"CAPTWO";#N/A,#N/A,FALSE,"CAPTHREE"}</definedName>
    <definedName name="Regional_3_2_2_4" hidden="1">{#N/A,#N/A,FALSE,"mgtsum.XLS";#N/A,#N/A,FALSE,"CAPONE";#N/A,#N/A,FALSE,"CAPTWO";#N/A,#N/A,FALSE,"CAPTHREE"}</definedName>
    <definedName name="Regional_3_2_2_5" hidden="1">{#N/A,#N/A,FALSE,"mgtsum.XLS";#N/A,#N/A,FALSE,"CAPONE";#N/A,#N/A,FALSE,"CAPTWO";#N/A,#N/A,FALSE,"CAPTHREE"}</definedName>
    <definedName name="Regional_3_2_3" hidden="1">{#N/A,#N/A,FALSE,"mgtsum.XLS";#N/A,#N/A,FALSE,"CAPONE";#N/A,#N/A,FALSE,"CAPTWO";#N/A,#N/A,FALSE,"CAPTHREE"}</definedName>
    <definedName name="Regional_3_2_4" hidden="1">{#N/A,#N/A,FALSE,"mgtsum.XLS";#N/A,#N/A,FALSE,"CAPONE";#N/A,#N/A,FALSE,"CAPTWO";#N/A,#N/A,FALSE,"CAPTHREE"}</definedName>
    <definedName name="Regional_3_2_5" hidden="1">{#N/A,#N/A,FALSE,"mgtsum.XLS";#N/A,#N/A,FALSE,"CAPONE";#N/A,#N/A,FALSE,"CAPTWO";#N/A,#N/A,FALSE,"CAPTHREE"}</definedName>
    <definedName name="Regional_3_3" hidden="1">{#N/A,#N/A,FALSE,"mgtsum.XLS";#N/A,#N/A,FALSE,"CAPONE";#N/A,#N/A,FALSE,"CAPTWO";#N/A,#N/A,FALSE,"CAPTHREE"}</definedName>
    <definedName name="Regional_3_3_1" hidden="1">{#N/A,#N/A,FALSE,"mgtsum.XLS";#N/A,#N/A,FALSE,"CAPONE";#N/A,#N/A,FALSE,"CAPTWO";#N/A,#N/A,FALSE,"CAPTHREE"}</definedName>
    <definedName name="Regional_3_3_1_1" hidden="1">{#N/A,#N/A,FALSE,"mgtsum.XLS";#N/A,#N/A,FALSE,"CAPONE";#N/A,#N/A,FALSE,"CAPTWO";#N/A,#N/A,FALSE,"CAPTHREE"}</definedName>
    <definedName name="Regional_3_3_1_2" hidden="1">{#N/A,#N/A,FALSE,"mgtsum.XLS";#N/A,#N/A,FALSE,"CAPONE";#N/A,#N/A,FALSE,"CAPTWO";#N/A,#N/A,FALSE,"CAPTHREE"}</definedName>
    <definedName name="Regional_3_3_1_3" hidden="1">{#N/A,#N/A,FALSE,"mgtsum.XLS";#N/A,#N/A,FALSE,"CAPONE";#N/A,#N/A,FALSE,"CAPTWO";#N/A,#N/A,FALSE,"CAPTHREE"}</definedName>
    <definedName name="Regional_3_3_1_4" hidden="1">{#N/A,#N/A,FALSE,"mgtsum.XLS";#N/A,#N/A,FALSE,"CAPONE";#N/A,#N/A,FALSE,"CAPTWO";#N/A,#N/A,FALSE,"CAPTHREE"}</definedName>
    <definedName name="Regional_3_3_1_5" hidden="1">{#N/A,#N/A,FALSE,"mgtsum.XLS";#N/A,#N/A,FALSE,"CAPONE";#N/A,#N/A,FALSE,"CAPTWO";#N/A,#N/A,FALSE,"CAPTHREE"}</definedName>
    <definedName name="Regional_3_3_2" hidden="1">{#N/A,#N/A,FALSE,"mgtsum.XLS";#N/A,#N/A,FALSE,"CAPONE";#N/A,#N/A,FALSE,"CAPTWO";#N/A,#N/A,FALSE,"CAPTHREE"}</definedName>
    <definedName name="Regional_3_3_2_1" hidden="1">{#N/A,#N/A,FALSE,"mgtsum.XLS";#N/A,#N/A,FALSE,"CAPONE";#N/A,#N/A,FALSE,"CAPTWO";#N/A,#N/A,FALSE,"CAPTHREE"}</definedName>
    <definedName name="Regional_3_3_2_2" hidden="1">{#N/A,#N/A,FALSE,"mgtsum.XLS";#N/A,#N/A,FALSE,"CAPONE";#N/A,#N/A,FALSE,"CAPTWO";#N/A,#N/A,FALSE,"CAPTHREE"}</definedName>
    <definedName name="Regional_3_3_2_3" hidden="1">{#N/A,#N/A,FALSE,"mgtsum.XLS";#N/A,#N/A,FALSE,"CAPONE";#N/A,#N/A,FALSE,"CAPTWO";#N/A,#N/A,FALSE,"CAPTHREE"}</definedName>
    <definedName name="Regional_3_3_2_4" hidden="1">{#N/A,#N/A,FALSE,"mgtsum.XLS";#N/A,#N/A,FALSE,"CAPONE";#N/A,#N/A,FALSE,"CAPTWO";#N/A,#N/A,FALSE,"CAPTHREE"}</definedName>
    <definedName name="Regional_3_3_2_5" hidden="1">{#N/A,#N/A,FALSE,"mgtsum.XLS";#N/A,#N/A,FALSE,"CAPONE";#N/A,#N/A,FALSE,"CAPTWO";#N/A,#N/A,FALSE,"CAPTHREE"}</definedName>
    <definedName name="Regional_3_3_3" hidden="1">{#N/A,#N/A,FALSE,"mgtsum.XLS";#N/A,#N/A,FALSE,"CAPONE";#N/A,#N/A,FALSE,"CAPTWO";#N/A,#N/A,FALSE,"CAPTHREE"}</definedName>
    <definedName name="Regional_3_3_4" hidden="1">{#N/A,#N/A,FALSE,"mgtsum.XLS";#N/A,#N/A,FALSE,"CAPONE";#N/A,#N/A,FALSE,"CAPTWO";#N/A,#N/A,FALSE,"CAPTHREE"}</definedName>
    <definedName name="Regional_3_3_5" hidden="1">{#N/A,#N/A,FALSE,"mgtsum.XLS";#N/A,#N/A,FALSE,"CAPONE";#N/A,#N/A,FALSE,"CAPTWO";#N/A,#N/A,FALSE,"CAPTHREE"}</definedName>
    <definedName name="Regional_3_4" hidden="1">{#N/A,#N/A,FALSE,"mgtsum.XLS";#N/A,#N/A,FALSE,"CAPONE";#N/A,#N/A,FALSE,"CAPTWO";#N/A,#N/A,FALSE,"CAPTHREE"}</definedName>
    <definedName name="Regional_3_4_1" hidden="1">{#N/A,#N/A,FALSE,"mgtsum.XLS";#N/A,#N/A,FALSE,"CAPONE";#N/A,#N/A,FALSE,"CAPTWO";#N/A,#N/A,FALSE,"CAPTHREE"}</definedName>
    <definedName name="Regional_3_4_1_1" hidden="1">{#N/A,#N/A,FALSE,"mgtsum.XLS";#N/A,#N/A,FALSE,"CAPONE";#N/A,#N/A,FALSE,"CAPTWO";#N/A,#N/A,FALSE,"CAPTHREE"}</definedName>
    <definedName name="Regional_3_4_1_2" hidden="1">{#N/A,#N/A,FALSE,"mgtsum.XLS";#N/A,#N/A,FALSE,"CAPONE";#N/A,#N/A,FALSE,"CAPTWO";#N/A,#N/A,FALSE,"CAPTHREE"}</definedName>
    <definedName name="Regional_3_4_1_3" hidden="1">{#N/A,#N/A,FALSE,"mgtsum.XLS";#N/A,#N/A,FALSE,"CAPONE";#N/A,#N/A,FALSE,"CAPTWO";#N/A,#N/A,FALSE,"CAPTHREE"}</definedName>
    <definedName name="Regional_3_4_1_4" hidden="1">{#N/A,#N/A,FALSE,"mgtsum.XLS";#N/A,#N/A,FALSE,"CAPONE";#N/A,#N/A,FALSE,"CAPTWO";#N/A,#N/A,FALSE,"CAPTHREE"}</definedName>
    <definedName name="Regional_3_4_1_5" hidden="1">{#N/A,#N/A,FALSE,"mgtsum.XLS";#N/A,#N/A,FALSE,"CAPONE";#N/A,#N/A,FALSE,"CAPTWO";#N/A,#N/A,FALSE,"CAPTHREE"}</definedName>
    <definedName name="Regional_3_4_2" hidden="1">{#N/A,#N/A,FALSE,"mgtsum.XLS";#N/A,#N/A,FALSE,"CAPONE";#N/A,#N/A,FALSE,"CAPTWO";#N/A,#N/A,FALSE,"CAPTHREE"}</definedName>
    <definedName name="Regional_3_4_2_1" hidden="1">{#N/A,#N/A,FALSE,"mgtsum.XLS";#N/A,#N/A,FALSE,"CAPONE";#N/A,#N/A,FALSE,"CAPTWO";#N/A,#N/A,FALSE,"CAPTHREE"}</definedName>
    <definedName name="Regional_3_4_2_2" hidden="1">{#N/A,#N/A,FALSE,"mgtsum.XLS";#N/A,#N/A,FALSE,"CAPONE";#N/A,#N/A,FALSE,"CAPTWO";#N/A,#N/A,FALSE,"CAPTHREE"}</definedName>
    <definedName name="Regional_3_4_2_3" hidden="1">{#N/A,#N/A,FALSE,"mgtsum.XLS";#N/A,#N/A,FALSE,"CAPONE";#N/A,#N/A,FALSE,"CAPTWO";#N/A,#N/A,FALSE,"CAPTHREE"}</definedName>
    <definedName name="Regional_3_4_2_4" hidden="1">{#N/A,#N/A,FALSE,"mgtsum.XLS";#N/A,#N/A,FALSE,"CAPONE";#N/A,#N/A,FALSE,"CAPTWO";#N/A,#N/A,FALSE,"CAPTHREE"}</definedName>
    <definedName name="Regional_3_4_2_5" hidden="1">{#N/A,#N/A,FALSE,"mgtsum.XLS";#N/A,#N/A,FALSE,"CAPONE";#N/A,#N/A,FALSE,"CAPTWO";#N/A,#N/A,FALSE,"CAPTHREE"}</definedName>
    <definedName name="Regional_3_4_3" hidden="1">{#N/A,#N/A,FALSE,"mgtsum.XLS";#N/A,#N/A,FALSE,"CAPONE";#N/A,#N/A,FALSE,"CAPTWO";#N/A,#N/A,FALSE,"CAPTHREE"}</definedName>
    <definedName name="Regional_3_4_4" hidden="1">{#N/A,#N/A,FALSE,"mgtsum.XLS";#N/A,#N/A,FALSE,"CAPONE";#N/A,#N/A,FALSE,"CAPTWO";#N/A,#N/A,FALSE,"CAPTHREE"}</definedName>
    <definedName name="Regional_3_4_5" hidden="1">{#N/A,#N/A,FALSE,"mgtsum.XLS";#N/A,#N/A,FALSE,"CAPONE";#N/A,#N/A,FALSE,"CAPTWO";#N/A,#N/A,FALSE,"CAPTHREE"}</definedName>
    <definedName name="Regional_3_5" hidden="1">{#N/A,#N/A,FALSE,"mgtsum.XLS";#N/A,#N/A,FALSE,"CAPONE";#N/A,#N/A,FALSE,"CAPTWO";#N/A,#N/A,FALSE,"CAPTHREE"}</definedName>
    <definedName name="Regional_3_5_1" hidden="1">{#N/A,#N/A,FALSE,"mgtsum.XLS";#N/A,#N/A,FALSE,"CAPONE";#N/A,#N/A,FALSE,"CAPTWO";#N/A,#N/A,FALSE,"CAPTHREE"}</definedName>
    <definedName name="Regional_3_5_2" hidden="1">{#N/A,#N/A,FALSE,"mgtsum.XLS";#N/A,#N/A,FALSE,"CAPONE";#N/A,#N/A,FALSE,"CAPTWO";#N/A,#N/A,FALSE,"CAPTHREE"}</definedName>
    <definedName name="Regional_3_5_3" hidden="1">{#N/A,#N/A,FALSE,"mgtsum.XLS";#N/A,#N/A,FALSE,"CAPONE";#N/A,#N/A,FALSE,"CAPTWO";#N/A,#N/A,FALSE,"CAPTHREE"}</definedName>
    <definedName name="Regional_3_5_4" hidden="1">{#N/A,#N/A,FALSE,"mgtsum.XLS";#N/A,#N/A,FALSE,"CAPONE";#N/A,#N/A,FALSE,"CAPTWO";#N/A,#N/A,FALSE,"CAPTHREE"}</definedName>
    <definedName name="Regional_3_5_5" hidden="1">{#N/A,#N/A,FALSE,"mgtsum.XLS";#N/A,#N/A,FALSE,"CAPONE";#N/A,#N/A,FALSE,"CAPTWO";#N/A,#N/A,FALSE,"CAPTHREE"}</definedName>
    <definedName name="Regional_4" hidden="1">{#N/A,#N/A,FALSE,"mgtsum.XLS";#N/A,#N/A,FALSE,"CAPONE";#N/A,#N/A,FALSE,"CAPTWO";#N/A,#N/A,FALSE,"CAPTHREE"}</definedName>
    <definedName name="Regional_4_1" hidden="1">{#N/A,#N/A,FALSE,"mgtsum.XLS";#N/A,#N/A,FALSE,"CAPONE";#N/A,#N/A,FALSE,"CAPTWO";#N/A,#N/A,FALSE,"CAPTHREE"}</definedName>
    <definedName name="Regional_4_1_1" hidden="1">{#N/A,#N/A,FALSE,"mgtsum.XLS";#N/A,#N/A,FALSE,"CAPONE";#N/A,#N/A,FALSE,"CAPTWO";#N/A,#N/A,FALSE,"CAPTHREE"}</definedName>
    <definedName name="Regional_4_1_1_1" hidden="1">{#N/A,#N/A,FALSE,"mgtsum.XLS";#N/A,#N/A,FALSE,"CAPONE";#N/A,#N/A,FALSE,"CAPTWO";#N/A,#N/A,FALSE,"CAPTHREE"}</definedName>
    <definedName name="Regional_4_1_1_2" hidden="1">{#N/A,#N/A,FALSE,"mgtsum.XLS";#N/A,#N/A,FALSE,"CAPONE";#N/A,#N/A,FALSE,"CAPTWO";#N/A,#N/A,FALSE,"CAPTHREE"}</definedName>
    <definedName name="Regional_4_1_1_3" hidden="1">{#N/A,#N/A,FALSE,"mgtsum.XLS";#N/A,#N/A,FALSE,"CAPONE";#N/A,#N/A,FALSE,"CAPTWO";#N/A,#N/A,FALSE,"CAPTHREE"}</definedName>
    <definedName name="Regional_4_1_1_4" hidden="1">{#N/A,#N/A,FALSE,"mgtsum.XLS";#N/A,#N/A,FALSE,"CAPONE";#N/A,#N/A,FALSE,"CAPTWO";#N/A,#N/A,FALSE,"CAPTHREE"}</definedName>
    <definedName name="Regional_4_1_1_5" hidden="1">{#N/A,#N/A,FALSE,"mgtsum.XLS";#N/A,#N/A,FALSE,"CAPONE";#N/A,#N/A,FALSE,"CAPTWO";#N/A,#N/A,FALSE,"CAPTHREE"}</definedName>
    <definedName name="Regional_4_1_2" hidden="1">{#N/A,#N/A,FALSE,"mgtsum.XLS";#N/A,#N/A,FALSE,"CAPONE";#N/A,#N/A,FALSE,"CAPTWO";#N/A,#N/A,FALSE,"CAPTHREE"}</definedName>
    <definedName name="Regional_4_1_2_1" hidden="1">{#N/A,#N/A,FALSE,"mgtsum.XLS";#N/A,#N/A,FALSE,"CAPONE";#N/A,#N/A,FALSE,"CAPTWO";#N/A,#N/A,FALSE,"CAPTHREE"}</definedName>
    <definedName name="Regional_4_1_2_2" hidden="1">{#N/A,#N/A,FALSE,"mgtsum.XLS";#N/A,#N/A,FALSE,"CAPONE";#N/A,#N/A,FALSE,"CAPTWO";#N/A,#N/A,FALSE,"CAPTHREE"}</definedName>
    <definedName name="Regional_4_1_2_3" hidden="1">{#N/A,#N/A,FALSE,"mgtsum.XLS";#N/A,#N/A,FALSE,"CAPONE";#N/A,#N/A,FALSE,"CAPTWO";#N/A,#N/A,FALSE,"CAPTHREE"}</definedName>
    <definedName name="Regional_4_1_2_4" hidden="1">{#N/A,#N/A,FALSE,"mgtsum.XLS";#N/A,#N/A,FALSE,"CAPONE";#N/A,#N/A,FALSE,"CAPTWO";#N/A,#N/A,FALSE,"CAPTHREE"}</definedName>
    <definedName name="Regional_4_1_2_5" hidden="1">{#N/A,#N/A,FALSE,"mgtsum.XLS";#N/A,#N/A,FALSE,"CAPONE";#N/A,#N/A,FALSE,"CAPTWO";#N/A,#N/A,FALSE,"CAPTHREE"}</definedName>
    <definedName name="Regional_4_1_3" hidden="1">{#N/A,#N/A,FALSE,"mgtsum.XLS";#N/A,#N/A,FALSE,"CAPONE";#N/A,#N/A,FALSE,"CAPTWO";#N/A,#N/A,FALSE,"CAPTHREE"}</definedName>
    <definedName name="Regional_4_1_3_1" hidden="1">{#N/A,#N/A,FALSE,"mgtsum.XLS";#N/A,#N/A,FALSE,"CAPONE";#N/A,#N/A,FALSE,"CAPTWO";#N/A,#N/A,FALSE,"CAPTHREE"}</definedName>
    <definedName name="Regional_4_1_3_2" hidden="1">{#N/A,#N/A,FALSE,"mgtsum.XLS";#N/A,#N/A,FALSE,"CAPONE";#N/A,#N/A,FALSE,"CAPTWO";#N/A,#N/A,FALSE,"CAPTHREE"}</definedName>
    <definedName name="Regional_4_1_3_3" hidden="1">{#N/A,#N/A,FALSE,"mgtsum.XLS";#N/A,#N/A,FALSE,"CAPONE";#N/A,#N/A,FALSE,"CAPTWO";#N/A,#N/A,FALSE,"CAPTHREE"}</definedName>
    <definedName name="Regional_4_1_3_4" hidden="1">{#N/A,#N/A,FALSE,"mgtsum.XLS";#N/A,#N/A,FALSE,"CAPONE";#N/A,#N/A,FALSE,"CAPTWO";#N/A,#N/A,FALSE,"CAPTHREE"}</definedName>
    <definedName name="Regional_4_1_3_5" hidden="1">{#N/A,#N/A,FALSE,"mgtsum.XLS";#N/A,#N/A,FALSE,"CAPONE";#N/A,#N/A,FALSE,"CAPTWO";#N/A,#N/A,FALSE,"CAPTHREE"}</definedName>
    <definedName name="Regional_4_1_4" hidden="1">{#N/A,#N/A,FALSE,"mgtsum.XLS";#N/A,#N/A,FALSE,"CAPONE";#N/A,#N/A,FALSE,"CAPTWO";#N/A,#N/A,FALSE,"CAPTHREE"}</definedName>
    <definedName name="Regional_4_1_5" hidden="1">{#N/A,#N/A,FALSE,"mgtsum.XLS";#N/A,#N/A,FALSE,"CAPONE";#N/A,#N/A,FALSE,"CAPTWO";#N/A,#N/A,FALSE,"CAPTHREE"}</definedName>
    <definedName name="Regional_4_2" hidden="1">{#N/A,#N/A,FALSE,"mgtsum.XLS";#N/A,#N/A,FALSE,"CAPONE";#N/A,#N/A,FALSE,"CAPTWO";#N/A,#N/A,FALSE,"CAPTHREE"}</definedName>
    <definedName name="Regional_4_2_1" hidden="1">{#N/A,#N/A,FALSE,"mgtsum.XLS";#N/A,#N/A,FALSE,"CAPONE";#N/A,#N/A,FALSE,"CAPTWO";#N/A,#N/A,FALSE,"CAPTHREE"}</definedName>
    <definedName name="Regional_4_2_2" hidden="1">{#N/A,#N/A,FALSE,"mgtsum.XLS";#N/A,#N/A,FALSE,"CAPONE";#N/A,#N/A,FALSE,"CAPTWO";#N/A,#N/A,FALSE,"CAPTHREE"}</definedName>
    <definedName name="Regional_4_2_3" hidden="1">{#N/A,#N/A,FALSE,"mgtsum.XLS";#N/A,#N/A,FALSE,"CAPONE";#N/A,#N/A,FALSE,"CAPTWO";#N/A,#N/A,FALSE,"CAPTHREE"}</definedName>
    <definedName name="Regional_4_2_4" hidden="1">{#N/A,#N/A,FALSE,"mgtsum.XLS";#N/A,#N/A,FALSE,"CAPONE";#N/A,#N/A,FALSE,"CAPTWO";#N/A,#N/A,FALSE,"CAPTHREE"}</definedName>
    <definedName name="Regional_4_2_5" hidden="1">{#N/A,#N/A,FALSE,"mgtsum.XLS";#N/A,#N/A,FALSE,"CAPONE";#N/A,#N/A,FALSE,"CAPTWO";#N/A,#N/A,FALSE,"CAPTHREE"}</definedName>
    <definedName name="Regional_4_3" hidden="1">{#N/A,#N/A,FALSE,"mgtsum.XLS";#N/A,#N/A,FALSE,"CAPONE";#N/A,#N/A,FALSE,"CAPTWO";#N/A,#N/A,FALSE,"CAPTHREE"}</definedName>
    <definedName name="Regional_4_3_1" hidden="1">{#N/A,#N/A,FALSE,"mgtsum.XLS";#N/A,#N/A,FALSE,"CAPONE";#N/A,#N/A,FALSE,"CAPTWO";#N/A,#N/A,FALSE,"CAPTHREE"}</definedName>
    <definedName name="Regional_4_3_2" hidden="1">{#N/A,#N/A,FALSE,"mgtsum.XLS";#N/A,#N/A,FALSE,"CAPONE";#N/A,#N/A,FALSE,"CAPTWO";#N/A,#N/A,FALSE,"CAPTHREE"}</definedName>
    <definedName name="Regional_4_3_3" hidden="1">{#N/A,#N/A,FALSE,"mgtsum.XLS";#N/A,#N/A,FALSE,"CAPONE";#N/A,#N/A,FALSE,"CAPTWO";#N/A,#N/A,FALSE,"CAPTHREE"}</definedName>
    <definedName name="Regional_4_3_4" hidden="1">{#N/A,#N/A,FALSE,"mgtsum.XLS";#N/A,#N/A,FALSE,"CAPONE";#N/A,#N/A,FALSE,"CAPTWO";#N/A,#N/A,FALSE,"CAPTHREE"}</definedName>
    <definedName name="Regional_4_3_5" hidden="1">{#N/A,#N/A,FALSE,"mgtsum.XLS";#N/A,#N/A,FALSE,"CAPONE";#N/A,#N/A,FALSE,"CAPTWO";#N/A,#N/A,FALSE,"CAPTHREE"}</definedName>
    <definedName name="Regional_4_4" hidden="1">{#N/A,#N/A,FALSE,"mgtsum.XLS";#N/A,#N/A,FALSE,"CAPONE";#N/A,#N/A,FALSE,"CAPTWO";#N/A,#N/A,FALSE,"CAPTHREE"}</definedName>
    <definedName name="Regional_4_5" hidden="1">{#N/A,#N/A,FALSE,"mgtsum.XLS";#N/A,#N/A,FALSE,"CAPONE";#N/A,#N/A,FALSE,"CAPTWO";#N/A,#N/A,FALSE,"CAPTHREE"}</definedName>
    <definedName name="Regional_5" hidden="1">{#N/A,#N/A,FALSE,"mgtsum.XLS";#N/A,#N/A,FALSE,"CAPONE";#N/A,#N/A,FALSE,"CAPTWO";#N/A,#N/A,FALSE,"CAPTHREE"}</definedName>
    <definedName name="Regional_5_1" hidden="1">{#N/A,#N/A,FALSE,"mgtsum.XLS";#N/A,#N/A,FALSE,"CAPONE";#N/A,#N/A,FALSE,"CAPTWO";#N/A,#N/A,FALSE,"CAPTHREE"}</definedName>
    <definedName name="Regional_5_1_1" hidden="1">{#N/A,#N/A,FALSE,"mgtsum.XLS";#N/A,#N/A,FALSE,"CAPONE";#N/A,#N/A,FALSE,"CAPTWO";#N/A,#N/A,FALSE,"CAPTHREE"}</definedName>
    <definedName name="Regional_5_1_2" hidden="1">{#N/A,#N/A,FALSE,"mgtsum.XLS";#N/A,#N/A,FALSE,"CAPONE";#N/A,#N/A,FALSE,"CAPTWO";#N/A,#N/A,FALSE,"CAPTHREE"}</definedName>
    <definedName name="Regional_5_1_3" hidden="1">{#N/A,#N/A,FALSE,"mgtsum.XLS";#N/A,#N/A,FALSE,"CAPONE";#N/A,#N/A,FALSE,"CAPTWO";#N/A,#N/A,FALSE,"CAPTHREE"}</definedName>
    <definedName name="Regional_5_1_4" hidden="1">{#N/A,#N/A,FALSE,"mgtsum.XLS";#N/A,#N/A,FALSE,"CAPONE";#N/A,#N/A,FALSE,"CAPTWO";#N/A,#N/A,FALSE,"CAPTHREE"}</definedName>
    <definedName name="Regional_5_1_5" hidden="1">{#N/A,#N/A,FALSE,"mgtsum.XLS";#N/A,#N/A,FALSE,"CAPONE";#N/A,#N/A,FALSE,"CAPTWO";#N/A,#N/A,FALSE,"CAPTHREE"}</definedName>
    <definedName name="Regional_5_2" hidden="1">{#N/A,#N/A,FALSE,"mgtsum.XLS";#N/A,#N/A,FALSE,"CAPONE";#N/A,#N/A,FALSE,"CAPTWO";#N/A,#N/A,FALSE,"CAPTHREE"}</definedName>
    <definedName name="Regional_5_2_1" hidden="1">{#N/A,#N/A,FALSE,"mgtsum.XLS";#N/A,#N/A,FALSE,"CAPONE";#N/A,#N/A,FALSE,"CAPTWO";#N/A,#N/A,FALSE,"CAPTHREE"}</definedName>
    <definedName name="Regional_5_2_2" hidden="1">{#N/A,#N/A,FALSE,"mgtsum.XLS";#N/A,#N/A,FALSE,"CAPONE";#N/A,#N/A,FALSE,"CAPTWO";#N/A,#N/A,FALSE,"CAPTHREE"}</definedName>
    <definedName name="Regional_5_2_3" hidden="1">{#N/A,#N/A,FALSE,"mgtsum.XLS";#N/A,#N/A,FALSE,"CAPONE";#N/A,#N/A,FALSE,"CAPTWO";#N/A,#N/A,FALSE,"CAPTHREE"}</definedName>
    <definedName name="Regional_5_2_4" hidden="1">{#N/A,#N/A,FALSE,"mgtsum.XLS";#N/A,#N/A,FALSE,"CAPONE";#N/A,#N/A,FALSE,"CAPTWO";#N/A,#N/A,FALSE,"CAPTHREE"}</definedName>
    <definedName name="Regional_5_2_5" hidden="1">{#N/A,#N/A,FALSE,"mgtsum.XLS";#N/A,#N/A,FALSE,"CAPONE";#N/A,#N/A,FALSE,"CAPTWO";#N/A,#N/A,FALSE,"CAPTHREE"}</definedName>
    <definedName name="Regional_5_3" hidden="1">{#N/A,#N/A,FALSE,"mgtsum.XLS";#N/A,#N/A,FALSE,"CAPONE";#N/A,#N/A,FALSE,"CAPTWO";#N/A,#N/A,FALSE,"CAPTHREE"}</definedName>
    <definedName name="Regional_5_4" hidden="1">{#N/A,#N/A,FALSE,"mgtsum.XLS";#N/A,#N/A,FALSE,"CAPONE";#N/A,#N/A,FALSE,"CAPTWO";#N/A,#N/A,FALSE,"CAPTHREE"}</definedName>
    <definedName name="Regional_5_5" hidden="1">{#N/A,#N/A,FALSE,"mgtsum.XLS";#N/A,#N/A,FALSE,"CAPONE";#N/A,#N/A,FALSE,"CAPTWO";#N/A,#N/A,FALSE,"CAPTHREE"}</definedName>
    <definedName name="regional1" localSheetId="1" hidden="1">{#N/A,#N/A,FALSE,"mgtsum.XLS";#N/A,#N/A,FALSE,"CAPONE";#N/A,#N/A,FALSE,"CAPTWO";#N/A,#N/A,FALSE,"CAPTHREE"}</definedName>
    <definedName name="regional1" hidden="1">{#N/A,#N/A,FALSE,"mgtsum.XLS";#N/A,#N/A,FALSE,"CAPONE";#N/A,#N/A,FALSE,"CAPTWO";#N/A,#N/A,FALSE,"CAPTHREE"}</definedName>
    <definedName name="regional1_1" hidden="1">{#N/A,#N/A,FALSE,"mgtsum.XLS";#N/A,#N/A,FALSE,"CAPONE";#N/A,#N/A,FALSE,"CAPTWO";#N/A,#N/A,FALSE,"CAPTHREE"}</definedName>
    <definedName name="regional1_1_1" hidden="1">{#N/A,#N/A,FALSE,"mgtsum.XLS";#N/A,#N/A,FALSE,"CAPONE";#N/A,#N/A,FALSE,"CAPTWO";#N/A,#N/A,FALSE,"CAPTHREE"}</definedName>
    <definedName name="regional1_1_1_1" hidden="1">{#N/A,#N/A,FALSE,"mgtsum.XLS";#N/A,#N/A,FALSE,"CAPONE";#N/A,#N/A,FALSE,"CAPTWO";#N/A,#N/A,FALSE,"CAPTHREE"}</definedName>
    <definedName name="regional1_1_1_1_1" hidden="1">{#N/A,#N/A,FALSE,"mgtsum.XLS";#N/A,#N/A,FALSE,"CAPONE";#N/A,#N/A,FALSE,"CAPTWO";#N/A,#N/A,FALSE,"CAPTHREE"}</definedName>
    <definedName name="regional1_1_1_1_2" hidden="1">{#N/A,#N/A,FALSE,"mgtsum.XLS";#N/A,#N/A,FALSE,"CAPONE";#N/A,#N/A,FALSE,"CAPTWO";#N/A,#N/A,FALSE,"CAPTHREE"}</definedName>
    <definedName name="regional1_1_1_1_3" hidden="1">{#N/A,#N/A,FALSE,"mgtsum.XLS";#N/A,#N/A,FALSE,"CAPONE";#N/A,#N/A,FALSE,"CAPTWO";#N/A,#N/A,FALSE,"CAPTHREE"}</definedName>
    <definedName name="regional1_1_1_1_4" hidden="1">{#N/A,#N/A,FALSE,"mgtsum.XLS";#N/A,#N/A,FALSE,"CAPONE";#N/A,#N/A,FALSE,"CAPTWO";#N/A,#N/A,FALSE,"CAPTHREE"}</definedName>
    <definedName name="regional1_1_1_1_5" hidden="1">{#N/A,#N/A,FALSE,"mgtsum.XLS";#N/A,#N/A,FALSE,"CAPONE";#N/A,#N/A,FALSE,"CAPTWO";#N/A,#N/A,FALSE,"CAPTHREE"}</definedName>
    <definedName name="regional1_1_1_2" hidden="1">{#N/A,#N/A,FALSE,"mgtsum.XLS";#N/A,#N/A,FALSE,"CAPONE";#N/A,#N/A,FALSE,"CAPTWO";#N/A,#N/A,FALSE,"CAPTHREE"}</definedName>
    <definedName name="regional1_1_1_2_1" hidden="1">{#N/A,#N/A,FALSE,"mgtsum.XLS";#N/A,#N/A,FALSE,"CAPONE";#N/A,#N/A,FALSE,"CAPTWO";#N/A,#N/A,FALSE,"CAPTHREE"}</definedName>
    <definedName name="regional1_1_1_2_2" hidden="1">{#N/A,#N/A,FALSE,"mgtsum.XLS";#N/A,#N/A,FALSE,"CAPONE";#N/A,#N/A,FALSE,"CAPTWO";#N/A,#N/A,FALSE,"CAPTHREE"}</definedName>
    <definedName name="regional1_1_1_2_3" hidden="1">{#N/A,#N/A,FALSE,"mgtsum.XLS";#N/A,#N/A,FALSE,"CAPONE";#N/A,#N/A,FALSE,"CAPTWO";#N/A,#N/A,FALSE,"CAPTHREE"}</definedName>
    <definedName name="regional1_1_1_2_4" hidden="1">{#N/A,#N/A,FALSE,"mgtsum.XLS";#N/A,#N/A,FALSE,"CAPONE";#N/A,#N/A,FALSE,"CAPTWO";#N/A,#N/A,FALSE,"CAPTHREE"}</definedName>
    <definedName name="regional1_1_1_2_5" hidden="1">{#N/A,#N/A,FALSE,"mgtsum.XLS";#N/A,#N/A,FALSE,"CAPONE";#N/A,#N/A,FALSE,"CAPTWO";#N/A,#N/A,FALSE,"CAPTHREE"}</definedName>
    <definedName name="regional1_1_1_3" hidden="1">{#N/A,#N/A,FALSE,"mgtsum.XLS";#N/A,#N/A,FALSE,"CAPONE";#N/A,#N/A,FALSE,"CAPTWO";#N/A,#N/A,FALSE,"CAPTHREE"}</definedName>
    <definedName name="regional1_1_1_3_1" hidden="1">{#N/A,#N/A,FALSE,"mgtsum.XLS";#N/A,#N/A,FALSE,"CAPONE";#N/A,#N/A,FALSE,"CAPTWO";#N/A,#N/A,FALSE,"CAPTHREE"}</definedName>
    <definedName name="regional1_1_1_3_2" hidden="1">{#N/A,#N/A,FALSE,"mgtsum.XLS";#N/A,#N/A,FALSE,"CAPONE";#N/A,#N/A,FALSE,"CAPTWO";#N/A,#N/A,FALSE,"CAPTHREE"}</definedName>
    <definedName name="regional1_1_1_3_3" hidden="1">{#N/A,#N/A,FALSE,"mgtsum.XLS";#N/A,#N/A,FALSE,"CAPONE";#N/A,#N/A,FALSE,"CAPTWO";#N/A,#N/A,FALSE,"CAPTHREE"}</definedName>
    <definedName name="regional1_1_1_3_4" hidden="1">{#N/A,#N/A,FALSE,"mgtsum.XLS";#N/A,#N/A,FALSE,"CAPONE";#N/A,#N/A,FALSE,"CAPTWO";#N/A,#N/A,FALSE,"CAPTHREE"}</definedName>
    <definedName name="regional1_1_1_3_5" hidden="1">{#N/A,#N/A,FALSE,"mgtsum.XLS";#N/A,#N/A,FALSE,"CAPONE";#N/A,#N/A,FALSE,"CAPTWO";#N/A,#N/A,FALSE,"CAPTHREE"}</definedName>
    <definedName name="regional1_1_1_4" hidden="1">{#N/A,#N/A,FALSE,"mgtsum.XLS";#N/A,#N/A,FALSE,"CAPONE";#N/A,#N/A,FALSE,"CAPTWO";#N/A,#N/A,FALSE,"CAPTHREE"}</definedName>
    <definedName name="regional1_1_1_5" hidden="1">{#N/A,#N/A,FALSE,"mgtsum.XLS";#N/A,#N/A,FALSE,"CAPONE";#N/A,#N/A,FALSE,"CAPTWO";#N/A,#N/A,FALSE,"CAPTHREE"}</definedName>
    <definedName name="regional1_1_2" hidden="1">{#N/A,#N/A,FALSE,"mgtsum.XLS";#N/A,#N/A,FALSE,"CAPONE";#N/A,#N/A,FALSE,"CAPTWO";#N/A,#N/A,FALSE,"CAPTHREE"}</definedName>
    <definedName name="regional1_1_2_1" hidden="1">{#N/A,#N/A,FALSE,"mgtsum.XLS";#N/A,#N/A,FALSE,"CAPONE";#N/A,#N/A,FALSE,"CAPTWO";#N/A,#N/A,FALSE,"CAPTHREE"}</definedName>
    <definedName name="regional1_1_2_1_1" hidden="1">{#N/A,#N/A,FALSE,"mgtsum.XLS";#N/A,#N/A,FALSE,"CAPONE";#N/A,#N/A,FALSE,"CAPTWO";#N/A,#N/A,FALSE,"CAPTHREE"}</definedName>
    <definedName name="regional1_1_2_1_2" hidden="1">{#N/A,#N/A,FALSE,"mgtsum.XLS";#N/A,#N/A,FALSE,"CAPONE";#N/A,#N/A,FALSE,"CAPTWO";#N/A,#N/A,FALSE,"CAPTHREE"}</definedName>
    <definedName name="regional1_1_2_1_3" hidden="1">{#N/A,#N/A,FALSE,"mgtsum.XLS";#N/A,#N/A,FALSE,"CAPONE";#N/A,#N/A,FALSE,"CAPTWO";#N/A,#N/A,FALSE,"CAPTHREE"}</definedName>
    <definedName name="regional1_1_2_1_4" hidden="1">{#N/A,#N/A,FALSE,"mgtsum.XLS";#N/A,#N/A,FALSE,"CAPONE";#N/A,#N/A,FALSE,"CAPTWO";#N/A,#N/A,FALSE,"CAPTHREE"}</definedName>
    <definedName name="regional1_1_2_1_5" hidden="1">{#N/A,#N/A,FALSE,"mgtsum.XLS";#N/A,#N/A,FALSE,"CAPONE";#N/A,#N/A,FALSE,"CAPTWO";#N/A,#N/A,FALSE,"CAPTHREE"}</definedName>
    <definedName name="regional1_1_2_2" hidden="1">{#N/A,#N/A,FALSE,"mgtsum.XLS";#N/A,#N/A,FALSE,"CAPONE";#N/A,#N/A,FALSE,"CAPTWO";#N/A,#N/A,FALSE,"CAPTHREE"}</definedName>
    <definedName name="regional1_1_2_2_1" hidden="1">{#N/A,#N/A,FALSE,"mgtsum.XLS";#N/A,#N/A,FALSE,"CAPONE";#N/A,#N/A,FALSE,"CAPTWO";#N/A,#N/A,FALSE,"CAPTHREE"}</definedName>
    <definedName name="regional1_1_2_2_2" hidden="1">{#N/A,#N/A,FALSE,"mgtsum.XLS";#N/A,#N/A,FALSE,"CAPONE";#N/A,#N/A,FALSE,"CAPTWO";#N/A,#N/A,FALSE,"CAPTHREE"}</definedName>
    <definedName name="regional1_1_2_2_3" hidden="1">{#N/A,#N/A,FALSE,"mgtsum.XLS";#N/A,#N/A,FALSE,"CAPONE";#N/A,#N/A,FALSE,"CAPTWO";#N/A,#N/A,FALSE,"CAPTHREE"}</definedName>
    <definedName name="regional1_1_2_2_4" hidden="1">{#N/A,#N/A,FALSE,"mgtsum.XLS";#N/A,#N/A,FALSE,"CAPONE";#N/A,#N/A,FALSE,"CAPTWO";#N/A,#N/A,FALSE,"CAPTHREE"}</definedName>
    <definedName name="regional1_1_2_2_5" hidden="1">{#N/A,#N/A,FALSE,"mgtsum.XLS";#N/A,#N/A,FALSE,"CAPONE";#N/A,#N/A,FALSE,"CAPTWO";#N/A,#N/A,FALSE,"CAPTHREE"}</definedName>
    <definedName name="regional1_1_2_3" hidden="1">{#N/A,#N/A,FALSE,"mgtsum.XLS";#N/A,#N/A,FALSE,"CAPONE";#N/A,#N/A,FALSE,"CAPTWO";#N/A,#N/A,FALSE,"CAPTHREE"}</definedName>
    <definedName name="regional1_1_2_4" hidden="1">{#N/A,#N/A,FALSE,"mgtsum.XLS";#N/A,#N/A,FALSE,"CAPONE";#N/A,#N/A,FALSE,"CAPTWO";#N/A,#N/A,FALSE,"CAPTHREE"}</definedName>
    <definedName name="regional1_1_2_5" hidden="1">{#N/A,#N/A,FALSE,"mgtsum.XLS";#N/A,#N/A,FALSE,"CAPONE";#N/A,#N/A,FALSE,"CAPTWO";#N/A,#N/A,FALSE,"CAPTHREE"}</definedName>
    <definedName name="regional1_1_3" hidden="1">{#N/A,#N/A,FALSE,"mgtsum.XLS";#N/A,#N/A,FALSE,"CAPONE";#N/A,#N/A,FALSE,"CAPTWO";#N/A,#N/A,FALSE,"CAPTHREE"}</definedName>
    <definedName name="regional1_1_3_1" hidden="1">{#N/A,#N/A,FALSE,"mgtsum.XLS";#N/A,#N/A,FALSE,"CAPONE";#N/A,#N/A,FALSE,"CAPTWO";#N/A,#N/A,FALSE,"CAPTHREE"}</definedName>
    <definedName name="regional1_1_3_1_1" hidden="1">{#N/A,#N/A,FALSE,"mgtsum.XLS";#N/A,#N/A,FALSE,"CAPONE";#N/A,#N/A,FALSE,"CAPTWO";#N/A,#N/A,FALSE,"CAPTHREE"}</definedName>
    <definedName name="regional1_1_3_1_2" hidden="1">{#N/A,#N/A,FALSE,"mgtsum.XLS";#N/A,#N/A,FALSE,"CAPONE";#N/A,#N/A,FALSE,"CAPTWO";#N/A,#N/A,FALSE,"CAPTHREE"}</definedName>
    <definedName name="regional1_1_3_1_3" hidden="1">{#N/A,#N/A,FALSE,"mgtsum.XLS";#N/A,#N/A,FALSE,"CAPONE";#N/A,#N/A,FALSE,"CAPTWO";#N/A,#N/A,FALSE,"CAPTHREE"}</definedName>
    <definedName name="regional1_1_3_1_4" hidden="1">{#N/A,#N/A,FALSE,"mgtsum.XLS";#N/A,#N/A,FALSE,"CAPONE";#N/A,#N/A,FALSE,"CAPTWO";#N/A,#N/A,FALSE,"CAPTHREE"}</definedName>
    <definedName name="regional1_1_3_1_5" hidden="1">{#N/A,#N/A,FALSE,"mgtsum.XLS";#N/A,#N/A,FALSE,"CAPONE";#N/A,#N/A,FALSE,"CAPTWO";#N/A,#N/A,FALSE,"CAPTHREE"}</definedName>
    <definedName name="regional1_1_3_2" hidden="1">{#N/A,#N/A,FALSE,"mgtsum.XLS";#N/A,#N/A,FALSE,"CAPONE";#N/A,#N/A,FALSE,"CAPTWO";#N/A,#N/A,FALSE,"CAPTHREE"}</definedName>
    <definedName name="regional1_1_3_2_1" hidden="1">{#N/A,#N/A,FALSE,"mgtsum.XLS";#N/A,#N/A,FALSE,"CAPONE";#N/A,#N/A,FALSE,"CAPTWO";#N/A,#N/A,FALSE,"CAPTHREE"}</definedName>
    <definedName name="regional1_1_3_2_2" hidden="1">{#N/A,#N/A,FALSE,"mgtsum.XLS";#N/A,#N/A,FALSE,"CAPONE";#N/A,#N/A,FALSE,"CAPTWO";#N/A,#N/A,FALSE,"CAPTHREE"}</definedName>
    <definedName name="regional1_1_3_2_3" hidden="1">{#N/A,#N/A,FALSE,"mgtsum.XLS";#N/A,#N/A,FALSE,"CAPONE";#N/A,#N/A,FALSE,"CAPTWO";#N/A,#N/A,FALSE,"CAPTHREE"}</definedName>
    <definedName name="regional1_1_3_2_4" hidden="1">{#N/A,#N/A,FALSE,"mgtsum.XLS";#N/A,#N/A,FALSE,"CAPONE";#N/A,#N/A,FALSE,"CAPTWO";#N/A,#N/A,FALSE,"CAPTHREE"}</definedName>
    <definedName name="regional1_1_3_2_5" hidden="1">{#N/A,#N/A,FALSE,"mgtsum.XLS";#N/A,#N/A,FALSE,"CAPONE";#N/A,#N/A,FALSE,"CAPTWO";#N/A,#N/A,FALSE,"CAPTHREE"}</definedName>
    <definedName name="regional1_1_3_3" hidden="1">{#N/A,#N/A,FALSE,"mgtsum.XLS";#N/A,#N/A,FALSE,"CAPONE";#N/A,#N/A,FALSE,"CAPTWO";#N/A,#N/A,FALSE,"CAPTHREE"}</definedName>
    <definedName name="regional1_1_3_4" hidden="1">{#N/A,#N/A,FALSE,"mgtsum.XLS";#N/A,#N/A,FALSE,"CAPONE";#N/A,#N/A,FALSE,"CAPTWO";#N/A,#N/A,FALSE,"CAPTHREE"}</definedName>
    <definedName name="regional1_1_3_5" hidden="1">{#N/A,#N/A,FALSE,"mgtsum.XLS";#N/A,#N/A,FALSE,"CAPONE";#N/A,#N/A,FALSE,"CAPTWO";#N/A,#N/A,FALSE,"CAPTHREE"}</definedName>
    <definedName name="regional1_1_4" hidden="1">{#N/A,#N/A,FALSE,"mgtsum.XLS";#N/A,#N/A,FALSE,"CAPONE";#N/A,#N/A,FALSE,"CAPTWO";#N/A,#N/A,FALSE,"CAPTHREE"}</definedName>
    <definedName name="regional1_1_4_1" hidden="1">{#N/A,#N/A,FALSE,"mgtsum.XLS";#N/A,#N/A,FALSE,"CAPONE";#N/A,#N/A,FALSE,"CAPTWO";#N/A,#N/A,FALSE,"CAPTHREE"}</definedName>
    <definedName name="regional1_1_4_1_1" hidden="1">{#N/A,#N/A,FALSE,"mgtsum.XLS";#N/A,#N/A,FALSE,"CAPONE";#N/A,#N/A,FALSE,"CAPTWO";#N/A,#N/A,FALSE,"CAPTHREE"}</definedName>
    <definedName name="regional1_1_4_1_2" hidden="1">{#N/A,#N/A,FALSE,"mgtsum.XLS";#N/A,#N/A,FALSE,"CAPONE";#N/A,#N/A,FALSE,"CAPTWO";#N/A,#N/A,FALSE,"CAPTHREE"}</definedName>
    <definedName name="regional1_1_4_1_3" hidden="1">{#N/A,#N/A,FALSE,"mgtsum.XLS";#N/A,#N/A,FALSE,"CAPONE";#N/A,#N/A,FALSE,"CAPTWO";#N/A,#N/A,FALSE,"CAPTHREE"}</definedName>
    <definedName name="regional1_1_4_1_4" hidden="1">{#N/A,#N/A,FALSE,"mgtsum.XLS";#N/A,#N/A,FALSE,"CAPONE";#N/A,#N/A,FALSE,"CAPTWO";#N/A,#N/A,FALSE,"CAPTHREE"}</definedName>
    <definedName name="regional1_1_4_1_5" hidden="1">{#N/A,#N/A,FALSE,"mgtsum.XLS";#N/A,#N/A,FALSE,"CAPONE";#N/A,#N/A,FALSE,"CAPTWO";#N/A,#N/A,FALSE,"CAPTHREE"}</definedName>
    <definedName name="regional1_1_4_2" hidden="1">{#N/A,#N/A,FALSE,"mgtsum.XLS";#N/A,#N/A,FALSE,"CAPONE";#N/A,#N/A,FALSE,"CAPTWO";#N/A,#N/A,FALSE,"CAPTHREE"}</definedName>
    <definedName name="regional1_1_4_2_1" hidden="1">{#N/A,#N/A,FALSE,"mgtsum.XLS";#N/A,#N/A,FALSE,"CAPONE";#N/A,#N/A,FALSE,"CAPTWO";#N/A,#N/A,FALSE,"CAPTHREE"}</definedName>
    <definedName name="regional1_1_4_2_2" hidden="1">{#N/A,#N/A,FALSE,"mgtsum.XLS";#N/A,#N/A,FALSE,"CAPONE";#N/A,#N/A,FALSE,"CAPTWO";#N/A,#N/A,FALSE,"CAPTHREE"}</definedName>
    <definedName name="regional1_1_4_2_3" hidden="1">{#N/A,#N/A,FALSE,"mgtsum.XLS";#N/A,#N/A,FALSE,"CAPONE";#N/A,#N/A,FALSE,"CAPTWO";#N/A,#N/A,FALSE,"CAPTHREE"}</definedName>
    <definedName name="regional1_1_4_2_4" hidden="1">{#N/A,#N/A,FALSE,"mgtsum.XLS";#N/A,#N/A,FALSE,"CAPONE";#N/A,#N/A,FALSE,"CAPTWO";#N/A,#N/A,FALSE,"CAPTHREE"}</definedName>
    <definedName name="regional1_1_4_2_5" hidden="1">{#N/A,#N/A,FALSE,"mgtsum.XLS";#N/A,#N/A,FALSE,"CAPONE";#N/A,#N/A,FALSE,"CAPTWO";#N/A,#N/A,FALSE,"CAPTHREE"}</definedName>
    <definedName name="regional1_1_4_3" hidden="1">{#N/A,#N/A,FALSE,"mgtsum.XLS";#N/A,#N/A,FALSE,"CAPONE";#N/A,#N/A,FALSE,"CAPTWO";#N/A,#N/A,FALSE,"CAPTHREE"}</definedName>
    <definedName name="regional1_1_4_4" hidden="1">{#N/A,#N/A,FALSE,"mgtsum.XLS";#N/A,#N/A,FALSE,"CAPONE";#N/A,#N/A,FALSE,"CAPTWO";#N/A,#N/A,FALSE,"CAPTHREE"}</definedName>
    <definedName name="regional1_1_4_5" hidden="1">{#N/A,#N/A,FALSE,"mgtsum.XLS";#N/A,#N/A,FALSE,"CAPONE";#N/A,#N/A,FALSE,"CAPTWO";#N/A,#N/A,FALSE,"CAPTHREE"}</definedName>
    <definedName name="regional1_1_5" hidden="1">{#N/A,#N/A,FALSE,"mgtsum.XLS";#N/A,#N/A,FALSE,"CAPONE";#N/A,#N/A,FALSE,"CAPTWO";#N/A,#N/A,FALSE,"CAPTHREE"}</definedName>
    <definedName name="regional1_1_5_1" hidden="1">{#N/A,#N/A,FALSE,"mgtsum.XLS";#N/A,#N/A,FALSE,"CAPONE";#N/A,#N/A,FALSE,"CAPTWO";#N/A,#N/A,FALSE,"CAPTHREE"}</definedName>
    <definedName name="regional1_1_5_1_1" hidden="1">{#N/A,#N/A,FALSE,"mgtsum.XLS";#N/A,#N/A,FALSE,"CAPONE";#N/A,#N/A,FALSE,"CAPTWO";#N/A,#N/A,FALSE,"CAPTHREE"}</definedName>
    <definedName name="regional1_1_5_1_2" hidden="1">{#N/A,#N/A,FALSE,"mgtsum.XLS";#N/A,#N/A,FALSE,"CAPONE";#N/A,#N/A,FALSE,"CAPTWO";#N/A,#N/A,FALSE,"CAPTHREE"}</definedName>
    <definedName name="regional1_1_5_1_3" hidden="1">{#N/A,#N/A,FALSE,"mgtsum.XLS";#N/A,#N/A,FALSE,"CAPONE";#N/A,#N/A,FALSE,"CAPTWO";#N/A,#N/A,FALSE,"CAPTHREE"}</definedName>
    <definedName name="regional1_1_5_1_4" hidden="1">{#N/A,#N/A,FALSE,"mgtsum.XLS";#N/A,#N/A,FALSE,"CAPONE";#N/A,#N/A,FALSE,"CAPTWO";#N/A,#N/A,FALSE,"CAPTHREE"}</definedName>
    <definedName name="regional1_1_5_1_5" hidden="1">{#N/A,#N/A,FALSE,"mgtsum.XLS";#N/A,#N/A,FALSE,"CAPONE";#N/A,#N/A,FALSE,"CAPTWO";#N/A,#N/A,FALSE,"CAPTHREE"}</definedName>
    <definedName name="regional1_1_5_2" hidden="1">{#N/A,#N/A,FALSE,"mgtsum.XLS";#N/A,#N/A,FALSE,"CAPONE";#N/A,#N/A,FALSE,"CAPTWO";#N/A,#N/A,FALSE,"CAPTHREE"}</definedName>
    <definedName name="regional1_1_5_2_1" hidden="1">{#N/A,#N/A,FALSE,"mgtsum.XLS";#N/A,#N/A,FALSE,"CAPONE";#N/A,#N/A,FALSE,"CAPTWO";#N/A,#N/A,FALSE,"CAPTHREE"}</definedName>
    <definedName name="regional1_1_5_2_2" hidden="1">{#N/A,#N/A,FALSE,"mgtsum.XLS";#N/A,#N/A,FALSE,"CAPONE";#N/A,#N/A,FALSE,"CAPTWO";#N/A,#N/A,FALSE,"CAPTHREE"}</definedName>
    <definedName name="regional1_1_5_2_3" hidden="1">{#N/A,#N/A,FALSE,"mgtsum.XLS";#N/A,#N/A,FALSE,"CAPONE";#N/A,#N/A,FALSE,"CAPTWO";#N/A,#N/A,FALSE,"CAPTHREE"}</definedName>
    <definedName name="regional1_1_5_2_4" hidden="1">{#N/A,#N/A,FALSE,"mgtsum.XLS";#N/A,#N/A,FALSE,"CAPONE";#N/A,#N/A,FALSE,"CAPTWO";#N/A,#N/A,FALSE,"CAPTHREE"}</definedName>
    <definedName name="regional1_1_5_2_5" hidden="1">{#N/A,#N/A,FALSE,"mgtsum.XLS";#N/A,#N/A,FALSE,"CAPONE";#N/A,#N/A,FALSE,"CAPTWO";#N/A,#N/A,FALSE,"CAPTHREE"}</definedName>
    <definedName name="regional1_1_5_3" hidden="1">{#N/A,#N/A,FALSE,"mgtsum.XLS";#N/A,#N/A,FALSE,"CAPONE";#N/A,#N/A,FALSE,"CAPTWO";#N/A,#N/A,FALSE,"CAPTHREE"}</definedName>
    <definedName name="regional1_1_5_4" hidden="1">{#N/A,#N/A,FALSE,"mgtsum.XLS";#N/A,#N/A,FALSE,"CAPONE";#N/A,#N/A,FALSE,"CAPTWO";#N/A,#N/A,FALSE,"CAPTHREE"}</definedName>
    <definedName name="regional1_1_5_5" hidden="1">{#N/A,#N/A,FALSE,"mgtsum.XLS";#N/A,#N/A,FALSE,"CAPONE";#N/A,#N/A,FALSE,"CAPTWO";#N/A,#N/A,FALSE,"CAPTHREE"}</definedName>
    <definedName name="regional1_2" hidden="1">{#N/A,#N/A,FALSE,"mgtsum.XLS";#N/A,#N/A,FALSE,"CAPONE";#N/A,#N/A,FALSE,"CAPTWO";#N/A,#N/A,FALSE,"CAPTHREE"}</definedName>
    <definedName name="regional1_2_1" hidden="1">{#N/A,#N/A,FALSE,"mgtsum.XLS";#N/A,#N/A,FALSE,"CAPONE";#N/A,#N/A,FALSE,"CAPTWO";#N/A,#N/A,FALSE,"CAPTHREE"}</definedName>
    <definedName name="regional1_2_1_1" hidden="1">{#N/A,#N/A,FALSE,"mgtsum.XLS";#N/A,#N/A,FALSE,"CAPONE";#N/A,#N/A,FALSE,"CAPTWO";#N/A,#N/A,FALSE,"CAPTHREE"}</definedName>
    <definedName name="regional1_2_1_1_1" hidden="1">{#N/A,#N/A,FALSE,"mgtsum.XLS";#N/A,#N/A,FALSE,"CAPONE";#N/A,#N/A,FALSE,"CAPTWO";#N/A,#N/A,FALSE,"CAPTHREE"}</definedName>
    <definedName name="regional1_2_1_1_2" hidden="1">{#N/A,#N/A,FALSE,"mgtsum.XLS";#N/A,#N/A,FALSE,"CAPONE";#N/A,#N/A,FALSE,"CAPTWO";#N/A,#N/A,FALSE,"CAPTHREE"}</definedName>
    <definedName name="regional1_2_1_1_3" hidden="1">{#N/A,#N/A,FALSE,"mgtsum.XLS";#N/A,#N/A,FALSE,"CAPONE";#N/A,#N/A,FALSE,"CAPTWO";#N/A,#N/A,FALSE,"CAPTHREE"}</definedName>
    <definedName name="regional1_2_1_1_4" hidden="1">{#N/A,#N/A,FALSE,"mgtsum.XLS";#N/A,#N/A,FALSE,"CAPONE";#N/A,#N/A,FALSE,"CAPTWO";#N/A,#N/A,FALSE,"CAPTHREE"}</definedName>
    <definedName name="regional1_2_1_1_5" hidden="1">{#N/A,#N/A,FALSE,"mgtsum.XLS";#N/A,#N/A,FALSE,"CAPONE";#N/A,#N/A,FALSE,"CAPTWO";#N/A,#N/A,FALSE,"CAPTHREE"}</definedName>
    <definedName name="regional1_2_1_2" hidden="1">{#N/A,#N/A,FALSE,"mgtsum.XLS";#N/A,#N/A,FALSE,"CAPONE";#N/A,#N/A,FALSE,"CAPTWO";#N/A,#N/A,FALSE,"CAPTHREE"}</definedName>
    <definedName name="regional1_2_1_2_1" hidden="1">{#N/A,#N/A,FALSE,"mgtsum.XLS";#N/A,#N/A,FALSE,"CAPONE";#N/A,#N/A,FALSE,"CAPTWO";#N/A,#N/A,FALSE,"CAPTHREE"}</definedName>
    <definedName name="regional1_2_1_2_2" hidden="1">{#N/A,#N/A,FALSE,"mgtsum.XLS";#N/A,#N/A,FALSE,"CAPONE";#N/A,#N/A,FALSE,"CAPTWO";#N/A,#N/A,FALSE,"CAPTHREE"}</definedName>
    <definedName name="regional1_2_1_2_3" hidden="1">{#N/A,#N/A,FALSE,"mgtsum.XLS";#N/A,#N/A,FALSE,"CAPONE";#N/A,#N/A,FALSE,"CAPTWO";#N/A,#N/A,FALSE,"CAPTHREE"}</definedName>
    <definedName name="regional1_2_1_2_4" hidden="1">{#N/A,#N/A,FALSE,"mgtsum.XLS";#N/A,#N/A,FALSE,"CAPONE";#N/A,#N/A,FALSE,"CAPTWO";#N/A,#N/A,FALSE,"CAPTHREE"}</definedName>
    <definedName name="regional1_2_1_2_5" hidden="1">{#N/A,#N/A,FALSE,"mgtsum.XLS";#N/A,#N/A,FALSE,"CAPONE";#N/A,#N/A,FALSE,"CAPTWO";#N/A,#N/A,FALSE,"CAPTHREE"}</definedName>
    <definedName name="regional1_2_1_3" hidden="1">{#N/A,#N/A,FALSE,"mgtsum.XLS";#N/A,#N/A,FALSE,"CAPONE";#N/A,#N/A,FALSE,"CAPTWO";#N/A,#N/A,FALSE,"CAPTHREE"}</definedName>
    <definedName name="regional1_2_1_3_1" hidden="1">{#N/A,#N/A,FALSE,"mgtsum.XLS";#N/A,#N/A,FALSE,"CAPONE";#N/A,#N/A,FALSE,"CAPTWO";#N/A,#N/A,FALSE,"CAPTHREE"}</definedName>
    <definedName name="regional1_2_1_3_2" hidden="1">{#N/A,#N/A,FALSE,"mgtsum.XLS";#N/A,#N/A,FALSE,"CAPONE";#N/A,#N/A,FALSE,"CAPTWO";#N/A,#N/A,FALSE,"CAPTHREE"}</definedName>
    <definedName name="regional1_2_1_3_3" hidden="1">{#N/A,#N/A,FALSE,"mgtsum.XLS";#N/A,#N/A,FALSE,"CAPONE";#N/A,#N/A,FALSE,"CAPTWO";#N/A,#N/A,FALSE,"CAPTHREE"}</definedName>
    <definedName name="regional1_2_1_3_4" hidden="1">{#N/A,#N/A,FALSE,"mgtsum.XLS";#N/A,#N/A,FALSE,"CAPONE";#N/A,#N/A,FALSE,"CAPTWO";#N/A,#N/A,FALSE,"CAPTHREE"}</definedName>
    <definedName name="regional1_2_1_3_5" hidden="1">{#N/A,#N/A,FALSE,"mgtsum.XLS";#N/A,#N/A,FALSE,"CAPONE";#N/A,#N/A,FALSE,"CAPTWO";#N/A,#N/A,FALSE,"CAPTHREE"}</definedName>
    <definedName name="regional1_2_1_4" hidden="1">{#N/A,#N/A,FALSE,"mgtsum.XLS";#N/A,#N/A,FALSE,"CAPONE";#N/A,#N/A,FALSE,"CAPTWO";#N/A,#N/A,FALSE,"CAPTHREE"}</definedName>
    <definedName name="regional1_2_1_5" hidden="1">{#N/A,#N/A,FALSE,"mgtsum.XLS";#N/A,#N/A,FALSE,"CAPONE";#N/A,#N/A,FALSE,"CAPTWO";#N/A,#N/A,FALSE,"CAPTHREE"}</definedName>
    <definedName name="regional1_2_2" hidden="1">{#N/A,#N/A,FALSE,"mgtsum.XLS";#N/A,#N/A,FALSE,"CAPONE";#N/A,#N/A,FALSE,"CAPTWO";#N/A,#N/A,FALSE,"CAPTHREE"}</definedName>
    <definedName name="regional1_2_2_1" hidden="1">{#N/A,#N/A,FALSE,"mgtsum.XLS";#N/A,#N/A,FALSE,"CAPONE";#N/A,#N/A,FALSE,"CAPTWO";#N/A,#N/A,FALSE,"CAPTHREE"}</definedName>
    <definedName name="regional1_2_2_1_1" hidden="1">{#N/A,#N/A,FALSE,"mgtsum.XLS";#N/A,#N/A,FALSE,"CAPONE";#N/A,#N/A,FALSE,"CAPTWO";#N/A,#N/A,FALSE,"CAPTHREE"}</definedName>
    <definedName name="regional1_2_2_1_2" hidden="1">{#N/A,#N/A,FALSE,"mgtsum.XLS";#N/A,#N/A,FALSE,"CAPONE";#N/A,#N/A,FALSE,"CAPTWO";#N/A,#N/A,FALSE,"CAPTHREE"}</definedName>
    <definedName name="regional1_2_2_1_3" hidden="1">{#N/A,#N/A,FALSE,"mgtsum.XLS";#N/A,#N/A,FALSE,"CAPONE";#N/A,#N/A,FALSE,"CAPTWO";#N/A,#N/A,FALSE,"CAPTHREE"}</definedName>
    <definedName name="regional1_2_2_1_4" hidden="1">{#N/A,#N/A,FALSE,"mgtsum.XLS";#N/A,#N/A,FALSE,"CAPONE";#N/A,#N/A,FALSE,"CAPTWO";#N/A,#N/A,FALSE,"CAPTHREE"}</definedName>
    <definedName name="regional1_2_2_1_5" hidden="1">{#N/A,#N/A,FALSE,"mgtsum.XLS";#N/A,#N/A,FALSE,"CAPONE";#N/A,#N/A,FALSE,"CAPTWO";#N/A,#N/A,FALSE,"CAPTHREE"}</definedName>
    <definedName name="regional1_2_2_2" hidden="1">{#N/A,#N/A,FALSE,"mgtsum.XLS";#N/A,#N/A,FALSE,"CAPONE";#N/A,#N/A,FALSE,"CAPTWO";#N/A,#N/A,FALSE,"CAPTHREE"}</definedName>
    <definedName name="regional1_2_2_2_1" hidden="1">{#N/A,#N/A,FALSE,"mgtsum.XLS";#N/A,#N/A,FALSE,"CAPONE";#N/A,#N/A,FALSE,"CAPTWO";#N/A,#N/A,FALSE,"CAPTHREE"}</definedName>
    <definedName name="regional1_2_2_2_2" hidden="1">{#N/A,#N/A,FALSE,"mgtsum.XLS";#N/A,#N/A,FALSE,"CAPONE";#N/A,#N/A,FALSE,"CAPTWO";#N/A,#N/A,FALSE,"CAPTHREE"}</definedName>
    <definedName name="regional1_2_2_2_3" hidden="1">{#N/A,#N/A,FALSE,"mgtsum.XLS";#N/A,#N/A,FALSE,"CAPONE";#N/A,#N/A,FALSE,"CAPTWO";#N/A,#N/A,FALSE,"CAPTHREE"}</definedName>
    <definedName name="regional1_2_2_2_4" hidden="1">{#N/A,#N/A,FALSE,"mgtsum.XLS";#N/A,#N/A,FALSE,"CAPONE";#N/A,#N/A,FALSE,"CAPTWO";#N/A,#N/A,FALSE,"CAPTHREE"}</definedName>
    <definedName name="regional1_2_2_2_5" hidden="1">{#N/A,#N/A,FALSE,"mgtsum.XLS";#N/A,#N/A,FALSE,"CAPONE";#N/A,#N/A,FALSE,"CAPTWO";#N/A,#N/A,FALSE,"CAPTHREE"}</definedName>
    <definedName name="regional1_2_2_3" hidden="1">{#N/A,#N/A,FALSE,"mgtsum.XLS";#N/A,#N/A,FALSE,"CAPONE";#N/A,#N/A,FALSE,"CAPTWO";#N/A,#N/A,FALSE,"CAPTHREE"}</definedName>
    <definedName name="regional1_2_2_4" hidden="1">{#N/A,#N/A,FALSE,"mgtsum.XLS";#N/A,#N/A,FALSE,"CAPONE";#N/A,#N/A,FALSE,"CAPTWO";#N/A,#N/A,FALSE,"CAPTHREE"}</definedName>
    <definedName name="regional1_2_2_5" hidden="1">{#N/A,#N/A,FALSE,"mgtsum.XLS";#N/A,#N/A,FALSE,"CAPONE";#N/A,#N/A,FALSE,"CAPTWO";#N/A,#N/A,FALSE,"CAPTHREE"}</definedName>
    <definedName name="regional1_2_3" hidden="1">{#N/A,#N/A,FALSE,"mgtsum.XLS";#N/A,#N/A,FALSE,"CAPONE";#N/A,#N/A,FALSE,"CAPTWO";#N/A,#N/A,FALSE,"CAPTHREE"}</definedName>
    <definedName name="regional1_2_3_1" hidden="1">{#N/A,#N/A,FALSE,"mgtsum.XLS";#N/A,#N/A,FALSE,"CAPONE";#N/A,#N/A,FALSE,"CAPTWO";#N/A,#N/A,FALSE,"CAPTHREE"}</definedName>
    <definedName name="regional1_2_3_1_1" hidden="1">{#N/A,#N/A,FALSE,"mgtsum.XLS";#N/A,#N/A,FALSE,"CAPONE";#N/A,#N/A,FALSE,"CAPTWO";#N/A,#N/A,FALSE,"CAPTHREE"}</definedName>
    <definedName name="regional1_2_3_1_2" hidden="1">{#N/A,#N/A,FALSE,"mgtsum.XLS";#N/A,#N/A,FALSE,"CAPONE";#N/A,#N/A,FALSE,"CAPTWO";#N/A,#N/A,FALSE,"CAPTHREE"}</definedName>
    <definedName name="regional1_2_3_1_3" hidden="1">{#N/A,#N/A,FALSE,"mgtsum.XLS";#N/A,#N/A,FALSE,"CAPONE";#N/A,#N/A,FALSE,"CAPTWO";#N/A,#N/A,FALSE,"CAPTHREE"}</definedName>
    <definedName name="regional1_2_3_1_4" hidden="1">{#N/A,#N/A,FALSE,"mgtsum.XLS";#N/A,#N/A,FALSE,"CAPONE";#N/A,#N/A,FALSE,"CAPTWO";#N/A,#N/A,FALSE,"CAPTHREE"}</definedName>
    <definedName name="regional1_2_3_1_5" hidden="1">{#N/A,#N/A,FALSE,"mgtsum.XLS";#N/A,#N/A,FALSE,"CAPONE";#N/A,#N/A,FALSE,"CAPTWO";#N/A,#N/A,FALSE,"CAPTHREE"}</definedName>
    <definedName name="regional1_2_3_2" hidden="1">{#N/A,#N/A,FALSE,"mgtsum.XLS";#N/A,#N/A,FALSE,"CAPONE";#N/A,#N/A,FALSE,"CAPTWO";#N/A,#N/A,FALSE,"CAPTHREE"}</definedName>
    <definedName name="regional1_2_3_2_1" hidden="1">{#N/A,#N/A,FALSE,"mgtsum.XLS";#N/A,#N/A,FALSE,"CAPONE";#N/A,#N/A,FALSE,"CAPTWO";#N/A,#N/A,FALSE,"CAPTHREE"}</definedName>
    <definedName name="regional1_2_3_2_2" hidden="1">{#N/A,#N/A,FALSE,"mgtsum.XLS";#N/A,#N/A,FALSE,"CAPONE";#N/A,#N/A,FALSE,"CAPTWO";#N/A,#N/A,FALSE,"CAPTHREE"}</definedName>
    <definedName name="regional1_2_3_2_3" hidden="1">{#N/A,#N/A,FALSE,"mgtsum.XLS";#N/A,#N/A,FALSE,"CAPONE";#N/A,#N/A,FALSE,"CAPTWO";#N/A,#N/A,FALSE,"CAPTHREE"}</definedName>
    <definedName name="regional1_2_3_2_4" hidden="1">{#N/A,#N/A,FALSE,"mgtsum.XLS";#N/A,#N/A,FALSE,"CAPONE";#N/A,#N/A,FALSE,"CAPTWO";#N/A,#N/A,FALSE,"CAPTHREE"}</definedName>
    <definedName name="regional1_2_3_2_5" hidden="1">{#N/A,#N/A,FALSE,"mgtsum.XLS";#N/A,#N/A,FALSE,"CAPONE";#N/A,#N/A,FALSE,"CAPTWO";#N/A,#N/A,FALSE,"CAPTHREE"}</definedName>
    <definedName name="regional1_2_3_3" hidden="1">{#N/A,#N/A,FALSE,"mgtsum.XLS";#N/A,#N/A,FALSE,"CAPONE";#N/A,#N/A,FALSE,"CAPTWO";#N/A,#N/A,FALSE,"CAPTHREE"}</definedName>
    <definedName name="regional1_2_3_4" hidden="1">{#N/A,#N/A,FALSE,"mgtsum.XLS";#N/A,#N/A,FALSE,"CAPONE";#N/A,#N/A,FALSE,"CAPTWO";#N/A,#N/A,FALSE,"CAPTHREE"}</definedName>
    <definedName name="regional1_2_3_5" hidden="1">{#N/A,#N/A,FALSE,"mgtsum.XLS";#N/A,#N/A,FALSE,"CAPONE";#N/A,#N/A,FALSE,"CAPTWO";#N/A,#N/A,FALSE,"CAPTHREE"}</definedName>
    <definedName name="regional1_2_4" hidden="1">{#N/A,#N/A,FALSE,"mgtsum.XLS";#N/A,#N/A,FALSE,"CAPONE";#N/A,#N/A,FALSE,"CAPTWO";#N/A,#N/A,FALSE,"CAPTHREE"}</definedName>
    <definedName name="regional1_2_4_1" hidden="1">{#N/A,#N/A,FALSE,"mgtsum.XLS";#N/A,#N/A,FALSE,"CAPONE";#N/A,#N/A,FALSE,"CAPTWO";#N/A,#N/A,FALSE,"CAPTHREE"}</definedName>
    <definedName name="regional1_2_4_1_1" hidden="1">{#N/A,#N/A,FALSE,"mgtsum.XLS";#N/A,#N/A,FALSE,"CAPONE";#N/A,#N/A,FALSE,"CAPTWO";#N/A,#N/A,FALSE,"CAPTHREE"}</definedName>
    <definedName name="regional1_2_4_1_2" hidden="1">{#N/A,#N/A,FALSE,"mgtsum.XLS";#N/A,#N/A,FALSE,"CAPONE";#N/A,#N/A,FALSE,"CAPTWO";#N/A,#N/A,FALSE,"CAPTHREE"}</definedName>
    <definedName name="regional1_2_4_1_3" hidden="1">{#N/A,#N/A,FALSE,"mgtsum.XLS";#N/A,#N/A,FALSE,"CAPONE";#N/A,#N/A,FALSE,"CAPTWO";#N/A,#N/A,FALSE,"CAPTHREE"}</definedName>
    <definedName name="regional1_2_4_1_4" hidden="1">{#N/A,#N/A,FALSE,"mgtsum.XLS";#N/A,#N/A,FALSE,"CAPONE";#N/A,#N/A,FALSE,"CAPTWO";#N/A,#N/A,FALSE,"CAPTHREE"}</definedName>
    <definedName name="regional1_2_4_1_5" hidden="1">{#N/A,#N/A,FALSE,"mgtsum.XLS";#N/A,#N/A,FALSE,"CAPONE";#N/A,#N/A,FALSE,"CAPTWO";#N/A,#N/A,FALSE,"CAPTHREE"}</definedName>
    <definedName name="regional1_2_4_2" hidden="1">{#N/A,#N/A,FALSE,"mgtsum.XLS";#N/A,#N/A,FALSE,"CAPONE";#N/A,#N/A,FALSE,"CAPTWO";#N/A,#N/A,FALSE,"CAPTHREE"}</definedName>
    <definedName name="regional1_2_4_2_1" hidden="1">{#N/A,#N/A,FALSE,"mgtsum.XLS";#N/A,#N/A,FALSE,"CAPONE";#N/A,#N/A,FALSE,"CAPTWO";#N/A,#N/A,FALSE,"CAPTHREE"}</definedName>
    <definedName name="regional1_2_4_2_2" hidden="1">{#N/A,#N/A,FALSE,"mgtsum.XLS";#N/A,#N/A,FALSE,"CAPONE";#N/A,#N/A,FALSE,"CAPTWO";#N/A,#N/A,FALSE,"CAPTHREE"}</definedName>
    <definedName name="regional1_2_4_2_3" hidden="1">{#N/A,#N/A,FALSE,"mgtsum.XLS";#N/A,#N/A,FALSE,"CAPONE";#N/A,#N/A,FALSE,"CAPTWO";#N/A,#N/A,FALSE,"CAPTHREE"}</definedName>
    <definedName name="regional1_2_4_2_4" hidden="1">{#N/A,#N/A,FALSE,"mgtsum.XLS";#N/A,#N/A,FALSE,"CAPONE";#N/A,#N/A,FALSE,"CAPTWO";#N/A,#N/A,FALSE,"CAPTHREE"}</definedName>
    <definedName name="regional1_2_4_2_5" hidden="1">{#N/A,#N/A,FALSE,"mgtsum.XLS";#N/A,#N/A,FALSE,"CAPONE";#N/A,#N/A,FALSE,"CAPTWO";#N/A,#N/A,FALSE,"CAPTHREE"}</definedName>
    <definedName name="regional1_2_4_3" hidden="1">{#N/A,#N/A,FALSE,"mgtsum.XLS";#N/A,#N/A,FALSE,"CAPONE";#N/A,#N/A,FALSE,"CAPTWO";#N/A,#N/A,FALSE,"CAPTHREE"}</definedName>
    <definedName name="regional1_2_4_4" hidden="1">{#N/A,#N/A,FALSE,"mgtsum.XLS";#N/A,#N/A,FALSE,"CAPONE";#N/A,#N/A,FALSE,"CAPTWO";#N/A,#N/A,FALSE,"CAPTHREE"}</definedName>
    <definedName name="regional1_2_4_5" hidden="1">{#N/A,#N/A,FALSE,"mgtsum.XLS";#N/A,#N/A,FALSE,"CAPONE";#N/A,#N/A,FALSE,"CAPTWO";#N/A,#N/A,FALSE,"CAPTHREE"}</definedName>
    <definedName name="regional1_2_5" hidden="1">{#N/A,#N/A,FALSE,"mgtsum.XLS";#N/A,#N/A,FALSE,"CAPONE";#N/A,#N/A,FALSE,"CAPTWO";#N/A,#N/A,FALSE,"CAPTHREE"}</definedName>
    <definedName name="regional1_2_5_1" hidden="1">{#N/A,#N/A,FALSE,"mgtsum.XLS";#N/A,#N/A,FALSE,"CAPONE";#N/A,#N/A,FALSE,"CAPTWO";#N/A,#N/A,FALSE,"CAPTHREE"}</definedName>
    <definedName name="regional1_2_5_2" hidden="1">{#N/A,#N/A,FALSE,"mgtsum.XLS";#N/A,#N/A,FALSE,"CAPONE";#N/A,#N/A,FALSE,"CAPTWO";#N/A,#N/A,FALSE,"CAPTHREE"}</definedName>
    <definedName name="regional1_2_5_3" hidden="1">{#N/A,#N/A,FALSE,"mgtsum.XLS";#N/A,#N/A,FALSE,"CAPONE";#N/A,#N/A,FALSE,"CAPTWO";#N/A,#N/A,FALSE,"CAPTHREE"}</definedName>
    <definedName name="regional1_2_5_4" hidden="1">{#N/A,#N/A,FALSE,"mgtsum.XLS";#N/A,#N/A,FALSE,"CAPONE";#N/A,#N/A,FALSE,"CAPTWO";#N/A,#N/A,FALSE,"CAPTHREE"}</definedName>
    <definedName name="regional1_2_5_5" hidden="1">{#N/A,#N/A,FALSE,"mgtsum.XLS";#N/A,#N/A,FALSE,"CAPONE";#N/A,#N/A,FALSE,"CAPTWO";#N/A,#N/A,FALSE,"CAPTHREE"}</definedName>
    <definedName name="regional1_3" hidden="1">{#N/A,#N/A,FALSE,"mgtsum.XLS";#N/A,#N/A,FALSE,"CAPONE";#N/A,#N/A,FALSE,"CAPTWO";#N/A,#N/A,FALSE,"CAPTHREE"}</definedName>
    <definedName name="regional1_3_1" hidden="1">{#N/A,#N/A,FALSE,"mgtsum.XLS";#N/A,#N/A,FALSE,"CAPONE";#N/A,#N/A,FALSE,"CAPTWO";#N/A,#N/A,FALSE,"CAPTHREE"}</definedName>
    <definedName name="regional1_3_1_1" hidden="1">{#N/A,#N/A,FALSE,"mgtsum.XLS";#N/A,#N/A,FALSE,"CAPONE";#N/A,#N/A,FALSE,"CAPTWO";#N/A,#N/A,FALSE,"CAPTHREE"}</definedName>
    <definedName name="regional1_3_1_1_1" hidden="1">{#N/A,#N/A,FALSE,"mgtsum.XLS";#N/A,#N/A,FALSE,"CAPONE";#N/A,#N/A,FALSE,"CAPTWO";#N/A,#N/A,FALSE,"CAPTHREE"}</definedName>
    <definedName name="regional1_3_1_1_2" hidden="1">{#N/A,#N/A,FALSE,"mgtsum.XLS";#N/A,#N/A,FALSE,"CAPONE";#N/A,#N/A,FALSE,"CAPTWO";#N/A,#N/A,FALSE,"CAPTHREE"}</definedName>
    <definedName name="regional1_3_1_1_3" hidden="1">{#N/A,#N/A,FALSE,"mgtsum.XLS";#N/A,#N/A,FALSE,"CAPONE";#N/A,#N/A,FALSE,"CAPTWO";#N/A,#N/A,FALSE,"CAPTHREE"}</definedName>
    <definedName name="regional1_3_1_1_4" hidden="1">{#N/A,#N/A,FALSE,"mgtsum.XLS";#N/A,#N/A,FALSE,"CAPONE";#N/A,#N/A,FALSE,"CAPTWO";#N/A,#N/A,FALSE,"CAPTHREE"}</definedName>
    <definedName name="regional1_3_1_1_5" hidden="1">{#N/A,#N/A,FALSE,"mgtsum.XLS";#N/A,#N/A,FALSE,"CAPONE";#N/A,#N/A,FALSE,"CAPTWO";#N/A,#N/A,FALSE,"CAPTHREE"}</definedName>
    <definedName name="regional1_3_1_2" hidden="1">{#N/A,#N/A,FALSE,"mgtsum.XLS";#N/A,#N/A,FALSE,"CAPONE";#N/A,#N/A,FALSE,"CAPTWO";#N/A,#N/A,FALSE,"CAPTHREE"}</definedName>
    <definedName name="regional1_3_1_2_1" hidden="1">{#N/A,#N/A,FALSE,"mgtsum.XLS";#N/A,#N/A,FALSE,"CAPONE";#N/A,#N/A,FALSE,"CAPTWO";#N/A,#N/A,FALSE,"CAPTHREE"}</definedName>
    <definedName name="regional1_3_1_2_2" hidden="1">{#N/A,#N/A,FALSE,"mgtsum.XLS";#N/A,#N/A,FALSE,"CAPONE";#N/A,#N/A,FALSE,"CAPTWO";#N/A,#N/A,FALSE,"CAPTHREE"}</definedName>
    <definedName name="regional1_3_1_2_3" hidden="1">{#N/A,#N/A,FALSE,"mgtsum.XLS";#N/A,#N/A,FALSE,"CAPONE";#N/A,#N/A,FALSE,"CAPTWO";#N/A,#N/A,FALSE,"CAPTHREE"}</definedName>
    <definedName name="regional1_3_1_2_4" hidden="1">{#N/A,#N/A,FALSE,"mgtsum.XLS";#N/A,#N/A,FALSE,"CAPONE";#N/A,#N/A,FALSE,"CAPTWO";#N/A,#N/A,FALSE,"CAPTHREE"}</definedName>
    <definedName name="regional1_3_1_2_5" hidden="1">{#N/A,#N/A,FALSE,"mgtsum.XLS";#N/A,#N/A,FALSE,"CAPONE";#N/A,#N/A,FALSE,"CAPTWO";#N/A,#N/A,FALSE,"CAPTHREE"}</definedName>
    <definedName name="regional1_3_1_3" hidden="1">{#N/A,#N/A,FALSE,"mgtsum.XLS";#N/A,#N/A,FALSE,"CAPONE";#N/A,#N/A,FALSE,"CAPTWO";#N/A,#N/A,FALSE,"CAPTHREE"}</definedName>
    <definedName name="regional1_3_1_3_1" hidden="1">{#N/A,#N/A,FALSE,"mgtsum.XLS";#N/A,#N/A,FALSE,"CAPONE";#N/A,#N/A,FALSE,"CAPTWO";#N/A,#N/A,FALSE,"CAPTHREE"}</definedName>
    <definedName name="regional1_3_1_3_2" hidden="1">{#N/A,#N/A,FALSE,"mgtsum.XLS";#N/A,#N/A,FALSE,"CAPONE";#N/A,#N/A,FALSE,"CAPTWO";#N/A,#N/A,FALSE,"CAPTHREE"}</definedName>
    <definedName name="regional1_3_1_3_3" hidden="1">{#N/A,#N/A,FALSE,"mgtsum.XLS";#N/A,#N/A,FALSE,"CAPONE";#N/A,#N/A,FALSE,"CAPTWO";#N/A,#N/A,FALSE,"CAPTHREE"}</definedName>
    <definedName name="regional1_3_1_3_4" hidden="1">{#N/A,#N/A,FALSE,"mgtsum.XLS";#N/A,#N/A,FALSE,"CAPONE";#N/A,#N/A,FALSE,"CAPTWO";#N/A,#N/A,FALSE,"CAPTHREE"}</definedName>
    <definedName name="regional1_3_1_3_5" hidden="1">{#N/A,#N/A,FALSE,"mgtsum.XLS";#N/A,#N/A,FALSE,"CAPONE";#N/A,#N/A,FALSE,"CAPTWO";#N/A,#N/A,FALSE,"CAPTHREE"}</definedName>
    <definedName name="regional1_3_1_4" hidden="1">{#N/A,#N/A,FALSE,"mgtsum.XLS";#N/A,#N/A,FALSE,"CAPONE";#N/A,#N/A,FALSE,"CAPTWO";#N/A,#N/A,FALSE,"CAPTHREE"}</definedName>
    <definedName name="regional1_3_1_5" hidden="1">{#N/A,#N/A,FALSE,"mgtsum.XLS";#N/A,#N/A,FALSE,"CAPONE";#N/A,#N/A,FALSE,"CAPTWO";#N/A,#N/A,FALSE,"CAPTHREE"}</definedName>
    <definedName name="regional1_3_2" hidden="1">{#N/A,#N/A,FALSE,"mgtsum.XLS";#N/A,#N/A,FALSE,"CAPONE";#N/A,#N/A,FALSE,"CAPTWO";#N/A,#N/A,FALSE,"CAPTHREE"}</definedName>
    <definedName name="regional1_3_2_1" hidden="1">{#N/A,#N/A,FALSE,"mgtsum.XLS";#N/A,#N/A,FALSE,"CAPONE";#N/A,#N/A,FALSE,"CAPTWO";#N/A,#N/A,FALSE,"CAPTHREE"}</definedName>
    <definedName name="regional1_3_2_1_1" hidden="1">{#N/A,#N/A,FALSE,"mgtsum.XLS";#N/A,#N/A,FALSE,"CAPONE";#N/A,#N/A,FALSE,"CAPTWO";#N/A,#N/A,FALSE,"CAPTHREE"}</definedName>
    <definedName name="regional1_3_2_1_2" hidden="1">{#N/A,#N/A,FALSE,"mgtsum.XLS";#N/A,#N/A,FALSE,"CAPONE";#N/A,#N/A,FALSE,"CAPTWO";#N/A,#N/A,FALSE,"CAPTHREE"}</definedName>
    <definedName name="regional1_3_2_1_3" hidden="1">{#N/A,#N/A,FALSE,"mgtsum.XLS";#N/A,#N/A,FALSE,"CAPONE";#N/A,#N/A,FALSE,"CAPTWO";#N/A,#N/A,FALSE,"CAPTHREE"}</definedName>
    <definedName name="regional1_3_2_1_4" hidden="1">{#N/A,#N/A,FALSE,"mgtsum.XLS";#N/A,#N/A,FALSE,"CAPONE";#N/A,#N/A,FALSE,"CAPTWO";#N/A,#N/A,FALSE,"CAPTHREE"}</definedName>
    <definedName name="regional1_3_2_1_5" hidden="1">{#N/A,#N/A,FALSE,"mgtsum.XLS";#N/A,#N/A,FALSE,"CAPONE";#N/A,#N/A,FALSE,"CAPTWO";#N/A,#N/A,FALSE,"CAPTHREE"}</definedName>
    <definedName name="regional1_3_2_2" hidden="1">{#N/A,#N/A,FALSE,"mgtsum.XLS";#N/A,#N/A,FALSE,"CAPONE";#N/A,#N/A,FALSE,"CAPTWO";#N/A,#N/A,FALSE,"CAPTHREE"}</definedName>
    <definedName name="regional1_3_2_2_1" hidden="1">{#N/A,#N/A,FALSE,"mgtsum.XLS";#N/A,#N/A,FALSE,"CAPONE";#N/A,#N/A,FALSE,"CAPTWO";#N/A,#N/A,FALSE,"CAPTHREE"}</definedName>
    <definedName name="regional1_3_2_2_2" hidden="1">{#N/A,#N/A,FALSE,"mgtsum.XLS";#N/A,#N/A,FALSE,"CAPONE";#N/A,#N/A,FALSE,"CAPTWO";#N/A,#N/A,FALSE,"CAPTHREE"}</definedName>
    <definedName name="regional1_3_2_2_3" hidden="1">{#N/A,#N/A,FALSE,"mgtsum.XLS";#N/A,#N/A,FALSE,"CAPONE";#N/A,#N/A,FALSE,"CAPTWO";#N/A,#N/A,FALSE,"CAPTHREE"}</definedName>
    <definedName name="regional1_3_2_2_4" hidden="1">{#N/A,#N/A,FALSE,"mgtsum.XLS";#N/A,#N/A,FALSE,"CAPONE";#N/A,#N/A,FALSE,"CAPTWO";#N/A,#N/A,FALSE,"CAPTHREE"}</definedName>
    <definedName name="regional1_3_2_2_5" hidden="1">{#N/A,#N/A,FALSE,"mgtsum.XLS";#N/A,#N/A,FALSE,"CAPONE";#N/A,#N/A,FALSE,"CAPTWO";#N/A,#N/A,FALSE,"CAPTHREE"}</definedName>
    <definedName name="regional1_3_2_3" hidden="1">{#N/A,#N/A,FALSE,"mgtsum.XLS";#N/A,#N/A,FALSE,"CAPONE";#N/A,#N/A,FALSE,"CAPTWO";#N/A,#N/A,FALSE,"CAPTHREE"}</definedName>
    <definedName name="regional1_3_2_4" hidden="1">{#N/A,#N/A,FALSE,"mgtsum.XLS";#N/A,#N/A,FALSE,"CAPONE";#N/A,#N/A,FALSE,"CAPTWO";#N/A,#N/A,FALSE,"CAPTHREE"}</definedName>
    <definedName name="regional1_3_2_5" hidden="1">{#N/A,#N/A,FALSE,"mgtsum.XLS";#N/A,#N/A,FALSE,"CAPONE";#N/A,#N/A,FALSE,"CAPTWO";#N/A,#N/A,FALSE,"CAPTHREE"}</definedName>
    <definedName name="regional1_3_3" hidden="1">{#N/A,#N/A,FALSE,"mgtsum.XLS";#N/A,#N/A,FALSE,"CAPONE";#N/A,#N/A,FALSE,"CAPTWO";#N/A,#N/A,FALSE,"CAPTHREE"}</definedName>
    <definedName name="regional1_3_3_1" hidden="1">{#N/A,#N/A,FALSE,"mgtsum.XLS";#N/A,#N/A,FALSE,"CAPONE";#N/A,#N/A,FALSE,"CAPTWO";#N/A,#N/A,FALSE,"CAPTHREE"}</definedName>
    <definedName name="regional1_3_3_1_1" hidden="1">{#N/A,#N/A,FALSE,"mgtsum.XLS";#N/A,#N/A,FALSE,"CAPONE";#N/A,#N/A,FALSE,"CAPTWO";#N/A,#N/A,FALSE,"CAPTHREE"}</definedName>
    <definedName name="regional1_3_3_1_2" hidden="1">{#N/A,#N/A,FALSE,"mgtsum.XLS";#N/A,#N/A,FALSE,"CAPONE";#N/A,#N/A,FALSE,"CAPTWO";#N/A,#N/A,FALSE,"CAPTHREE"}</definedName>
    <definedName name="regional1_3_3_1_3" hidden="1">{#N/A,#N/A,FALSE,"mgtsum.XLS";#N/A,#N/A,FALSE,"CAPONE";#N/A,#N/A,FALSE,"CAPTWO";#N/A,#N/A,FALSE,"CAPTHREE"}</definedName>
    <definedName name="regional1_3_3_1_4" hidden="1">{#N/A,#N/A,FALSE,"mgtsum.XLS";#N/A,#N/A,FALSE,"CAPONE";#N/A,#N/A,FALSE,"CAPTWO";#N/A,#N/A,FALSE,"CAPTHREE"}</definedName>
    <definedName name="regional1_3_3_1_5" hidden="1">{#N/A,#N/A,FALSE,"mgtsum.XLS";#N/A,#N/A,FALSE,"CAPONE";#N/A,#N/A,FALSE,"CAPTWO";#N/A,#N/A,FALSE,"CAPTHREE"}</definedName>
    <definedName name="regional1_3_3_2" hidden="1">{#N/A,#N/A,FALSE,"mgtsum.XLS";#N/A,#N/A,FALSE,"CAPONE";#N/A,#N/A,FALSE,"CAPTWO";#N/A,#N/A,FALSE,"CAPTHREE"}</definedName>
    <definedName name="regional1_3_3_2_1" hidden="1">{#N/A,#N/A,FALSE,"mgtsum.XLS";#N/A,#N/A,FALSE,"CAPONE";#N/A,#N/A,FALSE,"CAPTWO";#N/A,#N/A,FALSE,"CAPTHREE"}</definedName>
    <definedName name="regional1_3_3_2_2" hidden="1">{#N/A,#N/A,FALSE,"mgtsum.XLS";#N/A,#N/A,FALSE,"CAPONE";#N/A,#N/A,FALSE,"CAPTWO";#N/A,#N/A,FALSE,"CAPTHREE"}</definedName>
    <definedName name="regional1_3_3_2_3" hidden="1">{#N/A,#N/A,FALSE,"mgtsum.XLS";#N/A,#N/A,FALSE,"CAPONE";#N/A,#N/A,FALSE,"CAPTWO";#N/A,#N/A,FALSE,"CAPTHREE"}</definedName>
    <definedName name="regional1_3_3_2_4" hidden="1">{#N/A,#N/A,FALSE,"mgtsum.XLS";#N/A,#N/A,FALSE,"CAPONE";#N/A,#N/A,FALSE,"CAPTWO";#N/A,#N/A,FALSE,"CAPTHREE"}</definedName>
    <definedName name="regional1_3_3_2_5" hidden="1">{#N/A,#N/A,FALSE,"mgtsum.XLS";#N/A,#N/A,FALSE,"CAPONE";#N/A,#N/A,FALSE,"CAPTWO";#N/A,#N/A,FALSE,"CAPTHREE"}</definedName>
    <definedName name="regional1_3_3_3" hidden="1">{#N/A,#N/A,FALSE,"mgtsum.XLS";#N/A,#N/A,FALSE,"CAPONE";#N/A,#N/A,FALSE,"CAPTWO";#N/A,#N/A,FALSE,"CAPTHREE"}</definedName>
    <definedName name="regional1_3_3_4" hidden="1">{#N/A,#N/A,FALSE,"mgtsum.XLS";#N/A,#N/A,FALSE,"CAPONE";#N/A,#N/A,FALSE,"CAPTWO";#N/A,#N/A,FALSE,"CAPTHREE"}</definedName>
    <definedName name="regional1_3_3_5" hidden="1">{#N/A,#N/A,FALSE,"mgtsum.XLS";#N/A,#N/A,FALSE,"CAPONE";#N/A,#N/A,FALSE,"CAPTWO";#N/A,#N/A,FALSE,"CAPTHREE"}</definedName>
    <definedName name="regional1_3_4" hidden="1">{#N/A,#N/A,FALSE,"mgtsum.XLS";#N/A,#N/A,FALSE,"CAPONE";#N/A,#N/A,FALSE,"CAPTWO";#N/A,#N/A,FALSE,"CAPTHREE"}</definedName>
    <definedName name="regional1_3_4_1" hidden="1">{#N/A,#N/A,FALSE,"mgtsum.XLS";#N/A,#N/A,FALSE,"CAPONE";#N/A,#N/A,FALSE,"CAPTWO";#N/A,#N/A,FALSE,"CAPTHREE"}</definedName>
    <definedName name="regional1_3_4_1_1" hidden="1">{#N/A,#N/A,FALSE,"mgtsum.XLS";#N/A,#N/A,FALSE,"CAPONE";#N/A,#N/A,FALSE,"CAPTWO";#N/A,#N/A,FALSE,"CAPTHREE"}</definedName>
    <definedName name="regional1_3_4_1_2" hidden="1">{#N/A,#N/A,FALSE,"mgtsum.XLS";#N/A,#N/A,FALSE,"CAPONE";#N/A,#N/A,FALSE,"CAPTWO";#N/A,#N/A,FALSE,"CAPTHREE"}</definedName>
    <definedName name="regional1_3_4_1_3" hidden="1">{#N/A,#N/A,FALSE,"mgtsum.XLS";#N/A,#N/A,FALSE,"CAPONE";#N/A,#N/A,FALSE,"CAPTWO";#N/A,#N/A,FALSE,"CAPTHREE"}</definedName>
    <definedName name="regional1_3_4_1_4" hidden="1">{#N/A,#N/A,FALSE,"mgtsum.XLS";#N/A,#N/A,FALSE,"CAPONE";#N/A,#N/A,FALSE,"CAPTWO";#N/A,#N/A,FALSE,"CAPTHREE"}</definedName>
    <definedName name="regional1_3_4_1_5" hidden="1">{#N/A,#N/A,FALSE,"mgtsum.XLS";#N/A,#N/A,FALSE,"CAPONE";#N/A,#N/A,FALSE,"CAPTWO";#N/A,#N/A,FALSE,"CAPTHREE"}</definedName>
    <definedName name="regional1_3_4_2" hidden="1">{#N/A,#N/A,FALSE,"mgtsum.XLS";#N/A,#N/A,FALSE,"CAPONE";#N/A,#N/A,FALSE,"CAPTWO";#N/A,#N/A,FALSE,"CAPTHREE"}</definedName>
    <definedName name="regional1_3_4_2_1" hidden="1">{#N/A,#N/A,FALSE,"mgtsum.XLS";#N/A,#N/A,FALSE,"CAPONE";#N/A,#N/A,FALSE,"CAPTWO";#N/A,#N/A,FALSE,"CAPTHREE"}</definedName>
    <definedName name="regional1_3_4_2_2" hidden="1">{#N/A,#N/A,FALSE,"mgtsum.XLS";#N/A,#N/A,FALSE,"CAPONE";#N/A,#N/A,FALSE,"CAPTWO";#N/A,#N/A,FALSE,"CAPTHREE"}</definedName>
    <definedName name="regional1_3_4_2_3" hidden="1">{#N/A,#N/A,FALSE,"mgtsum.XLS";#N/A,#N/A,FALSE,"CAPONE";#N/A,#N/A,FALSE,"CAPTWO";#N/A,#N/A,FALSE,"CAPTHREE"}</definedName>
    <definedName name="regional1_3_4_2_4" hidden="1">{#N/A,#N/A,FALSE,"mgtsum.XLS";#N/A,#N/A,FALSE,"CAPONE";#N/A,#N/A,FALSE,"CAPTWO";#N/A,#N/A,FALSE,"CAPTHREE"}</definedName>
    <definedName name="regional1_3_4_2_5" hidden="1">{#N/A,#N/A,FALSE,"mgtsum.XLS";#N/A,#N/A,FALSE,"CAPONE";#N/A,#N/A,FALSE,"CAPTWO";#N/A,#N/A,FALSE,"CAPTHREE"}</definedName>
    <definedName name="regional1_3_4_3" hidden="1">{#N/A,#N/A,FALSE,"mgtsum.XLS";#N/A,#N/A,FALSE,"CAPONE";#N/A,#N/A,FALSE,"CAPTWO";#N/A,#N/A,FALSE,"CAPTHREE"}</definedName>
    <definedName name="regional1_3_4_4" hidden="1">{#N/A,#N/A,FALSE,"mgtsum.XLS";#N/A,#N/A,FALSE,"CAPONE";#N/A,#N/A,FALSE,"CAPTWO";#N/A,#N/A,FALSE,"CAPTHREE"}</definedName>
    <definedName name="regional1_3_4_5" hidden="1">{#N/A,#N/A,FALSE,"mgtsum.XLS";#N/A,#N/A,FALSE,"CAPONE";#N/A,#N/A,FALSE,"CAPTWO";#N/A,#N/A,FALSE,"CAPTHREE"}</definedName>
    <definedName name="regional1_3_5" hidden="1">{#N/A,#N/A,FALSE,"mgtsum.XLS";#N/A,#N/A,FALSE,"CAPONE";#N/A,#N/A,FALSE,"CAPTWO";#N/A,#N/A,FALSE,"CAPTHREE"}</definedName>
    <definedName name="regional1_3_5_1" hidden="1">{#N/A,#N/A,FALSE,"mgtsum.XLS";#N/A,#N/A,FALSE,"CAPONE";#N/A,#N/A,FALSE,"CAPTWO";#N/A,#N/A,FALSE,"CAPTHREE"}</definedName>
    <definedName name="regional1_3_5_2" hidden="1">{#N/A,#N/A,FALSE,"mgtsum.XLS";#N/A,#N/A,FALSE,"CAPONE";#N/A,#N/A,FALSE,"CAPTWO";#N/A,#N/A,FALSE,"CAPTHREE"}</definedName>
    <definedName name="regional1_3_5_3" hidden="1">{#N/A,#N/A,FALSE,"mgtsum.XLS";#N/A,#N/A,FALSE,"CAPONE";#N/A,#N/A,FALSE,"CAPTWO";#N/A,#N/A,FALSE,"CAPTHREE"}</definedName>
    <definedName name="regional1_3_5_4" hidden="1">{#N/A,#N/A,FALSE,"mgtsum.XLS";#N/A,#N/A,FALSE,"CAPONE";#N/A,#N/A,FALSE,"CAPTWO";#N/A,#N/A,FALSE,"CAPTHREE"}</definedName>
    <definedName name="regional1_3_5_5" hidden="1">{#N/A,#N/A,FALSE,"mgtsum.XLS";#N/A,#N/A,FALSE,"CAPONE";#N/A,#N/A,FALSE,"CAPTWO";#N/A,#N/A,FALSE,"CAPTHREE"}</definedName>
    <definedName name="regional1_4" hidden="1">{#N/A,#N/A,FALSE,"mgtsum.XLS";#N/A,#N/A,FALSE,"CAPONE";#N/A,#N/A,FALSE,"CAPTWO";#N/A,#N/A,FALSE,"CAPTHREE"}</definedName>
    <definedName name="regional1_4_1" hidden="1">{#N/A,#N/A,FALSE,"mgtsum.XLS";#N/A,#N/A,FALSE,"CAPONE";#N/A,#N/A,FALSE,"CAPTWO";#N/A,#N/A,FALSE,"CAPTHREE"}</definedName>
    <definedName name="regional1_4_1_1" hidden="1">{#N/A,#N/A,FALSE,"mgtsum.XLS";#N/A,#N/A,FALSE,"CAPONE";#N/A,#N/A,FALSE,"CAPTWO";#N/A,#N/A,FALSE,"CAPTHREE"}</definedName>
    <definedName name="regional1_4_1_1_1" hidden="1">{#N/A,#N/A,FALSE,"mgtsum.XLS";#N/A,#N/A,FALSE,"CAPONE";#N/A,#N/A,FALSE,"CAPTWO";#N/A,#N/A,FALSE,"CAPTHREE"}</definedName>
    <definedName name="regional1_4_1_1_2" hidden="1">{#N/A,#N/A,FALSE,"mgtsum.XLS";#N/A,#N/A,FALSE,"CAPONE";#N/A,#N/A,FALSE,"CAPTWO";#N/A,#N/A,FALSE,"CAPTHREE"}</definedName>
    <definedName name="regional1_4_1_1_3" hidden="1">{#N/A,#N/A,FALSE,"mgtsum.XLS";#N/A,#N/A,FALSE,"CAPONE";#N/A,#N/A,FALSE,"CAPTWO";#N/A,#N/A,FALSE,"CAPTHREE"}</definedName>
    <definedName name="regional1_4_1_1_4" hidden="1">{#N/A,#N/A,FALSE,"mgtsum.XLS";#N/A,#N/A,FALSE,"CAPONE";#N/A,#N/A,FALSE,"CAPTWO";#N/A,#N/A,FALSE,"CAPTHREE"}</definedName>
    <definedName name="regional1_4_1_1_5" hidden="1">{#N/A,#N/A,FALSE,"mgtsum.XLS";#N/A,#N/A,FALSE,"CAPONE";#N/A,#N/A,FALSE,"CAPTWO";#N/A,#N/A,FALSE,"CAPTHREE"}</definedName>
    <definedName name="regional1_4_1_2" hidden="1">{#N/A,#N/A,FALSE,"mgtsum.XLS";#N/A,#N/A,FALSE,"CAPONE";#N/A,#N/A,FALSE,"CAPTWO";#N/A,#N/A,FALSE,"CAPTHREE"}</definedName>
    <definedName name="regional1_4_1_2_1" hidden="1">{#N/A,#N/A,FALSE,"mgtsum.XLS";#N/A,#N/A,FALSE,"CAPONE";#N/A,#N/A,FALSE,"CAPTWO";#N/A,#N/A,FALSE,"CAPTHREE"}</definedName>
    <definedName name="regional1_4_1_2_2" hidden="1">{#N/A,#N/A,FALSE,"mgtsum.XLS";#N/A,#N/A,FALSE,"CAPONE";#N/A,#N/A,FALSE,"CAPTWO";#N/A,#N/A,FALSE,"CAPTHREE"}</definedName>
    <definedName name="regional1_4_1_2_3" hidden="1">{#N/A,#N/A,FALSE,"mgtsum.XLS";#N/A,#N/A,FALSE,"CAPONE";#N/A,#N/A,FALSE,"CAPTWO";#N/A,#N/A,FALSE,"CAPTHREE"}</definedName>
    <definedName name="regional1_4_1_2_4" hidden="1">{#N/A,#N/A,FALSE,"mgtsum.XLS";#N/A,#N/A,FALSE,"CAPONE";#N/A,#N/A,FALSE,"CAPTWO";#N/A,#N/A,FALSE,"CAPTHREE"}</definedName>
    <definedName name="regional1_4_1_2_5" hidden="1">{#N/A,#N/A,FALSE,"mgtsum.XLS";#N/A,#N/A,FALSE,"CAPONE";#N/A,#N/A,FALSE,"CAPTWO";#N/A,#N/A,FALSE,"CAPTHREE"}</definedName>
    <definedName name="regional1_4_1_3" hidden="1">{#N/A,#N/A,FALSE,"mgtsum.XLS";#N/A,#N/A,FALSE,"CAPONE";#N/A,#N/A,FALSE,"CAPTWO";#N/A,#N/A,FALSE,"CAPTHREE"}</definedName>
    <definedName name="regional1_4_1_3_1" hidden="1">{#N/A,#N/A,FALSE,"mgtsum.XLS";#N/A,#N/A,FALSE,"CAPONE";#N/A,#N/A,FALSE,"CAPTWO";#N/A,#N/A,FALSE,"CAPTHREE"}</definedName>
    <definedName name="regional1_4_1_3_2" hidden="1">{#N/A,#N/A,FALSE,"mgtsum.XLS";#N/A,#N/A,FALSE,"CAPONE";#N/A,#N/A,FALSE,"CAPTWO";#N/A,#N/A,FALSE,"CAPTHREE"}</definedName>
    <definedName name="regional1_4_1_3_3" hidden="1">{#N/A,#N/A,FALSE,"mgtsum.XLS";#N/A,#N/A,FALSE,"CAPONE";#N/A,#N/A,FALSE,"CAPTWO";#N/A,#N/A,FALSE,"CAPTHREE"}</definedName>
    <definedName name="regional1_4_1_3_4" hidden="1">{#N/A,#N/A,FALSE,"mgtsum.XLS";#N/A,#N/A,FALSE,"CAPONE";#N/A,#N/A,FALSE,"CAPTWO";#N/A,#N/A,FALSE,"CAPTHREE"}</definedName>
    <definedName name="regional1_4_1_3_5" hidden="1">{#N/A,#N/A,FALSE,"mgtsum.XLS";#N/A,#N/A,FALSE,"CAPONE";#N/A,#N/A,FALSE,"CAPTWO";#N/A,#N/A,FALSE,"CAPTHREE"}</definedName>
    <definedName name="regional1_4_1_4" hidden="1">{#N/A,#N/A,FALSE,"mgtsum.XLS";#N/A,#N/A,FALSE,"CAPONE";#N/A,#N/A,FALSE,"CAPTWO";#N/A,#N/A,FALSE,"CAPTHREE"}</definedName>
    <definedName name="regional1_4_1_5" hidden="1">{#N/A,#N/A,FALSE,"mgtsum.XLS";#N/A,#N/A,FALSE,"CAPONE";#N/A,#N/A,FALSE,"CAPTWO";#N/A,#N/A,FALSE,"CAPTHREE"}</definedName>
    <definedName name="regional1_4_2" hidden="1">{#N/A,#N/A,FALSE,"mgtsum.XLS";#N/A,#N/A,FALSE,"CAPONE";#N/A,#N/A,FALSE,"CAPTWO";#N/A,#N/A,FALSE,"CAPTHREE"}</definedName>
    <definedName name="regional1_4_2_1" hidden="1">{#N/A,#N/A,FALSE,"mgtsum.XLS";#N/A,#N/A,FALSE,"CAPONE";#N/A,#N/A,FALSE,"CAPTWO";#N/A,#N/A,FALSE,"CAPTHREE"}</definedName>
    <definedName name="regional1_4_2_2" hidden="1">{#N/A,#N/A,FALSE,"mgtsum.XLS";#N/A,#N/A,FALSE,"CAPONE";#N/A,#N/A,FALSE,"CAPTWO";#N/A,#N/A,FALSE,"CAPTHREE"}</definedName>
    <definedName name="regional1_4_2_3" hidden="1">{#N/A,#N/A,FALSE,"mgtsum.XLS";#N/A,#N/A,FALSE,"CAPONE";#N/A,#N/A,FALSE,"CAPTWO";#N/A,#N/A,FALSE,"CAPTHREE"}</definedName>
    <definedName name="regional1_4_2_4" hidden="1">{#N/A,#N/A,FALSE,"mgtsum.XLS";#N/A,#N/A,FALSE,"CAPONE";#N/A,#N/A,FALSE,"CAPTWO";#N/A,#N/A,FALSE,"CAPTHREE"}</definedName>
    <definedName name="regional1_4_2_5" hidden="1">{#N/A,#N/A,FALSE,"mgtsum.XLS";#N/A,#N/A,FALSE,"CAPONE";#N/A,#N/A,FALSE,"CAPTWO";#N/A,#N/A,FALSE,"CAPTHREE"}</definedName>
    <definedName name="regional1_4_3" hidden="1">{#N/A,#N/A,FALSE,"mgtsum.XLS";#N/A,#N/A,FALSE,"CAPONE";#N/A,#N/A,FALSE,"CAPTWO";#N/A,#N/A,FALSE,"CAPTHREE"}</definedName>
    <definedName name="regional1_4_3_1" hidden="1">{#N/A,#N/A,FALSE,"mgtsum.XLS";#N/A,#N/A,FALSE,"CAPONE";#N/A,#N/A,FALSE,"CAPTWO";#N/A,#N/A,FALSE,"CAPTHREE"}</definedName>
    <definedName name="regional1_4_3_2" hidden="1">{#N/A,#N/A,FALSE,"mgtsum.XLS";#N/A,#N/A,FALSE,"CAPONE";#N/A,#N/A,FALSE,"CAPTWO";#N/A,#N/A,FALSE,"CAPTHREE"}</definedName>
    <definedName name="regional1_4_3_3" hidden="1">{#N/A,#N/A,FALSE,"mgtsum.XLS";#N/A,#N/A,FALSE,"CAPONE";#N/A,#N/A,FALSE,"CAPTWO";#N/A,#N/A,FALSE,"CAPTHREE"}</definedName>
    <definedName name="regional1_4_3_4" hidden="1">{#N/A,#N/A,FALSE,"mgtsum.XLS";#N/A,#N/A,FALSE,"CAPONE";#N/A,#N/A,FALSE,"CAPTWO";#N/A,#N/A,FALSE,"CAPTHREE"}</definedName>
    <definedName name="regional1_4_3_5" hidden="1">{#N/A,#N/A,FALSE,"mgtsum.XLS";#N/A,#N/A,FALSE,"CAPONE";#N/A,#N/A,FALSE,"CAPTWO";#N/A,#N/A,FALSE,"CAPTHREE"}</definedName>
    <definedName name="regional1_4_4" hidden="1">{#N/A,#N/A,FALSE,"mgtsum.XLS";#N/A,#N/A,FALSE,"CAPONE";#N/A,#N/A,FALSE,"CAPTWO";#N/A,#N/A,FALSE,"CAPTHREE"}</definedName>
    <definedName name="regional1_4_5" hidden="1">{#N/A,#N/A,FALSE,"mgtsum.XLS";#N/A,#N/A,FALSE,"CAPONE";#N/A,#N/A,FALSE,"CAPTWO";#N/A,#N/A,FALSE,"CAPTHREE"}</definedName>
    <definedName name="regional1_5" hidden="1">{#N/A,#N/A,FALSE,"mgtsum.XLS";#N/A,#N/A,FALSE,"CAPONE";#N/A,#N/A,FALSE,"CAPTWO";#N/A,#N/A,FALSE,"CAPTHREE"}</definedName>
    <definedName name="regional1_5_1" hidden="1">{#N/A,#N/A,FALSE,"mgtsum.XLS";#N/A,#N/A,FALSE,"CAPONE";#N/A,#N/A,FALSE,"CAPTWO";#N/A,#N/A,FALSE,"CAPTHREE"}</definedName>
    <definedName name="regional1_5_1_1" hidden="1">{#N/A,#N/A,FALSE,"mgtsum.XLS";#N/A,#N/A,FALSE,"CAPONE";#N/A,#N/A,FALSE,"CAPTWO";#N/A,#N/A,FALSE,"CAPTHREE"}</definedName>
    <definedName name="regional1_5_1_2" hidden="1">{#N/A,#N/A,FALSE,"mgtsum.XLS";#N/A,#N/A,FALSE,"CAPONE";#N/A,#N/A,FALSE,"CAPTWO";#N/A,#N/A,FALSE,"CAPTHREE"}</definedName>
    <definedName name="regional1_5_1_3" hidden="1">{#N/A,#N/A,FALSE,"mgtsum.XLS";#N/A,#N/A,FALSE,"CAPONE";#N/A,#N/A,FALSE,"CAPTWO";#N/A,#N/A,FALSE,"CAPTHREE"}</definedName>
    <definedName name="regional1_5_1_4" hidden="1">{#N/A,#N/A,FALSE,"mgtsum.XLS";#N/A,#N/A,FALSE,"CAPONE";#N/A,#N/A,FALSE,"CAPTWO";#N/A,#N/A,FALSE,"CAPTHREE"}</definedName>
    <definedName name="regional1_5_1_5" hidden="1">{#N/A,#N/A,FALSE,"mgtsum.XLS";#N/A,#N/A,FALSE,"CAPONE";#N/A,#N/A,FALSE,"CAPTWO";#N/A,#N/A,FALSE,"CAPTHREE"}</definedName>
    <definedName name="regional1_5_2" hidden="1">{#N/A,#N/A,FALSE,"mgtsum.XLS";#N/A,#N/A,FALSE,"CAPONE";#N/A,#N/A,FALSE,"CAPTWO";#N/A,#N/A,FALSE,"CAPTHREE"}</definedName>
    <definedName name="regional1_5_2_1" hidden="1">{#N/A,#N/A,FALSE,"mgtsum.XLS";#N/A,#N/A,FALSE,"CAPONE";#N/A,#N/A,FALSE,"CAPTWO";#N/A,#N/A,FALSE,"CAPTHREE"}</definedName>
    <definedName name="regional1_5_2_2" hidden="1">{#N/A,#N/A,FALSE,"mgtsum.XLS";#N/A,#N/A,FALSE,"CAPONE";#N/A,#N/A,FALSE,"CAPTWO";#N/A,#N/A,FALSE,"CAPTHREE"}</definedName>
    <definedName name="regional1_5_2_3" hidden="1">{#N/A,#N/A,FALSE,"mgtsum.XLS";#N/A,#N/A,FALSE,"CAPONE";#N/A,#N/A,FALSE,"CAPTWO";#N/A,#N/A,FALSE,"CAPTHREE"}</definedName>
    <definedName name="regional1_5_2_4" hidden="1">{#N/A,#N/A,FALSE,"mgtsum.XLS";#N/A,#N/A,FALSE,"CAPONE";#N/A,#N/A,FALSE,"CAPTWO";#N/A,#N/A,FALSE,"CAPTHREE"}</definedName>
    <definedName name="regional1_5_2_5" hidden="1">{#N/A,#N/A,FALSE,"mgtsum.XLS";#N/A,#N/A,FALSE,"CAPONE";#N/A,#N/A,FALSE,"CAPTWO";#N/A,#N/A,FALSE,"CAPTHREE"}</definedName>
    <definedName name="regional1_5_3" hidden="1">{#N/A,#N/A,FALSE,"mgtsum.XLS";#N/A,#N/A,FALSE,"CAPONE";#N/A,#N/A,FALSE,"CAPTWO";#N/A,#N/A,FALSE,"CAPTHREE"}</definedName>
    <definedName name="regional1_5_4" hidden="1">{#N/A,#N/A,FALSE,"mgtsum.XLS";#N/A,#N/A,FALSE,"CAPONE";#N/A,#N/A,FALSE,"CAPTWO";#N/A,#N/A,FALSE,"CAPTHREE"}</definedName>
    <definedName name="regional1_5_5" hidden="1">{#N/A,#N/A,FALSE,"mgtsum.XLS";#N/A,#N/A,FALSE,"CAPONE";#N/A,#N/A,FALSE,"CAPTWO";#N/A,#N/A,FALSE,"CAPTHREE"}</definedName>
    <definedName name="regtret" hidden="1">{"page1",#N/A,FALSE,"A";"page2",#N/A,FALSE,"A"}</definedName>
    <definedName name="Regulatory_Risk">#REF!</definedName>
    <definedName name="rehandling" hidden="1">{"ss",#N/A,FALSE,"MODULE3"}</definedName>
    <definedName name="rehandling_1" hidden="1">{"ss",#N/A,FALSE,"MODULE3"}</definedName>
    <definedName name="rehandling_2" hidden="1">{"ss",#N/A,FALSE,"MODULE3"}</definedName>
    <definedName name="rehandling_3" hidden="1">{"ss",#N/A,FALSE,"MODULE3"}</definedName>
    <definedName name="ReinforcementSteel">#REF!</definedName>
    <definedName name="rel">#REF!</definedName>
    <definedName name="remuneration" hidden="1">{"CASH FLOW",#N/A,FALSE,"A"}</definedName>
    <definedName name="Reno">#REF!</definedName>
    <definedName name="Replace">#REF!</definedName>
    <definedName name="repor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r" hidden="1">{#N/A,#N/A,TRUE,"Cover";#N/A,#N/A,TRUE,"Conts";#N/A,#N/A,TRUE,"VOS";#N/A,#N/A,TRUE,"Warrington";#N/A,#N/A,TRUE,"Widnes"}</definedName>
    <definedName name="rerererrerere" hidden="1">{#N/A,#N/A,FALSE,"Pro-forma claim";#N/A,#N/A,FALSE,"Summary sheet";#N/A,#N/A,FALSE,"SITE INSTRUCTIONS";#N/A,#N/A,FALSE,"DAY WORKS CIVILS";#N/A,#N/A,FALSE,"DAY WORKS STEEL"}</definedName>
    <definedName name="Res" hidden="1">#REF!</definedName>
    <definedName name="res_sum" hidden="1">{#N/A,#N/A,FALSE,"COVER1.XLS ";#N/A,#N/A,FALSE,"RACT1.XLS";#N/A,#N/A,FALSE,"RACT2.XLS";#N/A,#N/A,FALSE,"ECCMP";#N/A,#N/A,FALSE,"WELDER.XLS"}</definedName>
    <definedName name="RESOURCES">#REF!</definedName>
    <definedName name="re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retain">#REF!</definedName>
    <definedName name="retrewn" hidden="1">{"assumptions",#N/A,FALSE,"Scenario 1";"valuation",#N/A,FALSE,"Scenario 1"}</definedName>
    <definedName name="rett" hidden="1">{#N/A,#N/A,FALSE,"Chi tiÆt"}</definedName>
    <definedName name="reu" hidden="1">{#N/A,#N/A,FALSE,"gc (2)"}</definedName>
    <definedName name="reuse" localSheetId="1" hidden="1">{#N/A,#N/A,FALSE,"mgtsum.XLS";#N/A,#N/A,FALSE,"CAPONE";#N/A,#N/A,FALSE,"CAPTWO";#N/A,#N/A,FALSE,"CAPTHREE"}</definedName>
    <definedName name="reuse" hidden="1">{#N/A,#N/A,FALSE,"mgtsum.XLS";#N/A,#N/A,FALSE,"CAPONE";#N/A,#N/A,FALSE,"CAPTWO";#N/A,#N/A,FALSE,"CAPTHREE"}</definedName>
    <definedName name="reuse_1" hidden="1">{#N/A,#N/A,FALSE,"mgtsum.XLS";#N/A,#N/A,FALSE,"CAPONE";#N/A,#N/A,FALSE,"CAPTWO";#N/A,#N/A,FALSE,"CAPTHREE"}</definedName>
    <definedName name="reuse_1_1" hidden="1">{#N/A,#N/A,FALSE,"mgtsum.XLS";#N/A,#N/A,FALSE,"CAPONE";#N/A,#N/A,FALSE,"CAPTWO";#N/A,#N/A,FALSE,"CAPTHREE"}</definedName>
    <definedName name="reuse_1_1_1" hidden="1">{#N/A,#N/A,FALSE,"mgtsum.XLS";#N/A,#N/A,FALSE,"CAPONE";#N/A,#N/A,FALSE,"CAPTWO";#N/A,#N/A,FALSE,"CAPTHREE"}</definedName>
    <definedName name="reuse_1_1_1_1" hidden="1">{#N/A,#N/A,FALSE,"mgtsum.XLS";#N/A,#N/A,FALSE,"CAPONE";#N/A,#N/A,FALSE,"CAPTWO";#N/A,#N/A,FALSE,"CAPTHREE"}</definedName>
    <definedName name="reuse_1_1_1_2" hidden="1">{#N/A,#N/A,FALSE,"mgtsum.XLS";#N/A,#N/A,FALSE,"CAPONE";#N/A,#N/A,FALSE,"CAPTWO";#N/A,#N/A,FALSE,"CAPTHREE"}</definedName>
    <definedName name="reuse_1_1_1_3" hidden="1">{#N/A,#N/A,FALSE,"mgtsum.XLS";#N/A,#N/A,FALSE,"CAPONE";#N/A,#N/A,FALSE,"CAPTWO";#N/A,#N/A,FALSE,"CAPTHREE"}</definedName>
    <definedName name="reuse_1_1_1_4" hidden="1">{#N/A,#N/A,FALSE,"mgtsum.XLS";#N/A,#N/A,FALSE,"CAPONE";#N/A,#N/A,FALSE,"CAPTWO";#N/A,#N/A,FALSE,"CAPTHREE"}</definedName>
    <definedName name="reuse_1_1_1_5" hidden="1">{#N/A,#N/A,FALSE,"mgtsum.XLS";#N/A,#N/A,FALSE,"CAPONE";#N/A,#N/A,FALSE,"CAPTWO";#N/A,#N/A,FALSE,"CAPTHREE"}</definedName>
    <definedName name="reuse_1_1_2" hidden="1">{#N/A,#N/A,FALSE,"mgtsum.XLS";#N/A,#N/A,FALSE,"CAPONE";#N/A,#N/A,FALSE,"CAPTWO";#N/A,#N/A,FALSE,"CAPTHREE"}</definedName>
    <definedName name="reuse_1_1_2_1" hidden="1">{#N/A,#N/A,FALSE,"mgtsum.XLS";#N/A,#N/A,FALSE,"CAPONE";#N/A,#N/A,FALSE,"CAPTWO";#N/A,#N/A,FALSE,"CAPTHREE"}</definedName>
    <definedName name="reuse_1_1_2_2" hidden="1">{#N/A,#N/A,FALSE,"mgtsum.XLS";#N/A,#N/A,FALSE,"CAPONE";#N/A,#N/A,FALSE,"CAPTWO";#N/A,#N/A,FALSE,"CAPTHREE"}</definedName>
    <definedName name="reuse_1_1_2_3" hidden="1">{#N/A,#N/A,FALSE,"mgtsum.XLS";#N/A,#N/A,FALSE,"CAPONE";#N/A,#N/A,FALSE,"CAPTWO";#N/A,#N/A,FALSE,"CAPTHREE"}</definedName>
    <definedName name="reuse_1_1_2_4" hidden="1">{#N/A,#N/A,FALSE,"mgtsum.XLS";#N/A,#N/A,FALSE,"CAPONE";#N/A,#N/A,FALSE,"CAPTWO";#N/A,#N/A,FALSE,"CAPTHREE"}</definedName>
    <definedName name="reuse_1_1_2_5" hidden="1">{#N/A,#N/A,FALSE,"mgtsum.XLS";#N/A,#N/A,FALSE,"CAPONE";#N/A,#N/A,FALSE,"CAPTWO";#N/A,#N/A,FALSE,"CAPTHREE"}</definedName>
    <definedName name="reuse_1_1_3" hidden="1">{#N/A,#N/A,FALSE,"mgtsum.XLS";#N/A,#N/A,FALSE,"CAPONE";#N/A,#N/A,FALSE,"CAPTWO";#N/A,#N/A,FALSE,"CAPTHREE"}</definedName>
    <definedName name="reuse_1_1_3_1" hidden="1">{#N/A,#N/A,FALSE,"mgtsum.XLS";#N/A,#N/A,FALSE,"CAPONE";#N/A,#N/A,FALSE,"CAPTWO";#N/A,#N/A,FALSE,"CAPTHREE"}</definedName>
    <definedName name="reuse_1_1_3_2" hidden="1">{#N/A,#N/A,FALSE,"mgtsum.XLS";#N/A,#N/A,FALSE,"CAPONE";#N/A,#N/A,FALSE,"CAPTWO";#N/A,#N/A,FALSE,"CAPTHREE"}</definedName>
    <definedName name="reuse_1_1_3_3" hidden="1">{#N/A,#N/A,FALSE,"mgtsum.XLS";#N/A,#N/A,FALSE,"CAPONE";#N/A,#N/A,FALSE,"CAPTWO";#N/A,#N/A,FALSE,"CAPTHREE"}</definedName>
    <definedName name="reuse_1_1_3_4" hidden="1">{#N/A,#N/A,FALSE,"mgtsum.XLS";#N/A,#N/A,FALSE,"CAPONE";#N/A,#N/A,FALSE,"CAPTWO";#N/A,#N/A,FALSE,"CAPTHREE"}</definedName>
    <definedName name="reuse_1_1_3_5" hidden="1">{#N/A,#N/A,FALSE,"mgtsum.XLS";#N/A,#N/A,FALSE,"CAPONE";#N/A,#N/A,FALSE,"CAPTWO";#N/A,#N/A,FALSE,"CAPTHREE"}</definedName>
    <definedName name="reuse_1_1_4" hidden="1">{#N/A,#N/A,FALSE,"mgtsum.XLS";#N/A,#N/A,FALSE,"CAPONE";#N/A,#N/A,FALSE,"CAPTWO";#N/A,#N/A,FALSE,"CAPTHREE"}</definedName>
    <definedName name="reuse_1_1_5" hidden="1">{#N/A,#N/A,FALSE,"mgtsum.XLS";#N/A,#N/A,FALSE,"CAPONE";#N/A,#N/A,FALSE,"CAPTWO";#N/A,#N/A,FALSE,"CAPTHREE"}</definedName>
    <definedName name="reuse_1_2" hidden="1">{#N/A,#N/A,FALSE,"mgtsum.XLS";#N/A,#N/A,FALSE,"CAPONE";#N/A,#N/A,FALSE,"CAPTWO";#N/A,#N/A,FALSE,"CAPTHREE"}</definedName>
    <definedName name="reuse_1_2_1" hidden="1">{#N/A,#N/A,FALSE,"mgtsum.XLS";#N/A,#N/A,FALSE,"CAPONE";#N/A,#N/A,FALSE,"CAPTWO";#N/A,#N/A,FALSE,"CAPTHREE"}</definedName>
    <definedName name="reuse_1_2_1_1" hidden="1">{#N/A,#N/A,FALSE,"mgtsum.XLS";#N/A,#N/A,FALSE,"CAPONE";#N/A,#N/A,FALSE,"CAPTWO";#N/A,#N/A,FALSE,"CAPTHREE"}</definedName>
    <definedName name="reuse_1_2_1_2" hidden="1">{#N/A,#N/A,FALSE,"mgtsum.XLS";#N/A,#N/A,FALSE,"CAPONE";#N/A,#N/A,FALSE,"CAPTWO";#N/A,#N/A,FALSE,"CAPTHREE"}</definedName>
    <definedName name="reuse_1_2_1_3" hidden="1">{#N/A,#N/A,FALSE,"mgtsum.XLS";#N/A,#N/A,FALSE,"CAPONE";#N/A,#N/A,FALSE,"CAPTWO";#N/A,#N/A,FALSE,"CAPTHREE"}</definedName>
    <definedName name="reuse_1_2_1_4" hidden="1">{#N/A,#N/A,FALSE,"mgtsum.XLS";#N/A,#N/A,FALSE,"CAPONE";#N/A,#N/A,FALSE,"CAPTWO";#N/A,#N/A,FALSE,"CAPTHREE"}</definedName>
    <definedName name="reuse_1_2_1_5" hidden="1">{#N/A,#N/A,FALSE,"mgtsum.XLS";#N/A,#N/A,FALSE,"CAPONE";#N/A,#N/A,FALSE,"CAPTWO";#N/A,#N/A,FALSE,"CAPTHREE"}</definedName>
    <definedName name="reuse_1_2_2" hidden="1">{#N/A,#N/A,FALSE,"mgtsum.XLS";#N/A,#N/A,FALSE,"CAPONE";#N/A,#N/A,FALSE,"CAPTWO";#N/A,#N/A,FALSE,"CAPTHREE"}</definedName>
    <definedName name="reuse_1_2_2_1" hidden="1">{#N/A,#N/A,FALSE,"mgtsum.XLS";#N/A,#N/A,FALSE,"CAPONE";#N/A,#N/A,FALSE,"CAPTWO";#N/A,#N/A,FALSE,"CAPTHREE"}</definedName>
    <definedName name="reuse_1_2_2_2" hidden="1">{#N/A,#N/A,FALSE,"mgtsum.XLS";#N/A,#N/A,FALSE,"CAPONE";#N/A,#N/A,FALSE,"CAPTWO";#N/A,#N/A,FALSE,"CAPTHREE"}</definedName>
    <definedName name="reuse_1_2_2_3" hidden="1">{#N/A,#N/A,FALSE,"mgtsum.XLS";#N/A,#N/A,FALSE,"CAPONE";#N/A,#N/A,FALSE,"CAPTWO";#N/A,#N/A,FALSE,"CAPTHREE"}</definedName>
    <definedName name="reuse_1_2_2_4" hidden="1">{#N/A,#N/A,FALSE,"mgtsum.XLS";#N/A,#N/A,FALSE,"CAPONE";#N/A,#N/A,FALSE,"CAPTWO";#N/A,#N/A,FALSE,"CAPTHREE"}</definedName>
    <definedName name="reuse_1_2_2_5" hidden="1">{#N/A,#N/A,FALSE,"mgtsum.XLS";#N/A,#N/A,FALSE,"CAPONE";#N/A,#N/A,FALSE,"CAPTWO";#N/A,#N/A,FALSE,"CAPTHREE"}</definedName>
    <definedName name="reuse_1_2_3" hidden="1">{#N/A,#N/A,FALSE,"mgtsum.XLS";#N/A,#N/A,FALSE,"CAPONE";#N/A,#N/A,FALSE,"CAPTWO";#N/A,#N/A,FALSE,"CAPTHREE"}</definedName>
    <definedName name="reuse_1_2_4" hidden="1">{#N/A,#N/A,FALSE,"mgtsum.XLS";#N/A,#N/A,FALSE,"CAPONE";#N/A,#N/A,FALSE,"CAPTWO";#N/A,#N/A,FALSE,"CAPTHREE"}</definedName>
    <definedName name="reuse_1_2_5" hidden="1">{#N/A,#N/A,FALSE,"mgtsum.XLS";#N/A,#N/A,FALSE,"CAPONE";#N/A,#N/A,FALSE,"CAPTWO";#N/A,#N/A,FALSE,"CAPTHREE"}</definedName>
    <definedName name="reuse_1_3" hidden="1">{#N/A,#N/A,FALSE,"mgtsum.XLS";#N/A,#N/A,FALSE,"CAPONE";#N/A,#N/A,FALSE,"CAPTWO";#N/A,#N/A,FALSE,"CAPTHREE"}</definedName>
    <definedName name="reuse_1_3_1" hidden="1">{#N/A,#N/A,FALSE,"mgtsum.XLS";#N/A,#N/A,FALSE,"CAPONE";#N/A,#N/A,FALSE,"CAPTWO";#N/A,#N/A,FALSE,"CAPTHREE"}</definedName>
    <definedName name="reuse_1_3_1_1" hidden="1">{#N/A,#N/A,FALSE,"mgtsum.XLS";#N/A,#N/A,FALSE,"CAPONE";#N/A,#N/A,FALSE,"CAPTWO";#N/A,#N/A,FALSE,"CAPTHREE"}</definedName>
    <definedName name="reuse_1_3_1_2" hidden="1">{#N/A,#N/A,FALSE,"mgtsum.XLS";#N/A,#N/A,FALSE,"CAPONE";#N/A,#N/A,FALSE,"CAPTWO";#N/A,#N/A,FALSE,"CAPTHREE"}</definedName>
    <definedName name="reuse_1_3_1_3" hidden="1">{#N/A,#N/A,FALSE,"mgtsum.XLS";#N/A,#N/A,FALSE,"CAPONE";#N/A,#N/A,FALSE,"CAPTWO";#N/A,#N/A,FALSE,"CAPTHREE"}</definedName>
    <definedName name="reuse_1_3_1_4" hidden="1">{#N/A,#N/A,FALSE,"mgtsum.XLS";#N/A,#N/A,FALSE,"CAPONE";#N/A,#N/A,FALSE,"CAPTWO";#N/A,#N/A,FALSE,"CAPTHREE"}</definedName>
    <definedName name="reuse_1_3_1_5" hidden="1">{#N/A,#N/A,FALSE,"mgtsum.XLS";#N/A,#N/A,FALSE,"CAPONE";#N/A,#N/A,FALSE,"CAPTWO";#N/A,#N/A,FALSE,"CAPTHREE"}</definedName>
    <definedName name="reuse_1_3_2" hidden="1">{#N/A,#N/A,FALSE,"mgtsum.XLS";#N/A,#N/A,FALSE,"CAPONE";#N/A,#N/A,FALSE,"CAPTWO";#N/A,#N/A,FALSE,"CAPTHREE"}</definedName>
    <definedName name="reuse_1_3_2_1" hidden="1">{#N/A,#N/A,FALSE,"mgtsum.XLS";#N/A,#N/A,FALSE,"CAPONE";#N/A,#N/A,FALSE,"CAPTWO";#N/A,#N/A,FALSE,"CAPTHREE"}</definedName>
    <definedName name="reuse_1_3_2_2" hidden="1">{#N/A,#N/A,FALSE,"mgtsum.XLS";#N/A,#N/A,FALSE,"CAPONE";#N/A,#N/A,FALSE,"CAPTWO";#N/A,#N/A,FALSE,"CAPTHREE"}</definedName>
    <definedName name="reuse_1_3_2_3" hidden="1">{#N/A,#N/A,FALSE,"mgtsum.XLS";#N/A,#N/A,FALSE,"CAPONE";#N/A,#N/A,FALSE,"CAPTWO";#N/A,#N/A,FALSE,"CAPTHREE"}</definedName>
    <definedName name="reuse_1_3_2_4" hidden="1">{#N/A,#N/A,FALSE,"mgtsum.XLS";#N/A,#N/A,FALSE,"CAPONE";#N/A,#N/A,FALSE,"CAPTWO";#N/A,#N/A,FALSE,"CAPTHREE"}</definedName>
    <definedName name="reuse_1_3_2_5" hidden="1">{#N/A,#N/A,FALSE,"mgtsum.XLS";#N/A,#N/A,FALSE,"CAPONE";#N/A,#N/A,FALSE,"CAPTWO";#N/A,#N/A,FALSE,"CAPTHREE"}</definedName>
    <definedName name="reuse_1_3_3" hidden="1">{#N/A,#N/A,FALSE,"mgtsum.XLS";#N/A,#N/A,FALSE,"CAPONE";#N/A,#N/A,FALSE,"CAPTWO";#N/A,#N/A,FALSE,"CAPTHREE"}</definedName>
    <definedName name="reuse_1_3_4" hidden="1">{#N/A,#N/A,FALSE,"mgtsum.XLS";#N/A,#N/A,FALSE,"CAPONE";#N/A,#N/A,FALSE,"CAPTWO";#N/A,#N/A,FALSE,"CAPTHREE"}</definedName>
    <definedName name="reuse_1_3_5" hidden="1">{#N/A,#N/A,FALSE,"mgtsum.XLS";#N/A,#N/A,FALSE,"CAPONE";#N/A,#N/A,FALSE,"CAPTWO";#N/A,#N/A,FALSE,"CAPTHREE"}</definedName>
    <definedName name="reuse_1_4" hidden="1">{#N/A,#N/A,FALSE,"mgtsum.XLS";#N/A,#N/A,FALSE,"CAPONE";#N/A,#N/A,FALSE,"CAPTWO";#N/A,#N/A,FALSE,"CAPTHREE"}</definedName>
    <definedName name="reuse_1_4_1" hidden="1">{#N/A,#N/A,FALSE,"mgtsum.XLS";#N/A,#N/A,FALSE,"CAPONE";#N/A,#N/A,FALSE,"CAPTWO";#N/A,#N/A,FALSE,"CAPTHREE"}</definedName>
    <definedName name="reuse_1_4_1_1" hidden="1">{#N/A,#N/A,FALSE,"mgtsum.XLS";#N/A,#N/A,FALSE,"CAPONE";#N/A,#N/A,FALSE,"CAPTWO";#N/A,#N/A,FALSE,"CAPTHREE"}</definedName>
    <definedName name="reuse_1_4_1_2" hidden="1">{#N/A,#N/A,FALSE,"mgtsum.XLS";#N/A,#N/A,FALSE,"CAPONE";#N/A,#N/A,FALSE,"CAPTWO";#N/A,#N/A,FALSE,"CAPTHREE"}</definedName>
    <definedName name="reuse_1_4_1_3" hidden="1">{#N/A,#N/A,FALSE,"mgtsum.XLS";#N/A,#N/A,FALSE,"CAPONE";#N/A,#N/A,FALSE,"CAPTWO";#N/A,#N/A,FALSE,"CAPTHREE"}</definedName>
    <definedName name="reuse_1_4_1_4" hidden="1">{#N/A,#N/A,FALSE,"mgtsum.XLS";#N/A,#N/A,FALSE,"CAPONE";#N/A,#N/A,FALSE,"CAPTWO";#N/A,#N/A,FALSE,"CAPTHREE"}</definedName>
    <definedName name="reuse_1_4_1_5" hidden="1">{#N/A,#N/A,FALSE,"mgtsum.XLS";#N/A,#N/A,FALSE,"CAPONE";#N/A,#N/A,FALSE,"CAPTWO";#N/A,#N/A,FALSE,"CAPTHREE"}</definedName>
    <definedName name="reuse_1_4_2" hidden="1">{#N/A,#N/A,FALSE,"mgtsum.XLS";#N/A,#N/A,FALSE,"CAPONE";#N/A,#N/A,FALSE,"CAPTWO";#N/A,#N/A,FALSE,"CAPTHREE"}</definedName>
    <definedName name="reuse_1_4_2_1" hidden="1">{#N/A,#N/A,FALSE,"mgtsum.XLS";#N/A,#N/A,FALSE,"CAPONE";#N/A,#N/A,FALSE,"CAPTWO";#N/A,#N/A,FALSE,"CAPTHREE"}</definedName>
    <definedName name="reuse_1_4_2_2" hidden="1">{#N/A,#N/A,FALSE,"mgtsum.XLS";#N/A,#N/A,FALSE,"CAPONE";#N/A,#N/A,FALSE,"CAPTWO";#N/A,#N/A,FALSE,"CAPTHREE"}</definedName>
    <definedName name="reuse_1_4_2_3" hidden="1">{#N/A,#N/A,FALSE,"mgtsum.XLS";#N/A,#N/A,FALSE,"CAPONE";#N/A,#N/A,FALSE,"CAPTWO";#N/A,#N/A,FALSE,"CAPTHREE"}</definedName>
    <definedName name="reuse_1_4_2_4" hidden="1">{#N/A,#N/A,FALSE,"mgtsum.XLS";#N/A,#N/A,FALSE,"CAPONE";#N/A,#N/A,FALSE,"CAPTWO";#N/A,#N/A,FALSE,"CAPTHREE"}</definedName>
    <definedName name="reuse_1_4_2_5" hidden="1">{#N/A,#N/A,FALSE,"mgtsum.XLS";#N/A,#N/A,FALSE,"CAPONE";#N/A,#N/A,FALSE,"CAPTWO";#N/A,#N/A,FALSE,"CAPTHREE"}</definedName>
    <definedName name="reuse_1_4_3" hidden="1">{#N/A,#N/A,FALSE,"mgtsum.XLS";#N/A,#N/A,FALSE,"CAPONE";#N/A,#N/A,FALSE,"CAPTWO";#N/A,#N/A,FALSE,"CAPTHREE"}</definedName>
    <definedName name="reuse_1_4_4" hidden="1">{#N/A,#N/A,FALSE,"mgtsum.XLS";#N/A,#N/A,FALSE,"CAPONE";#N/A,#N/A,FALSE,"CAPTWO";#N/A,#N/A,FALSE,"CAPTHREE"}</definedName>
    <definedName name="reuse_1_4_5" hidden="1">{#N/A,#N/A,FALSE,"mgtsum.XLS";#N/A,#N/A,FALSE,"CAPONE";#N/A,#N/A,FALSE,"CAPTWO";#N/A,#N/A,FALSE,"CAPTHREE"}</definedName>
    <definedName name="reuse_1_5" hidden="1">{#N/A,#N/A,FALSE,"mgtsum.XLS";#N/A,#N/A,FALSE,"CAPONE";#N/A,#N/A,FALSE,"CAPTWO";#N/A,#N/A,FALSE,"CAPTHREE"}</definedName>
    <definedName name="reuse_1_5_1" hidden="1">{#N/A,#N/A,FALSE,"mgtsum.XLS";#N/A,#N/A,FALSE,"CAPONE";#N/A,#N/A,FALSE,"CAPTWO";#N/A,#N/A,FALSE,"CAPTHREE"}</definedName>
    <definedName name="reuse_1_5_1_1" hidden="1">{#N/A,#N/A,FALSE,"mgtsum.XLS";#N/A,#N/A,FALSE,"CAPONE";#N/A,#N/A,FALSE,"CAPTWO";#N/A,#N/A,FALSE,"CAPTHREE"}</definedName>
    <definedName name="reuse_1_5_1_2" hidden="1">{#N/A,#N/A,FALSE,"mgtsum.XLS";#N/A,#N/A,FALSE,"CAPONE";#N/A,#N/A,FALSE,"CAPTWO";#N/A,#N/A,FALSE,"CAPTHREE"}</definedName>
    <definedName name="reuse_1_5_1_3" hidden="1">{#N/A,#N/A,FALSE,"mgtsum.XLS";#N/A,#N/A,FALSE,"CAPONE";#N/A,#N/A,FALSE,"CAPTWO";#N/A,#N/A,FALSE,"CAPTHREE"}</definedName>
    <definedName name="reuse_1_5_1_4" hidden="1">{#N/A,#N/A,FALSE,"mgtsum.XLS";#N/A,#N/A,FALSE,"CAPONE";#N/A,#N/A,FALSE,"CAPTWO";#N/A,#N/A,FALSE,"CAPTHREE"}</definedName>
    <definedName name="reuse_1_5_1_5" hidden="1">{#N/A,#N/A,FALSE,"mgtsum.XLS";#N/A,#N/A,FALSE,"CAPONE";#N/A,#N/A,FALSE,"CAPTWO";#N/A,#N/A,FALSE,"CAPTHREE"}</definedName>
    <definedName name="reuse_1_5_2" hidden="1">{#N/A,#N/A,FALSE,"mgtsum.XLS";#N/A,#N/A,FALSE,"CAPONE";#N/A,#N/A,FALSE,"CAPTWO";#N/A,#N/A,FALSE,"CAPTHREE"}</definedName>
    <definedName name="reuse_1_5_2_1" hidden="1">{#N/A,#N/A,FALSE,"mgtsum.XLS";#N/A,#N/A,FALSE,"CAPONE";#N/A,#N/A,FALSE,"CAPTWO";#N/A,#N/A,FALSE,"CAPTHREE"}</definedName>
    <definedName name="reuse_1_5_2_2" hidden="1">{#N/A,#N/A,FALSE,"mgtsum.XLS";#N/A,#N/A,FALSE,"CAPONE";#N/A,#N/A,FALSE,"CAPTWO";#N/A,#N/A,FALSE,"CAPTHREE"}</definedName>
    <definedName name="reuse_1_5_2_3" hidden="1">{#N/A,#N/A,FALSE,"mgtsum.XLS";#N/A,#N/A,FALSE,"CAPONE";#N/A,#N/A,FALSE,"CAPTWO";#N/A,#N/A,FALSE,"CAPTHREE"}</definedName>
    <definedName name="reuse_1_5_2_4" hidden="1">{#N/A,#N/A,FALSE,"mgtsum.XLS";#N/A,#N/A,FALSE,"CAPONE";#N/A,#N/A,FALSE,"CAPTWO";#N/A,#N/A,FALSE,"CAPTHREE"}</definedName>
    <definedName name="reuse_1_5_2_5" hidden="1">{#N/A,#N/A,FALSE,"mgtsum.XLS";#N/A,#N/A,FALSE,"CAPONE";#N/A,#N/A,FALSE,"CAPTWO";#N/A,#N/A,FALSE,"CAPTHREE"}</definedName>
    <definedName name="reuse_1_5_3" hidden="1">{#N/A,#N/A,FALSE,"mgtsum.XLS";#N/A,#N/A,FALSE,"CAPONE";#N/A,#N/A,FALSE,"CAPTWO";#N/A,#N/A,FALSE,"CAPTHREE"}</definedName>
    <definedName name="reuse_1_5_4" hidden="1">{#N/A,#N/A,FALSE,"mgtsum.XLS";#N/A,#N/A,FALSE,"CAPONE";#N/A,#N/A,FALSE,"CAPTWO";#N/A,#N/A,FALSE,"CAPTHREE"}</definedName>
    <definedName name="reuse_1_5_5" hidden="1">{#N/A,#N/A,FALSE,"mgtsum.XLS";#N/A,#N/A,FALSE,"CAPONE";#N/A,#N/A,FALSE,"CAPTWO";#N/A,#N/A,FALSE,"CAPTHREE"}</definedName>
    <definedName name="reuse_2" hidden="1">{#N/A,#N/A,FALSE,"mgtsum.XLS";#N/A,#N/A,FALSE,"CAPONE";#N/A,#N/A,FALSE,"CAPTWO";#N/A,#N/A,FALSE,"CAPTHREE"}</definedName>
    <definedName name="reuse_2_1" hidden="1">{#N/A,#N/A,FALSE,"mgtsum.XLS";#N/A,#N/A,FALSE,"CAPONE";#N/A,#N/A,FALSE,"CAPTWO";#N/A,#N/A,FALSE,"CAPTHREE"}</definedName>
    <definedName name="reuse_2_1_1" hidden="1">{#N/A,#N/A,FALSE,"mgtsum.XLS";#N/A,#N/A,FALSE,"CAPONE";#N/A,#N/A,FALSE,"CAPTWO";#N/A,#N/A,FALSE,"CAPTHREE"}</definedName>
    <definedName name="reuse_2_1_1_1" hidden="1">{#N/A,#N/A,FALSE,"mgtsum.XLS";#N/A,#N/A,FALSE,"CAPONE";#N/A,#N/A,FALSE,"CAPTWO";#N/A,#N/A,FALSE,"CAPTHREE"}</definedName>
    <definedName name="reuse_2_1_1_2" hidden="1">{#N/A,#N/A,FALSE,"mgtsum.XLS";#N/A,#N/A,FALSE,"CAPONE";#N/A,#N/A,FALSE,"CAPTWO";#N/A,#N/A,FALSE,"CAPTHREE"}</definedName>
    <definedName name="reuse_2_1_1_3" hidden="1">{#N/A,#N/A,FALSE,"mgtsum.XLS";#N/A,#N/A,FALSE,"CAPONE";#N/A,#N/A,FALSE,"CAPTWO";#N/A,#N/A,FALSE,"CAPTHREE"}</definedName>
    <definedName name="reuse_2_1_1_4" hidden="1">{#N/A,#N/A,FALSE,"mgtsum.XLS";#N/A,#N/A,FALSE,"CAPONE";#N/A,#N/A,FALSE,"CAPTWO";#N/A,#N/A,FALSE,"CAPTHREE"}</definedName>
    <definedName name="reuse_2_1_1_5" hidden="1">{#N/A,#N/A,FALSE,"mgtsum.XLS";#N/A,#N/A,FALSE,"CAPONE";#N/A,#N/A,FALSE,"CAPTWO";#N/A,#N/A,FALSE,"CAPTHREE"}</definedName>
    <definedName name="reuse_2_1_2" hidden="1">{#N/A,#N/A,FALSE,"mgtsum.XLS";#N/A,#N/A,FALSE,"CAPONE";#N/A,#N/A,FALSE,"CAPTWO";#N/A,#N/A,FALSE,"CAPTHREE"}</definedName>
    <definedName name="reuse_2_1_2_1" hidden="1">{#N/A,#N/A,FALSE,"mgtsum.XLS";#N/A,#N/A,FALSE,"CAPONE";#N/A,#N/A,FALSE,"CAPTWO";#N/A,#N/A,FALSE,"CAPTHREE"}</definedName>
    <definedName name="reuse_2_1_2_2" hidden="1">{#N/A,#N/A,FALSE,"mgtsum.XLS";#N/A,#N/A,FALSE,"CAPONE";#N/A,#N/A,FALSE,"CAPTWO";#N/A,#N/A,FALSE,"CAPTHREE"}</definedName>
    <definedName name="reuse_2_1_2_3" hidden="1">{#N/A,#N/A,FALSE,"mgtsum.XLS";#N/A,#N/A,FALSE,"CAPONE";#N/A,#N/A,FALSE,"CAPTWO";#N/A,#N/A,FALSE,"CAPTHREE"}</definedName>
    <definedName name="reuse_2_1_2_4" hidden="1">{#N/A,#N/A,FALSE,"mgtsum.XLS";#N/A,#N/A,FALSE,"CAPONE";#N/A,#N/A,FALSE,"CAPTWO";#N/A,#N/A,FALSE,"CAPTHREE"}</definedName>
    <definedName name="reuse_2_1_2_5" hidden="1">{#N/A,#N/A,FALSE,"mgtsum.XLS";#N/A,#N/A,FALSE,"CAPONE";#N/A,#N/A,FALSE,"CAPTWO";#N/A,#N/A,FALSE,"CAPTHREE"}</definedName>
    <definedName name="reuse_2_1_3" hidden="1">{#N/A,#N/A,FALSE,"mgtsum.XLS";#N/A,#N/A,FALSE,"CAPONE";#N/A,#N/A,FALSE,"CAPTWO";#N/A,#N/A,FALSE,"CAPTHREE"}</definedName>
    <definedName name="reuse_2_1_3_1" hidden="1">{#N/A,#N/A,FALSE,"mgtsum.XLS";#N/A,#N/A,FALSE,"CAPONE";#N/A,#N/A,FALSE,"CAPTWO";#N/A,#N/A,FALSE,"CAPTHREE"}</definedName>
    <definedName name="reuse_2_1_3_2" hidden="1">{#N/A,#N/A,FALSE,"mgtsum.XLS";#N/A,#N/A,FALSE,"CAPONE";#N/A,#N/A,FALSE,"CAPTWO";#N/A,#N/A,FALSE,"CAPTHREE"}</definedName>
    <definedName name="reuse_2_1_3_3" hidden="1">{#N/A,#N/A,FALSE,"mgtsum.XLS";#N/A,#N/A,FALSE,"CAPONE";#N/A,#N/A,FALSE,"CAPTWO";#N/A,#N/A,FALSE,"CAPTHREE"}</definedName>
    <definedName name="reuse_2_1_3_4" hidden="1">{#N/A,#N/A,FALSE,"mgtsum.XLS";#N/A,#N/A,FALSE,"CAPONE";#N/A,#N/A,FALSE,"CAPTWO";#N/A,#N/A,FALSE,"CAPTHREE"}</definedName>
    <definedName name="reuse_2_1_3_5" hidden="1">{#N/A,#N/A,FALSE,"mgtsum.XLS";#N/A,#N/A,FALSE,"CAPONE";#N/A,#N/A,FALSE,"CAPTWO";#N/A,#N/A,FALSE,"CAPTHREE"}</definedName>
    <definedName name="reuse_2_1_4" hidden="1">{#N/A,#N/A,FALSE,"mgtsum.XLS";#N/A,#N/A,FALSE,"CAPONE";#N/A,#N/A,FALSE,"CAPTWO";#N/A,#N/A,FALSE,"CAPTHREE"}</definedName>
    <definedName name="reuse_2_1_5" hidden="1">{#N/A,#N/A,FALSE,"mgtsum.XLS";#N/A,#N/A,FALSE,"CAPONE";#N/A,#N/A,FALSE,"CAPTWO";#N/A,#N/A,FALSE,"CAPTHREE"}</definedName>
    <definedName name="reuse_2_2" hidden="1">{#N/A,#N/A,FALSE,"mgtsum.XLS";#N/A,#N/A,FALSE,"CAPONE";#N/A,#N/A,FALSE,"CAPTWO";#N/A,#N/A,FALSE,"CAPTHREE"}</definedName>
    <definedName name="reuse_2_2_1" hidden="1">{#N/A,#N/A,FALSE,"mgtsum.XLS";#N/A,#N/A,FALSE,"CAPONE";#N/A,#N/A,FALSE,"CAPTWO";#N/A,#N/A,FALSE,"CAPTHREE"}</definedName>
    <definedName name="reuse_2_2_1_1" hidden="1">{#N/A,#N/A,FALSE,"mgtsum.XLS";#N/A,#N/A,FALSE,"CAPONE";#N/A,#N/A,FALSE,"CAPTWO";#N/A,#N/A,FALSE,"CAPTHREE"}</definedName>
    <definedName name="reuse_2_2_1_2" hidden="1">{#N/A,#N/A,FALSE,"mgtsum.XLS";#N/A,#N/A,FALSE,"CAPONE";#N/A,#N/A,FALSE,"CAPTWO";#N/A,#N/A,FALSE,"CAPTHREE"}</definedName>
    <definedName name="reuse_2_2_1_3" hidden="1">{#N/A,#N/A,FALSE,"mgtsum.XLS";#N/A,#N/A,FALSE,"CAPONE";#N/A,#N/A,FALSE,"CAPTWO";#N/A,#N/A,FALSE,"CAPTHREE"}</definedName>
    <definedName name="reuse_2_2_1_4" hidden="1">{#N/A,#N/A,FALSE,"mgtsum.XLS";#N/A,#N/A,FALSE,"CAPONE";#N/A,#N/A,FALSE,"CAPTWO";#N/A,#N/A,FALSE,"CAPTHREE"}</definedName>
    <definedName name="reuse_2_2_1_5" hidden="1">{#N/A,#N/A,FALSE,"mgtsum.XLS";#N/A,#N/A,FALSE,"CAPONE";#N/A,#N/A,FALSE,"CAPTWO";#N/A,#N/A,FALSE,"CAPTHREE"}</definedName>
    <definedName name="reuse_2_2_2" hidden="1">{#N/A,#N/A,FALSE,"mgtsum.XLS";#N/A,#N/A,FALSE,"CAPONE";#N/A,#N/A,FALSE,"CAPTWO";#N/A,#N/A,FALSE,"CAPTHREE"}</definedName>
    <definedName name="reuse_2_2_2_1" hidden="1">{#N/A,#N/A,FALSE,"mgtsum.XLS";#N/A,#N/A,FALSE,"CAPONE";#N/A,#N/A,FALSE,"CAPTWO";#N/A,#N/A,FALSE,"CAPTHREE"}</definedName>
    <definedName name="reuse_2_2_2_2" hidden="1">{#N/A,#N/A,FALSE,"mgtsum.XLS";#N/A,#N/A,FALSE,"CAPONE";#N/A,#N/A,FALSE,"CAPTWO";#N/A,#N/A,FALSE,"CAPTHREE"}</definedName>
    <definedName name="reuse_2_2_2_3" hidden="1">{#N/A,#N/A,FALSE,"mgtsum.XLS";#N/A,#N/A,FALSE,"CAPONE";#N/A,#N/A,FALSE,"CAPTWO";#N/A,#N/A,FALSE,"CAPTHREE"}</definedName>
    <definedName name="reuse_2_2_2_4" hidden="1">{#N/A,#N/A,FALSE,"mgtsum.XLS";#N/A,#N/A,FALSE,"CAPONE";#N/A,#N/A,FALSE,"CAPTWO";#N/A,#N/A,FALSE,"CAPTHREE"}</definedName>
    <definedName name="reuse_2_2_2_5" hidden="1">{#N/A,#N/A,FALSE,"mgtsum.XLS";#N/A,#N/A,FALSE,"CAPONE";#N/A,#N/A,FALSE,"CAPTWO";#N/A,#N/A,FALSE,"CAPTHREE"}</definedName>
    <definedName name="reuse_2_2_3" hidden="1">{#N/A,#N/A,FALSE,"mgtsum.XLS";#N/A,#N/A,FALSE,"CAPONE";#N/A,#N/A,FALSE,"CAPTWO";#N/A,#N/A,FALSE,"CAPTHREE"}</definedName>
    <definedName name="reuse_2_2_4" hidden="1">{#N/A,#N/A,FALSE,"mgtsum.XLS";#N/A,#N/A,FALSE,"CAPONE";#N/A,#N/A,FALSE,"CAPTWO";#N/A,#N/A,FALSE,"CAPTHREE"}</definedName>
    <definedName name="reuse_2_2_5" hidden="1">{#N/A,#N/A,FALSE,"mgtsum.XLS";#N/A,#N/A,FALSE,"CAPONE";#N/A,#N/A,FALSE,"CAPTWO";#N/A,#N/A,FALSE,"CAPTHREE"}</definedName>
    <definedName name="reuse_2_3" hidden="1">{#N/A,#N/A,FALSE,"mgtsum.XLS";#N/A,#N/A,FALSE,"CAPONE";#N/A,#N/A,FALSE,"CAPTWO";#N/A,#N/A,FALSE,"CAPTHREE"}</definedName>
    <definedName name="reuse_2_3_1" hidden="1">{#N/A,#N/A,FALSE,"mgtsum.XLS";#N/A,#N/A,FALSE,"CAPONE";#N/A,#N/A,FALSE,"CAPTWO";#N/A,#N/A,FALSE,"CAPTHREE"}</definedName>
    <definedName name="reuse_2_3_1_1" hidden="1">{#N/A,#N/A,FALSE,"mgtsum.XLS";#N/A,#N/A,FALSE,"CAPONE";#N/A,#N/A,FALSE,"CAPTWO";#N/A,#N/A,FALSE,"CAPTHREE"}</definedName>
    <definedName name="reuse_2_3_1_2" hidden="1">{#N/A,#N/A,FALSE,"mgtsum.XLS";#N/A,#N/A,FALSE,"CAPONE";#N/A,#N/A,FALSE,"CAPTWO";#N/A,#N/A,FALSE,"CAPTHREE"}</definedName>
    <definedName name="reuse_2_3_1_3" hidden="1">{#N/A,#N/A,FALSE,"mgtsum.XLS";#N/A,#N/A,FALSE,"CAPONE";#N/A,#N/A,FALSE,"CAPTWO";#N/A,#N/A,FALSE,"CAPTHREE"}</definedName>
    <definedName name="reuse_2_3_1_4" hidden="1">{#N/A,#N/A,FALSE,"mgtsum.XLS";#N/A,#N/A,FALSE,"CAPONE";#N/A,#N/A,FALSE,"CAPTWO";#N/A,#N/A,FALSE,"CAPTHREE"}</definedName>
    <definedName name="reuse_2_3_1_5" hidden="1">{#N/A,#N/A,FALSE,"mgtsum.XLS";#N/A,#N/A,FALSE,"CAPONE";#N/A,#N/A,FALSE,"CAPTWO";#N/A,#N/A,FALSE,"CAPTHREE"}</definedName>
    <definedName name="reuse_2_3_2" hidden="1">{#N/A,#N/A,FALSE,"mgtsum.XLS";#N/A,#N/A,FALSE,"CAPONE";#N/A,#N/A,FALSE,"CAPTWO";#N/A,#N/A,FALSE,"CAPTHREE"}</definedName>
    <definedName name="reuse_2_3_2_1" hidden="1">{#N/A,#N/A,FALSE,"mgtsum.XLS";#N/A,#N/A,FALSE,"CAPONE";#N/A,#N/A,FALSE,"CAPTWO";#N/A,#N/A,FALSE,"CAPTHREE"}</definedName>
    <definedName name="reuse_2_3_2_2" hidden="1">{#N/A,#N/A,FALSE,"mgtsum.XLS";#N/A,#N/A,FALSE,"CAPONE";#N/A,#N/A,FALSE,"CAPTWO";#N/A,#N/A,FALSE,"CAPTHREE"}</definedName>
    <definedName name="reuse_2_3_2_3" hidden="1">{#N/A,#N/A,FALSE,"mgtsum.XLS";#N/A,#N/A,FALSE,"CAPONE";#N/A,#N/A,FALSE,"CAPTWO";#N/A,#N/A,FALSE,"CAPTHREE"}</definedName>
    <definedName name="reuse_2_3_2_4" hidden="1">{#N/A,#N/A,FALSE,"mgtsum.XLS";#N/A,#N/A,FALSE,"CAPONE";#N/A,#N/A,FALSE,"CAPTWO";#N/A,#N/A,FALSE,"CAPTHREE"}</definedName>
    <definedName name="reuse_2_3_2_5" hidden="1">{#N/A,#N/A,FALSE,"mgtsum.XLS";#N/A,#N/A,FALSE,"CAPONE";#N/A,#N/A,FALSE,"CAPTWO";#N/A,#N/A,FALSE,"CAPTHREE"}</definedName>
    <definedName name="reuse_2_3_3" hidden="1">{#N/A,#N/A,FALSE,"mgtsum.XLS";#N/A,#N/A,FALSE,"CAPONE";#N/A,#N/A,FALSE,"CAPTWO";#N/A,#N/A,FALSE,"CAPTHREE"}</definedName>
    <definedName name="reuse_2_3_4" hidden="1">{#N/A,#N/A,FALSE,"mgtsum.XLS";#N/A,#N/A,FALSE,"CAPONE";#N/A,#N/A,FALSE,"CAPTWO";#N/A,#N/A,FALSE,"CAPTHREE"}</definedName>
    <definedName name="reuse_2_3_5" hidden="1">{#N/A,#N/A,FALSE,"mgtsum.XLS";#N/A,#N/A,FALSE,"CAPONE";#N/A,#N/A,FALSE,"CAPTWO";#N/A,#N/A,FALSE,"CAPTHREE"}</definedName>
    <definedName name="reuse_2_4" hidden="1">{#N/A,#N/A,FALSE,"mgtsum.XLS";#N/A,#N/A,FALSE,"CAPONE";#N/A,#N/A,FALSE,"CAPTWO";#N/A,#N/A,FALSE,"CAPTHREE"}</definedName>
    <definedName name="reuse_2_4_1" hidden="1">{#N/A,#N/A,FALSE,"mgtsum.XLS";#N/A,#N/A,FALSE,"CAPONE";#N/A,#N/A,FALSE,"CAPTWO";#N/A,#N/A,FALSE,"CAPTHREE"}</definedName>
    <definedName name="reuse_2_4_1_1" hidden="1">{#N/A,#N/A,FALSE,"mgtsum.XLS";#N/A,#N/A,FALSE,"CAPONE";#N/A,#N/A,FALSE,"CAPTWO";#N/A,#N/A,FALSE,"CAPTHREE"}</definedName>
    <definedName name="reuse_2_4_1_2" hidden="1">{#N/A,#N/A,FALSE,"mgtsum.XLS";#N/A,#N/A,FALSE,"CAPONE";#N/A,#N/A,FALSE,"CAPTWO";#N/A,#N/A,FALSE,"CAPTHREE"}</definedName>
    <definedName name="reuse_2_4_1_3" hidden="1">{#N/A,#N/A,FALSE,"mgtsum.XLS";#N/A,#N/A,FALSE,"CAPONE";#N/A,#N/A,FALSE,"CAPTWO";#N/A,#N/A,FALSE,"CAPTHREE"}</definedName>
    <definedName name="reuse_2_4_1_4" hidden="1">{#N/A,#N/A,FALSE,"mgtsum.XLS";#N/A,#N/A,FALSE,"CAPONE";#N/A,#N/A,FALSE,"CAPTWO";#N/A,#N/A,FALSE,"CAPTHREE"}</definedName>
    <definedName name="reuse_2_4_1_5" hidden="1">{#N/A,#N/A,FALSE,"mgtsum.XLS";#N/A,#N/A,FALSE,"CAPONE";#N/A,#N/A,FALSE,"CAPTWO";#N/A,#N/A,FALSE,"CAPTHREE"}</definedName>
    <definedName name="reuse_2_4_2" hidden="1">{#N/A,#N/A,FALSE,"mgtsum.XLS";#N/A,#N/A,FALSE,"CAPONE";#N/A,#N/A,FALSE,"CAPTWO";#N/A,#N/A,FALSE,"CAPTHREE"}</definedName>
    <definedName name="reuse_2_4_2_1" hidden="1">{#N/A,#N/A,FALSE,"mgtsum.XLS";#N/A,#N/A,FALSE,"CAPONE";#N/A,#N/A,FALSE,"CAPTWO";#N/A,#N/A,FALSE,"CAPTHREE"}</definedName>
    <definedName name="reuse_2_4_2_2" hidden="1">{#N/A,#N/A,FALSE,"mgtsum.XLS";#N/A,#N/A,FALSE,"CAPONE";#N/A,#N/A,FALSE,"CAPTWO";#N/A,#N/A,FALSE,"CAPTHREE"}</definedName>
    <definedName name="reuse_2_4_2_3" hidden="1">{#N/A,#N/A,FALSE,"mgtsum.XLS";#N/A,#N/A,FALSE,"CAPONE";#N/A,#N/A,FALSE,"CAPTWO";#N/A,#N/A,FALSE,"CAPTHREE"}</definedName>
    <definedName name="reuse_2_4_2_4" hidden="1">{#N/A,#N/A,FALSE,"mgtsum.XLS";#N/A,#N/A,FALSE,"CAPONE";#N/A,#N/A,FALSE,"CAPTWO";#N/A,#N/A,FALSE,"CAPTHREE"}</definedName>
    <definedName name="reuse_2_4_2_5" hidden="1">{#N/A,#N/A,FALSE,"mgtsum.XLS";#N/A,#N/A,FALSE,"CAPONE";#N/A,#N/A,FALSE,"CAPTWO";#N/A,#N/A,FALSE,"CAPTHREE"}</definedName>
    <definedName name="reuse_2_4_3" hidden="1">{#N/A,#N/A,FALSE,"mgtsum.XLS";#N/A,#N/A,FALSE,"CAPONE";#N/A,#N/A,FALSE,"CAPTWO";#N/A,#N/A,FALSE,"CAPTHREE"}</definedName>
    <definedName name="reuse_2_4_4" hidden="1">{#N/A,#N/A,FALSE,"mgtsum.XLS";#N/A,#N/A,FALSE,"CAPONE";#N/A,#N/A,FALSE,"CAPTWO";#N/A,#N/A,FALSE,"CAPTHREE"}</definedName>
    <definedName name="reuse_2_4_5" hidden="1">{#N/A,#N/A,FALSE,"mgtsum.XLS";#N/A,#N/A,FALSE,"CAPONE";#N/A,#N/A,FALSE,"CAPTWO";#N/A,#N/A,FALSE,"CAPTHREE"}</definedName>
    <definedName name="reuse_2_5" hidden="1">{#N/A,#N/A,FALSE,"mgtsum.XLS";#N/A,#N/A,FALSE,"CAPONE";#N/A,#N/A,FALSE,"CAPTWO";#N/A,#N/A,FALSE,"CAPTHREE"}</definedName>
    <definedName name="reuse_2_5_1" hidden="1">{#N/A,#N/A,FALSE,"mgtsum.XLS";#N/A,#N/A,FALSE,"CAPONE";#N/A,#N/A,FALSE,"CAPTWO";#N/A,#N/A,FALSE,"CAPTHREE"}</definedName>
    <definedName name="reuse_2_5_2" hidden="1">{#N/A,#N/A,FALSE,"mgtsum.XLS";#N/A,#N/A,FALSE,"CAPONE";#N/A,#N/A,FALSE,"CAPTWO";#N/A,#N/A,FALSE,"CAPTHREE"}</definedName>
    <definedName name="reuse_2_5_3" hidden="1">{#N/A,#N/A,FALSE,"mgtsum.XLS";#N/A,#N/A,FALSE,"CAPONE";#N/A,#N/A,FALSE,"CAPTWO";#N/A,#N/A,FALSE,"CAPTHREE"}</definedName>
    <definedName name="reuse_2_5_4" hidden="1">{#N/A,#N/A,FALSE,"mgtsum.XLS";#N/A,#N/A,FALSE,"CAPONE";#N/A,#N/A,FALSE,"CAPTWO";#N/A,#N/A,FALSE,"CAPTHREE"}</definedName>
    <definedName name="reuse_2_5_5" hidden="1">{#N/A,#N/A,FALSE,"mgtsum.XLS";#N/A,#N/A,FALSE,"CAPONE";#N/A,#N/A,FALSE,"CAPTWO";#N/A,#N/A,FALSE,"CAPTHREE"}</definedName>
    <definedName name="reuse_3" hidden="1">{#N/A,#N/A,FALSE,"mgtsum.XLS";#N/A,#N/A,FALSE,"CAPONE";#N/A,#N/A,FALSE,"CAPTWO";#N/A,#N/A,FALSE,"CAPTHREE"}</definedName>
    <definedName name="reuse_3_1" hidden="1">{#N/A,#N/A,FALSE,"mgtsum.XLS";#N/A,#N/A,FALSE,"CAPONE";#N/A,#N/A,FALSE,"CAPTWO";#N/A,#N/A,FALSE,"CAPTHREE"}</definedName>
    <definedName name="reuse_3_1_1" hidden="1">{#N/A,#N/A,FALSE,"mgtsum.XLS";#N/A,#N/A,FALSE,"CAPONE";#N/A,#N/A,FALSE,"CAPTWO";#N/A,#N/A,FALSE,"CAPTHREE"}</definedName>
    <definedName name="reuse_3_1_1_1" hidden="1">{#N/A,#N/A,FALSE,"mgtsum.XLS";#N/A,#N/A,FALSE,"CAPONE";#N/A,#N/A,FALSE,"CAPTWO";#N/A,#N/A,FALSE,"CAPTHREE"}</definedName>
    <definedName name="reuse_3_1_1_2" hidden="1">{#N/A,#N/A,FALSE,"mgtsum.XLS";#N/A,#N/A,FALSE,"CAPONE";#N/A,#N/A,FALSE,"CAPTWO";#N/A,#N/A,FALSE,"CAPTHREE"}</definedName>
    <definedName name="reuse_3_1_1_3" hidden="1">{#N/A,#N/A,FALSE,"mgtsum.XLS";#N/A,#N/A,FALSE,"CAPONE";#N/A,#N/A,FALSE,"CAPTWO";#N/A,#N/A,FALSE,"CAPTHREE"}</definedName>
    <definedName name="reuse_3_1_1_4" hidden="1">{#N/A,#N/A,FALSE,"mgtsum.XLS";#N/A,#N/A,FALSE,"CAPONE";#N/A,#N/A,FALSE,"CAPTWO";#N/A,#N/A,FALSE,"CAPTHREE"}</definedName>
    <definedName name="reuse_3_1_1_5" hidden="1">{#N/A,#N/A,FALSE,"mgtsum.XLS";#N/A,#N/A,FALSE,"CAPONE";#N/A,#N/A,FALSE,"CAPTWO";#N/A,#N/A,FALSE,"CAPTHREE"}</definedName>
    <definedName name="reuse_3_1_2" hidden="1">{#N/A,#N/A,FALSE,"mgtsum.XLS";#N/A,#N/A,FALSE,"CAPONE";#N/A,#N/A,FALSE,"CAPTWO";#N/A,#N/A,FALSE,"CAPTHREE"}</definedName>
    <definedName name="reuse_3_1_2_1" hidden="1">{#N/A,#N/A,FALSE,"mgtsum.XLS";#N/A,#N/A,FALSE,"CAPONE";#N/A,#N/A,FALSE,"CAPTWO";#N/A,#N/A,FALSE,"CAPTHREE"}</definedName>
    <definedName name="reuse_3_1_2_2" hidden="1">{#N/A,#N/A,FALSE,"mgtsum.XLS";#N/A,#N/A,FALSE,"CAPONE";#N/A,#N/A,FALSE,"CAPTWO";#N/A,#N/A,FALSE,"CAPTHREE"}</definedName>
    <definedName name="reuse_3_1_2_3" hidden="1">{#N/A,#N/A,FALSE,"mgtsum.XLS";#N/A,#N/A,FALSE,"CAPONE";#N/A,#N/A,FALSE,"CAPTWO";#N/A,#N/A,FALSE,"CAPTHREE"}</definedName>
    <definedName name="reuse_3_1_2_4" hidden="1">{#N/A,#N/A,FALSE,"mgtsum.XLS";#N/A,#N/A,FALSE,"CAPONE";#N/A,#N/A,FALSE,"CAPTWO";#N/A,#N/A,FALSE,"CAPTHREE"}</definedName>
    <definedName name="reuse_3_1_2_5" hidden="1">{#N/A,#N/A,FALSE,"mgtsum.XLS";#N/A,#N/A,FALSE,"CAPONE";#N/A,#N/A,FALSE,"CAPTWO";#N/A,#N/A,FALSE,"CAPTHREE"}</definedName>
    <definedName name="reuse_3_1_3" hidden="1">{#N/A,#N/A,FALSE,"mgtsum.XLS";#N/A,#N/A,FALSE,"CAPONE";#N/A,#N/A,FALSE,"CAPTWO";#N/A,#N/A,FALSE,"CAPTHREE"}</definedName>
    <definedName name="reuse_3_1_3_1" hidden="1">{#N/A,#N/A,FALSE,"mgtsum.XLS";#N/A,#N/A,FALSE,"CAPONE";#N/A,#N/A,FALSE,"CAPTWO";#N/A,#N/A,FALSE,"CAPTHREE"}</definedName>
    <definedName name="reuse_3_1_3_2" hidden="1">{#N/A,#N/A,FALSE,"mgtsum.XLS";#N/A,#N/A,FALSE,"CAPONE";#N/A,#N/A,FALSE,"CAPTWO";#N/A,#N/A,FALSE,"CAPTHREE"}</definedName>
    <definedName name="reuse_3_1_3_3" hidden="1">{#N/A,#N/A,FALSE,"mgtsum.XLS";#N/A,#N/A,FALSE,"CAPONE";#N/A,#N/A,FALSE,"CAPTWO";#N/A,#N/A,FALSE,"CAPTHREE"}</definedName>
    <definedName name="reuse_3_1_3_4" hidden="1">{#N/A,#N/A,FALSE,"mgtsum.XLS";#N/A,#N/A,FALSE,"CAPONE";#N/A,#N/A,FALSE,"CAPTWO";#N/A,#N/A,FALSE,"CAPTHREE"}</definedName>
    <definedName name="reuse_3_1_3_5" hidden="1">{#N/A,#N/A,FALSE,"mgtsum.XLS";#N/A,#N/A,FALSE,"CAPONE";#N/A,#N/A,FALSE,"CAPTWO";#N/A,#N/A,FALSE,"CAPTHREE"}</definedName>
    <definedName name="reuse_3_1_4" hidden="1">{#N/A,#N/A,FALSE,"mgtsum.XLS";#N/A,#N/A,FALSE,"CAPONE";#N/A,#N/A,FALSE,"CAPTWO";#N/A,#N/A,FALSE,"CAPTHREE"}</definedName>
    <definedName name="reuse_3_1_5" hidden="1">{#N/A,#N/A,FALSE,"mgtsum.XLS";#N/A,#N/A,FALSE,"CAPONE";#N/A,#N/A,FALSE,"CAPTWO";#N/A,#N/A,FALSE,"CAPTHREE"}</definedName>
    <definedName name="reuse_3_2" hidden="1">{#N/A,#N/A,FALSE,"mgtsum.XLS";#N/A,#N/A,FALSE,"CAPONE";#N/A,#N/A,FALSE,"CAPTWO";#N/A,#N/A,FALSE,"CAPTHREE"}</definedName>
    <definedName name="reuse_3_2_1" hidden="1">{#N/A,#N/A,FALSE,"mgtsum.XLS";#N/A,#N/A,FALSE,"CAPONE";#N/A,#N/A,FALSE,"CAPTWO";#N/A,#N/A,FALSE,"CAPTHREE"}</definedName>
    <definedName name="reuse_3_2_1_1" hidden="1">{#N/A,#N/A,FALSE,"mgtsum.XLS";#N/A,#N/A,FALSE,"CAPONE";#N/A,#N/A,FALSE,"CAPTWO";#N/A,#N/A,FALSE,"CAPTHREE"}</definedName>
    <definedName name="reuse_3_2_1_2" hidden="1">{#N/A,#N/A,FALSE,"mgtsum.XLS";#N/A,#N/A,FALSE,"CAPONE";#N/A,#N/A,FALSE,"CAPTWO";#N/A,#N/A,FALSE,"CAPTHREE"}</definedName>
    <definedName name="reuse_3_2_1_3" hidden="1">{#N/A,#N/A,FALSE,"mgtsum.XLS";#N/A,#N/A,FALSE,"CAPONE";#N/A,#N/A,FALSE,"CAPTWO";#N/A,#N/A,FALSE,"CAPTHREE"}</definedName>
    <definedName name="reuse_3_2_1_4" hidden="1">{#N/A,#N/A,FALSE,"mgtsum.XLS";#N/A,#N/A,FALSE,"CAPONE";#N/A,#N/A,FALSE,"CAPTWO";#N/A,#N/A,FALSE,"CAPTHREE"}</definedName>
    <definedName name="reuse_3_2_1_5" hidden="1">{#N/A,#N/A,FALSE,"mgtsum.XLS";#N/A,#N/A,FALSE,"CAPONE";#N/A,#N/A,FALSE,"CAPTWO";#N/A,#N/A,FALSE,"CAPTHREE"}</definedName>
    <definedName name="reuse_3_2_2" hidden="1">{#N/A,#N/A,FALSE,"mgtsum.XLS";#N/A,#N/A,FALSE,"CAPONE";#N/A,#N/A,FALSE,"CAPTWO";#N/A,#N/A,FALSE,"CAPTHREE"}</definedName>
    <definedName name="reuse_3_2_2_1" hidden="1">{#N/A,#N/A,FALSE,"mgtsum.XLS";#N/A,#N/A,FALSE,"CAPONE";#N/A,#N/A,FALSE,"CAPTWO";#N/A,#N/A,FALSE,"CAPTHREE"}</definedName>
    <definedName name="reuse_3_2_2_2" hidden="1">{#N/A,#N/A,FALSE,"mgtsum.XLS";#N/A,#N/A,FALSE,"CAPONE";#N/A,#N/A,FALSE,"CAPTWO";#N/A,#N/A,FALSE,"CAPTHREE"}</definedName>
    <definedName name="reuse_3_2_2_3" hidden="1">{#N/A,#N/A,FALSE,"mgtsum.XLS";#N/A,#N/A,FALSE,"CAPONE";#N/A,#N/A,FALSE,"CAPTWO";#N/A,#N/A,FALSE,"CAPTHREE"}</definedName>
    <definedName name="reuse_3_2_2_4" hidden="1">{#N/A,#N/A,FALSE,"mgtsum.XLS";#N/A,#N/A,FALSE,"CAPONE";#N/A,#N/A,FALSE,"CAPTWO";#N/A,#N/A,FALSE,"CAPTHREE"}</definedName>
    <definedName name="reuse_3_2_2_5" hidden="1">{#N/A,#N/A,FALSE,"mgtsum.XLS";#N/A,#N/A,FALSE,"CAPONE";#N/A,#N/A,FALSE,"CAPTWO";#N/A,#N/A,FALSE,"CAPTHREE"}</definedName>
    <definedName name="reuse_3_2_3" hidden="1">{#N/A,#N/A,FALSE,"mgtsum.XLS";#N/A,#N/A,FALSE,"CAPONE";#N/A,#N/A,FALSE,"CAPTWO";#N/A,#N/A,FALSE,"CAPTHREE"}</definedName>
    <definedName name="reuse_3_2_4" hidden="1">{#N/A,#N/A,FALSE,"mgtsum.XLS";#N/A,#N/A,FALSE,"CAPONE";#N/A,#N/A,FALSE,"CAPTWO";#N/A,#N/A,FALSE,"CAPTHREE"}</definedName>
    <definedName name="reuse_3_2_5" hidden="1">{#N/A,#N/A,FALSE,"mgtsum.XLS";#N/A,#N/A,FALSE,"CAPONE";#N/A,#N/A,FALSE,"CAPTWO";#N/A,#N/A,FALSE,"CAPTHREE"}</definedName>
    <definedName name="reuse_3_3" hidden="1">{#N/A,#N/A,FALSE,"mgtsum.XLS";#N/A,#N/A,FALSE,"CAPONE";#N/A,#N/A,FALSE,"CAPTWO";#N/A,#N/A,FALSE,"CAPTHREE"}</definedName>
    <definedName name="reuse_3_3_1" hidden="1">{#N/A,#N/A,FALSE,"mgtsum.XLS";#N/A,#N/A,FALSE,"CAPONE";#N/A,#N/A,FALSE,"CAPTWO";#N/A,#N/A,FALSE,"CAPTHREE"}</definedName>
    <definedName name="reuse_3_3_1_1" hidden="1">{#N/A,#N/A,FALSE,"mgtsum.XLS";#N/A,#N/A,FALSE,"CAPONE";#N/A,#N/A,FALSE,"CAPTWO";#N/A,#N/A,FALSE,"CAPTHREE"}</definedName>
    <definedName name="reuse_3_3_1_2" hidden="1">{#N/A,#N/A,FALSE,"mgtsum.XLS";#N/A,#N/A,FALSE,"CAPONE";#N/A,#N/A,FALSE,"CAPTWO";#N/A,#N/A,FALSE,"CAPTHREE"}</definedName>
    <definedName name="reuse_3_3_1_3" hidden="1">{#N/A,#N/A,FALSE,"mgtsum.XLS";#N/A,#N/A,FALSE,"CAPONE";#N/A,#N/A,FALSE,"CAPTWO";#N/A,#N/A,FALSE,"CAPTHREE"}</definedName>
    <definedName name="reuse_3_3_1_4" hidden="1">{#N/A,#N/A,FALSE,"mgtsum.XLS";#N/A,#N/A,FALSE,"CAPONE";#N/A,#N/A,FALSE,"CAPTWO";#N/A,#N/A,FALSE,"CAPTHREE"}</definedName>
    <definedName name="reuse_3_3_1_5" hidden="1">{#N/A,#N/A,FALSE,"mgtsum.XLS";#N/A,#N/A,FALSE,"CAPONE";#N/A,#N/A,FALSE,"CAPTWO";#N/A,#N/A,FALSE,"CAPTHREE"}</definedName>
    <definedName name="reuse_3_3_2" hidden="1">{#N/A,#N/A,FALSE,"mgtsum.XLS";#N/A,#N/A,FALSE,"CAPONE";#N/A,#N/A,FALSE,"CAPTWO";#N/A,#N/A,FALSE,"CAPTHREE"}</definedName>
    <definedName name="reuse_3_3_2_1" hidden="1">{#N/A,#N/A,FALSE,"mgtsum.XLS";#N/A,#N/A,FALSE,"CAPONE";#N/A,#N/A,FALSE,"CAPTWO";#N/A,#N/A,FALSE,"CAPTHREE"}</definedName>
    <definedName name="reuse_3_3_2_2" hidden="1">{#N/A,#N/A,FALSE,"mgtsum.XLS";#N/A,#N/A,FALSE,"CAPONE";#N/A,#N/A,FALSE,"CAPTWO";#N/A,#N/A,FALSE,"CAPTHREE"}</definedName>
    <definedName name="reuse_3_3_2_3" hidden="1">{#N/A,#N/A,FALSE,"mgtsum.XLS";#N/A,#N/A,FALSE,"CAPONE";#N/A,#N/A,FALSE,"CAPTWO";#N/A,#N/A,FALSE,"CAPTHREE"}</definedName>
    <definedName name="reuse_3_3_2_4" hidden="1">{#N/A,#N/A,FALSE,"mgtsum.XLS";#N/A,#N/A,FALSE,"CAPONE";#N/A,#N/A,FALSE,"CAPTWO";#N/A,#N/A,FALSE,"CAPTHREE"}</definedName>
    <definedName name="reuse_3_3_2_5" hidden="1">{#N/A,#N/A,FALSE,"mgtsum.XLS";#N/A,#N/A,FALSE,"CAPONE";#N/A,#N/A,FALSE,"CAPTWO";#N/A,#N/A,FALSE,"CAPTHREE"}</definedName>
    <definedName name="reuse_3_3_3" hidden="1">{#N/A,#N/A,FALSE,"mgtsum.XLS";#N/A,#N/A,FALSE,"CAPONE";#N/A,#N/A,FALSE,"CAPTWO";#N/A,#N/A,FALSE,"CAPTHREE"}</definedName>
    <definedName name="reuse_3_3_4" hidden="1">{#N/A,#N/A,FALSE,"mgtsum.XLS";#N/A,#N/A,FALSE,"CAPONE";#N/A,#N/A,FALSE,"CAPTWO";#N/A,#N/A,FALSE,"CAPTHREE"}</definedName>
    <definedName name="reuse_3_3_5" hidden="1">{#N/A,#N/A,FALSE,"mgtsum.XLS";#N/A,#N/A,FALSE,"CAPONE";#N/A,#N/A,FALSE,"CAPTWO";#N/A,#N/A,FALSE,"CAPTHREE"}</definedName>
    <definedName name="reuse_3_4" hidden="1">{#N/A,#N/A,FALSE,"mgtsum.XLS";#N/A,#N/A,FALSE,"CAPONE";#N/A,#N/A,FALSE,"CAPTWO";#N/A,#N/A,FALSE,"CAPTHREE"}</definedName>
    <definedName name="reuse_3_4_1" hidden="1">{#N/A,#N/A,FALSE,"mgtsum.XLS";#N/A,#N/A,FALSE,"CAPONE";#N/A,#N/A,FALSE,"CAPTWO";#N/A,#N/A,FALSE,"CAPTHREE"}</definedName>
    <definedName name="reuse_3_4_1_1" hidden="1">{#N/A,#N/A,FALSE,"mgtsum.XLS";#N/A,#N/A,FALSE,"CAPONE";#N/A,#N/A,FALSE,"CAPTWO";#N/A,#N/A,FALSE,"CAPTHREE"}</definedName>
    <definedName name="reuse_3_4_1_2" hidden="1">{#N/A,#N/A,FALSE,"mgtsum.XLS";#N/A,#N/A,FALSE,"CAPONE";#N/A,#N/A,FALSE,"CAPTWO";#N/A,#N/A,FALSE,"CAPTHREE"}</definedName>
    <definedName name="reuse_3_4_1_3" hidden="1">{#N/A,#N/A,FALSE,"mgtsum.XLS";#N/A,#N/A,FALSE,"CAPONE";#N/A,#N/A,FALSE,"CAPTWO";#N/A,#N/A,FALSE,"CAPTHREE"}</definedName>
    <definedName name="reuse_3_4_1_4" hidden="1">{#N/A,#N/A,FALSE,"mgtsum.XLS";#N/A,#N/A,FALSE,"CAPONE";#N/A,#N/A,FALSE,"CAPTWO";#N/A,#N/A,FALSE,"CAPTHREE"}</definedName>
    <definedName name="reuse_3_4_1_5" hidden="1">{#N/A,#N/A,FALSE,"mgtsum.XLS";#N/A,#N/A,FALSE,"CAPONE";#N/A,#N/A,FALSE,"CAPTWO";#N/A,#N/A,FALSE,"CAPTHREE"}</definedName>
    <definedName name="reuse_3_4_2" hidden="1">{#N/A,#N/A,FALSE,"mgtsum.XLS";#N/A,#N/A,FALSE,"CAPONE";#N/A,#N/A,FALSE,"CAPTWO";#N/A,#N/A,FALSE,"CAPTHREE"}</definedName>
    <definedName name="reuse_3_4_2_1" hidden="1">{#N/A,#N/A,FALSE,"mgtsum.XLS";#N/A,#N/A,FALSE,"CAPONE";#N/A,#N/A,FALSE,"CAPTWO";#N/A,#N/A,FALSE,"CAPTHREE"}</definedName>
    <definedName name="reuse_3_4_2_2" hidden="1">{#N/A,#N/A,FALSE,"mgtsum.XLS";#N/A,#N/A,FALSE,"CAPONE";#N/A,#N/A,FALSE,"CAPTWO";#N/A,#N/A,FALSE,"CAPTHREE"}</definedName>
    <definedName name="reuse_3_4_2_3" hidden="1">{#N/A,#N/A,FALSE,"mgtsum.XLS";#N/A,#N/A,FALSE,"CAPONE";#N/A,#N/A,FALSE,"CAPTWO";#N/A,#N/A,FALSE,"CAPTHREE"}</definedName>
    <definedName name="reuse_3_4_2_4" hidden="1">{#N/A,#N/A,FALSE,"mgtsum.XLS";#N/A,#N/A,FALSE,"CAPONE";#N/A,#N/A,FALSE,"CAPTWO";#N/A,#N/A,FALSE,"CAPTHREE"}</definedName>
    <definedName name="reuse_3_4_2_5" hidden="1">{#N/A,#N/A,FALSE,"mgtsum.XLS";#N/A,#N/A,FALSE,"CAPONE";#N/A,#N/A,FALSE,"CAPTWO";#N/A,#N/A,FALSE,"CAPTHREE"}</definedName>
    <definedName name="reuse_3_4_3" hidden="1">{#N/A,#N/A,FALSE,"mgtsum.XLS";#N/A,#N/A,FALSE,"CAPONE";#N/A,#N/A,FALSE,"CAPTWO";#N/A,#N/A,FALSE,"CAPTHREE"}</definedName>
    <definedName name="reuse_3_4_4" hidden="1">{#N/A,#N/A,FALSE,"mgtsum.XLS";#N/A,#N/A,FALSE,"CAPONE";#N/A,#N/A,FALSE,"CAPTWO";#N/A,#N/A,FALSE,"CAPTHREE"}</definedName>
    <definedName name="reuse_3_4_5" hidden="1">{#N/A,#N/A,FALSE,"mgtsum.XLS";#N/A,#N/A,FALSE,"CAPONE";#N/A,#N/A,FALSE,"CAPTWO";#N/A,#N/A,FALSE,"CAPTHREE"}</definedName>
    <definedName name="reuse_3_5" hidden="1">{#N/A,#N/A,FALSE,"mgtsum.XLS";#N/A,#N/A,FALSE,"CAPONE";#N/A,#N/A,FALSE,"CAPTWO";#N/A,#N/A,FALSE,"CAPTHREE"}</definedName>
    <definedName name="reuse_3_5_1" hidden="1">{#N/A,#N/A,FALSE,"mgtsum.XLS";#N/A,#N/A,FALSE,"CAPONE";#N/A,#N/A,FALSE,"CAPTWO";#N/A,#N/A,FALSE,"CAPTHREE"}</definedName>
    <definedName name="reuse_3_5_2" hidden="1">{#N/A,#N/A,FALSE,"mgtsum.XLS";#N/A,#N/A,FALSE,"CAPONE";#N/A,#N/A,FALSE,"CAPTWO";#N/A,#N/A,FALSE,"CAPTHREE"}</definedName>
    <definedName name="reuse_3_5_3" hidden="1">{#N/A,#N/A,FALSE,"mgtsum.XLS";#N/A,#N/A,FALSE,"CAPONE";#N/A,#N/A,FALSE,"CAPTWO";#N/A,#N/A,FALSE,"CAPTHREE"}</definedName>
    <definedName name="reuse_3_5_4" hidden="1">{#N/A,#N/A,FALSE,"mgtsum.XLS";#N/A,#N/A,FALSE,"CAPONE";#N/A,#N/A,FALSE,"CAPTWO";#N/A,#N/A,FALSE,"CAPTHREE"}</definedName>
    <definedName name="reuse_3_5_5" hidden="1">{#N/A,#N/A,FALSE,"mgtsum.XLS";#N/A,#N/A,FALSE,"CAPONE";#N/A,#N/A,FALSE,"CAPTWO";#N/A,#N/A,FALSE,"CAPTHREE"}</definedName>
    <definedName name="reuse_4" hidden="1">{#N/A,#N/A,FALSE,"mgtsum.XLS";#N/A,#N/A,FALSE,"CAPONE";#N/A,#N/A,FALSE,"CAPTWO";#N/A,#N/A,FALSE,"CAPTHREE"}</definedName>
    <definedName name="reuse_4_1" hidden="1">{#N/A,#N/A,FALSE,"mgtsum.XLS";#N/A,#N/A,FALSE,"CAPONE";#N/A,#N/A,FALSE,"CAPTWO";#N/A,#N/A,FALSE,"CAPTHREE"}</definedName>
    <definedName name="reuse_4_1_1" hidden="1">{#N/A,#N/A,FALSE,"mgtsum.XLS";#N/A,#N/A,FALSE,"CAPONE";#N/A,#N/A,FALSE,"CAPTWO";#N/A,#N/A,FALSE,"CAPTHREE"}</definedName>
    <definedName name="reuse_4_1_1_1" hidden="1">{#N/A,#N/A,FALSE,"mgtsum.XLS";#N/A,#N/A,FALSE,"CAPONE";#N/A,#N/A,FALSE,"CAPTWO";#N/A,#N/A,FALSE,"CAPTHREE"}</definedName>
    <definedName name="reuse_4_1_1_2" hidden="1">{#N/A,#N/A,FALSE,"mgtsum.XLS";#N/A,#N/A,FALSE,"CAPONE";#N/A,#N/A,FALSE,"CAPTWO";#N/A,#N/A,FALSE,"CAPTHREE"}</definedName>
    <definedName name="reuse_4_1_1_3" hidden="1">{#N/A,#N/A,FALSE,"mgtsum.XLS";#N/A,#N/A,FALSE,"CAPONE";#N/A,#N/A,FALSE,"CAPTWO";#N/A,#N/A,FALSE,"CAPTHREE"}</definedName>
    <definedName name="reuse_4_1_1_4" hidden="1">{#N/A,#N/A,FALSE,"mgtsum.XLS";#N/A,#N/A,FALSE,"CAPONE";#N/A,#N/A,FALSE,"CAPTWO";#N/A,#N/A,FALSE,"CAPTHREE"}</definedName>
    <definedName name="reuse_4_1_1_5" hidden="1">{#N/A,#N/A,FALSE,"mgtsum.XLS";#N/A,#N/A,FALSE,"CAPONE";#N/A,#N/A,FALSE,"CAPTWO";#N/A,#N/A,FALSE,"CAPTHREE"}</definedName>
    <definedName name="reuse_4_1_2" hidden="1">{#N/A,#N/A,FALSE,"mgtsum.XLS";#N/A,#N/A,FALSE,"CAPONE";#N/A,#N/A,FALSE,"CAPTWO";#N/A,#N/A,FALSE,"CAPTHREE"}</definedName>
    <definedName name="reuse_4_1_2_1" hidden="1">{#N/A,#N/A,FALSE,"mgtsum.XLS";#N/A,#N/A,FALSE,"CAPONE";#N/A,#N/A,FALSE,"CAPTWO";#N/A,#N/A,FALSE,"CAPTHREE"}</definedName>
    <definedName name="reuse_4_1_2_2" hidden="1">{#N/A,#N/A,FALSE,"mgtsum.XLS";#N/A,#N/A,FALSE,"CAPONE";#N/A,#N/A,FALSE,"CAPTWO";#N/A,#N/A,FALSE,"CAPTHREE"}</definedName>
    <definedName name="reuse_4_1_2_3" hidden="1">{#N/A,#N/A,FALSE,"mgtsum.XLS";#N/A,#N/A,FALSE,"CAPONE";#N/A,#N/A,FALSE,"CAPTWO";#N/A,#N/A,FALSE,"CAPTHREE"}</definedName>
    <definedName name="reuse_4_1_2_4" hidden="1">{#N/A,#N/A,FALSE,"mgtsum.XLS";#N/A,#N/A,FALSE,"CAPONE";#N/A,#N/A,FALSE,"CAPTWO";#N/A,#N/A,FALSE,"CAPTHREE"}</definedName>
    <definedName name="reuse_4_1_2_5" hidden="1">{#N/A,#N/A,FALSE,"mgtsum.XLS";#N/A,#N/A,FALSE,"CAPONE";#N/A,#N/A,FALSE,"CAPTWO";#N/A,#N/A,FALSE,"CAPTHREE"}</definedName>
    <definedName name="reuse_4_1_3" hidden="1">{#N/A,#N/A,FALSE,"mgtsum.XLS";#N/A,#N/A,FALSE,"CAPONE";#N/A,#N/A,FALSE,"CAPTWO";#N/A,#N/A,FALSE,"CAPTHREE"}</definedName>
    <definedName name="reuse_4_1_3_1" hidden="1">{#N/A,#N/A,FALSE,"mgtsum.XLS";#N/A,#N/A,FALSE,"CAPONE";#N/A,#N/A,FALSE,"CAPTWO";#N/A,#N/A,FALSE,"CAPTHREE"}</definedName>
    <definedName name="reuse_4_1_3_2" hidden="1">{#N/A,#N/A,FALSE,"mgtsum.XLS";#N/A,#N/A,FALSE,"CAPONE";#N/A,#N/A,FALSE,"CAPTWO";#N/A,#N/A,FALSE,"CAPTHREE"}</definedName>
    <definedName name="reuse_4_1_3_3" hidden="1">{#N/A,#N/A,FALSE,"mgtsum.XLS";#N/A,#N/A,FALSE,"CAPONE";#N/A,#N/A,FALSE,"CAPTWO";#N/A,#N/A,FALSE,"CAPTHREE"}</definedName>
    <definedName name="reuse_4_1_3_4" hidden="1">{#N/A,#N/A,FALSE,"mgtsum.XLS";#N/A,#N/A,FALSE,"CAPONE";#N/A,#N/A,FALSE,"CAPTWO";#N/A,#N/A,FALSE,"CAPTHREE"}</definedName>
    <definedName name="reuse_4_1_3_5" hidden="1">{#N/A,#N/A,FALSE,"mgtsum.XLS";#N/A,#N/A,FALSE,"CAPONE";#N/A,#N/A,FALSE,"CAPTWO";#N/A,#N/A,FALSE,"CAPTHREE"}</definedName>
    <definedName name="reuse_4_1_4" hidden="1">{#N/A,#N/A,FALSE,"mgtsum.XLS";#N/A,#N/A,FALSE,"CAPONE";#N/A,#N/A,FALSE,"CAPTWO";#N/A,#N/A,FALSE,"CAPTHREE"}</definedName>
    <definedName name="reuse_4_1_5" hidden="1">{#N/A,#N/A,FALSE,"mgtsum.XLS";#N/A,#N/A,FALSE,"CAPONE";#N/A,#N/A,FALSE,"CAPTWO";#N/A,#N/A,FALSE,"CAPTHREE"}</definedName>
    <definedName name="reuse_4_2" hidden="1">{#N/A,#N/A,FALSE,"mgtsum.XLS";#N/A,#N/A,FALSE,"CAPONE";#N/A,#N/A,FALSE,"CAPTWO";#N/A,#N/A,FALSE,"CAPTHREE"}</definedName>
    <definedName name="reuse_4_2_1" hidden="1">{#N/A,#N/A,FALSE,"mgtsum.XLS";#N/A,#N/A,FALSE,"CAPONE";#N/A,#N/A,FALSE,"CAPTWO";#N/A,#N/A,FALSE,"CAPTHREE"}</definedName>
    <definedName name="reuse_4_2_2" hidden="1">{#N/A,#N/A,FALSE,"mgtsum.XLS";#N/A,#N/A,FALSE,"CAPONE";#N/A,#N/A,FALSE,"CAPTWO";#N/A,#N/A,FALSE,"CAPTHREE"}</definedName>
    <definedName name="reuse_4_2_3" hidden="1">{#N/A,#N/A,FALSE,"mgtsum.XLS";#N/A,#N/A,FALSE,"CAPONE";#N/A,#N/A,FALSE,"CAPTWO";#N/A,#N/A,FALSE,"CAPTHREE"}</definedName>
    <definedName name="reuse_4_2_4" hidden="1">{#N/A,#N/A,FALSE,"mgtsum.XLS";#N/A,#N/A,FALSE,"CAPONE";#N/A,#N/A,FALSE,"CAPTWO";#N/A,#N/A,FALSE,"CAPTHREE"}</definedName>
    <definedName name="reuse_4_2_5" hidden="1">{#N/A,#N/A,FALSE,"mgtsum.XLS";#N/A,#N/A,FALSE,"CAPONE";#N/A,#N/A,FALSE,"CAPTWO";#N/A,#N/A,FALSE,"CAPTHREE"}</definedName>
    <definedName name="reuse_4_3" hidden="1">{#N/A,#N/A,FALSE,"mgtsum.XLS";#N/A,#N/A,FALSE,"CAPONE";#N/A,#N/A,FALSE,"CAPTWO";#N/A,#N/A,FALSE,"CAPTHREE"}</definedName>
    <definedName name="reuse_4_3_1" hidden="1">{#N/A,#N/A,FALSE,"mgtsum.XLS";#N/A,#N/A,FALSE,"CAPONE";#N/A,#N/A,FALSE,"CAPTWO";#N/A,#N/A,FALSE,"CAPTHREE"}</definedName>
    <definedName name="reuse_4_3_2" hidden="1">{#N/A,#N/A,FALSE,"mgtsum.XLS";#N/A,#N/A,FALSE,"CAPONE";#N/A,#N/A,FALSE,"CAPTWO";#N/A,#N/A,FALSE,"CAPTHREE"}</definedName>
    <definedName name="reuse_4_3_3" hidden="1">{#N/A,#N/A,FALSE,"mgtsum.XLS";#N/A,#N/A,FALSE,"CAPONE";#N/A,#N/A,FALSE,"CAPTWO";#N/A,#N/A,FALSE,"CAPTHREE"}</definedName>
    <definedName name="reuse_4_3_4" hidden="1">{#N/A,#N/A,FALSE,"mgtsum.XLS";#N/A,#N/A,FALSE,"CAPONE";#N/A,#N/A,FALSE,"CAPTWO";#N/A,#N/A,FALSE,"CAPTHREE"}</definedName>
    <definedName name="reuse_4_3_5" hidden="1">{#N/A,#N/A,FALSE,"mgtsum.XLS";#N/A,#N/A,FALSE,"CAPONE";#N/A,#N/A,FALSE,"CAPTWO";#N/A,#N/A,FALSE,"CAPTHREE"}</definedName>
    <definedName name="reuse_4_4" hidden="1">{#N/A,#N/A,FALSE,"mgtsum.XLS";#N/A,#N/A,FALSE,"CAPONE";#N/A,#N/A,FALSE,"CAPTWO";#N/A,#N/A,FALSE,"CAPTHREE"}</definedName>
    <definedName name="reuse_4_5" hidden="1">{#N/A,#N/A,FALSE,"mgtsum.XLS";#N/A,#N/A,FALSE,"CAPONE";#N/A,#N/A,FALSE,"CAPTWO";#N/A,#N/A,FALSE,"CAPTHREE"}</definedName>
    <definedName name="reuse_5" hidden="1">{#N/A,#N/A,FALSE,"mgtsum.XLS";#N/A,#N/A,FALSE,"CAPONE";#N/A,#N/A,FALSE,"CAPTWO";#N/A,#N/A,FALSE,"CAPTHREE"}</definedName>
    <definedName name="reuse_5_1" hidden="1">{#N/A,#N/A,FALSE,"mgtsum.XLS";#N/A,#N/A,FALSE,"CAPONE";#N/A,#N/A,FALSE,"CAPTWO";#N/A,#N/A,FALSE,"CAPTHREE"}</definedName>
    <definedName name="reuse_5_1_1" hidden="1">{#N/A,#N/A,FALSE,"mgtsum.XLS";#N/A,#N/A,FALSE,"CAPONE";#N/A,#N/A,FALSE,"CAPTWO";#N/A,#N/A,FALSE,"CAPTHREE"}</definedName>
    <definedName name="reuse_5_1_2" hidden="1">{#N/A,#N/A,FALSE,"mgtsum.XLS";#N/A,#N/A,FALSE,"CAPONE";#N/A,#N/A,FALSE,"CAPTWO";#N/A,#N/A,FALSE,"CAPTHREE"}</definedName>
    <definedName name="reuse_5_1_3" hidden="1">{#N/A,#N/A,FALSE,"mgtsum.XLS";#N/A,#N/A,FALSE,"CAPONE";#N/A,#N/A,FALSE,"CAPTWO";#N/A,#N/A,FALSE,"CAPTHREE"}</definedName>
    <definedName name="reuse_5_1_4" hidden="1">{#N/A,#N/A,FALSE,"mgtsum.XLS";#N/A,#N/A,FALSE,"CAPONE";#N/A,#N/A,FALSE,"CAPTWO";#N/A,#N/A,FALSE,"CAPTHREE"}</definedName>
    <definedName name="reuse_5_1_5" hidden="1">{#N/A,#N/A,FALSE,"mgtsum.XLS";#N/A,#N/A,FALSE,"CAPONE";#N/A,#N/A,FALSE,"CAPTWO";#N/A,#N/A,FALSE,"CAPTHREE"}</definedName>
    <definedName name="reuse_5_2" hidden="1">{#N/A,#N/A,FALSE,"mgtsum.XLS";#N/A,#N/A,FALSE,"CAPONE";#N/A,#N/A,FALSE,"CAPTWO";#N/A,#N/A,FALSE,"CAPTHREE"}</definedName>
    <definedName name="reuse_5_2_1" hidden="1">{#N/A,#N/A,FALSE,"mgtsum.XLS";#N/A,#N/A,FALSE,"CAPONE";#N/A,#N/A,FALSE,"CAPTWO";#N/A,#N/A,FALSE,"CAPTHREE"}</definedName>
    <definedName name="reuse_5_2_2" hidden="1">{#N/A,#N/A,FALSE,"mgtsum.XLS";#N/A,#N/A,FALSE,"CAPONE";#N/A,#N/A,FALSE,"CAPTWO";#N/A,#N/A,FALSE,"CAPTHREE"}</definedName>
    <definedName name="reuse_5_2_3" hidden="1">{#N/A,#N/A,FALSE,"mgtsum.XLS";#N/A,#N/A,FALSE,"CAPONE";#N/A,#N/A,FALSE,"CAPTWO";#N/A,#N/A,FALSE,"CAPTHREE"}</definedName>
    <definedName name="reuse_5_2_4" hidden="1">{#N/A,#N/A,FALSE,"mgtsum.XLS";#N/A,#N/A,FALSE,"CAPONE";#N/A,#N/A,FALSE,"CAPTWO";#N/A,#N/A,FALSE,"CAPTHREE"}</definedName>
    <definedName name="reuse_5_2_5" hidden="1">{#N/A,#N/A,FALSE,"mgtsum.XLS";#N/A,#N/A,FALSE,"CAPONE";#N/A,#N/A,FALSE,"CAPTWO";#N/A,#N/A,FALSE,"CAPTHREE"}</definedName>
    <definedName name="reuse_5_3" hidden="1">{#N/A,#N/A,FALSE,"mgtsum.XLS";#N/A,#N/A,FALSE,"CAPONE";#N/A,#N/A,FALSE,"CAPTWO";#N/A,#N/A,FALSE,"CAPTHREE"}</definedName>
    <definedName name="reuse_5_4" hidden="1">{#N/A,#N/A,FALSE,"mgtsum.XLS";#N/A,#N/A,FALSE,"CAPONE";#N/A,#N/A,FALSE,"CAPTWO";#N/A,#N/A,FALSE,"CAPTHREE"}</definedName>
    <definedName name="reuse_5_5" hidden="1">{#N/A,#N/A,FALSE,"mgtsum.XLS";#N/A,#N/A,FALSE,"CAPONE";#N/A,#N/A,FALSE,"CAPTWO";#N/A,#N/A,FALSE,"CAPTHREE"}</definedName>
    <definedName name="Rev">#REF!</definedName>
    <definedName name="rev.B.f." hidden="1">{#N/A,#N/A,FALSE,"Çaykara ataköy (1)";#N/A,#N/A,FALSE,"Çaykara ataköy (2)";#N/A,#N/A,FALSE,"Rize Kalkandere ";#N/A,#N/A,FALSE,"meydancık";#N/A,#N/A,FALSE,"muratlı"}</definedName>
    <definedName name="Rev.fiy" hidden="1">{#N/A,#N/A,FALSE,"Çaykara ataköy (1)";#N/A,#N/A,FALSE,"Çaykara ataköy (2)";#N/A,#N/A,FALSE,"Rize Kalkandere ";#N/A,#N/A,FALSE,"meydancık";#N/A,#N/A,FALSE,"muratlı"}</definedName>
    <definedName name="RevGVRPUP" hidden="1">{"CASH FLOW",#N/A,FALSE,"A"}</definedName>
    <definedName name="revised" hidden="1">{#N/A,#N/A,FALSE,"Sheet1";#N/A,#N/A,FALSE,"Sheet1";#N/A,#N/A,FALSE,"Sheet1";#N/A,#N/A,FALSE,"Sheet1"}</definedName>
    <definedName name="Revised_Price_EOT" hidden="1">{#N/A,#N/A,FALSE,"Sheet1";#N/A,#N/A,FALSE,"Sheet1";#N/A,#N/A,FALSE,"Sheet1";#N/A,#N/A,FALSE,"Sheet1"}</definedName>
    <definedName name="rewr" hidden="1">#REF!</definedName>
    <definedName name="reya" hidden="1">{"office ltcg",#N/A,FALSE,"gain01";"IT LTCG",#N/A,FALSE,"gain01"}</definedName>
    <definedName name="R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fq" hidden="1">#REF!</definedName>
    <definedName name="rfsrt" hidden="1">#REF!</definedName>
    <definedName name="RFV" hidden="1">{#N/A,#N/A,FALSE,"CCTV"}</definedName>
    <definedName name="rg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hberr" hidden="1">{#N/A,#N/A,FALSE,"Chi tiÆt"}</definedName>
    <definedName name="rghhythy" hidden="1">{#N/A,#N/A,TRUE,"Cover";#N/A,#N/A,TRUE,"Conts";#N/A,#N/A,TRUE,"VOS";#N/A,#N/A,TRUE,"Warrington";#N/A,#N/A,TRUE,"Widnes"}</definedName>
    <definedName name="rgnl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gqg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rgrg" hidden="1">{"page1",#N/A,FALSE,"sheet 1";"Page2",#N/A,FALSE,"sheet 1";"page3",#N/A,FALSE,"sheet 1";"page4",#N/A,FALSE,"sheet 1"}</definedName>
    <definedName name="rgwg" hidden="1">{"page1",#N/A,FALSE,"sheet 1";"Page2",#N/A,FALSE,"sheet 1";"page3",#N/A,FALSE,"sheet 1";"page4",#N/A,FALSE,"sheet 1"}</definedName>
    <definedName name="rh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hd" hidden="1">#REF!</definedName>
    <definedName name="RHODIA" hidden="1">{"'DocTypeCode'!$A$142:$A$226"}</definedName>
    <definedName name="RHRH" localSheetId="1" hidden="1">{#N/A,#N/A,FALSE,"mgtsum.XLS";#N/A,#N/A,FALSE,"CAPONE";#N/A,#N/A,FALSE,"CAPTWO";#N/A,#N/A,FALSE,"CAPTHREE"}</definedName>
    <definedName name="RHRH" hidden="1">{#N/A,#N/A,FALSE,"mgtsum.XLS";#N/A,#N/A,FALSE,"CAPONE";#N/A,#N/A,FALSE,"CAPTWO";#N/A,#N/A,FALSE,"CAPTHREE"}</definedName>
    <definedName name="RHRHRHR" localSheetId="1" hidden="1">{#N/A,#N/A,FALSE,"mgtsum.XLS";#N/A,#N/A,FALSE,"CAPONE";#N/A,#N/A,FALSE,"CAPTWO";#N/A,#N/A,FALSE,"CAPTHREE"}</definedName>
    <definedName name="RHRHRHR" hidden="1">{#N/A,#N/A,FALSE,"mgtsum.XLS";#N/A,#N/A,FALSE,"CAPONE";#N/A,#N/A,FALSE,"CAPTWO";#N/A,#N/A,FALSE,"CAPTHREE"}</definedName>
    <definedName name="rhyuyi" hidden="1">{#N/A,#N/A,TRUE,"Cover";#N/A,#N/A,TRUE,"Conts";#N/A,#N/A,TRUE,"VOS";#N/A,#N/A,TRUE,"Warrington";#N/A,#N/A,TRUE,"Widnes"}</definedName>
    <definedName name="rice" hidden="1">{#N/A,#N/A,FALSE,"Sheet1";#N/A,#N/A,FALSE,"Sheet1";#N/A,#N/A,FALSE,"Sheet1";#N/A,#N/A,FALSE,"Sheet1"}</definedName>
    <definedName name="rig">#REF!</definedName>
    <definedName name="ripal" hidden="1">{#N/A,#N/A,FALSE,"gc (2)"}</definedName>
    <definedName name="Risk_Ref">#REF!</definedName>
    <definedName name="Risk_Ref_2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141592653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rkd" hidden="1">{#N/A,#N/A,FALSE,"CCTV"}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kt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RL" hidden="1">{#N/A,#N/A,TRUE,"Basic";#N/A,#N/A,TRUE,"EXT-TABLE";#N/A,#N/A,TRUE,"STEEL";#N/A,#N/A,TRUE,"INT-Table";#N/A,#N/A,TRUE,"STEEL";#N/A,#N/A,TRUE,"Door"}</definedName>
    <definedName name="RL2A" hidden="1">#REF!</definedName>
    <definedName name="RL2B" hidden="1">#REF!</definedName>
    <definedName name="RL2D" hidden="1">#REF!</definedName>
    <definedName name="RL2F" hidden="1">#REF!</definedName>
    <definedName name="RL2G" hidden="1">#REF!</definedName>
    <definedName name="RL2H" hidden="1">#REF!</definedName>
    <definedName name="RL2J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M" hidden="1">{#N/A,#N/A,FALSE,"NCS INC SCOT";#N/A,#N/A,FALSE,"NCS";#N/A,#N/A,FALSE,"74 NCS";#N/A,#N/A,FALSE,"75 NCS";#N/A,#N/A,FALSE,"76 NCS "}</definedName>
    <definedName name="RL2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p">#REF!</definedName>
    <definedName name="RMC">#N/A</definedName>
    <definedName name="RMC_1T">#REF!</definedName>
    <definedName name="RMC_3T">#REF!</definedName>
    <definedName name="RMC_5T">#REF!</definedName>
    <definedName name="RMC_6T">#REF!</definedName>
    <definedName name="RMC_8T">#REF!</definedName>
    <definedName name="RNAO" hidden="1">{"'장비'!$A$3:$M$12"}</definedName>
    <definedName name="rngCEArchitect">#REF!</definedName>
    <definedName name="rngCEClient">#REF!</definedName>
    <definedName name="rngCEDate">#REF!</definedName>
    <definedName name="rngCEHeader">#REF!</definedName>
    <definedName name="rngCEHeader1">#REF!</definedName>
    <definedName name="rngCEJobNum">#REF!</definedName>
    <definedName name="rngCELocation">#REF!</definedName>
    <definedName name="rngCEProjectName">#REF!</definedName>
    <definedName name="rnh" hidden="1">{#N/A,#N/A,FALSE,"kal_iç_ihz";#N/A,#N/A,FALSE,"kal_iç_er";#N/A,#N/A,FALSE,"kal_iç_tut"}</definedName>
    <definedName name="ro">#REF!</definedName>
    <definedName name="robot">#REF!</definedName>
    <definedName name="ROCK_EXC">#REF!</definedName>
    <definedName name="Roofing_Cladding">#REF!</definedName>
    <definedName name="rosid">#REF!</definedName>
    <definedName name="RQ" hidden="1">{#N/A,#N/A,FALSE,"ihz. icmal";#N/A,#N/A,FALSE,"avans";#N/A,#N/A,FALSE,"mal_FF_icm";#N/A,#N/A,FALSE,"fat_ihz";#N/A,#N/A,FALSE,"söz_fiy_fark";#N/A,#N/A,FALSE,"kap2"}</definedName>
    <definedName name="rqwerq" hidden="1">{"assumptions",#N/A,FALSE,"Scenario 1";"valuation",#N/A,FALSE,"Scenario 1"}</definedName>
    <definedName name="rr" hidden="1">#REF!</definedName>
    <definedName name="rrdsa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ERW" hidden="1">{#N/A,#N/A,FALSE,"CCTV"}</definedName>
    <definedName name="rrr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r">#REF!</definedName>
    <definedName name="rrrrrrr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g" hidden="1">#REF!</definedName>
    <definedName name="rss" hidden="1">#REF!</definedName>
    <definedName name="RT">#REF!</definedName>
    <definedName name="rtdh" hidden="1">#REF!,#REF!</definedName>
    <definedName name="rte" hidden="1">{"offequipsch",#N/A,FALSE,"GTC_Schedule";"onconstsch",#N/A,FALSE,"GTC_Schedule";"techsch",#N/A,FALSE,"GTC_Schedule";"totsch",#N/A,FALSE,"GTC_Schedule"}</definedName>
    <definedName name="RTERTRET" hidden="1">{#VALUE!,#N/A,FALSE,0;#N/A,#N/A,FALSE,0;#N/A,#N/A,FALSE,0;#N/A,#N/A,FALSE,0;#N/A,#N/A,FALSE,0;#N/A,#N/A,FALSE,0;#N/A,#N/A,FALSE,0;#N/A,#N/A,FALSE,0;#N/A,#N/A,FALSE,0;#N/A,#N/A,FALSE,0;#N/A,#N/A,FALSE,0;#N/A,#N/A,FALSE,0}</definedName>
    <definedName name="rthsrhs" hidden="1">{#N/A,#N/A,TRUE,"Cover";#N/A,#N/A,TRUE,"Conts";#N/A,#N/A,TRUE,"VOS";#N/A,#N/A,TRUE,"Warrington";#N/A,#N/A,TRUE,"Widnes"}</definedName>
    <definedName name="rtjkyuhg" hidden="1">#REF!,#REF!</definedName>
    <definedName name="rtp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RETRETRET" hidden="1">{#VALUE!,#N/A,TRUE,0;#N/A,#N/A,TRUE,0;#N/A,#N/A,TRUE,0;#N/A,#N/A,TRUE,0;#N/A,#N/A,TRUE,0;#N/A,#N/A,TRUE,0;#N/A,#N/A,TRUE,0}</definedName>
    <definedName name="rtrewn" hidden="1">{"page1",#N/A,FALSE,"A";"page2",#N/A,FALSE,"A"}</definedName>
    <definedName name="RTRGJHJ" hidden="1">{#N/A,#N/A,TRUE,"Cover";#N/A,#N/A,TRUE,"Conts";#N/A,#N/A,TRUE,"VOS";#N/A,#N/A,TRUE,"Warrington";#N/A,#N/A,TRUE,"Widnes"}</definedName>
    <definedName name="RTRTERTRT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rtretrt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ryj" hidden="1">{#N/A,#N/A,TRUE,"Cover";#N/A,#N/A,TRUE,"Conts";#N/A,#N/A,TRUE,"VOS";#N/A,#N/A,TRUE,"Warrington";#N/A,#N/A,TRUE,"Widnes"}</definedName>
    <definedName name="rttrt" hidden="1">{"form-D1",#N/A,FALSE,"FORM-D1";"form-D1_amt",#N/A,FALSE,"FORM-D1"}</definedName>
    <definedName name="rttrt_1" hidden="1">{"form-D1",#N/A,FALSE,"FORM-D1";"form-D1_amt",#N/A,FALSE,"FORM-D1"}</definedName>
    <definedName name="rttrt_2" hidden="1">{"form-D1",#N/A,FALSE,"FORM-D1";"form-D1_amt",#N/A,FALSE,"FORM-D1"}</definedName>
    <definedName name="rttrt_3" hidden="1">{"form-D1",#N/A,FALSE,"FORM-D1";"form-D1_amt",#N/A,FALSE,"FORM-D1"}</definedName>
    <definedName name="RTTY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rtu7ı" hidden="1">#REF!</definedName>
    <definedName name="rturudu" hidden="1">{#N/A,#N/A,TRUE,"Cover";#N/A,#N/A,TRUE,"Conts";#N/A,#N/A,TRUE,"VOS";#N/A,#N/A,TRUE,"Warrington";#N/A,#N/A,TRUE,"Widnes"}</definedName>
    <definedName name="rtuy" hidden="1">#REF!</definedName>
    <definedName name="RTWERTEWRWE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wyhw" hidden="1">#REF!</definedName>
    <definedName name="rty" hidden="1">{#N/A,#N/A,FALSE,"Project Properties";#N/A,#N/A,FALSE,"Eng %";#N/A,#N/A,FALSE,"ENGFORM";#N/A,#N/A,FALSE,"staffing";#N/A,#N/A,FALSE,"spending"}</definedName>
    <definedName name="rtyrr" hidden="1">{#N/A,#N/A,FALSE,"ihz. icmal";#N/A,#N/A,FALSE,"avans";#N/A,#N/A,FALSE,"mal_FF_icm";#N/A,#N/A,FALSE,"fat_ihz";#N/A,#N/A,FALSE,"söz_fiy_fark";#N/A,#N/A,FALSE,"kap2"}</definedName>
    <definedName name="rtysh" hidden="1">{#N/A,#N/A,TRUE,"Cover";#N/A,#N/A,TRUE,"Conts";#N/A,#N/A,TRUE,"VOS";#N/A,#N/A,TRUE,"Warrington";#N/A,#N/A,TRUE,"Widnes"}</definedName>
    <definedName name="ru" hidden="1">{"'Bill No. 7'!$A$1:$G$32"}</definedName>
    <definedName name="RUN">#N/A</definedName>
    <definedName name="RV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VI" hidden="1">#REF!</definedName>
    <definedName name="rwe" hidden="1">{"PLANT BREAKUP",#N/A,FALSE,"E"}</definedName>
    <definedName name="rwere" hidden="1">{#N/A,#N/A,FALSE,"COVER1.XLS ";#N/A,#N/A,FALSE,"RACT1.XLS";#N/A,#N/A,FALSE,"RACT2.XLS";#N/A,#N/A,FALSE,"ECCMP";#N/A,#N/A,FALSE,"WELDER.XLS"}</definedName>
    <definedName name="RWF" hidden="1">{"'Sheet1'!$A$4386:$N$4591"}</definedName>
    <definedName name="rwgWEG" hidden="1">{#N/A,#N/A,FALSE,"Leasing 6A"}</definedName>
    <definedName name="rwqewrewq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rwt" hidden="1">{#N/A,#N/A,TRUE,"Cover";#N/A,#N/A,TRUE,"Conts";#N/A,#N/A,TRUE,"VOS";#N/A,#N/A,TRUE,"Warrington";#N/A,#N/A,TRUE,"Widnes"}</definedName>
    <definedName name="ry" hidden="1">{"offequipsch",#N/A,FALSE,"GTC_Schedule";"onconstsch",#N/A,FALSE,"GTC_Schedule";"techsch",#N/A,FALSE,"GTC_Schedule";"totsch",#N/A,FALSE,"GTC_Schedule"}</definedName>
    <definedName name="ryeru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rytytrytry" hidden="1">#REF!</definedName>
    <definedName name="s">#REF!</definedName>
    <definedName name="Ş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.Alacan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HAKAN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_44" hidden="1">#REF!</definedName>
    <definedName name="s1ıçtık" hidden="1">#REF!</definedName>
    <definedName name="S23Man" hidden="1">#REF!</definedName>
    <definedName name="sa_1" hidden="1">{"'Bill No. 7'!$A$1:$G$32"}</definedName>
    <definedName name="sa_1_1" hidden="1">{"'Bill No. 7'!$A$1:$G$32"}</definedName>
    <definedName name="sa_1_2" hidden="1">{"'Bill No. 7'!$A$1:$G$32"}</definedName>
    <definedName name="sa_1_3" hidden="1">{"'Bill No. 7'!$A$1:$G$32"}</definedName>
    <definedName name="sa_2" hidden="1">{"'Bill No. 7'!$A$1:$G$32"}</definedName>
    <definedName name="sa_2_1" hidden="1">{"'Bill No. 7'!$A$1:$G$32"}</definedName>
    <definedName name="sa_2_2" hidden="1">{"'Bill No. 7'!$A$1:$G$32"}</definedName>
    <definedName name="sa_2_3" hidden="1">{"'Bill No. 7'!$A$1:$G$32"}</definedName>
    <definedName name="sa_3" hidden="1">{"'Bill No. 7'!$A$1:$G$32"}</definedName>
    <definedName name="sa_3_1" hidden="1">{"'Bill No. 7'!$A$1:$G$32"}</definedName>
    <definedName name="sa_3_2" hidden="1">{"'Bill No. 7'!$A$1:$G$32"}</definedName>
    <definedName name="sa_3_3" hidden="1">{"'Bill No. 7'!$A$1:$G$32"}</definedName>
    <definedName name="sa_4" hidden="1">{"'Bill No. 7'!$A$1:$G$32"}</definedName>
    <definedName name="sa_4_1" hidden="1">{"'Bill No. 7'!$A$1:$G$32"}</definedName>
    <definedName name="sa_4_2" hidden="1">{"'Bill No. 7'!$A$1:$G$32"}</definedName>
    <definedName name="sa_4_3" hidden="1">{"'Bill No. 7'!$A$1:$G$32"}</definedName>
    <definedName name="sa_5" hidden="1">{"'Bill No. 7'!$A$1:$G$32"}</definedName>
    <definedName name="sa_5_1" hidden="1">{"'Bill No. 7'!$A$1:$G$32"}</definedName>
    <definedName name="sa_5_2" hidden="1">{"'Bill No. 7'!$A$1:$G$32"}</definedName>
    <definedName name="sa_5_3" hidden="1">{"'Bill No. 7'!$A$1:$G$32"}</definedName>
    <definedName name="saa" hidden="1">{"form-D1",#N/A,FALSE,"FORM-D1";"form-D1_amt",#N/A,FALSE,"FORM-D1"}</definedName>
    <definedName name="saa_1" hidden="1">{"form-D1",#N/A,FALSE,"FORM-D1";"form-D1_amt",#N/A,FALSE,"FORM-D1"}</definedName>
    <definedName name="saa_2" hidden="1">{"form-D1",#N/A,FALSE,"FORM-D1";"form-D1_amt",#N/A,FALSE,"FORM-D1"}</definedName>
    <definedName name="saa_3" hidden="1">{"form-D1",#N/A,FALSE,"FORM-D1";"form-D1_amt",#N/A,FALSE,"FORM-D1"}</definedName>
    <definedName name="saaas" hidden="1">{"PLANNING",#N/A,FALSE,"A"}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S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sadasd" hidden="1">{"Prelim_Summary",#N/A,FALSE,"Summary"}</definedName>
    <definedName name="sadfadsf" hidden="1">#REF!</definedName>
    <definedName name="sadf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adsd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dsds" hidden="1">{#VALUE!,#N/A,FALSE,0;#N/A,#N/A,FALSE,0;#N/A,#N/A,FALSE,0;#N/A,#N/A,FALSE,0;#N/A,#N/A,FALSE,0;#N/A,#N/A,FALSE,0;#N/A,#N/A,FALSE,0}</definedName>
    <definedName name="sadsdsd" hidden="1">{#VALUE!,#N/A,TRUE,0;#N/A,#N/A,TRUE,0;#N/A,#N/A,TRUE,0}</definedName>
    <definedName name="saeq" hidden="1">#REF!</definedName>
    <definedName name="SAF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safdafsd" hidden="1">#REF!,#REF!</definedName>
    <definedName name="SAH.2001" hidden="1">{#N/A,#N/A,FALSE,"Çaykara ataköy (1)";#N/A,#N/A,FALSE,"Çaykara ataköy (2)";#N/A,#N/A,FALSE,"Rize Kalkandere ";#N/A,#N/A,FALSE,"meydancık";#N/A,#N/A,FALSE,"muratlı"}</definedName>
    <definedName name="SAHİL" hidden="1">{#N/A,#N/A,FALSE,"Çaykara ataköy (1)";#N/A,#N/A,FALSE,"Çaykara ataköy (2)";#N/A,#N/A,FALSE,"Rize Kalkandere ";#N/A,#N/A,FALSE,"meydancık";#N/A,#N/A,FALSE,"muratlı"}</definedName>
    <definedName name="sal" hidden="1">{"CASH FLOW",#N/A,FALSE,"A"}</definedName>
    <definedName name="SAM" hidden="1">{#N/A,#N/A,TRUE,"Basic";#N/A,#N/A,TRUE,"EXT-TABLE";#N/A,#N/A,TRUE,"STEEL";#N/A,#N/A,TRUE,"INT-Table";#N/A,#N/A,TRUE,"STEEL";#N/A,#N/A,TRUE,"Door"}</definedName>
    <definedName name="sama" hidden="1">{"PLANT BREAKUP",#N/A,FALSE,"E"}</definedName>
    <definedName name="SAMAKAN" hidden="1">#REF!</definedName>
    <definedName name="samn" hidden="1">{"PLANT BREAKUP",#N/A,FALSE,"E"}</definedName>
    <definedName name="ŞAN.DIŞ.İHZ.TUT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nd_p">#REF!</definedName>
    <definedName name="sand_t">#REF!</definedName>
    <definedName name="sanitary">#REF!</definedName>
    <definedName name="sanitary_3">"#REF!"</definedName>
    <definedName name="sanitary_5">"#REF!"</definedName>
    <definedName name="sanitary_5_3">"#REF!"</definedName>
    <definedName name="sanju" hidden="1">{"office ltcg",#N/A,FALSE,"gain01";"IT LTCG",#N/A,FALSE,"gain01"}</definedName>
    <definedName name="SANTA" hidden="1">{#N/A,#N/A,FALSE,"Çaykara ataköy (1)";#N/A,#N/A,FALSE,"Çaykara ataköy (2)";#N/A,#N/A,FALSE,"Rize Kalkandere ";#N/A,#N/A,FALSE,"meydancık";#N/A,#N/A,FALSE,"muratlı"}</definedName>
    <definedName name="SAPBEXrevision" hidden="1">1</definedName>
    <definedName name="SAPBEXsysID" hidden="1">"AS2"</definedName>
    <definedName name="SAPBEXwbID" hidden="1">"3ZO2YFSMGYN3SE67FU77IYI9P"</definedName>
    <definedName name="SASAAAA" hidden="1">{#N/A,#N/A,FALSE,"전체집계표";#N/A,#N/A,FALSE,"안벽30000";#N/A,#N/A,FALSE,"안벽20000";#N/A,#N/A,FALSE,"내호안";#N/A,#N/A,FALSE,"외호안";#N/A,#N/A,FALSE,"준설토A";#N/A,#N/A,FALSE,"준설토B";#N/A,#N/A,FALSE,"적출장"}</definedName>
    <definedName name="sasasasas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SAW" localSheetId="1" hidden="1">{#N/A,#N/A,FALSE,"mgtsum.XLS";#N/A,#N/A,FALSE,"CAPONE";#N/A,#N/A,FALSE,"CAPTWO";#N/A,#N/A,FALSE,"CAPTHREE"}</definedName>
    <definedName name="SASAW" hidden="1">{#N/A,#N/A,FALSE,"mgtsum.XLS";#N/A,#N/A,FALSE,"CAPONE";#N/A,#N/A,FALSE,"CAPTWO";#N/A,#N/A,FALSE,"CAPTHREE"}</definedName>
    <definedName name="SASAW_1" hidden="1">{#N/A,#N/A,FALSE,"mgtsum.XLS";#N/A,#N/A,FALSE,"CAPONE";#N/A,#N/A,FALSE,"CAPTWO";#N/A,#N/A,FALSE,"CAPTHREE"}</definedName>
    <definedName name="SASAW_1_1" hidden="1">{#N/A,#N/A,FALSE,"mgtsum.XLS";#N/A,#N/A,FALSE,"CAPONE";#N/A,#N/A,FALSE,"CAPTWO";#N/A,#N/A,FALSE,"CAPTHREE"}</definedName>
    <definedName name="SASAW_1_1_1" hidden="1">{#N/A,#N/A,FALSE,"mgtsum.XLS";#N/A,#N/A,FALSE,"CAPONE";#N/A,#N/A,FALSE,"CAPTWO";#N/A,#N/A,FALSE,"CAPTHREE"}</definedName>
    <definedName name="SASAW_1_1_1_1" hidden="1">{#N/A,#N/A,FALSE,"mgtsum.XLS";#N/A,#N/A,FALSE,"CAPONE";#N/A,#N/A,FALSE,"CAPTWO";#N/A,#N/A,FALSE,"CAPTHREE"}</definedName>
    <definedName name="SASAW_1_1_1_2" hidden="1">{#N/A,#N/A,FALSE,"mgtsum.XLS";#N/A,#N/A,FALSE,"CAPONE";#N/A,#N/A,FALSE,"CAPTWO";#N/A,#N/A,FALSE,"CAPTHREE"}</definedName>
    <definedName name="SASAW_1_1_1_3" hidden="1">{#N/A,#N/A,FALSE,"mgtsum.XLS";#N/A,#N/A,FALSE,"CAPONE";#N/A,#N/A,FALSE,"CAPTWO";#N/A,#N/A,FALSE,"CAPTHREE"}</definedName>
    <definedName name="SASAW_1_1_1_4" hidden="1">{#N/A,#N/A,FALSE,"mgtsum.XLS";#N/A,#N/A,FALSE,"CAPONE";#N/A,#N/A,FALSE,"CAPTWO";#N/A,#N/A,FALSE,"CAPTHREE"}</definedName>
    <definedName name="SASAW_1_1_1_5" hidden="1">{#N/A,#N/A,FALSE,"mgtsum.XLS";#N/A,#N/A,FALSE,"CAPONE";#N/A,#N/A,FALSE,"CAPTWO";#N/A,#N/A,FALSE,"CAPTHREE"}</definedName>
    <definedName name="SASAW_1_1_2" hidden="1">{#N/A,#N/A,FALSE,"mgtsum.XLS";#N/A,#N/A,FALSE,"CAPONE";#N/A,#N/A,FALSE,"CAPTWO";#N/A,#N/A,FALSE,"CAPTHREE"}</definedName>
    <definedName name="SASAW_1_1_2_1" hidden="1">{#N/A,#N/A,FALSE,"mgtsum.XLS";#N/A,#N/A,FALSE,"CAPONE";#N/A,#N/A,FALSE,"CAPTWO";#N/A,#N/A,FALSE,"CAPTHREE"}</definedName>
    <definedName name="SASAW_1_1_2_2" hidden="1">{#N/A,#N/A,FALSE,"mgtsum.XLS";#N/A,#N/A,FALSE,"CAPONE";#N/A,#N/A,FALSE,"CAPTWO";#N/A,#N/A,FALSE,"CAPTHREE"}</definedName>
    <definedName name="SASAW_1_1_2_3" hidden="1">{#N/A,#N/A,FALSE,"mgtsum.XLS";#N/A,#N/A,FALSE,"CAPONE";#N/A,#N/A,FALSE,"CAPTWO";#N/A,#N/A,FALSE,"CAPTHREE"}</definedName>
    <definedName name="SASAW_1_1_2_4" hidden="1">{#N/A,#N/A,FALSE,"mgtsum.XLS";#N/A,#N/A,FALSE,"CAPONE";#N/A,#N/A,FALSE,"CAPTWO";#N/A,#N/A,FALSE,"CAPTHREE"}</definedName>
    <definedName name="SASAW_1_1_2_5" hidden="1">{#N/A,#N/A,FALSE,"mgtsum.XLS";#N/A,#N/A,FALSE,"CAPONE";#N/A,#N/A,FALSE,"CAPTWO";#N/A,#N/A,FALSE,"CAPTHREE"}</definedName>
    <definedName name="SASAW_1_1_3" hidden="1">{#N/A,#N/A,FALSE,"mgtsum.XLS";#N/A,#N/A,FALSE,"CAPONE";#N/A,#N/A,FALSE,"CAPTWO";#N/A,#N/A,FALSE,"CAPTHREE"}</definedName>
    <definedName name="SASAW_1_1_3_1" hidden="1">{#N/A,#N/A,FALSE,"mgtsum.XLS";#N/A,#N/A,FALSE,"CAPONE";#N/A,#N/A,FALSE,"CAPTWO";#N/A,#N/A,FALSE,"CAPTHREE"}</definedName>
    <definedName name="SASAW_1_1_3_2" hidden="1">{#N/A,#N/A,FALSE,"mgtsum.XLS";#N/A,#N/A,FALSE,"CAPONE";#N/A,#N/A,FALSE,"CAPTWO";#N/A,#N/A,FALSE,"CAPTHREE"}</definedName>
    <definedName name="SASAW_1_1_3_3" hidden="1">{#N/A,#N/A,FALSE,"mgtsum.XLS";#N/A,#N/A,FALSE,"CAPONE";#N/A,#N/A,FALSE,"CAPTWO";#N/A,#N/A,FALSE,"CAPTHREE"}</definedName>
    <definedName name="SASAW_1_1_3_4" hidden="1">{#N/A,#N/A,FALSE,"mgtsum.XLS";#N/A,#N/A,FALSE,"CAPONE";#N/A,#N/A,FALSE,"CAPTWO";#N/A,#N/A,FALSE,"CAPTHREE"}</definedName>
    <definedName name="SASAW_1_1_3_5" hidden="1">{#N/A,#N/A,FALSE,"mgtsum.XLS";#N/A,#N/A,FALSE,"CAPONE";#N/A,#N/A,FALSE,"CAPTWO";#N/A,#N/A,FALSE,"CAPTHREE"}</definedName>
    <definedName name="SASAW_1_1_4" hidden="1">{#N/A,#N/A,FALSE,"mgtsum.XLS";#N/A,#N/A,FALSE,"CAPONE";#N/A,#N/A,FALSE,"CAPTWO";#N/A,#N/A,FALSE,"CAPTHREE"}</definedName>
    <definedName name="SASAW_1_1_5" hidden="1">{#N/A,#N/A,FALSE,"mgtsum.XLS";#N/A,#N/A,FALSE,"CAPONE";#N/A,#N/A,FALSE,"CAPTWO";#N/A,#N/A,FALSE,"CAPTHREE"}</definedName>
    <definedName name="SASAW_1_2" hidden="1">{#N/A,#N/A,FALSE,"mgtsum.XLS";#N/A,#N/A,FALSE,"CAPONE";#N/A,#N/A,FALSE,"CAPTWO";#N/A,#N/A,FALSE,"CAPTHREE"}</definedName>
    <definedName name="SASAW_1_2_1" hidden="1">{#N/A,#N/A,FALSE,"mgtsum.XLS";#N/A,#N/A,FALSE,"CAPONE";#N/A,#N/A,FALSE,"CAPTWO";#N/A,#N/A,FALSE,"CAPTHREE"}</definedName>
    <definedName name="SASAW_1_2_1_1" hidden="1">{#N/A,#N/A,FALSE,"mgtsum.XLS";#N/A,#N/A,FALSE,"CAPONE";#N/A,#N/A,FALSE,"CAPTWO";#N/A,#N/A,FALSE,"CAPTHREE"}</definedName>
    <definedName name="SASAW_1_2_1_2" hidden="1">{#N/A,#N/A,FALSE,"mgtsum.XLS";#N/A,#N/A,FALSE,"CAPONE";#N/A,#N/A,FALSE,"CAPTWO";#N/A,#N/A,FALSE,"CAPTHREE"}</definedName>
    <definedName name="SASAW_1_2_1_3" hidden="1">{#N/A,#N/A,FALSE,"mgtsum.XLS";#N/A,#N/A,FALSE,"CAPONE";#N/A,#N/A,FALSE,"CAPTWO";#N/A,#N/A,FALSE,"CAPTHREE"}</definedName>
    <definedName name="SASAW_1_2_1_4" hidden="1">{#N/A,#N/A,FALSE,"mgtsum.XLS";#N/A,#N/A,FALSE,"CAPONE";#N/A,#N/A,FALSE,"CAPTWO";#N/A,#N/A,FALSE,"CAPTHREE"}</definedName>
    <definedName name="SASAW_1_2_1_5" hidden="1">{#N/A,#N/A,FALSE,"mgtsum.XLS";#N/A,#N/A,FALSE,"CAPONE";#N/A,#N/A,FALSE,"CAPTWO";#N/A,#N/A,FALSE,"CAPTHREE"}</definedName>
    <definedName name="SASAW_1_2_2" hidden="1">{#N/A,#N/A,FALSE,"mgtsum.XLS";#N/A,#N/A,FALSE,"CAPONE";#N/A,#N/A,FALSE,"CAPTWO";#N/A,#N/A,FALSE,"CAPTHREE"}</definedName>
    <definedName name="SASAW_1_2_2_1" hidden="1">{#N/A,#N/A,FALSE,"mgtsum.XLS";#N/A,#N/A,FALSE,"CAPONE";#N/A,#N/A,FALSE,"CAPTWO";#N/A,#N/A,FALSE,"CAPTHREE"}</definedName>
    <definedName name="SASAW_1_2_2_2" hidden="1">{#N/A,#N/A,FALSE,"mgtsum.XLS";#N/A,#N/A,FALSE,"CAPONE";#N/A,#N/A,FALSE,"CAPTWO";#N/A,#N/A,FALSE,"CAPTHREE"}</definedName>
    <definedName name="SASAW_1_2_2_3" hidden="1">{#N/A,#N/A,FALSE,"mgtsum.XLS";#N/A,#N/A,FALSE,"CAPONE";#N/A,#N/A,FALSE,"CAPTWO";#N/A,#N/A,FALSE,"CAPTHREE"}</definedName>
    <definedName name="SASAW_1_2_2_4" hidden="1">{#N/A,#N/A,FALSE,"mgtsum.XLS";#N/A,#N/A,FALSE,"CAPONE";#N/A,#N/A,FALSE,"CAPTWO";#N/A,#N/A,FALSE,"CAPTHREE"}</definedName>
    <definedName name="SASAW_1_2_2_5" hidden="1">{#N/A,#N/A,FALSE,"mgtsum.XLS";#N/A,#N/A,FALSE,"CAPONE";#N/A,#N/A,FALSE,"CAPTWO";#N/A,#N/A,FALSE,"CAPTHREE"}</definedName>
    <definedName name="SASAW_1_2_3" hidden="1">{#N/A,#N/A,FALSE,"mgtsum.XLS";#N/A,#N/A,FALSE,"CAPONE";#N/A,#N/A,FALSE,"CAPTWO";#N/A,#N/A,FALSE,"CAPTHREE"}</definedName>
    <definedName name="SASAW_1_2_4" hidden="1">{#N/A,#N/A,FALSE,"mgtsum.XLS";#N/A,#N/A,FALSE,"CAPONE";#N/A,#N/A,FALSE,"CAPTWO";#N/A,#N/A,FALSE,"CAPTHREE"}</definedName>
    <definedName name="SASAW_1_2_5" hidden="1">{#N/A,#N/A,FALSE,"mgtsum.XLS";#N/A,#N/A,FALSE,"CAPONE";#N/A,#N/A,FALSE,"CAPTWO";#N/A,#N/A,FALSE,"CAPTHREE"}</definedName>
    <definedName name="SASAW_1_3" hidden="1">{#N/A,#N/A,FALSE,"mgtsum.XLS";#N/A,#N/A,FALSE,"CAPONE";#N/A,#N/A,FALSE,"CAPTWO";#N/A,#N/A,FALSE,"CAPTHREE"}</definedName>
    <definedName name="SASAW_1_3_1" hidden="1">{#N/A,#N/A,FALSE,"mgtsum.XLS";#N/A,#N/A,FALSE,"CAPONE";#N/A,#N/A,FALSE,"CAPTWO";#N/A,#N/A,FALSE,"CAPTHREE"}</definedName>
    <definedName name="SASAW_1_3_1_1" hidden="1">{#N/A,#N/A,FALSE,"mgtsum.XLS";#N/A,#N/A,FALSE,"CAPONE";#N/A,#N/A,FALSE,"CAPTWO";#N/A,#N/A,FALSE,"CAPTHREE"}</definedName>
    <definedName name="SASAW_1_3_1_2" hidden="1">{#N/A,#N/A,FALSE,"mgtsum.XLS";#N/A,#N/A,FALSE,"CAPONE";#N/A,#N/A,FALSE,"CAPTWO";#N/A,#N/A,FALSE,"CAPTHREE"}</definedName>
    <definedName name="SASAW_1_3_1_3" hidden="1">{#N/A,#N/A,FALSE,"mgtsum.XLS";#N/A,#N/A,FALSE,"CAPONE";#N/A,#N/A,FALSE,"CAPTWO";#N/A,#N/A,FALSE,"CAPTHREE"}</definedName>
    <definedName name="SASAW_1_3_1_4" hidden="1">{#N/A,#N/A,FALSE,"mgtsum.XLS";#N/A,#N/A,FALSE,"CAPONE";#N/A,#N/A,FALSE,"CAPTWO";#N/A,#N/A,FALSE,"CAPTHREE"}</definedName>
    <definedName name="SASAW_1_3_1_5" hidden="1">{#N/A,#N/A,FALSE,"mgtsum.XLS";#N/A,#N/A,FALSE,"CAPONE";#N/A,#N/A,FALSE,"CAPTWO";#N/A,#N/A,FALSE,"CAPTHREE"}</definedName>
    <definedName name="SASAW_1_3_2" hidden="1">{#N/A,#N/A,FALSE,"mgtsum.XLS";#N/A,#N/A,FALSE,"CAPONE";#N/A,#N/A,FALSE,"CAPTWO";#N/A,#N/A,FALSE,"CAPTHREE"}</definedName>
    <definedName name="SASAW_1_3_2_1" hidden="1">{#N/A,#N/A,FALSE,"mgtsum.XLS";#N/A,#N/A,FALSE,"CAPONE";#N/A,#N/A,FALSE,"CAPTWO";#N/A,#N/A,FALSE,"CAPTHREE"}</definedName>
    <definedName name="SASAW_1_3_2_2" hidden="1">{#N/A,#N/A,FALSE,"mgtsum.XLS";#N/A,#N/A,FALSE,"CAPONE";#N/A,#N/A,FALSE,"CAPTWO";#N/A,#N/A,FALSE,"CAPTHREE"}</definedName>
    <definedName name="SASAW_1_3_2_3" hidden="1">{#N/A,#N/A,FALSE,"mgtsum.XLS";#N/A,#N/A,FALSE,"CAPONE";#N/A,#N/A,FALSE,"CAPTWO";#N/A,#N/A,FALSE,"CAPTHREE"}</definedName>
    <definedName name="SASAW_1_3_2_4" hidden="1">{#N/A,#N/A,FALSE,"mgtsum.XLS";#N/A,#N/A,FALSE,"CAPONE";#N/A,#N/A,FALSE,"CAPTWO";#N/A,#N/A,FALSE,"CAPTHREE"}</definedName>
    <definedName name="SASAW_1_3_2_5" hidden="1">{#N/A,#N/A,FALSE,"mgtsum.XLS";#N/A,#N/A,FALSE,"CAPONE";#N/A,#N/A,FALSE,"CAPTWO";#N/A,#N/A,FALSE,"CAPTHREE"}</definedName>
    <definedName name="SASAW_1_3_3" hidden="1">{#N/A,#N/A,FALSE,"mgtsum.XLS";#N/A,#N/A,FALSE,"CAPONE";#N/A,#N/A,FALSE,"CAPTWO";#N/A,#N/A,FALSE,"CAPTHREE"}</definedName>
    <definedName name="SASAW_1_3_4" hidden="1">{#N/A,#N/A,FALSE,"mgtsum.XLS";#N/A,#N/A,FALSE,"CAPONE";#N/A,#N/A,FALSE,"CAPTWO";#N/A,#N/A,FALSE,"CAPTHREE"}</definedName>
    <definedName name="SASAW_1_3_5" hidden="1">{#N/A,#N/A,FALSE,"mgtsum.XLS";#N/A,#N/A,FALSE,"CAPONE";#N/A,#N/A,FALSE,"CAPTWO";#N/A,#N/A,FALSE,"CAPTHREE"}</definedName>
    <definedName name="SASAW_1_4" hidden="1">{#N/A,#N/A,FALSE,"mgtsum.XLS";#N/A,#N/A,FALSE,"CAPONE";#N/A,#N/A,FALSE,"CAPTWO";#N/A,#N/A,FALSE,"CAPTHREE"}</definedName>
    <definedName name="SASAW_1_4_1" hidden="1">{#N/A,#N/A,FALSE,"mgtsum.XLS";#N/A,#N/A,FALSE,"CAPONE";#N/A,#N/A,FALSE,"CAPTWO";#N/A,#N/A,FALSE,"CAPTHREE"}</definedName>
    <definedName name="SASAW_1_4_1_1" hidden="1">{#N/A,#N/A,FALSE,"mgtsum.XLS";#N/A,#N/A,FALSE,"CAPONE";#N/A,#N/A,FALSE,"CAPTWO";#N/A,#N/A,FALSE,"CAPTHREE"}</definedName>
    <definedName name="SASAW_1_4_1_2" hidden="1">{#N/A,#N/A,FALSE,"mgtsum.XLS";#N/A,#N/A,FALSE,"CAPONE";#N/A,#N/A,FALSE,"CAPTWO";#N/A,#N/A,FALSE,"CAPTHREE"}</definedName>
    <definedName name="SASAW_1_4_1_3" hidden="1">{#N/A,#N/A,FALSE,"mgtsum.XLS";#N/A,#N/A,FALSE,"CAPONE";#N/A,#N/A,FALSE,"CAPTWO";#N/A,#N/A,FALSE,"CAPTHREE"}</definedName>
    <definedName name="SASAW_1_4_1_4" hidden="1">{#N/A,#N/A,FALSE,"mgtsum.XLS";#N/A,#N/A,FALSE,"CAPONE";#N/A,#N/A,FALSE,"CAPTWO";#N/A,#N/A,FALSE,"CAPTHREE"}</definedName>
    <definedName name="SASAW_1_4_1_5" hidden="1">{#N/A,#N/A,FALSE,"mgtsum.XLS";#N/A,#N/A,FALSE,"CAPONE";#N/A,#N/A,FALSE,"CAPTWO";#N/A,#N/A,FALSE,"CAPTHREE"}</definedName>
    <definedName name="SASAW_1_4_2" hidden="1">{#N/A,#N/A,FALSE,"mgtsum.XLS";#N/A,#N/A,FALSE,"CAPONE";#N/A,#N/A,FALSE,"CAPTWO";#N/A,#N/A,FALSE,"CAPTHREE"}</definedName>
    <definedName name="SASAW_1_4_2_1" hidden="1">{#N/A,#N/A,FALSE,"mgtsum.XLS";#N/A,#N/A,FALSE,"CAPONE";#N/A,#N/A,FALSE,"CAPTWO";#N/A,#N/A,FALSE,"CAPTHREE"}</definedName>
    <definedName name="SASAW_1_4_2_2" hidden="1">{#N/A,#N/A,FALSE,"mgtsum.XLS";#N/A,#N/A,FALSE,"CAPONE";#N/A,#N/A,FALSE,"CAPTWO";#N/A,#N/A,FALSE,"CAPTHREE"}</definedName>
    <definedName name="SASAW_1_4_2_3" hidden="1">{#N/A,#N/A,FALSE,"mgtsum.XLS";#N/A,#N/A,FALSE,"CAPONE";#N/A,#N/A,FALSE,"CAPTWO";#N/A,#N/A,FALSE,"CAPTHREE"}</definedName>
    <definedName name="SASAW_1_4_2_4" hidden="1">{#N/A,#N/A,FALSE,"mgtsum.XLS";#N/A,#N/A,FALSE,"CAPONE";#N/A,#N/A,FALSE,"CAPTWO";#N/A,#N/A,FALSE,"CAPTHREE"}</definedName>
    <definedName name="SASAW_1_4_2_5" hidden="1">{#N/A,#N/A,FALSE,"mgtsum.XLS";#N/A,#N/A,FALSE,"CAPONE";#N/A,#N/A,FALSE,"CAPTWO";#N/A,#N/A,FALSE,"CAPTHREE"}</definedName>
    <definedName name="SASAW_1_4_3" hidden="1">{#N/A,#N/A,FALSE,"mgtsum.XLS";#N/A,#N/A,FALSE,"CAPONE";#N/A,#N/A,FALSE,"CAPTWO";#N/A,#N/A,FALSE,"CAPTHREE"}</definedName>
    <definedName name="SASAW_1_4_4" hidden="1">{#N/A,#N/A,FALSE,"mgtsum.XLS";#N/A,#N/A,FALSE,"CAPONE";#N/A,#N/A,FALSE,"CAPTWO";#N/A,#N/A,FALSE,"CAPTHREE"}</definedName>
    <definedName name="SASAW_1_4_5" hidden="1">{#N/A,#N/A,FALSE,"mgtsum.XLS";#N/A,#N/A,FALSE,"CAPONE";#N/A,#N/A,FALSE,"CAPTWO";#N/A,#N/A,FALSE,"CAPTHREE"}</definedName>
    <definedName name="SASAW_1_5" hidden="1">{#N/A,#N/A,FALSE,"mgtsum.XLS";#N/A,#N/A,FALSE,"CAPONE";#N/A,#N/A,FALSE,"CAPTWO";#N/A,#N/A,FALSE,"CAPTHREE"}</definedName>
    <definedName name="SASAW_1_5_1" hidden="1">{#N/A,#N/A,FALSE,"mgtsum.XLS";#N/A,#N/A,FALSE,"CAPONE";#N/A,#N/A,FALSE,"CAPTWO";#N/A,#N/A,FALSE,"CAPTHREE"}</definedName>
    <definedName name="SASAW_1_5_1_1" hidden="1">{#N/A,#N/A,FALSE,"mgtsum.XLS";#N/A,#N/A,FALSE,"CAPONE";#N/A,#N/A,FALSE,"CAPTWO";#N/A,#N/A,FALSE,"CAPTHREE"}</definedName>
    <definedName name="SASAW_1_5_1_2" hidden="1">{#N/A,#N/A,FALSE,"mgtsum.XLS";#N/A,#N/A,FALSE,"CAPONE";#N/A,#N/A,FALSE,"CAPTWO";#N/A,#N/A,FALSE,"CAPTHREE"}</definedName>
    <definedName name="SASAW_1_5_1_3" hidden="1">{#N/A,#N/A,FALSE,"mgtsum.XLS";#N/A,#N/A,FALSE,"CAPONE";#N/A,#N/A,FALSE,"CAPTWO";#N/A,#N/A,FALSE,"CAPTHREE"}</definedName>
    <definedName name="SASAW_1_5_1_4" hidden="1">{#N/A,#N/A,FALSE,"mgtsum.XLS";#N/A,#N/A,FALSE,"CAPONE";#N/A,#N/A,FALSE,"CAPTWO";#N/A,#N/A,FALSE,"CAPTHREE"}</definedName>
    <definedName name="SASAW_1_5_1_5" hidden="1">{#N/A,#N/A,FALSE,"mgtsum.XLS";#N/A,#N/A,FALSE,"CAPONE";#N/A,#N/A,FALSE,"CAPTWO";#N/A,#N/A,FALSE,"CAPTHREE"}</definedName>
    <definedName name="SASAW_1_5_2" hidden="1">{#N/A,#N/A,FALSE,"mgtsum.XLS";#N/A,#N/A,FALSE,"CAPONE";#N/A,#N/A,FALSE,"CAPTWO";#N/A,#N/A,FALSE,"CAPTHREE"}</definedName>
    <definedName name="SASAW_1_5_2_1" hidden="1">{#N/A,#N/A,FALSE,"mgtsum.XLS";#N/A,#N/A,FALSE,"CAPONE";#N/A,#N/A,FALSE,"CAPTWO";#N/A,#N/A,FALSE,"CAPTHREE"}</definedName>
    <definedName name="SASAW_1_5_2_2" hidden="1">{#N/A,#N/A,FALSE,"mgtsum.XLS";#N/A,#N/A,FALSE,"CAPONE";#N/A,#N/A,FALSE,"CAPTWO";#N/A,#N/A,FALSE,"CAPTHREE"}</definedName>
    <definedName name="SASAW_1_5_2_3" hidden="1">{#N/A,#N/A,FALSE,"mgtsum.XLS";#N/A,#N/A,FALSE,"CAPONE";#N/A,#N/A,FALSE,"CAPTWO";#N/A,#N/A,FALSE,"CAPTHREE"}</definedName>
    <definedName name="SASAW_1_5_2_4" hidden="1">{#N/A,#N/A,FALSE,"mgtsum.XLS";#N/A,#N/A,FALSE,"CAPONE";#N/A,#N/A,FALSE,"CAPTWO";#N/A,#N/A,FALSE,"CAPTHREE"}</definedName>
    <definedName name="SASAW_1_5_2_5" hidden="1">{#N/A,#N/A,FALSE,"mgtsum.XLS";#N/A,#N/A,FALSE,"CAPONE";#N/A,#N/A,FALSE,"CAPTWO";#N/A,#N/A,FALSE,"CAPTHREE"}</definedName>
    <definedName name="SASAW_1_5_3" hidden="1">{#N/A,#N/A,FALSE,"mgtsum.XLS";#N/A,#N/A,FALSE,"CAPONE";#N/A,#N/A,FALSE,"CAPTWO";#N/A,#N/A,FALSE,"CAPTHREE"}</definedName>
    <definedName name="SASAW_1_5_4" hidden="1">{#N/A,#N/A,FALSE,"mgtsum.XLS";#N/A,#N/A,FALSE,"CAPONE";#N/A,#N/A,FALSE,"CAPTWO";#N/A,#N/A,FALSE,"CAPTHREE"}</definedName>
    <definedName name="SASAW_1_5_5" hidden="1">{#N/A,#N/A,FALSE,"mgtsum.XLS";#N/A,#N/A,FALSE,"CAPONE";#N/A,#N/A,FALSE,"CAPTWO";#N/A,#N/A,FALSE,"CAPTHREE"}</definedName>
    <definedName name="SASAW_2" hidden="1">{#N/A,#N/A,FALSE,"mgtsum.XLS";#N/A,#N/A,FALSE,"CAPONE";#N/A,#N/A,FALSE,"CAPTWO";#N/A,#N/A,FALSE,"CAPTHREE"}</definedName>
    <definedName name="SASAW_2_1" hidden="1">{#N/A,#N/A,FALSE,"mgtsum.XLS";#N/A,#N/A,FALSE,"CAPONE";#N/A,#N/A,FALSE,"CAPTWO";#N/A,#N/A,FALSE,"CAPTHREE"}</definedName>
    <definedName name="SASAW_2_1_1" hidden="1">{#N/A,#N/A,FALSE,"mgtsum.XLS";#N/A,#N/A,FALSE,"CAPONE";#N/A,#N/A,FALSE,"CAPTWO";#N/A,#N/A,FALSE,"CAPTHREE"}</definedName>
    <definedName name="SASAW_2_1_1_1" hidden="1">{#N/A,#N/A,FALSE,"mgtsum.XLS";#N/A,#N/A,FALSE,"CAPONE";#N/A,#N/A,FALSE,"CAPTWO";#N/A,#N/A,FALSE,"CAPTHREE"}</definedName>
    <definedName name="SASAW_2_1_1_2" hidden="1">{#N/A,#N/A,FALSE,"mgtsum.XLS";#N/A,#N/A,FALSE,"CAPONE";#N/A,#N/A,FALSE,"CAPTWO";#N/A,#N/A,FALSE,"CAPTHREE"}</definedName>
    <definedName name="SASAW_2_1_1_3" hidden="1">{#N/A,#N/A,FALSE,"mgtsum.XLS";#N/A,#N/A,FALSE,"CAPONE";#N/A,#N/A,FALSE,"CAPTWO";#N/A,#N/A,FALSE,"CAPTHREE"}</definedName>
    <definedName name="SASAW_2_1_1_4" hidden="1">{#N/A,#N/A,FALSE,"mgtsum.XLS";#N/A,#N/A,FALSE,"CAPONE";#N/A,#N/A,FALSE,"CAPTWO";#N/A,#N/A,FALSE,"CAPTHREE"}</definedName>
    <definedName name="SASAW_2_1_1_5" hidden="1">{#N/A,#N/A,FALSE,"mgtsum.XLS";#N/A,#N/A,FALSE,"CAPONE";#N/A,#N/A,FALSE,"CAPTWO";#N/A,#N/A,FALSE,"CAPTHREE"}</definedName>
    <definedName name="SASAW_2_1_2" hidden="1">{#N/A,#N/A,FALSE,"mgtsum.XLS";#N/A,#N/A,FALSE,"CAPONE";#N/A,#N/A,FALSE,"CAPTWO";#N/A,#N/A,FALSE,"CAPTHREE"}</definedName>
    <definedName name="SASAW_2_1_2_1" hidden="1">{#N/A,#N/A,FALSE,"mgtsum.XLS";#N/A,#N/A,FALSE,"CAPONE";#N/A,#N/A,FALSE,"CAPTWO";#N/A,#N/A,FALSE,"CAPTHREE"}</definedName>
    <definedName name="SASAW_2_1_2_2" hidden="1">{#N/A,#N/A,FALSE,"mgtsum.XLS";#N/A,#N/A,FALSE,"CAPONE";#N/A,#N/A,FALSE,"CAPTWO";#N/A,#N/A,FALSE,"CAPTHREE"}</definedName>
    <definedName name="SASAW_2_1_2_3" hidden="1">{#N/A,#N/A,FALSE,"mgtsum.XLS";#N/A,#N/A,FALSE,"CAPONE";#N/A,#N/A,FALSE,"CAPTWO";#N/A,#N/A,FALSE,"CAPTHREE"}</definedName>
    <definedName name="SASAW_2_1_2_4" hidden="1">{#N/A,#N/A,FALSE,"mgtsum.XLS";#N/A,#N/A,FALSE,"CAPONE";#N/A,#N/A,FALSE,"CAPTWO";#N/A,#N/A,FALSE,"CAPTHREE"}</definedName>
    <definedName name="SASAW_2_1_2_5" hidden="1">{#N/A,#N/A,FALSE,"mgtsum.XLS";#N/A,#N/A,FALSE,"CAPONE";#N/A,#N/A,FALSE,"CAPTWO";#N/A,#N/A,FALSE,"CAPTHREE"}</definedName>
    <definedName name="SASAW_2_1_3" hidden="1">{#N/A,#N/A,FALSE,"mgtsum.XLS";#N/A,#N/A,FALSE,"CAPONE";#N/A,#N/A,FALSE,"CAPTWO";#N/A,#N/A,FALSE,"CAPTHREE"}</definedName>
    <definedName name="SASAW_2_1_3_1" hidden="1">{#N/A,#N/A,FALSE,"mgtsum.XLS";#N/A,#N/A,FALSE,"CAPONE";#N/A,#N/A,FALSE,"CAPTWO";#N/A,#N/A,FALSE,"CAPTHREE"}</definedName>
    <definedName name="SASAW_2_1_3_2" hidden="1">{#N/A,#N/A,FALSE,"mgtsum.XLS";#N/A,#N/A,FALSE,"CAPONE";#N/A,#N/A,FALSE,"CAPTWO";#N/A,#N/A,FALSE,"CAPTHREE"}</definedName>
    <definedName name="SASAW_2_1_3_3" hidden="1">{#N/A,#N/A,FALSE,"mgtsum.XLS";#N/A,#N/A,FALSE,"CAPONE";#N/A,#N/A,FALSE,"CAPTWO";#N/A,#N/A,FALSE,"CAPTHREE"}</definedName>
    <definedName name="SASAW_2_1_3_4" hidden="1">{#N/A,#N/A,FALSE,"mgtsum.XLS";#N/A,#N/A,FALSE,"CAPONE";#N/A,#N/A,FALSE,"CAPTWO";#N/A,#N/A,FALSE,"CAPTHREE"}</definedName>
    <definedName name="SASAW_2_1_3_5" hidden="1">{#N/A,#N/A,FALSE,"mgtsum.XLS";#N/A,#N/A,FALSE,"CAPONE";#N/A,#N/A,FALSE,"CAPTWO";#N/A,#N/A,FALSE,"CAPTHREE"}</definedName>
    <definedName name="SASAW_2_1_4" hidden="1">{#N/A,#N/A,FALSE,"mgtsum.XLS";#N/A,#N/A,FALSE,"CAPONE";#N/A,#N/A,FALSE,"CAPTWO";#N/A,#N/A,FALSE,"CAPTHREE"}</definedName>
    <definedName name="SASAW_2_1_5" hidden="1">{#N/A,#N/A,FALSE,"mgtsum.XLS";#N/A,#N/A,FALSE,"CAPONE";#N/A,#N/A,FALSE,"CAPTWO";#N/A,#N/A,FALSE,"CAPTHREE"}</definedName>
    <definedName name="SASAW_2_2" hidden="1">{#N/A,#N/A,FALSE,"mgtsum.XLS";#N/A,#N/A,FALSE,"CAPONE";#N/A,#N/A,FALSE,"CAPTWO";#N/A,#N/A,FALSE,"CAPTHREE"}</definedName>
    <definedName name="SASAW_2_2_1" hidden="1">{#N/A,#N/A,FALSE,"mgtsum.XLS";#N/A,#N/A,FALSE,"CAPONE";#N/A,#N/A,FALSE,"CAPTWO";#N/A,#N/A,FALSE,"CAPTHREE"}</definedName>
    <definedName name="SASAW_2_2_1_1" hidden="1">{#N/A,#N/A,FALSE,"mgtsum.XLS";#N/A,#N/A,FALSE,"CAPONE";#N/A,#N/A,FALSE,"CAPTWO";#N/A,#N/A,FALSE,"CAPTHREE"}</definedName>
    <definedName name="SASAW_2_2_1_2" hidden="1">{#N/A,#N/A,FALSE,"mgtsum.XLS";#N/A,#N/A,FALSE,"CAPONE";#N/A,#N/A,FALSE,"CAPTWO";#N/A,#N/A,FALSE,"CAPTHREE"}</definedName>
    <definedName name="SASAW_2_2_1_3" hidden="1">{#N/A,#N/A,FALSE,"mgtsum.XLS";#N/A,#N/A,FALSE,"CAPONE";#N/A,#N/A,FALSE,"CAPTWO";#N/A,#N/A,FALSE,"CAPTHREE"}</definedName>
    <definedName name="SASAW_2_2_1_4" hidden="1">{#N/A,#N/A,FALSE,"mgtsum.XLS";#N/A,#N/A,FALSE,"CAPONE";#N/A,#N/A,FALSE,"CAPTWO";#N/A,#N/A,FALSE,"CAPTHREE"}</definedName>
    <definedName name="SASAW_2_2_1_5" hidden="1">{#N/A,#N/A,FALSE,"mgtsum.XLS";#N/A,#N/A,FALSE,"CAPONE";#N/A,#N/A,FALSE,"CAPTWO";#N/A,#N/A,FALSE,"CAPTHREE"}</definedName>
    <definedName name="SASAW_2_2_2" hidden="1">{#N/A,#N/A,FALSE,"mgtsum.XLS";#N/A,#N/A,FALSE,"CAPONE";#N/A,#N/A,FALSE,"CAPTWO";#N/A,#N/A,FALSE,"CAPTHREE"}</definedName>
    <definedName name="SASAW_2_2_2_1" hidden="1">{#N/A,#N/A,FALSE,"mgtsum.XLS";#N/A,#N/A,FALSE,"CAPONE";#N/A,#N/A,FALSE,"CAPTWO";#N/A,#N/A,FALSE,"CAPTHREE"}</definedName>
    <definedName name="SASAW_2_2_2_2" hidden="1">{#N/A,#N/A,FALSE,"mgtsum.XLS";#N/A,#N/A,FALSE,"CAPONE";#N/A,#N/A,FALSE,"CAPTWO";#N/A,#N/A,FALSE,"CAPTHREE"}</definedName>
    <definedName name="SASAW_2_2_2_3" hidden="1">{#N/A,#N/A,FALSE,"mgtsum.XLS";#N/A,#N/A,FALSE,"CAPONE";#N/A,#N/A,FALSE,"CAPTWO";#N/A,#N/A,FALSE,"CAPTHREE"}</definedName>
    <definedName name="SASAW_2_2_2_4" hidden="1">{#N/A,#N/A,FALSE,"mgtsum.XLS";#N/A,#N/A,FALSE,"CAPONE";#N/A,#N/A,FALSE,"CAPTWO";#N/A,#N/A,FALSE,"CAPTHREE"}</definedName>
    <definedName name="SASAW_2_2_2_5" hidden="1">{#N/A,#N/A,FALSE,"mgtsum.XLS";#N/A,#N/A,FALSE,"CAPONE";#N/A,#N/A,FALSE,"CAPTWO";#N/A,#N/A,FALSE,"CAPTHREE"}</definedName>
    <definedName name="SASAW_2_2_3" hidden="1">{#N/A,#N/A,FALSE,"mgtsum.XLS";#N/A,#N/A,FALSE,"CAPONE";#N/A,#N/A,FALSE,"CAPTWO";#N/A,#N/A,FALSE,"CAPTHREE"}</definedName>
    <definedName name="SASAW_2_2_4" hidden="1">{#N/A,#N/A,FALSE,"mgtsum.XLS";#N/A,#N/A,FALSE,"CAPONE";#N/A,#N/A,FALSE,"CAPTWO";#N/A,#N/A,FALSE,"CAPTHREE"}</definedName>
    <definedName name="SASAW_2_2_5" hidden="1">{#N/A,#N/A,FALSE,"mgtsum.XLS";#N/A,#N/A,FALSE,"CAPONE";#N/A,#N/A,FALSE,"CAPTWO";#N/A,#N/A,FALSE,"CAPTHREE"}</definedName>
    <definedName name="SASAW_2_3" hidden="1">{#N/A,#N/A,FALSE,"mgtsum.XLS";#N/A,#N/A,FALSE,"CAPONE";#N/A,#N/A,FALSE,"CAPTWO";#N/A,#N/A,FALSE,"CAPTHREE"}</definedName>
    <definedName name="SASAW_2_3_1" hidden="1">{#N/A,#N/A,FALSE,"mgtsum.XLS";#N/A,#N/A,FALSE,"CAPONE";#N/A,#N/A,FALSE,"CAPTWO";#N/A,#N/A,FALSE,"CAPTHREE"}</definedName>
    <definedName name="SASAW_2_3_1_1" hidden="1">{#N/A,#N/A,FALSE,"mgtsum.XLS";#N/A,#N/A,FALSE,"CAPONE";#N/A,#N/A,FALSE,"CAPTWO";#N/A,#N/A,FALSE,"CAPTHREE"}</definedName>
    <definedName name="SASAW_2_3_1_2" hidden="1">{#N/A,#N/A,FALSE,"mgtsum.XLS";#N/A,#N/A,FALSE,"CAPONE";#N/A,#N/A,FALSE,"CAPTWO";#N/A,#N/A,FALSE,"CAPTHREE"}</definedName>
    <definedName name="SASAW_2_3_1_3" hidden="1">{#N/A,#N/A,FALSE,"mgtsum.XLS";#N/A,#N/A,FALSE,"CAPONE";#N/A,#N/A,FALSE,"CAPTWO";#N/A,#N/A,FALSE,"CAPTHREE"}</definedName>
    <definedName name="SASAW_2_3_1_4" hidden="1">{#N/A,#N/A,FALSE,"mgtsum.XLS";#N/A,#N/A,FALSE,"CAPONE";#N/A,#N/A,FALSE,"CAPTWO";#N/A,#N/A,FALSE,"CAPTHREE"}</definedName>
    <definedName name="SASAW_2_3_1_5" hidden="1">{#N/A,#N/A,FALSE,"mgtsum.XLS";#N/A,#N/A,FALSE,"CAPONE";#N/A,#N/A,FALSE,"CAPTWO";#N/A,#N/A,FALSE,"CAPTHREE"}</definedName>
    <definedName name="SASAW_2_3_2" hidden="1">{#N/A,#N/A,FALSE,"mgtsum.XLS";#N/A,#N/A,FALSE,"CAPONE";#N/A,#N/A,FALSE,"CAPTWO";#N/A,#N/A,FALSE,"CAPTHREE"}</definedName>
    <definedName name="SASAW_2_3_2_1" hidden="1">{#N/A,#N/A,FALSE,"mgtsum.XLS";#N/A,#N/A,FALSE,"CAPONE";#N/A,#N/A,FALSE,"CAPTWO";#N/A,#N/A,FALSE,"CAPTHREE"}</definedName>
    <definedName name="SASAW_2_3_2_2" hidden="1">{#N/A,#N/A,FALSE,"mgtsum.XLS";#N/A,#N/A,FALSE,"CAPONE";#N/A,#N/A,FALSE,"CAPTWO";#N/A,#N/A,FALSE,"CAPTHREE"}</definedName>
    <definedName name="SASAW_2_3_2_3" hidden="1">{#N/A,#N/A,FALSE,"mgtsum.XLS";#N/A,#N/A,FALSE,"CAPONE";#N/A,#N/A,FALSE,"CAPTWO";#N/A,#N/A,FALSE,"CAPTHREE"}</definedName>
    <definedName name="SASAW_2_3_2_4" hidden="1">{#N/A,#N/A,FALSE,"mgtsum.XLS";#N/A,#N/A,FALSE,"CAPONE";#N/A,#N/A,FALSE,"CAPTWO";#N/A,#N/A,FALSE,"CAPTHREE"}</definedName>
    <definedName name="SASAW_2_3_2_5" hidden="1">{#N/A,#N/A,FALSE,"mgtsum.XLS";#N/A,#N/A,FALSE,"CAPONE";#N/A,#N/A,FALSE,"CAPTWO";#N/A,#N/A,FALSE,"CAPTHREE"}</definedName>
    <definedName name="SASAW_2_3_3" hidden="1">{#N/A,#N/A,FALSE,"mgtsum.XLS";#N/A,#N/A,FALSE,"CAPONE";#N/A,#N/A,FALSE,"CAPTWO";#N/A,#N/A,FALSE,"CAPTHREE"}</definedName>
    <definedName name="SASAW_2_3_4" hidden="1">{#N/A,#N/A,FALSE,"mgtsum.XLS";#N/A,#N/A,FALSE,"CAPONE";#N/A,#N/A,FALSE,"CAPTWO";#N/A,#N/A,FALSE,"CAPTHREE"}</definedName>
    <definedName name="SASAW_2_3_5" hidden="1">{#N/A,#N/A,FALSE,"mgtsum.XLS";#N/A,#N/A,FALSE,"CAPONE";#N/A,#N/A,FALSE,"CAPTWO";#N/A,#N/A,FALSE,"CAPTHREE"}</definedName>
    <definedName name="SASAW_2_4" hidden="1">{#N/A,#N/A,FALSE,"mgtsum.XLS";#N/A,#N/A,FALSE,"CAPONE";#N/A,#N/A,FALSE,"CAPTWO";#N/A,#N/A,FALSE,"CAPTHREE"}</definedName>
    <definedName name="SASAW_2_4_1" hidden="1">{#N/A,#N/A,FALSE,"mgtsum.XLS";#N/A,#N/A,FALSE,"CAPONE";#N/A,#N/A,FALSE,"CAPTWO";#N/A,#N/A,FALSE,"CAPTHREE"}</definedName>
    <definedName name="SASAW_2_4_1_1" hidden="1">{#N/A,#N/A,FALSE,"mgtsum.XLS";#N/A,#N/A,FALSE,"CAPONE";#N/A,#N/A,FALSE,"CAPTWO";#N/A,#N/A,FALSE,"CAPTHREE"}</definedName>
    <definedName name="SASAW_2_4_1_2" hidden="1">{#N/A,#N/A,FALSE,"mgtsum.XLS";#N/A,#N/A,FALSE,"CAPONE";#N/A,#N/A,FALSE,"CAPTWO";#N/A,#N/A,FALSE,"CAPTHREE"}</definedName>
    <definedName name="SASAW_2_4_1_3" hidden="1">{#N/A,#N/A,FALSE,"mgtsum.XLS";#N/A,#N/A,FALSE,"CAPONE";#N/A,#N/A,FALSE,"CAPTWO";#N/A,#N/A,FALSE,"CAPTHREE"}</definedName>
    <definedName name="SASAW_2_4_1_4" hidden="1">{#N/A,#N/A,FALSE,"mgtsum.XLS";#N/A,#N/A,FALSE,"CAPONE";#N/A,#N/A,FALSE,"CAPTWO";#N/A,#N/A,FALSE,"CAPTHREE"}</definedName>
    <definedName name="SASAW_2_4_1_5" hidden="1">{#N/A,#N/A,FALSE,"mgtsum.XLS";#N/A,#N/A,FALSE,"CAPONE";#N/A,#N/A,FALSE,"CAPTWO";#N/A,#N/A,FALSE,"CAPTHREE"}</definedName>
    <definedName name="SASAW_2_4_2" hidden="1">{#N/A,#N/A,FALSE,"mgtsum.XLS";#N/A,#N/A,FALSE,"CAPONE";#N/A,#N/A,FALSE,"CAPTWO";#N/A,#N/A,FALSE,"CAPTHREE"}</definedName>
    <definedName name="SASAW_2_4_2_1" hidden="1">{#N/A,#N/A,FALSE,"mgtsum.XLS";#N/A,#N/A,FALSE,"CAPONE";#N/A,#N/A,FALSE,"CAPTWO";#N/A,#N/A,FALSE,"CAPTHREE"}</definedName>
    <definedName name="SASAW_2_4_2_2" hidden="1">{#N/A,#N/A,FALSE,"mgtsum.XLS";#N/A,#N/A,FALSE,"CAPONE";#N/A,#N/A,FALSE,"CAPTWO";#N/A,#N/A,FALSE,"CAPTHREE"}</definedName>
    <definedName name="SASAW_2_4_2_3" hidden="1">{#N/A,#N/A,FALSE,"mgtsum.XLS";#N/A,#N/A,FALSE,"CAPONE";#N/A,#N/A,FALSE,"CAPTWO";#N/A,#N/A,FALSE,"CAPTHREE"}</definedName>
    <definedName name="SASAW_2_4_2_4" hidden="1">{#N/A,#N/A,FALSE,"mgtsum.XLS";#N/A,#N/A,FALSE,"CAPONE";#N/A,#N/A,FALSE,"CAPTWO";#N/A,#N/A,FALSE,"CAPTHREE"}</definedName>
    <definedName name="SASAW_2_4_2_5" hidden="1">{#N/A,#N/A,FALSE,"mgtsum.XLS";#N/A,#N/A,FALSE,"CAPONE";#N/A,#N/A,FALSE,"CAPTWO";#N/A,#N/A,FALSE,"CAPTHREE"}</definedName>
    <definedName name="SASAW_2_4_3" hidden="1">{#N/A,#N/A,FALSE,"mgtsum.XLS";#N/A,#N/A,FALSE,"CAPONE";#N/A,#N/A,FALSE,"CAPTWO";#N/A,#N/A,FALSE,"CAPTHREE"}</definedName>
    <definedName name="SASAW_2_4_4" hidden="1">{#N/A,#N/A,FALSE,"mgtsum.XLS";#N/A,#N/A,FALSE,"CAPONE";#N/A,#N/A,FALSE,"CAPTWO";#N/A,#N/A,FALSE,"CAPTHREE"}</definedName>
    <definedName name="SASAW_2_4_5" hidden="1">{#N/A,#N/A,FALSE,"mgtsum.XLS";#N/A,#N/A,FALSE,"CAPONE";#N/A,#N/A,FALSE,"CAPTWO";#N/A,#N/A,FALSE,"CAPTHREE"}</definedName>
    <definedName name="SASAW_2_5" hidden="1">{#N/A,#N/A,FALSE,"mgtsum.XLS";#N/A,#N/A,FALSE,"CAPONE";#N/A,#N/A,FALSE,"CAPTWO";#N/A,#N/A,FALSE,"CAPTHREE"}</definedName>
    <definedName name="SASAW_2_5_1" hidden="1">{#N/A,#N/A,FALSE,"mgtsum.XLS";#N/A,#N/A,FALSE,"CAPONE";#N/A,#N/A,FALSE,"CAPTWO";#N/A,#N/A,FALSE,"CAPTHREE"}</definedName>
    <definedName name="SASAW_2_5_2" hidden="1">{#N/A,#N/A,FALSE,"mgtsum.XLS";#N/A,#N/A,FALSE,"CAPONE";#N/A,#N/A,FALSE,"CAPTWO";#N/A,#N/A,FALSE,"CAPTHREE"}</definedName>
    <definedName name="SASAW_2_5_3" hidden="1">{#N/A,#N/A,FALSE,"mgtsum.XLS";#N/A,#N/A,FALSE,"CAPONE";#N/A,#N/A,FALSE,"CAPTWO";#N/A,#N/A,FALSE,"CAPTHREE"}</definedName>
    <definedName name="SASAW_2_5_4" hidden="1">{#N/A,#N/A,FALSE,"mgtsum.XLS";#N/A,#N/A,FALSE,"CAPONE";#N/A,#N/A,FALSE,"CAPTWO";#N/A,#N/A,FALSE,"CAPTHREE"}</definedName>
    <definedName name="SASAW_2_5_5" hidden="1">{#N/A,#N/A,FALSE,"mgtsum.XLS";#N/A,#N/A,FALSE,"CAPONE";#N/A,#N/A,FALSE,"CAPTWO";#N/A,#N/A,FALSE,"CAPTHREE"}</definedName>
    <definedName name="SASAW_3" hidden="1">{#N/A,#N/A,FALSE,"mgtsum.XLS";#N/A,#N/A,FALSE,"CAPONE";#N/A,#N/A,FALSE,"CAPTWO";#N/A,#N/A,FALSE,"CAPTHREE"}</definedName>
    <definedName name="SASAW_3_1" hidden="1">{#N/A,#N/A,FALSE,"mgtsum.XLS";#N/A,#N/A,FALSE,"CAPONE";#N/A,#N/A,FALSE,"CAPTWO";#N/A,#N/A,FALSE,"CAPTHREE"}</definedName>
    <definedName name="SASAW_3_1_1" hidden="1">{#N/A,#N/A,FALSE,"mgtsum.XLS";#N/A,#N/A,FALSE,"CAPONE";#N/A,#N/A,FALSE,"CAPTWO";#N/A,#N/A,FALSE,"CAPTHREE"}</definedName>
    <definedName name="SASAW_3_1_1_1" hidden="1">{#N/A,#N/A,FALSE,"mgtsum.XLS";#N/A,#N/A,FALSE,"CAPONE";#N/A,#N/A,FALSE,"CAPTWO";#N/A,#N/A,FALSE,"CAPTHREE"}</definedName>
    <definedName name="SASAW_3_1_1_2" hidden="1">{#N/A,#N/A,FALSE,"mgtsum.XLS";#N/A,#N/A,FALSE,"CAPONE";#N/A,#N/A,FALSE,"CAPTWO";#N/A,#N/A,FALSE,"CAPTHREE"}</definedName>
    <definedName name="SASAW_3_1_1_3" hidden="1">{#N/A,#N/A,FALSE,"mgtsum.XLS";#N/A,#N/A,FALSE,"CAPONE";#N/A,#N/A,FALSE,"CAPTWO";#N/A,#N/A,FALSE,"CAPTHREE"}</definedName>
    <definedName name="SASAW_3_1_1_4" hidden="1">{#N/A,#N/A,FALSE,"mgtsum.XLS";#N/A,#N/A,FALSE,"CAPONE";#N/A,#N/A,FALSE,"CAPTWO";#N/A,#N/A,FALSE,"CAPTHREE"}</definedName>
    <definedName name="SASAW_3_1_1_5" hidden="1">{#N/A,#N/A,FALSE,"mgtsum.XLS";#N/A,#N/A,FALSE,"CAPONE";#N/A,#N/A,FALSE,"CAPTWO";#N/A,#N/A,FALSE,"CAPTHREE"}</definedName>
    <definedName name="SASAW_3_1_2" hidden="1">{#N/A,#N/A,FALSE,"mgtsum.XLS";#N/A,#N/A,FALSE,"CAPONE";#N/A,#N/A,FALSE,"CAPTWO";#N/A,#N/A,FALSE,"CAPTHREE"}</definedName>
    <definedName name="SASAW_3_1_2_1" hidden="1">{#N/A,#N/A,FALSE,"mgtsum.XLS";#N/A,#N/A,FALSE,"CAPONE";#N/A,#N/A,FALSE,"CAPTWO";#N/A,#N/A,FALSE,"CAPTHREE"}</definedName>
    <definedName name="SASAW_3_1_2_2" hidden="1">{#N/A,#N/A,FALSE,"mgtsum.XLS";#N/A,#N/A,FALSE,"CAPONE";#N/A,#N/A,FALSE,"CAPTWO";#N/A,#N/A,FALSE,"CAPTHREE"}</definedName>
    <definedName name="SASAW_3_1_2_3" hidden="1">{#N/A,#N/A,FALSE,"mgtsum.XLS";#N/A,#N/A,FALSE,"CAPONE";#N/A,#N/A,FALSE,"CAPTWO";#N/A,#N/A,FALSE,"CAPTHREE"}</definedName>
    <definedName name="SASAW_3_1_2_4" hidden="1">{#N/A,#N/A,FALSE,"mgtsum.XLS";#N/A,#N/A,FALSE,"CAPONE";#N/A,#N/A,FALSE,"CAPTWO";#N/A,#N/A,FALSE,"CAPTHREE"}</definedName>
    <definedName name="SASAW_3_1_2_5" hidden="1">{#N/A,#N/A,FALSE,"mgtsum.XLS";#N/A,#N/A,FALSE,"CAPONE";#N/A,#N/A,FALSE,"CAPTWO";#N/A,#N/A,FALSE,"CAPTHREE"}</definedName>
    <definedName name="SASAW_3_1_3" hidden="1">{#N/A,#N/A,FALSE,"mgtsum.XLS";#N/A,#N/A,FALSE,"CAPONE";#N/A,#N/A,FALSE,"CAPTWO";#N/A,#N/A,FALSE,"CAPTHREE"}</definedName>
    <definedName name="SASAW_3_1_3_1" hidden="1">{#N/A,#N/A,FALSE,"mgtsum.XLS";#N/A,#N/A,FALSE,"CAPONE";#N/A,#N/A,FALSE,"CAPTWO";#N/A,#N/A,FALSE,"CAPTHREE"}</definedName>
    <definedName name="SASAW_3_1_3_2" hidden="1">{#N/A,#N/A,FALSE,"mgtsum.XLS";#N/A,#N/A,FALSE,"CAPONE";#N/A,#N/A,FALSE,"CAPTWO";#N/A,#N/A,FALSE,"CAPTHREE"}</definedName>
    <definedName name="SASAW_3_1_3_3" hidden="1">{#N/A,#N/A,FALSE,"mgtsum.XLS";#N/A,#N/A,FALSE,"CAPONE";#N/A,#N/A,FALSE,"CAPTWO";#N/A,#N/A,FALSE,"CAPTHREE"}</definedName>
    <definedName name="SASAW_3_1_3_4" hidden="1">{#N/A,#N/A,FALSE,"mgtsum.XLS";#N/A,#N/A,FALSE,"CAPONE";#N/A,#N/A,FALSE,"CAPTWO";#N/A,#N/A,FALSE,"CAPTHREE"}</definedName>
    <definedName name="SASAW_3_1_3_5" hidden="1">{#N/A,#N/A,FALSE,"mgtsum.XLS";#N/A,#N/A,FALSE,"CAPONE";#N/A,#N/A,FALSE,"CAPTWO";#N/A,#N/A,FALSE,"CAPTHREE"}</definedName>
    <definedName name="SASAW_3_1_4" hidden="1">{#N/A,#N/A,FALSE,"mgtsum.XLS";#N/A,#N/A,FALSE,"CAPONE";#N/A,#N/A,FALSE,"CAPTWO";#N/A,#N/A,FALSE,"CAPTHREE"}</definedName>
    <definedName name="SASAW_3_1_5" hidden="1">{#N/A,#N/A,FALSE,"mgtsum.XLS";#N/A,#N/A,FALSE,"CAPONE";#N/A,#N/A,FALSE,"CAPTWO";#N/A,#N/A,FALSE,"CAPTHREE"}</definedName>
    <definedName name="SASAW_3_2" hidden="1">{#N/A,#N/A,FALSE,"mgtsum.XLS";#N/A,#N/A,FALSE,"CAPONE";#N/A,#N/A,FALSE,"CAPTWO";#N/A,#N/A,FALSE,"CAPTHREE"}</definedName>
    <definedName name="SASAW_3_2_1" hidden="1">{#N/A,#N/A,FALSE,"mgtsum.XLS";#N/A,#N/A,FALSE,"CAPONE";#N/A,#N/A,FALSE,"CAPTWO";#N/A,#N/A,FALSE,"CAPTHREE"}</definedName>
    <definedName name="SASAW_3_2_1_1" hidden="1">{#N/A,#N/A,FALSE,"mgtsum.XLS";#N/A,#N/A,FALSE,"CAPONE";#N/A,#N/A,FALSE,"CAPTWO";#N/A,#N/A,FALSE,"CAPTHREE"}</definedName>
    <definedName name="SASAW_3_2_1_2" hidden="1">{#N/A,#N/A,FALSE,"mgtsum.XLS";#N/A,#N/A,FALSE,"CAPONE";#N/A,#N/A,FALSE,"CAPTWO";#N/A,#N/A,FALSE,"CAPTHREE"}</definedName>
    <definedName name="SASAW_3_2_1_3" hidden="1">{#N/A,#N/A,FALSE,"mgtsum.XLS";#N/A,#N/A,FALSE,"CAPONE";#N/A,#N/A,FALSE,"CAPTWO";#N/A,#N/A,FALSE,"CAPTHREE"}</definedName>
    <definedName name="SASAW_3_2_1_4" hidden="1">{#N/A,#N/A,FALSE,"mgtsum.XLS";#N/A,#N/A,FALSE,"CAPONE";#N/A,#N/A,FALSE,"CAPTWO";#N/A,#N/A,FALSE,"CAPTHREE"}</definedName>
    <definedName name="SASAW_3_2_1_5" hidden="1">{#N/A,#N/A,FALSE,"mgtsum.XLS";#N/A,#N/A,FALSE,"CAPONE";#N/A,#N/A,FALSE,"CAPTWO";#N/A,#N/A,FALSE,"CAPTHREE"}</definedName>
    <definedName name="SASAW_3_2_2" hidden="1">{#N/A,#N/A,FALSE,"mgtsum.XLS";#N/A,#N/A,FALSE,"CAPONE";#N/A,#N/A,FALSE,"CAPTWO";#N/A,#N/A,FALSE,"CAPTHREE"}</definedName>
    <definedName name="SASAW_3_2_2_1" hidden="1">{#N/A,#N/A,FALSE,"mgtsum.XLS";#N/A,#N/A,FALSE,"CAPONE";#N/A,#N/A,FALSE,"CAPTWO";#N/A,#N/A,FALSE,"CAPTHREE"}</definedName>
    <definedName name="SASAW_3_2_2_2" hidden="1">{#N/A,#N/A,FALSE,"mgtsum.XLS";#N/A,#N/A,FALSE,"CAPONE";#N/A,#N/A,FALSE,"CAPTWO";#N/A,#N/A,FALSE,"CAPTHREE"}</definedName>
    <definedName name="SASAW_3_2_2_3" hidden="1">{#N/A,#N/A,FALSE,"mgtsum.XLS";#N/A,#N/A,FALSE,"CAPONE";#N/A,#N/A,FALSE,"CAPTWO";#N/A,#N/A,FALSE,"CAPTHREE"}</definedName>
    <definedName name="SASAW_3_2_2_4" hidden="1">{#N/A,#N/A,FALSE,"mgtsum.XLS";#N/A,#N/A,FALSE,"CAPONE";#N/A,#N/A,FALSE,"CAPTWO";#N/A,#N/A,FALSE,"CAPTHREE"}</definedName>
    <definedName name="SASAW_3_2_2_5" hidden="1">{#N/A,#N/A,FALSE,"mgtsum.XLS";#N/A,#N/A,FALSE,"CAPONE";#N/A,#N/A,FALSE,"CAPTWO";#N/A,#N/A,FALSE,"CAPTHREE"}</definedName>
    <definedName name="SASAW_3_2_3" hidden="1">{#N/A,#N/A,FALSE,"mgtsum.XLS";#N/A,#N/A,FALSE,"CAPONE";#N/A,#N/A,FALSE,"CAPTWO";#N/A,#N/A,FALSE,"CAPTHREE"}</definedName>
    <definedName name="SASAW_3_2_4" hidden="1">{#N/A,#N/A,FALSE,"mgtsum.XLS";#N/A,#N/A,FALSE,"CAPONE";#N/A,#N/A,FALSE,"CAPTWO";#N/A,#N/A,FALSE,"CAPTHREE"}</definedName>
    <definedName name="SASAW_3_2_5" hidden="1">{#N/A,#N/A,FALSE,"mgtsum.XLS";#N/A,#N/A,FALSE,"CAPONE";#N/A,#N/A,FALSE,"CAPTWO";#N/A,#N/A,FALSE,"CAPTHREE"}</definedName>
    <definedName name="SASAW_3_3" hidden="1">{#N/A,#N/A,FALSE,"mgtsum.XLS";#N/A,#N/A,FALSE,"CAPONE";#N/A,#N/A,FALSE,"CAPTWO";#N/A,#N/A,FALSE,"CAPTHREE"}</definedName>
    <definedName name="SASAW_3_3_1" hidden="1">{#N/A,#N/A,FALSE,"mgtsum.XLS";#N/A,#N/A,FALSE,"CAPONE";#N/A,#N/A,FALSE,"CAPTWO";#N/A,#N/A,FALSE,"CAPTHREE"}</definedName>
    <definedName name="SASAW_3_3_1_1" hidden="1">{#N/A,#N/A,FALSE,"mgtsum.XLS";#N/A,#N/A,FALSE,"CAPONE";#N/A,#N/A,FALSE,"CAPTWO";#N/A,#N/A,FALSE,"CAPTHREE"}</definedName>
    <definedName name="SASAW_3_3_1_2" hidden="1">{#N/A,#N/A,FALSE,"mgtsum.XLS";#N/A,#N/A,FALSE,"CAPONE";#N/A,#N/A,FALSE,"CAPTWO";#N/A,#N/A,FALSE,"CAPTHREE"}</definedName>
    <definedName name="SASAW_3_3_1_3" hidden="1">{#N/A,#N/A,FALSE,"mgtsum.XLS";#N/A,#N/A,FALSE,"CAPONE";#N/A,#N/A,FALSE,"CAPTWO";#N/A,#N/A,FALSE,"CAPTHREE"}</definedName>
    <definedName name="SASAW_3_3_1_4" hidden="1">{#N/A,#N/A,FALSE,"mgtsum.XLS";#N/A,#N/A,FALSE,"CAPONE";#N/A,#N/A,FALSE,"CAPTWO";#N/A,#N/A,FALSE,"CAPTHREE"}</definedName>
    <definedName name="SASAW_3_3_1_5" hidden="1">{#N/A,#N/A,FALSE,"mgtsum.XLS";#N/A,#N/A,FALSE,"CAPONE";#N/A,#N/A,FALSE,"CAPTWO";#N/A,#N/A,FALSE,"CAPTHREE"}</definedName>
    <definedName name="SASAW_3_3_2" hidden="1">{#N/A,#N/A,FALSE,"mgtsum.XLS";#N/A,#N/A,FALSE,"CAPONE";#N/A,#N/A,FALSE,"CAPTWO";#N/A,#N/A,FALSE,"CAPTHREE"}</definedName>
    <definedName name="SASAW_3_3_2_1" hidden="1">{#N/A,#N/A,FALSE,"mgtsum.XLS";#N/A,#N/A,FALSE,"CAPONE";#N/A,#N/A,FALSE,"CAPTWO";#N/A,#N/A,FALSE,"CAPTHREE"}</definedName>
    <definedName name="SASAW_3_3_2_2" hidden="1">{#N/A,#N/A,FALSE,"mgtsum.XLS";#N/A,#N/A,FALSE,"CAPONE";#N/A,#N/A,FALSE,"CAPTWO";#N/A,#N/A,FALSE,"CAPTHREE"}</definedName>
    <definedName name="SASAW_3_3_2_3" hidden="1">{#N/A,#N/A,FALSE,"mgtsum.XLS";#N/A,#N/A,FALSE,"CAPONE";#N/A,#N/A,FALSE,"CAPTWO";#N/A,#N/A,FALSE,"CAPTHREE"}</definedName>
    <definedName name="SASAW_3_3_2_4" hidden="1">{#N/A,#N/A,FALSE,"mgtsum.XLS";#N/A,#N/A,FALSE,"CAPONE";#N/A,#N/A,FALSE,"CAPTWO";#N/A,#N/A,FALSE,"CAPTHREE"}</definedName>
    <definedName name="SASAW_3_3_2_5" hidden="1">{#N/A,#N/A,FALSE,"mgtsum.XLS";#N/A,#N/A,FALSE,"CAPONE";#N/A,#N/A,FALSE,"CAPTWO";#N/A,#N/A,FALSE,"CAPTHREE"}</definedName>
    <definedName name="SASAW_3_3_3" hidden="1">{#N/A,#N/A,FALSE,"mgtsum.XLS";#N/A,#N/A,FALSE,"CAPONE";#N/A,#N/A,FALSE,"CAPTWO";#N/A,#N/A,FALSE,"CAPTHREE"}</definedName>
    <definedName name="SASAW_3_3_4" hidden="1">{#N/A,#N/A,FALSE,"mgtsum.XLS";#N/A,#N/A,FALSE,"CAPONE";#N/A,#N/A,FALSE,"CAPTWO";#N/A,#N/A,FALSE,"CAPTHREE"}</definedName>
    <definedName name="SASAW_3_3_5" hidden="1">{#N/A,#N/A,FALSE,"mgtsum.XLS";#N/A,#N/A,FALSE,"CAPONE";#N/A,#N/A,FALSE,"CAPTWO";#N/A,#N/A,FALSE,"CAPTHREE"}</definedName>
    <definedName name="SASAW_3_4" hidden="1">{#N/A,#N/A,FALSE,"mgtsum.XLS";#N/A,#N/A,FALSE,"CAPONE";#N/A,#N/A,FALSE,"CAPTWO";#N/A,#N/A,FALSE,"CAPTHREE"}</definedName>
    <definedName name="SASAW_3_4_1" hidden="1">{#N/A,#N/A,FALSE,"mgtsum.XLS";#N/A,#N/A,FALSE,"CAPONE";#N/A,#N/A,FALSE,"CAPTWO";#N/A,#N/A,FALSE,"CAPTHREE"}</definedName>
    <definedName name="SASAW_3_4_1_1" hidden="1">{#N/A,#N/A,FALSE,"mgtsum.XLS";#N/A,#N/A,FALSE,"CAPONE";#N/A,#N/A,FALSE,"CAPTWO";#N/A,#N/A,FALSE,"CAPTHREE"}</definedName>
    <definedName name="SASAW_3_4_1_2" hidden="1">{#N/A,#N/A,FALSE,"mgtsum.XLS";#N/A,#N/A,FALSE,"CAPONE";#N/A,#N/A,FALSE,"CAPTWO";#N/A,#N/A,FALSE,"CAPTHREE"}</definedName>
    <definedName name="SASAW_3_4_1_3" hidden="1">{#N/A,#N/A,FALSE,"mgtsum.XLS";#N/A,#N/A,FALSE,"CAPONE";#N/A,#N/A,FALSE,"CAPTWO";#N/A,#N/A,FALSE,"CAPTHREE"}</definedName>
    <definedName name="SASAW_3_4_1_4" hidden="1">{#N/A,#N/A,FALSE,"mgtsum.XLS";#N/A,#N/A,FALSE,"CAPONE";#N/A,#N/A,FALSE,"CAPTWO";#N/A,#N/A,FALSE,"CAPTHREE"}</definedName>
    <definedName name="SASAW_3_4_1_5" hidden="1">{#N/A,#N/A,FALSE,"mgtsum.XLS";#N/A,#N/A,FALSE,"CAPONE";#N/A,#N/A,FALSE,"CAPTWO";#N/A,#N/A,FALSE,"CAPTHREE"}</definedName>
    <definedName name="SASAW_3_4_2" hidden="1">{#N/A,#N/A,FALSE,"mgtsum.XLS";#N/A,#N/A,FALSE,"CAPONE";#N/A,#N/A,FALSE,"CAPTWO";#N/A,#N/A,FALSE,"CAPTHREE"}</definedName>
    <definedName name="SASAW_3_4_2_1" hidden="1">{#N/A,#N/A,FALSE,"mgtsum.XLS";#N/A,#N/A,FALSE,"CAPONE";#N/A,#N/A,FALSE,"CAPTWO";#N/A,#N/A,FALSE,"CAPTHREE"}</definedName>
    <definedName name="SASAW_3_4_2_2" hidden="1">{#N/A,#N/A,FALSE,"mgtsum.XLS";#N/A,#N/A,FALSE,"CAPONE";#N/A,#N/A,FALSE,"CAPTWO";#N/A,#N/A,FALSE,"CAPTHREE"}</definedName>
    <definedName name="SASAW_3_4_2_3" hidden="1">{#N/A,#N/A,FALSE,"mgtsum.XLS";#N/A,#N/A,FALSE,"CAPONE";#N/A,#N/A,FALSE,"CAPTWO";#N/A,#N/A,FALSE,"CAPTHREE"}</definedName>
    <definedName name="SASAW_3_4_2_4" hidden="1">{#N/A,#N/A,FALSE,"mgtsum.XLS";#N/A,#N/A,FALSE,"CAPONE";#N/A,#N/A,FALSE,"CAPTWO";#N/A,#N/A,FALSE,"CAPTHREE"}</definedName>
    <definedName name="SASAW_3_4_2_5" hidden="1">{#N/A,#N/A,FALSE,"mgtsum.XLS";#N/A,#N/A,FALSE,"CAPONE";#N/A,#N/A,FALSE,"CAPTWO";#N/A,#N/A,FALSE,"CAPTHREE"}</definedName>
    <definedName name="SASAW_3_4_3" hidden="1">{#N/A,#N/A,FALSE,"mgtsum.XLS";#N/A,#N/A,FALSE,"CAPONE";#N/A,#N/A,FALSE,"CAPTWO";#N/A,#N/A,FALSE,"CAPTHREE"}</definedName>
    <definedName name="SASAW_3_4_4" hidden="1">{#N/A,#N/A,FALSE,"mgtsum.XLS";#N/A,#N/A,FALSE,"CAPONE";#N/A,#N/A,FALSE,"CAPTWO";#N/A,#N/A,FALSE,"CAPTHREE"}</definedName>
    <definedName name="SASAW_3_4_5" hidden="1">{#N/A,#N/A,FALSE,"mgtsum.XLS";#N/A,#N/A,FALSE,"CAPONE";#N/A,#N/A,FALSE,"CAPTWO";#N/A,#N/A,FALSE,"CAPTHREE"}</definedName>
    <definedName name="SASAW_3_5" hidden="1">{#N/A,#N/A,FALSE,"mgtsum.XLS";#N/A,#N/A,FALSE,"CAPONE";#N/A,#N/A,FALSE,"CAPTWO";#N/A,#N/A,FALSE,"CAPTHREE"}</definedName>
    <definedName name="SASAW_3_5_1" hidden="1">{#N/A,#N/A,FALSE,"mgtsum.XLS";#N/A,#N/A,FALSE,"CAPONE";#N/A,#N/A,FALSE,"CAPTWO";#N/A,#N/A,FALSE,"CAPTHREE"}</definedName>
    <definedName name="SASAW_3_5_2" hidden="1">{#N/A,#N/A,FALSE,"mgtsum.XLS";#N/A,#N/A,FALSE,"CAPONE";#N/A,#N/A,FALSE,"CAPTWO";#N/A,#N/A,FALSE,"CAPTHREE"}</definedName>
    <definedName name="SASAW_3_5_3" hidden="1">{#N/A,#N/A,FALSE,"mgtsum.XLS";#N/A,#N/A,FALSE,"CAPONE";#N/A,#N/A,FALSE,"CAPTWO";#N/A,#N/A,FALSE,"CAPTHREE"}</definedName>
    <definedName name="SASAW_3_5_4" hidden="1">{#N/A,#N/A,FALSE,"mgtsum.XLS";#N/A,#N/A,FALSE,"CAPONE";#N/A,#N/A,FALSE,"CAPTWO";#N/A,#N/A,FALSE,"CAPTHREE"}</definedName>
    <definedName name="SASAW_3_5_5" hidden="1">{#N/A,#N/A,FALSE,"mgtsum.XLS";#N/A,#N/A,FALSE,"CAPONE";#N/A,#N/A,FALSE,"CAPTWO";#N/A,#N/A,FALSE,"CAPTHREE"}</definedName>
    <definedName name="SASAW_4" hidden="1">{#N/A,#N/A,FALSE,"mgtsum.XLS";#N/A,#N/A,FALSE,"CAPONE";#N/A,#N/A,FALSE,"CAPTWO";#N/A,#N/A,FALSE,"CAPTHREE"}</definedName>
    <definedName name="SASAW_4_1" hidden="1">{#N/A,#N/A,FALSE,"mgtsum.XLS";#N/A,#N/A,FALSE,"CAPONE";#N/A,#N/A,FALSE,"CAPTWO";#N/A,#N/A,FALSE,"CAPTHREE"}</definedName>
    <definedName name="SASAW_4_1_1" hidden="1">{#N/A,#N/A,FALSE,"mgtsum.XLS";#N/A,#N/A,FALSE,"CAPONE";#N/A,#N/A,FALSE,"CAPTWO";#N/A,#N/A,FALSE,"CAPTHREE"}</definedName>
    <definedName name="SASAW_4_1_1_1" hidden="1">{#N/A,#N/A,FALSE,"mgtsum.XLS";#N/A,#N/A,FALSE,"CAPONE";#N/A,#N/A,FALSE,"CAPTWO";#N/A,#N/A,FALSE,"CAPTHREE"}</definedName>
    <definedName name="SASAW_4_1_1_2" hidden="1">{#N/A,#N/A,FALSE,"mgtsum.XLS";#N/A,#N/A,FALSE,"CAPONE";#N/A,#N/A,FALSE,"CAPTWO";#N/A,#N/A,FALSE,"CAPTHREE"}</definedName>
    <definedName name="SASAW_4_1_1_3" hidden="1">{#N/A,#N/A,FALSE,"mgtsum.XLS";#N/A,#N/A,FALSE,"CAPONE";#N/A,#N/A,FALSE,"CAPTWO";#N/A,#N/A,FALSE,"CAPTHREE"}</definedName>
    <definedName name="SASAW_4_1_1_4" hidden="1">{#N/A,#N/A,FALSE,"mgtsum.XLS";#N/A,#N/A,FALSE,"CAPONE";#N/A,#N/A,FALSE,"CAPTWO";#N/A,#N/A,FALSE,"CAPTHREE"}</definedName>
    <definedName name="SASAW_4_1_1_5" hidden="1">{#N/A,#N/A,FALSE,"mgtsum.XLS";#N/A,#N/A,FALSE,"CAPONE";#N/A,#N/A,FALSE,"CAPTWO";#N/A,#N/A,FALSE,"CAPTHREE"}</definedName>
    <definedName name="SASAW_4_1_2" hidden="1">{#N/A,#N/A,FALSE,"mgtsum.XLS";#N/A,#N/A,FALSE,"CAPONE";#N/A,#N/A,FALSE,"CAPTWO";#N/A,#N/A,FALSE,"CAPTHREE"}</definedName>
    <definedName name="SASAW_4_1_2_1" hidden="1">{#N/A,#N/A,FALSE,"mgtsum.XLS";#N/A,#N/A,FALSE,"CAPONE";#N/A,#N/A,FALSE,"CAPTWO";#N/A,#N/A,FALSE,"CAPTHREE"}</definedName>
    <definedName name="SASAW_4_1_2_2" hidden="1">{#N/A,#N/A,FALSE,"mgtsum.XLS";#N/A,#N/A,FALSE,"CAPONE";#N/A,#N/A,FALSE,"CAPTWO";#N/A,#N/A,FALSE,"CAPTHREE"}</definedName>
    <definedName name="SASAW_4_1_2_3" hidden="1">{#N/A,#N/A,FALSE,"mgtsum.XLS";#N/A,#N/A,FALSE,"CAPONE";#N/A,#N/A,FALSE,"CAPTWO";#N/A,#N/A,FALSE,"CAPTHREE"}</definedName>
    <definedName name="SASAW_4_1_2_4" hidden="1">{#N/A,#N/A,FALSE,"mgtsum.XLS";#N/A,#N/A,FALSE,"CAPONE";#N/A,#N/A,FALSE,"CAPTWO";#N/A,#N/A,FALSE,"CAPTHREE"}</definedName>
    <definedName name="SASAW_4_1_2_5" hidden="1">{#N/A,#N/A,FALSE,"mgtsum.XLS";#N/A,#N/A,FALSE,"CAPONE";#N/A,#N/A,FALSE,"CAPTWO";#N/A,#N/A,FALSE,"CAPTHREE"}</definedName>
    <definedName name="SASAW_4_1_3" hidden="1">{#N/A,#N/A,FALSE,"mgtsum.XLS";#N/A,#N/A,FALSE,"CAPONE";#N/A,#N/A,FALSE,"CAPTWO";#N/A,#N/A,FALSE,"CAPTHREE"}</definedName>
    <definedName name="SASAW_4_1_3_1" hidden="1">{#N/A,#N/A,FALSE,"mgtsum.XLS";#N/A,#N/A,FALSE,"CAPONE";#N/A,#N/A,FALSE,"CAPTWO";#N/A,#N/A,FALSE,"CAPTHREE"}</definedName>
    <definedName name="SASAW_4_1_3_2" hidden="1">{#N/A,#N/A,FALSE,"mgtsum.XLS";#N/A,#N/A,FALSE,"CAPONE";#N/A,#N/A,FALSE,"CAPTWO";#N/A,#N/A,FALSE,"CAPTHREE"}</definedName>
    <definedName name="SASAW_4_1_3_3" hidden="1">{#N/A,#N/A,FALSE,"mgtsum.XLS";#N/A,#N/A,FALSE,"CAPONE";#N/A,#N/A,FALSE,"CAPTWO";#N/A,#N/A,FALSE,"CAPTHREE"}</definedName>
    <definedName name="SASAW_4_1_3_4" hidden="1">{#N/A,#N/A,FALSE,"mgtsum.XLS";#N/A,#N/A,FALSE,"CAPONE";#N/A,#N/A,FALSE,"CAPTWO";#N/A,#N/A,FALSE,"CAPTHREE"}</definedName>
    <definedName name="SASAW_4_1_3_5" hidden="1">{#N/A,#N/A,FALSE,"mgtsum.XLS";#N/A,#N/A,FALSE,"CAPONE";#N/A,#N/A,FALSE,"CAPTWO";#N/A,#N/A,FALSE,"CAPTHREE"}</definedName>
    <definedName name="SASAW_4_1_4" hidden="1">{#N/A,#N/A,FALSE,"mgtsum.XLS";#N/A,#N/A,FALSE,"CAPONE";#N/A,#N/A,FALSE,"CAPTWO";#N/A,#N/A,FALSE,"CAPTHREE"}</definedName>
    <definedName name="SASAW_4_1_5" hidden="1">{#N/A,#N/A,FALSE,"mgtsum.XLS";#N/A,#N/A,FALSE,"CAPONE";#N/A,#N/A,FALSE,"CAPTWO";#N/A,#N/A,FALSE,"CAPTHREE"}</definedName>
    <definedName name="SASAW_4_2" hidden="1">{#N/A,#N/A,FALSE,"mgtsum.XLS";#N/A,#N/A,FALSE,"CAPONE";#N/A,#N/A,FALSE,"CAPTWO";#N/A,#N/A,FALSE,"CAPTHREE"}</definedName>
    <definedName name="SASAW_4_2_1" hidden="1">{#N/A,#N/A,FALSE,"mgtsum.XLS";#N/A,#N/A,FALSE,"CAPONE";#N/A,#N/A,FALSE,"CAPTWO";#N/A,#N/A,FALSE,"CAPTHREE"}</definedName>
    <definedName name="SASAW_4_2_2" hidden="1">{#N/A,#N/A,FALSE,"mgtsum.XLS";#N/A,#N/A,FALSE,"CAPONE";#N/A,#N/A,FALSE,"CAPTWO";#N/A,#N/A,FALSE,"CAPTHREE"}</definedName>
    <definedName name="SASAW_4_2_3" hidden="1">{#N/A,#N/A,FALSE,"mgtsum.XLS";#N/A,#N/A,FALSE,"CAPONE";#N/A,#N/A,FALSE,"CAPTWO";#N/A,#N/A,FALSE,"CAPTHREE"}</definedName>
    <definedName name="SASAW_4_2_4" hidden="1">{#N/A,#N/A,FALSE,"mgtsum.XLS";#N/A,#N/A,FALSE,"CAPONE";#N/A,#N/A,FALSE,"CAPTWO";#N/A,#N/A,FALSE,"CAPTHREE"}</definedName>
    <definedName name="SASAW_4_2_5" hidden="1">{#N/A,#N/A,FALSE,"mgtsum.XLS";#N/A,#N/A,FALSE,"CAPONE";#N/A,#N/A,FALSE,"CAPTWO";#N/A,#N/A,FALSE,"CAPTHREE"}</definedName>
    <definedName name="SASAW_4_3" hidden="1">{#N/A,#N/A,FALSE,"mgtsum.XLS";#N/A,#N/A,FALSE,"CAPONE";#N/A,#N/A,FALSE,"CAPTWO";#N/A,#N/A,FALSE,"CAPTHREE"}</definedName>
    <definedName name="SASAW_4_3_1" hidden="1">{#N/A,#N/A,FALSE,"mgtsum.XLS";#N/A,#N/A,FALSE,"CAPONE";#N/A,#N/A,FALSE,"CAPTWO";#N/A,#N/A,FALSE,"CAPTHREE"}</definedName>
    <definedName name="SASAW_4_3_2" hidden="1">{#N/A,#N/A,FALSE,"mgtsum.XLS";#N/A,#N/A,FALSE,"CAPONE";#N/A,#N/A,FALSE,"CAPTWO";#N/A,#N/A,FALSE,"CAPTHREE"}</definedName>
    <definedName name="SASAW_4_3_3" hidden="1">{#N/A,#N/A,FALSE,"mgtsum.XLS";#N/A,#N/A,FALSE,"CAPONE";#N/A,#N/A,FALSE,"CAPTWO";#N/A,#N/A,FALSE,"CAPTHREE"}</definedName>
    <definedName name="SASAW_4_3_4" hidden="1">{#N/A,#N/A,FALSE,"mgtsum.XLS";#N/A,#N/A,FALSE,"CAPONE";#N/A,#N/A,FALSE,"CAPTWO";#N/A,#N/A,FALSE,"CAPTHREE"}</definedName>
    <definedName name="SASAW_4_3_5" hidden="1">{#N/A,#N/A,FALSE,"mgtsum.XLS";#N/A,#N/A,FALSE,"CAPONE";#N/A,#N/A,FALSE,"CAPTWO";#N/A,#N/A,FALSE,"CAPTHREE"}</definedName>
    <definedName name="SASAW_4_4" hidden="1">{#N/A,#N/A,FALSE,"mgtsum.XLS";#N/A,#N/A,FALSE,"CAPONE";#N/A,#N/A,FALSE,"CAPTWO";#N/A,#N/A,FALSE,"CAPTHREE"}</definedName>
    <definedName name="SASAW_4_5" hidden="1">{#N/A,#N/A,FALSE,"mgtsum.XLS";#N/A,#N/A,FALSE,"CAPONE";#N/A,#N/A,FALSE,"CAPTWO";#N/A,#N/A,FALSE,"CAPTHREE"}</definedName>
    <definedName name="SASAW_5" hidden="1">{#N/A,#N/A,FALSE,"mgtsum.XLS";#N/A,#N/A,FALSE,"CAPONE";#N/A,#N/A,FALSE,"CAPTWO";#N/A,#N/A,FALSE,"CAPTHREE"}</definedName>
    <definedName name="SASAW_5_1" hidden="1">{#N/A,#N/A,FALSE,"mgtsum.XLS";#N/A,#N/A,FALSE,"CAPONE";#N/A,#N/A,FALSE,"CAPTWO";#N/A,#N/A,FALSE,"CAPTHREE"}</definedName>
    <definedName name="SASAW_5_1_1" hidden="1">{#N/A,#N/A,FALSE,"mgtsum.XLS";#N/A,#N/A,FALSE,"CAPONE";#N/A,#N/A,FALSE,"CAPTWO";#N/A,#N/A,FALSE,"CAPTHREE"}</definedName>
    <definedName name="SASAW_5_1_2" hidden="1">{#N/A,#N/A,FALSE,"mgtsum.XLS";#N/A,#N/A,FALSE,"CAPONE";#N/A,#N/A,FALSE,"CAPTWO";#N/A,#N/A,FALSE,"CAPTHREE"}</definedName>
    <definedName name="SASAW_5_1_3" hidden="1">{#N/A,#N/A,FALSE,"mgtsum.XLS";#N/A,#N/A,FALSE,"CAPONE";#N/A,#N/A,FALSE,"CAPTWO";#N/A,#N/A,FALSE,"CAPTHREE"}</definedName>
    <definedName name="SASAW_5_1_4" hidden="1">{#N/A,#N/A,FALSE,"mgtsum.XLS";#N/A,#N/A,FALSE,"CAPONE";#N/A,#N/A,FALSE,"CAPTWO";#N/A,#N/A,FALSE,"CAPTHREE"}</definedName>
    <definedName name="SASAW_5_1_5" hidden="1">{#N/A,#N/A,FALSE,"mgtsum.XLS";#N/A,#N/A,FALSE,"CAPONE";#N/A,#N/A,FALSE,"CAPTWO";#N/A,#N/A,FALSE,"CAPTHREE"}</definedName>
    <definedName name="SASAW_5_2" hidden="1">{#N/A,#N/A,FALSE,"mgtsum.XLS";#N/A,#N/A,FALSE,"CAPONE";#N/A,#N/A,FALSE,"CAPTWO";#N/A,#N/A,FALSE,"CAPTHREE"}</definedName>
    <definedName name="SASAW_5_2_1" hidden="1">{#N/A,#N/A,FALSE,"mgtsum.XLS";#N/A,#N/A,FALSE,"CAPONE";#N/A,#N/A,FALSE,"CAPTWO";#N/A,#N/A,FALSE,"CAPTHREE"}</definedName>
    <definedName name="SASAW_5_2_2" hidden="1">{#N/A,#N/A,FALSE,"mgtsum.XLS";#N/A,#N/A,FALSE,"CAPONE";#N/A,#N/A,FALSE,"CAPTWO";#N/A,#N/A,FALSE,"CAPTHREE"}</definedName>
    <definedName name="SASAW_5_2_3" hidden="1">{#N/A,#N/A,FALSE,"mgtsum.XLS";#N/A,#N/A,FALSE,"CAPONE";#N/A,#N/A,FALSE,"CAPTWO";#N/A,#N/A,FALSE,"CAPTHREE"}</definedName>
    <definedName name="SASAW_5_2_4" hidden="1">{#N/A,#N/A,FALSE,"mgtsum.XLS";#N/A,#N/A,FALSE,"CAPONE";#N/A,#N/A,FALSE,"CAPTWO";#N/A,#N/A,FALSE,"CAPTHREE"}</definedName>
    <definedName name="SASAW_5_2_5" hidden="1">{#N/A,#N/A,FALSE,"mgtsum.XLS";#N/A,#N/A,FALSE,"CAPONE";#N/A,#N/A,FALSE,"CAPTWO";#N/A,#N/A,FALSE,"CAPTHREE"}</definedName>
    <definedName name="SASAW_5_3" hidden="1">{#N/A,#N/A,FALSE,"mgtsum.XLS";#N/A,#N/A,FALSE,"CAPONE";#N/A,#N/A,FALSE,"CAPTWO";#N/A,#N/A,FALSE,"CAPTHREE"}</definedName>
    <definedName name="SASAW_5_4" hidden="1">{#N/A,#N/A,FALSE,"mgtsum.XLS";#N/A,#N/A,FALSE,"CAPONE";#N/A,#N/A,FALSE,"CAPTWO";#N/A,#N/A,FALSE,"CAPTHREE"}</definedName>
    <definedName name="SASAW_5_5" hidden="1">{#N/A,#N/A,FALSE,"mgtsum.XLS";#N/A,#N/A,FALSE,"CAPONE";#N/A,#N/A,FALSE,"CAPTWO";#N/A,#N/A,FALSE,"CAPTHREE"}</definedName>
    <definedName name="sasd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TISH" hidden="1">{"'Bill No. 7'!$A$1:$G$32"}</definedName>
    <definedName name="sayfa15" hidden="1">{#N/A,#N/A,FALSE,"Çaykara ataköy (1)";#N/A,#N/A,FALSE,"Çaykara ataköy (2)";#N/A,#N/A,FALSE,"Rize Kalkandere ";#N/A,#N/A,FALSE,"meydancık";#N/A,#N/A,FALSE,"muratlı"}</definedName>
    <definedName name="sb.0" hidden="1">OFFSET([0]!Data.Top.Left,1,0)</definedName>
    <definedName name="sb.0000" hidden="1">OFFSET([0]!Data.Top.Left,1,0)</definedName>
    <definedName name="sb.1" hidden="1">OFFSET([0]!Data.Top.Left,1,0)</definedName>
    <definedName name="sb.13" hidden="1">OFFSET([0]!Data.Top.Left,1,0)</definedName>
    <definedName name="sb.19" hidden="1">OFFSET([0]!Data.Top.Left,1,0)</definedName>
    <definedName name="sb.5" hidden="1">OFFSET([0]!Data.Top.Left,1,0)</definedName>
    <definedName name="sb1.0" hidden="1">OFFSET([0]!Data.Top.Left,1,0)</definedName>
    <definedName name="sb1.0000" hidden="1">OFFSET([0]!Data.Top.Left,1,0)</definedName>
    <definedName name="sb1.1" hidden="1">OFFSET([0]!Data.Top.Left,1,0)</definedName>
    <definedName name="sb1.113" hidden="1">OFFSET([0]!Data.Top.Left,1,0)</definedName>
    <definedName name="sb1.13" hidden="1">OFFSET([0]!Data.Top.Left,1,0)</definedName>
    <definedName name="sb1.5" hidden="1">OFFSET([0]!Data.Top.Left,1,0)</definedName>
    <definedName name="sb3.0" hidden="1">{"'Leverage'!$B$2:$M$418"}</definedName>
    <definedName name="sb3.0000" hidden="1">{"'Leverage'!$B$2:$M$418"}</definedName>
    <definedName name="sb3.1" hidden="1">{"'Leverage'!$B$2:$M$418"}</definedName>
    <definedName name="sb3.13" hidden="1">{"'Leverage'!$B$2:$M$418"}</definedName>
    <definedName name="sb3.14" hidden="1">{"'Leverage'!$B$2:$M$418"}</definedName>
    <definedName name="sb4.0" hidden="1">OFFSET([0]!Data.Top.Left,1,0)</definedName>
    <definedName name="sb4.0000" hidden="1">OFFSET([0]!Data.Top.Left,1,0)</definedName>
    <definedName name="sb4.1" hidden="1">OFFSET([0]!Data.Top.Left,1,0)</definedName>
    <definedName name="sb4.13" hidden="1">OFFSET([0]!Data.Top.Left,1,0)</definedName>
    <definedName name="sb4.3" hidden="1">{"'Leverage'!$B$2:$M$418"}</definedName>
    <definedName name="sb4.5" hidden="1">OFFSET([0]!Data.Top.Left,1,0)</definedName>
    <definedName name="SBBC">#REF!</definedName>
    <definedName name="sc" hidden="1">{"PLANNING",#N/A,FALSE,"A"}</definedName>
    <definedName name="SC_ADJUST">#N/A</definedName>
    <definedName name="SCA">#REF!</definedName>
    <definedName name="Scaffolding" hidden="1">{"'Break down'!$A$4"}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ascda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cds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chedule">#REF!</definedName>
    <definedName name="scrap" hidden="1">#REF!</definedName>
    <definedName name="scraps" hidden="1">#REF!</definedName>
    <definedName name="SCURVE" hidden="1">#REF!</definedName>
    <definedName name="sd" localSheetId="1" hidden="1">{"msc sw feat summary",#N/A,FALSE,"MSC SW Features v. 1.1."}</definedName>
    <definedName name="sd" hidden="1">{"msc sw feat summary",#N/A,FALSE,"MSC SW Features v. 1.1."}</definedName>
    <definedName name="sd_1" hidden="1">{"'Bill No. 7'!$A$1:$G$32"}</definedName>
    <definedName name="sd_1_1" hidden="1">{"'Bill No. 7'!$A$1:$G$32"}</definedName>
    <definedName name="sd_1_2" hidden="1">{"'Bill No. 7'!$A$1:$G$32"}</definedName>
    <definedName name="sd_1_3" hidden="1">{"'Bill No. 7'!$A$1:$G$32"}</definedName>
    <definedName name="sd_2" hidden="1">{"'Bill No. 7'!$A$1:$G$32"}</definedName>
    <definedName name="sd_2_1" hidden="1">{"'Bill No. 7'!$A$1:$G$32"}</definedName>
    <definedName name="sd_2_2" hidden="1">{"'Bill No. 7'!$A$1:$G$32"}</definedName>
    <definedName name="sd_2_3" hidden="1">{"'Bill No. 7'!$A$1:$G$32"}</definedName>
    <definedName name="sd_3" hidden="1">{"'Bill No. 7'!$A$1:$G$32"}</definedName>
    <definedName name="sd_3_1" hidden="1">{"'Bill No. 7'!$A$1:$G$32"}</definedName>
    <definedName name="sd_3_2" hidden="1">{"'Bill No. 7'!$A$1:$G$32"}</definedName>
    <definedName name="sd_3_3" hidden="1">{"'Bill No. 7'!$A$1:$G$32"}</definedName>
    <definedName name="sd_4" hidden="1">{"'Bill No. 7'!$A$1:$G$32"}</definedName>
    <definedName name="sd_4_1" hidden="1">{"'Bill No. 7'!$A$1:$G$32"}</definedName>
    <definedName name="sd_4_2" hidden="1">{"'Bill No. 7'!$A$1:$G$32"}</definedName>
    <definedName name="sd_4_3" hidden="1">{"'Bill No. 7'!$A$1:$G$32"}</definedName>
    <definedName name="sd_5" hidden="1">{"'Bill No. 7'!$A$1:$G$32"}</definedName>
    <definedName name="sd_5_1" hidden="1">{"'Bill No. 7'!$A$1:$G$32"}</definedName>
    <definedName name="sd_5_2" hidden="1">{"'Bill No. 7'!$A$1:$G$32"}</definedName>
    <definedName name="sd_5_3" hidden="1">{"'Bill No. 7'!$A$1:$G$32"}</definedName>
    <definedName name="Sdate">#REF!</definedName>
    <definedName name="sdavf" hidden="1">#REF!</definedName>
    <definedName name="SDD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sdef" hidden="1">#REF!</definedName>
    <definedName name="sdefegdeg" hidden="1">{#N/A,#N/A,TRUE,"Cover";#N/A,#N/A,TRUE,"Conts";#N/A,#N/A,TRUE,"VOS";#N/A,#N/A,TRUE,"Warrington";#N/A,#N/A,TRUE,"Widnes"}</definedName>
    <definedName name="sdf" localSheetId="1" hidden="1">{#N/A,#N/A,FALSE,"mgtsum.XLS";#N/A,#N/A,FALSE,"CAPONE";#N/A,#N/A,FALSE,"CAPTWO";#N/A,#N/A,FALSE,"CAPTHREE"}</definedName>
    <definedName name="sdf" hidden="1">{#N/A,#N/A,FALSE,"mgtsum.XLS";#N/A,#N/A,FALSE,"CAPONE";#N/A,#N/A,FALSE,"CAPTWO";#N/A,#N/A,FALSE,"CAPTHREE"}</definedName>
    <definedName name="sdf_1" hidden="1">{#N/A,#N/A,FALSE,"mgtsum.XLS";#N/A,#N/A,FALSE,"CAPONE";#N/A,#N/A,FALSE,"CAPTWO";#N/A,#N/A,FALSE,"CAPTHREE"}</definedName>
    <definedName name="sdf_1_1" hidden="1">{#N/A,#N/A,FALSE,"mgtsum.XLS";#N/A,#N/A,FALSE,"CAPONE";#N/A,#N/A,FALSE,"CAPTWO";#N/A,#N/A,FALSE,"CAPTHREE"}</definedName>
    <definedName name="sdf_1_1_1" hidden="1">{#N/A,#N/A,FALSE,"mgtsum.XLS";#N/A,#N/A,FALSE,"CAPONE";#N/A,#N/A,FALSE,"CAPTWO";#N/A,#N/A,FALSE,"CAPTHREE"}</definedName>
    <definedName name="sdf_1_1_1_1" hidden="1">{#N/A,#N/A,FALSE,"mgtsum.XLS";#N/A,#N/A,FALSE,"CAPONE";#N/A,#N/A,FALSE,"CAPTWO";#N/A,#N/A,FALSE,"CAPTHREE"}</definedName>
    <definedName name="sdf_1_1_1_2" hidden="1">{#N/A,#N/A,FALSE,"mgtsum.XLS";#N/A,#N/A,FALSE,"CAPONE";#N/A,#N/A,FALSE,"CAPTWO";#N/A,#N/A,FALSE,"CAPTHREE"}</definedName>
    <definedName name="sdf_1_1_1_3" hidden="1">{#N/A,#N/A,FALSE,"mgtsum.XLS";#N/A,#N/A,FALSE,"CAPONE";#N/A,#N/A,FALSE,"CAPTWO";#N/A,#N/A,FALSE,"CAPTHREE"}</definedName>
    <definedName name="sdf_1_1_1_4" hidden="1">{#N/A,#N/A,FALSE,"mgtsum.XLS";#N/A,#N/A,FALSE,"CAPONE";#N/A,#N/A,FALSE,"CAPTWO";#N/A,#N/A,FALSE,"CAPTHREE"}</definedName>
    <definedName name="sdf_1_1_1_5" hidden="1">{#N/A,#N/A,FALSE,"mgtsum.XLS";#N/A,#N/A,FALSE,"CAPONE";#N/A,#N/A,FALSE,"CAPTWO";#N/A,#N/A,FALSE,"CAPTHREE"}</definedName>
    <definedName name="sdf_1_1_2" hidden="1">{#N/A,#N/A,FALSE,"mgtsum.XLS";#N/A,#N/A,FALSE,"CAPONE";#N/A,#N/A,FALSE,"CAPTWO";#N/A,#N/A,FALSE,"CAPTHREE"}</definedName>
    <definedName name="sdf_1_1_2_1" hidden="1">{#N/A,#N/A,FALSE,"mgtsum.XLS";#N/A,#N/A,FALSE,"CAPONE";#N/A,#N/A,FALSE,"CAPTWO";#N/A,#N/A,FALSE,"CAPTHREE"}</definedName>
    <definedName name="sdf_1_1_2_2" hidden="1">{#N/A,#N/A,FALSE,"mgtsum.XLS";#N/A,#N/A,FALSE,"CAPONE";#N/A,#N/A,FALSE,"CAPTWO";#N/A,#N/A,FALSE,"CAPTHREE"}</definedName>
    <definedName name="sdf_1_1_2_3" hidden="1">{#N/A,#N/A,FALSE,"mgtsum.XLS";#N/A,#N/A,FALSE,"CAPONE";#N/A,#N/A,FALSE,"CAPTWO";#N/A,#N/A,FALSE,"CAPTHREE"}</definedName>
    <definedName name="sdf_1_1_2_4" hidden="1">{#N/A,#N/A,FALSE,"mgtsum.XLS";#N/A,#N/A,FALSE,"CAPONE";#N/A,#N/A,FALSE,"CAPTWO";#N/A,#N/A,FALSE,"CAPTHREE"}</definedName>
    <definedName name="sdf_1_1_2_5" hidden="1">{#N/A,#N/A,FALSE,"mgtsum.XLS";#N/A,#N/A,FALSE,"CAPONE";#N/A,#N/A,FALSE,"CAPTWO";#N/A,#N/A,FALSE,"CAPTHREE"}</definedName>
    <definedName name="sdf_1_1_3" hidden="1">{#N/A,#N/A,FALSE,"mgtsum.XLS";#N/A,#N/A,FALSE,"CAPONE";#N/A,#N/A,FALSE,"CAPTWO";#N/A,#N/A,FALSE,"CAPTHREE"}</definedName>
    <definedName name="sdf_1_1_3_1" hidden="1">{#N/A,#N/A,FALSE,"mgtsum.XLS";#N/A,#N/A,FALSE,"CAPONE";#N/A,#N/A,FALSE,"CAPTWO";#N/A,#N/A,FALSE,"CAPTHREE"}</definedName>
    <definedName name="sdf_1_1_3_2" hidden="1">{#N/A,#N/A,FALSE,"mgtsum.XLS";#N/A,#N/A,FALSE,"CAPONE";#N/A,#N/A,FALSE,"CAPTWO";#N/A,#N/A,FALSE,"CAPTHREE"}</definedName>
    <definedName name="sdf_1_1_3_3" hidden="1">{#N/A,#N/A,FALSE,"mgtsum.XLS";#N/A,#N/A,FALSE,"CAPONE";#N/A,#N/A,FALSE,"CAPTWO";#N/A,#N/A,FALSE,"CAPTHREE"}</definedName>
    <definedName name="sdf_1_1_3_4" hidden="1">{#N/A,#N/A,FALSE,"mgtsum.XLS";#N/A,#N/A,FALSE,"CAPONE";#N/A,#N/A,FALSE,"CAPTWO";#N/A,#N/A,FALSE,"CAPTHREE"}</definedName>
    <definedName name="sdf_1_1_3_5" hidden="1">{#N/A,#N/A,FALSE,"mgtsum.XLS";#N/A,#N/A,FALSE,"CAPONE";#N/A,#N/A,FALSE,"CAPTWO";#N/A,#N/A,FALSE,"CAPTHREE"}</definedName>
    <definedName name="sdf_1_1_4" hidden="1">{#N/A,#N/A,FALSE,"mgtsum.XLS";#N/A,#N/A,FALSE,"CAPONE";#N/A,#N/A,FALSE,"CAPTWO";#N/A,#N/A,FALSE,"CAPTHREE"}</definedName>
    <definedName name="sdf_1_1_5" hidden="1">{#N/A,#N/A,FALSE,"mgtsum.XLS";#N/A,#N/A,FALSE,"CAPONE";#N/A,#N/A,FALSE,"CAPTWO";#N/A,#N/A,FALSE,"CAPTHREE"}</definedName>
    <definedName name="sdf_1_2" hidden="1">{#N/A,#N/A,FALSE,"mgtsum.XLS";#N/A,#N/A,FALSE,"CAPONE";#N/A,#N/A,FALSE,"CAPTWO";#N/A,#N/A,FALSE,"CAPTHREE"}</definedName>
    <definedName name="sdf_1_2_1" hidden="1">{#N/A,#N/A,FALSE,"mgtsum.XLS";#N/A,#N/A,FALSE,"CAPONE";#N/A,#N/A,FALSE,"CAPTWO";#N/A,#N/A,FALSE,"CAPTHREE"}</definedName>
    <definedName name="sdf_1_2_1_1" hidden="1">{#N/A,#N/A,FALSE,"mgtsum.XLS";#N/A,#N/A,FALSE,"CAPONE";#N/A,#N/A,FALSE,"CAPTWO";#N/A,#N/A,FALSE,"CAPTHREE"}</definedName>
    <definedName name="sdf_1_2_1_2" hidden="1">{#N/A,#N/A,FALSE,"mgtsum.XLS";#N/A,#N/A,FALSE,"CAPONE";#N/A,#N/A,FALSE,"CAPTWO";#N/A,#N/A,FALSE,"CAPTHREE"}</definedName>
    <definedName name="sdf_1_2_1_3" hidden="1">{#N/A,#N/A,FALSE,"mgtsum.XLS";#N/A,#N/A,FALSE,"CAPONE";#N/A,#N/A,FALSE,"CAPTWO";#N/A,#N/A,FALSE,"CAPTHREE"}</definedName>
    <definedName name="sdf_1_2_1_4" hidden="1">{#N/A,#N/A,FALSE,"mgtsum.XLS";#N/A,#N/A,FALSE,"CAPONE";#N/A,#N/A,FALSE,"CAPTWO";#N/A,#N/A,FALSE,"CAPTHREE"}</definedName>
    <definedName name="sdf_1_2_1_5" hidden="1">{#N/A,#N/A,FALSE,"mgtsum.XLS";#N/A,#N/A,FALSE,"CAPONE";#N/A,#N/A,FALSE,"CAPTWO";#N/A,#N/A,FALSE,"CAPTHREE"}</definedName>
    <definedName name="sdf_1_2_2" hidden="1">{#N/A,#N/A,FALSE,"mgtsum.XLS";#N/A,#N/A,FALSE,"CAPONE";#N/A,#N/A,FALSE,"CAPTWO";#N/A,#N/A,FALSE,"CAPTHREE"}</definedName>
    <definedName name="sdf_1_2_2_1" hidden="1">{#N/A,#N/A,FALSE,"mgtsum.XLS";#N/A,#N/A,FALSE,"CAPONE";#N/A,#N/A,FALSE,"CAPTWO";#N/A,#N/A,FALSE,"CAPTHREE"}</definedName>
    <definedName name="sdf_1_2_2_2" hidden="1">{#N/A,#N/A,FALSE,"mgtsum.XLS";#N/A,#N/A,FALSE,"CAPONE";#N/A,#N/A,FALSE,"CAPTWO";#N/A,#N/A,FALSE,"CAPTHREE"}</definedName>
    <definedName name="sdf_1_2_2_3" hidden="1">{#N/A,#N/A,FALSE,"mgtsum.XLS";#N/A,#N/A,FALSE,"CAPONE";#N/A,#N/A,FALSE,"CAPTWO";#N/A,#N/A,FALSE,"CAPTHREE"}</definedName>
    <definedName name="sdf_1_2_2_4" hidden="1">{#N/A,#N/A,FALSE,"mgtsum.XLS";#N/A,#N/A,FALSE,"CAPONE";#N/A,#N/A,FALSE,"CAPTWO";#N/A,#N/A,FALSE,"CAPTHREE"}</definedName>
    <definedName name="sdf_1_2_2_5" hidden="1">{#N/A,#N/A,FALSE,"mgtsum.XLS";#N/A,#N/A,FALSE,"CAPONE";#N/A,#N/A,FALSE,"CAPTWO";#N/A,#N/A,FALSE,"CAPTHREE"}</definedName>
    <definedName name="sdf_1_2_3" hidden="1">{#N/A,#N/A,FALSE,"mgtsum.XLS";#N/A,#N/A,FALSE,"CAPONE";#N/A,#N/A,FALSE,"CAPTWO";#N/A,#N/A,FALSE,"CAPTHREE"}</definedName>
    <definedName name="sdf_1_2_4" hidden="1">{#N/A,#N/A,FALSE,"mgtsum.XLS";#N/A,#N/A,FALSE,"CAPONE";#N/A,#N/A,FALSE,"CAPTWO";#N/A,#N/A,FALSE,"CAPTHREE"}</definedName>
    <definedName name="sdf_1_2_5" hidden="1">{#N/A,#N/A,FALSE,"mgtsum.XLS";#N/A,#N/A,FALSE,"CAPONE";#N/A,#N/A,FALSE,"CAPTWO";#N/A,#N/A,FALSE,"CAPTHREE"}</definedName>
    <definedName name="sdf_1_3" hidden="1">{#N/A,#N/A,FALSE,"mgtsum.XLS";#N/A,#N/A,FALSE,"CAPONE";#N/A,#N/A,FALSE,"CAPTWO";#N/A,#N/A,FALSE,"CAPTHREE"}</definedName>
    <definedName name="sdf_1_3_1" hidden="1">{#N/A,#N/A,FALSE,"mgtsum.XLS";#N/A,#N/A,FALSE,"CAPONE";#N/A,#N/A,FALSE,"CAPTWO";#N/A,#N/A,FALSE,"CAPTHREE"}</definedName>
    <definedName name="sdf_1_3_1_1" hidden="1">{#N/A,#N/A,FALSE,"mgtsum.XLS";#N/A,#N/A,FALSE,"CAPONE";#N/A,#N/A,FALSE,"CAPTWO";#N/A,#N/A,FALSE,"CAPTHREE"}</definedName>
    <definedName name="sdf_1_3_1_2" hidden="1">{#N/A,#N/A,FALSE,"mgtsum.XLS";#N/A,#N/A,FALSE,"CAPONE";#N/A,#N/A,FALSE,"CAPTWO";#N/A,#N/A,FALSE,"CAPTHREE"}</definedName>
    <definedName name="sdf_1_3_1_3" hidden="1">{#N/A,#N/A,FALSE,"mgtsum.XLS";#N/A,#N/A,FALSE,"CAPONE";#N/A,#N/A,FALSE,"CAPTWO";#N/A,#N/A,FALSE,"CAPTHREE"}</definedName>
    <definedName name="sdf_1_3_1_4" hidden="1">{#N/A,#N/A,FALSE,"mgtsum.XLS";#N/A,#N/A,FALSE,"CAPONE";#N/A,#N/A,FALSE,"CAPTWO";#N/A,#N/A,FALSE,"CAPTHREE"}</definedName>
    <definedName name="sdf_1_3_1_5" hidden="1">{#N/A,#N/A,FALSE,"mgtsum.XLS";#N/A,#N/A,FALSE,"CAPONE";#N/A,#N/A,FALSE,"CAPTWO";#N/A,#N/A,FALSE,"CAPTHREE"}</definedName>
    <definedName name="sdf_1_3_2" hidden="1">{#N/A,#N/A,FALSE,"mgtsum.XLS";#N/A,#N/A,FALSE,"CAPONE";#N/A,#N/A,FALSE,"CAPTWO";#N/A,#N/A,FALSE,"CAPTHREE"}</definedName>
    <definedName name="sdf_1_3_2_1" hidden="1">{#N/A,#N/A,FALSE,"mgtsum.XLS";#N/A,#N/A,FALSE,"CAPONE";#N/A,#N/A,FALSE,"CAPTWO";#N/A,#N/A,FALSE,"CAPTHREE"}</definedName>
    <definedName name="sdf_1_3_2_2" hidden="1">{#N/A,#N/A,FALSE,"mgtsum.XLS";#N/A,#N/A,FALSE,"CAPONE";#N/A,#N/A,FALSE,"CAPTWO";#N/A,#N/A,FALSE,"CAPTHREE"}</definedName>
    <definedName name="sdf_1_3_2_3" hidden="1">{#N/A,#N/A,FALSE,"mgtsum.XLS";#N/A,#N/A,FALSE,"CAPONE";#N/A,#N/A,FALSE,"CAPTWO";#N/A,#N/A,FALSE,"CAPTHREE"}</definedName>
    <definedName name="sdf_1_3_2_4" hidden="1">{#N/A,#N/A,FALSE,"mgtsum.XLS";#N/A,#N/A,FALSE,"CAPONE";#N/A,#N/A,FALSE,"CAPTWO";#N/A,#N/A,FALSE,"CAPTHREE"}</definedName>
    <definedName name="sdf_1_3_2_5" hidden="1">{#N/A,#N/A,FALSE,"mgtsum.XLS";#N/A,#N/A,FALSE,"CAPONE";#N/A,#N/A,FALSE,"CAPTWO";#N/A,#N/A,FALSE,"CAPTHREE"}</definedName>
    <definedName name="sdf_1_3_3" hidden="1">{#N/A,#N/A,FALSE,"mgtsum.XLS";#N/A,#N/A,FALSE,"CAPONE";#N/A,#N/A,FALSE,"CAPTWO";#N/A,#N/A,FALSE,"CAPTHREE"}</definedName>
    <definedName name="sdf_1_3_4" hidden="1">{#N/A,#N/A,FALSE,"mgtsum.XLS";#N/A,#N/A,FALSE,"CAPONE";#N/A,#N/A,FALSE,"CAPTWO";#N/A,#N/A,FALSE,"CAPTHREE"}</definedName>
    <definedName name="sdf_1_3_5" hidden="1">{#N/A,#N/A,FALSE,"mgtsum.XLS";#N/A,#N/A,FALSE,"CAPONE";#N/A,#N/A,FALSE,"CAPTWO";#N/A,#N/A,FALSE,"CAPTHREE"}</definedName>
    <definedName name="sdf_1_4" hidden="1">{#N/A,#N/A,FALSE,"mgtsum.XLS";#N/A,#N/A,FALSE,"CAPONE";#N/A,#N/A,FALSE,"CAPTWO";#N/A,#N/A,FALSE,"CAPTHREE"}</definedName>
    <definedName name="sdf_1_4_1" hidden="1">{#N/A,#N/A,FALSE,"mgtsum.XLS";#N/A,#N/A,FALSE,"CAPONE";#N/A,#N/A,FALSE,"CAPTWO";#N/A,#N/A,FALSE,"CAPTHREE"}</definedName>
    <definedName name="sdf_1_4_1_1" hidden="1">{#N/A,#N/A,FALSE,"mgtsum.XLS";#N/A,#N/A,FALSE,"CAPONE";#N/A,#N/A,FALSE,"CAPTWO";#N/A,#N/A,FALSE,"CAPTHREE"}</definedName>
    <definedName name="sdf_1_4_1_2" hidden="1">{#N/A,#N/A,FALSE,"mgtsum.XLS";#N/A,#N/A,FALSE,"CAPONE";#N/A,#N/A,FALSE,"CAPTWO";#N/A,#N/A,FALSE,"CAPTHREE"}</definedName>
    <definedName name="sdf_1_4_1_3" hidden="1">{#N/A,#N/A,FALSE,"mgtsum.XLS";#N/A,#N/A,FALSE,"CAPONE";#N/A,#N/A,FALSE,"CAPTWO";#N/A,#N/A,FALSE,"CAPTHREE"}</definedName>
    <definedName name="sdf_1_4_1_4" hidden="1">{#N/A,#N/A,FALSE,"mgtsum.XLS";#N/A,#N/A,FALSE,"CAPONE";#N/A,#N/A,FALSE,"CAPTWO";#N/A,#N/A,FALSE,"CAPTHREE"}</definedName>
    <definedName name="sdf_1_4_1_5" hidden="1">{#N/A,#N/A,FALSE,"mgtsum.XLS";#N/A,#N/A,FALSE,"CAPONE";#N/A,#N/A,FALSE,"CAPTWO";#N/A,#N/A,FALSE,"CAPTHREE"}</definedName>
    <definedName name="sdf_1_4_2" hidden="1">{#N/A,#N/A,FALSE,"mgtsum.XLS";#N/A,#N/A,FALSE,"CAPONE";#N/A,#N/A,FALSE,"CAPTWO";#N/A,#N/A,FALSE,"CAPTHREE"}</definedName>
    <definedName name="sdf_1_4_2_1" hidden="1">{#N/A,#N/A,FALSE,"mgtsum.XLS";#N/A,#N/A,FALSE,"CAPONE";#N/A,#N/A,FALSE,"CAPTWO";#N/A,#N/A,FALSE,"CAPTHREE"}</definedName>
    <definedName name="sdf_1_4_2_2" hidden="1">{#N/A,#N/A,FALSE,"mgtsum.XLS";#N/A,#N/A,FALSE,"CAPONE";#N/A,#N/A,FALSE,"CAPTWO";#N/A,#N/A,FALSE,"CAPTHREE"}</definedName>
    <definedName name="sdf_1_4_2_3" hidden="1">{#N/A,#N/A,FALSE,"mgtsum.XLS";#N/A,#N/A,FALSE,"CAPONE";#N/A,#N/A,FALSE,"CAPTWO";#N/A,#N/A,FALSE,"CAPTHREE"}</definedName>
    <definedName name="sdf_1_4_2_4" hidden="1">{#N/A,#N/A,FALSE,"mgtsum.XLS";#N/A,#N/A,FALSE,"CAPONE";#N/A,#N/A,FALSE,"CAPTWO";#N/A,#N/A,FALSE,"CAPTHREE"}</definedName>
    <definedName name="sdf_1_4_2_5" hidden="1">{#N/A,#N/A,FALSE,"mgtsum.XLS";#N/A,#N/A,FALSE,"CAPONE";#N/A,#N/A,FALSE,"CAPTWO";#N/A,#N/A,FALSE,"CAPTHREE"}</definedName>
    <definedName name="sdf_1_4_3" hidden="1">{#N/A,#N/A,FALSE,"mgtsum.XLS";#N/A,#N/A,FALSE,"CAPONE";#N/A,#N/A,FALSE,"CAPTWO";#N/A,#N/A,FALSE,"CAPTHREE"}</definedName>
    <definedName name="sdf_1_4_4" hidden="1">{#N/A,#N/A,FALSE,"mgtsum.XLS";#N/A,#N/A,FALSE,"CAPONE";#N/A,#N/A,FALSE,"CAPTWO";#N/A,#N/A,FALSE,"CAPTHREE"}</definedName>
    <definedName name="sdf_1_4_5" hidden="1">{#N/A,#N/A,FALSE,"mgtsum.XLS";#N/A,#N/A,FALSE,"CAPONE";#N/A,#N/A,FALSE,"CAPTWO";#N/A,#N/A,FALSE,"CAPTHREE"}</definedName>
    <definedName name="sdf_1_5" hidden="1">{#N/A,#N/A,FALSE,"mgtsum.XLS";#N/A,#N/A,FALSE,"CAPONE";#N/A,#N/A,FALSE,"CAPTWO";#N/A,#N/A,FALSE,"CAPTHREE"}</definedName>
    <definedName name="sdf_1_5_1" hidden="1">{#N/A,#N/A,FALSE,"mgtsum.XLS";#N/A,#N/A,FALSE,"CAPONE";#N/A,#N/A,FALSE,"CAPTWO";#N/A,#N/A,FALSE,"CAPTHREE"}</definedName>
    <definedName name="sdf_1_5_1_1" hidden="1">{#N/A,#N/A,FALSE,"mgtsum.XLS";#N/A,#N/A,FALSE,"CAPONE";#N/A,#N/A,FALSE,"CAPTWO";#N/A,#N/A,FALSE,"CAPTHREE"}</definedName>
    <definedName name="sdf_1_5_1_2" hidden="1">{#N/A,#N/A,FALSE,"mgtsum.XLS";#N/A,#N/A,FALSE,"CAPONE";#N/A,#N/A,FALSE,"CAPTWO";#N/A,#N/A,FALSE,"CAPTHREE"}</definedName>
    <definedName name="sdf_1_5_1_3" hidden="1">{#N/A,#N/A,FALSE,"mgtsum.XLS";#N/A,#N/A,FALSE,"CAPONE";#N/A,#N/A,FALSE,"CAPTWO";#N/A,#N/A,FALSE,"CAPTHREE"}</definedName>
    <definedName name="sdf_1_5_1_4" hidden="1">{#N/A,#N/A,FALSE,"mgtsum.XLS";#N/A,#N/A,FALSE,"CAPONE";#N/A,#N/A,FALSE,"CAPTWO";#N/A,#N/A,FALSE,"CAPTHREE"}</definedName>
    <definedName name="sdf_1_5_1_5" hidden="1">{#N/A,#N/A,FALSE,"mgtsum.XLS";#N/A,#N/A,FALSE,"CAPONE";#N/A,#N/A,FALSE,"CAPTWO";#N/A,#N/A,FALSE,"CAPTHREE"}</definedName>
    <definedName name="sdf_1_5_2" hidden="1">{#N/A,#N/A,FALSE,"mgtsum.XLS";#N/A,#N/A,FALSE,"CAPONE";#N/A,#N/A,FALSE,"CAPTWO";#N/A,#N/A,FALSE,"CAPTHREE"}</definedName>
    <definedName name="sdf_1_5_2_1" hidden="1">{#N/A,#N/A,FALSE,"mgtsum.XLS";#N/A,#N/A,FALSE,"CAPONE";#N/A,#N/A,FALSE,"CAPTWO";#N/A,#N/A,FALSE,"CAPTHREE"}</definedName>
    <definedName name="sdf_1_5_2_2" hidden="1">{#N/A,#N/A,FALSE,"mgtsum.XLS";#N/A,#N/A,FALSE,"CAPONE";#N/A,#N/A,FALSE,"CAPTWO";#N/A,#N/A,FALSE,"CAPTHREE"}</definedName>
    <definedName name="sdf_1_5_2_3" hidden="1">{#N/A,#N/A,FALSE,"mgtsum.XLS";#N/A,#N/A,FALSE,"CAPONE";#N/A,#N/A,FALSE,"CAPTWO";#N/A,#N/A,FALSE,"CAPTHREE"}</definedName>
    <definedName name="sdf_1_5_2_4" hidden="1">{#N/A,#N/A,FALSE,"mgtsum.XLS";#N/A,#N/A,FALSE,"CAPONE";#N/A,#N/A,FALSE,"CAPTWO";#N/A,#N/A,FALSE,"CAPTHREE"}</definedName>
    <definedName name="sdf_1_5_2_5" hidden="1">{#N/A,#N/A,FALSE,"mgtsum.XLS";#N/A,#N/A,FALSE,"CAPONE";#N/A,#N/A,FALSE,"CAPTWO";#N/A,#N/A,FALSE,"CAPTHREE"}</definedName>
    <definedName name="sdf_1_5_3" hidden="1">{#N/A,#N/A,FALSE,"mgtsum.XLS";#N/A,#N/A,FALSE,"CAPONE";#N/A,#N/A,FALSE,"CAPTWO";#N/A,#N/A,FALSE,"CAPTHREE"}</definedName>
    <definedName name="sdf_1_5_4" hidden="1">{#N/A,#N/A,FALSE,"mgtsum.XLS";#N/A,#N/A,FALSE,"CAPONE";#N/A,#N/A,FALSE,"CAPTWO";#N/A,#N/A,FALSE,"CAPTHREE"}</definedName>
    <definedName name="sdf_1_5_5" hidden="1">{#N/A,#N/A,FALSE,"mgtsum.XLS";#N/A,#N/A,FALSE,"CAPONE";#N/A,#N/A,FALSE,"CAPTWO";#N/A,#N/A,FALSE,"CAPTHREE"}</definedName>
    <definedName name="sdf_2" hidden="1">{#N/A,#N/A,FALSE,"mgtsum.XLS";#N/A,#N/A,FALSE,"CAPONE";#N/A,#N/A,FALSE,"CAPTWO";#N/A,#N/A,FALSE,"CAPTHREE"}</definedName>
    <definedName name="sdf_2_1" hidden="1">{#N/A,#N/A,FALSE,"mgtsum.XLS";#N/A,#N/A,FALSE,"CAPONE";#N/A,#N/A,FALSE,"CAPTWO";#N/A,#N/A,FALSE,"CAPTHREE"}</definedName>
    <definedName name="sdf_2_1_1" hidden="1">{#N/A,#N/A,FALSE,"mgtsum.XLS";#N/A,#N/A,FALSE,"CAPONE";#N/A,#N/A,FALSE,"CAPTWO";#N/A,#N/A,FALSE,"CAPTHREE"}</definedName>
    <definedName name="sdf_2_1_1_1" hidden="1">{#N/A,#N/A,FALSE,"mgtsum.XLS";#N/A,#N/A,FALSE,"CAPONE";#N/A,#N/A,FALSE,"CAPTWO";#N/A,#N/A,FALSE,"CAPTHREE"}</definedName>
    <definedName name="sdf_2_1_1_2" hidden="1">{#N/A,#N/A,FALSE,"mgtsum.XLS";#N/A,#N/A,FALSE,"CAPONE";#N/A,#N/A,FALSE,"CAPTWO";#N/A,#N/A,FALSE,"CAPTHREE"}</definedName>
    <definedName name="sdf_2_1_1_3" hidden="1">{#N/A,#N/A,FALSE,"mgtsum.XLS";#N/A,#N/A,FALSE,"CAPONE";#N/A,#N/A,FALSE,"CAPTWO";#N/A,#N/A,FALSE,"CAPTHREE"}</definedName>
    <definedName name="sdf_2_1_1_4" hidden="1">{#N/A,#N/A,FALSE,"mgtsum.XLS";#N/A,#N/A,FALSE,"CAPONE";#N/A,#N/A,FALSE,"CAPTWO";#N/A,#N/A,FALSE,"CAPTHREE"}</definedName>
    <definedName name="sdf_2_1_1_5" hidden="1">{#N/A,#N/A,FALSE,"mgtsum.XLS";#N/A,#N/A,FALSE,"CAPONE";#N/A,#N/A,FALSE,"CAPTWO";#N/A,#N/A,FALSE,"CAPTHREE"}</definedName>
    <definedName name="sdf_2_1_2" hidden="1">{#N/A,#N/A,FALSE,"mgtsum.XLS";#N/A,#N/A,FALSE,"CAPONE";#N/A,#N/A,FALSE,"CAPTWO";#N/A,#N/A,FALSE,"CAPTHREE"}</definedName>
    <definedName name="sdf_2_1_2_1" hidden="1">{#N/A,#N/A,FALSE,"mgtsum.XLS";#N/A,#N/A,FALSE,"CAPONE";#N/A,#N/A,FALSE,"CAPTWO";#N/A,#N/A,FALSE,"CAPTHREE"}</definedName>
    <definedName name="sdf_2_1_2_2" hidden="1">{#N/A,#N/A,FALSE,"mgtsum.XLS";#N/A,#N/A,FALSE,"CAPONE";#N/A,#N/A,FALSE,"CAPTWO";#N/A,#N/A,FALSE,"CAPTHREE"}</definedName>
    <definedName name="sdf_2_1_2_3" hidden="1">{#N/A,#N/A,FALSE,"mgtsum.XLS";#N/A,#N/A,FALSE,"CAPONE";#N/A,#N/A,FALSE,"CAPTWO";#N/A,#N/A,FALSE,"CAPTHREE"}</definedName>
    <definedName name="sdf_2_1_2_4" hidden="1">{#N/A,#N/A,FALSE,"mgtsum.XLS";#N/A,#N/A,FALSE,"CAPONE";#N/A,#N/A,FALSE,"CAPTWO";#N/A,#N/A,FALSE,"CAPTHREE"}</definedName>
    <definedName name="sdf_2_1_2_5" hidden="1">{#N/A,#N/A,FALSE,"mgtsum.XLS";#N/A,#N/A,FALSE,"CAPONE";#N/A,#N/A,FALSE,"CAPTWO";#N/A,#N/A,FALSE,"CAPTHREE"}</definedName>
    <definedName name="sdf_2_1_3" hidden="1">{#N/A,#N/A,FALSE,"mgtsum.XLS";#N/A,#N/A,FALSE,"CAPONE";#N/A,#N/A,FALSE,"CAPTWO";#N/A,#N/A,FALSE,"CAPTHREE"}</definedName>
    <definedName name="sdf_2_1_3_1" hidden="1">{#N/A,#N/A,FALSE,"mgtsum.XLS";#N/A,#N/A,FALSE,"CAPONE";#N/A,#N/A,FALSE,"CAPTWO";#N/A,#N/A,FALSE,"CAPTHREE"}</definedName>
    <definedName name="sdf_2_1_3_2" hidden="1">{#N/A,#N/A,FALSE,"mgtsum.XLS";#N/A,#N/A,FALSE,"CAPONE";#N/A,#N/A,FALSE,"CAPTWO";#N/A,#N/A,FALSE,"CAPTHREE"}</definedName>
    <definedName name="sdf_2_1_3_3" hidden="1">{#N/A,#N/A,FALSE,"mgtsum.XLS";#N/A,#N/A,FALSE,"CAPONE";#N/A,#N/A,FALSE,"CAPTWO";#N/A,#N/A,FALSE,"CAPTHREE"}</definedName>
    <definedName name="sdf_2_1_3_4" hidden="1">{#N/A,#N/A,FALSE,"mgtsum.XLS";#N/A,#N/A,FALSE,"CAPONE";#N/A,#N/A,FALSE,"CAPTWO";#N/A,#N/A,FALSE,"CAPTHREE"}</definedName>
    <definedName name="sdf_2_1_3_5" hidden="1">{#N/A,#N/A,FALSE,"mgtsum.XLS";#N/A,#N/A,FALSE,"CAPONE";#N/A,#N/A,FALSE,"CAPTWO";#N/A,#N/A,FALSE,"CAPTHREE"}</definedName>
    <definedName name="sdf_2_1_4" hidden="1">{#N/A,#N/A,FALSE,"mgtsum.XLS";#N/A,#N/A,FALSE,"CAPONE";#N/A,#N/A,FALSE,"CAPTWO";#N/A,#N/A,FALSE,"CAPTHREE"}</definedName>
    <definedName name="sdf_2_1_5" hidden="1">{#N/A,#N/A,FALSE,"mgtsum.XLS";#N/A,#N/A,FALSE,"CAPONE";#N/A,#N/A,FALSE,"CAPTWO";#N/A,#N/A,FALSE,"CAPTHREE"}</definedName>
    <definedName name="sdf_2_2" hidden="1">{#N/A,#N/A,FALSE,"mgtsum.XLS";#N/A,#N/A,FALSE,"CAPONE";#N/A,#N/A,FALSE,"CAPTWO";#N/A,#N/A,FALSE,"CAPTHREE"}</definedName>
    <definedName name="sdf_2_2_1" hidden="1">{#N/A,#N/A,FALSE,"mgtsum.XLS";#N/A,#N/A,FALSE,"CAPONE";#N/A,#N/A,FALSE,"CAPTWO";#N/A,#N/A,FALSE,"CAPTHREE"}</definedName>
    <definedName name="sdf_2_2_1_1" hidden="1">{#N/A,#N/A,FALSE,"mgtsum.XLS";#N/A,#N/A,FALSE,"CAPONE";#N/A,#N/A,FALSE,"CAPTWO";#N/A,#N/A,FALSE,"CAPTHREE"}</definedName>
    <definedName name="sdf_2_2_1_2" hidden="1">{#N/A,#N/A,FALSE,"mgtsum.XLS";#N/A,#N/A,FALSE,"CAPONE";#N/A,#N/A,FALSE,"CAPTWO";#N/A,#N/A,FALSE,"CAPTHREE"}</definedName>
    <definedName name="sdf_2_2_1_3" hidden="1">{#N/A,#N/A,FALSE,"mgtsum.XLS";#N/A,#N/A,FALSE,"CAPONE";#N/A,#N/A,FALSE,"CAPTWO";#N/A,#N/A,FALSE,"CAPTHREE"}</definedName>
    <definedName name="sdf_2_2_1_4" hidden="1">{#N/A,#N/A,FALSE,"mgtsum.XLS";#N/A,#N/A,FALSE,"CAPONE";#N/A,#N/A,FALSE,"CAPTWO";#N/A,#N/A,FALSE,"CAPTHREE"}</definedName>
    <definedName name="sdf_2_2_1_5" hidden="1">{#N/A,#N/A,FALSE,"mgtsum.XLS";#N/A,#N/A,FALSE,"CAPONE";#N/A,#N/A,FALSE,"CAPTWO";#N/A,#N/A,FALSE,"CAPTHREE"}</definedName>
    <definedName name="sdf_2_2_2" hidden="1">{#N/A,#N/A,FALSE,"mgtsum.XLS";#N/A,#N/A,FALSE,"CAPONE";#N/A,#N/A,FALSE,"CAPTWO";#N/A,#N/A,FALSE,"CAPTHREE"}</definedName>
    <definedName name="sdf_2_2_2_1" hidden="1">{#N/A,#N/A,FALSE,"mgtsum.XLS";#N/A,#N/A,FALSE,"CAPONE";#N/A,#N/A,FALSE,"CAPTWO";#N/A,#N/A,FALSE,"CAPTHREE"}</definedName>
    <definedName name="sdf_2_2_2_2" hidden="1">{#N/A,#N/A,FALSE,"mgtsum.XLS";#N/A,#N/A,FALSE,"CAPONE";#N/A,#N/A,FALSE,"CAPTWO";#N/A,#N/A,FALSE,"CAPTHREE"}</definedName>
    <definedName name="sdf_2_2_2_3" hidden="1">{#N/A,#N/A,FALSE,"mgtsum.XLS";#N/A,#N/A,FALSE,"CAPONE";#N/A,#N/A,FALSE,"CAPTWO";#N/A,#N/A,FALSE,"CAPTHREE"}</definedName>
    <definedName name="sdf_2_2_2_4" hidden="1">{#N/A,#N/A,FALSE,"mgtsum.XLS";#N/A,#N/A,FALSE,"CAPONE";#N/A,#N/A,FALSE,"CAPTWO";#N/A,#N/A,FALSE,"CAPTHREE"}</definedName>
    <definedName name="sdf_2_2_2_5" hidden="1">{#N/A,#N/A,FALSE,"mgtsum.XLS";#N/A,#N/A,FALSE,"CAPONE";#N/A,#N/A,FALSE,"CAPTWO";#N/A,#N/A,FALSE,"CAPTHREE"}</definedName>
    <definedName name="sdf_2_2_3" hidden="1">{#N/A,#N/A,FALSE,"mgtsum.XLS";#N/A,#N/A,FALSE,"CAPONE";#N/A,#N/A,FALSE,"CAPTWO";#N/A,#N/A,FALSE,"CAPTHREE"}</definedName>
    <definedName name="sdf_2_2_4" hidden="1">{#N/A,#N/A,FALSE,"mgtsum.XLS";#N/A,#N/A,FALSE,"CAPONE";#N/A,#N/A,FALSE,"CAPTWO";#N/A,#N/A,FALSE,"CAPTHREE"}</definedName>
    <definedName name="sdf_2_2_5" hidden="1">{#N/A,#N/A,FALSE,"mgtsum.XLS";#N/A,#N/A,FALSE,"CAPONE";#N/A,#N/A,FALSE,"CAPTWO";#N/A,#N/A,FALSE,"CAPTHREE"}</definedName>
    <definedName name="sdf_2_3" hidden="1">{#N/A,#N/A,FALSE,"mgtsum.XLS";#N/A,#N/A,FALSE,"CAPONE";#N/A,#N/A,FALSE,"CAPTWO";#N/A,#N/A,FALSE,"CAPTHREE"}</definedName>
    <definedName name="sdf_2_3_1" hidden="1">{#N/A,#N/A,FALSE,"mgtsum.XLS";#N/A,#N/A,FALSE,"CAPONE";#N/A,#N/A,FALSE,"CAPTWO";#N/A,#N/A,FALSE,"CAPTHREE"}</definedName>
    <definedName name="sdf_2_3_1_1" hidden="1">{#N/A,#N/A,FALSE,"mgtsum.XLS";#N/A,#N/A,FALSE,"CAPONE";#N/A,#N/A,FALSE,"CAPTWO";#N/A,#N/A,FALSE,"CAPTHREE"}</definedName>
    <definedName name="sdf_2_3_1_2" hidden="1">{#N/A,#N/A,FALSE,"mgtsum.XLS";#N/A,#N/A,FALSE,"CAPONE";#N/A,#N/A,FALSE,"CAPTWO";#N/A,#N/A,FALSE,"CAPTHREE"}</definedName>
    <definedName name="sdf_2_3_1_3" hidden="1">{#N/A,#N/A,FALSE,"mgtsum.XLS";#N/A,#N/A,FALSE,"CAPONE";#N/A,#N/A,FALSE,"CAPTWO";#N/A,#N/A,FALSE,"CAPTHREE"}</definedName>
    <definedName name="sdf_2_3_1_4" hidden="1">{#N/A,#N/A,FALSE,"mgtsum.XLS";#N/A,#N/A,FALSE,"CAPONE";#N/A,#N/A,FALSE,"CAPTWO";#N/A,#N/A,FALSE,"CAPTHREE"}</definedName>
    <definedName name="sdf_2_3_1_5" hidden="1">{#N/A,#N/A,FALSE,"mgtsum.XLS";#N/A,#N/A,FALSE,"CAPONE";#N/A,#N/A,FALSE,"CAPTWO";#N/A,#N/A,FALSE,"CAPTHREE"}</definedName>
    <definedName name="sdf_2_3_2" hidden="1">{#N/A,#N/A,FALSE,"mgtsum.XLS";#N/A,#N/A,FALSE,"CAPONE";#N/A,#N/A,FALSE,"CAPTWO";#N/A,#N/A,FALSE,"CAPTHREE"}</definedName>
    <definedName name="sdf_2_3_2_1" hidden="1">{#N/A,#N/A,FALSE,"mgtsum.XLS";#N/A,#N/A,FALSE,"CAPONE";#N/A,#N/A,FALSE,"CAPTWO";#N/A,#N/A,FALSE,"CAPTHREE"}</definedName>
    <definedName name="sdf_2_3_2_2" hidden="1">{#N/A,#N/A,FALSE,"mgtsum.XLS";#N/A,#N/A,FALSE,"CAPONE";#N/A,#N/A,FALSE,"CAPTWO";#N/A,#N/A,FALSE,"CAPTHREE"}</definedName>
    <definedName name="sdf_2_3_2_3" hidden="1">{#N/A,#N/A,FALSE,"mgtsum.XLS";#N/A,#N/A,FALSE,"CAPONE";#N/A,#N/A,FALSE,"CAPTWO";#N/A,#N/A,FALSE,"CAPTHREE"}</definedName>
    <definedName name="sdf_2_3_2_4" hidden="1">{#N/A,#N/A,FALSE,"mgtsum.XLS";#N/A,#N/A,FALSE,"CAPONE";#N/A,#N/A,FALSE,"CAPTWO";#N/A,#N/A,FALSE,"CAPTHREE"}</definedName>
    <definedName name="sdf_2_3_2_5" hidden="1">{#N/A,#N/A,FALSE,"mgtsum.XLS";#N/A,#N/A,FALSE,"CAPONE";#N/A,#N/A,FALSE,"CAPTWO";#N/A,#N/A,FALSE,"CAPTHREE"}</definedName>
    <definedName name="sdf_2_3_3" hidden="1">{#N/A,#N/A,FALSE,"mgtsum.XLS";#N/A,#N/A,FALSE,"CAPONE";#N/A,#N/A,FALSE,"CAPTWO";#N/A,#N/A,FALSE,"CAPTHREE"}</definedName>
    <definedName name="sdf_2_3_4" hidden="1">{#N/A,#N/A,FALSE,"mgtsum.XLS";#N/A,#N/A,FALSE,"CAPONE";#N/A,#N/A,FALSE,"CAPTWO";#N/A,#N/A,FALSE,"CAPTHREE"}</definedName>
    <definedName name="sdf_2_3_5" hidden="1">{#N/A,#N/A,FALSE,"mgtsum.XLS";#N/A,#N/A,FALSE,"CAPONE";#N/A,#N/A,FALSE,"CAPTWO";#N/A,#N/A,FALSE,"CAPTHREE"}</definedName>
    <definedName name="sdf_2_4" hidden="1">{#N/A,#N/A,FALSE,"mgtsum.XLS";#N/A,#N/A,FALSE,"CAPONE";#N/A,#N/A,FALSE,"CAPTWO";#N/A,#N/A,FALSE,"CAPTHREE"}</definedName>
    <definedName name="sdf_2_4_1" hidden="1">{#N/A,#N/A,FALSE,"mgtsum.XLS";#N/A,#N/A,FALSE,"CAPONE";#N/A,#N/A,FALSE,"CAPTWO";#N/A,#N/A,FALSE,"CAPTHREE"}</definedName>
    <definedName name="sdf_2_4_1_1" hidden="1">{#N/A,#N/A,FALSE,"mgtsum.XLS";#N/A,#N/A,FALSE,"CAPONE";#N/A,#N/A,FALSE,"CAPTWO";#N/A,#N/A,FALSE,"CAPTHREE"}</definedName>
    <definedName name="sdf_2_4_1_2" hidden="1">{#N/A,#N/A,FALSE,"mgtsum.XLS";#N/A,#N/A,FALSE,"CAPONE";#N/A,#N/A,FALSE,"CAPTWO";#N/A,#N/A,FALSE,"CAPTHREE"}</definedName>
    <definedName name="sdf_2_4_1_3" hidden="1">{#N/A,#N/A,FALSE,"mgtsum.XLS";#N/A,#N/A,FALSE,"CAPONE";#N/A,#N/A,FALSE,"CAPTWO";#N/A,#N/A,FALSE,"CAPTHREE"}</definedName>
    <definedName name="sdf_2_4_1_4" hidden="1">{#N/A,#N/A,FALSE,"mgtsum.XLS";#N/A,#N/A,FALSE,"CAPONE";#N/A,#N/A,FALSE,"CAPTWO";#N/A,#N/A,FALSE,"CAPTHREE"}</definedName>
    <definedName name="sdf_2_4_1_5" hidden="1">{#N/A,#N/A,FALSE,"mgtsum.XLS";#N/A,#N/A,FALSE,"CAPONE";#N/A,#N/A,FALSE,"CAPTWO";#N/A,#N/A,FALSE,"CAPTHREE"}</definedName>
    <definedName name="sdf_2_4_2" hidden="1">{#N/A,#N/A,FALSE,"mgtsum.XLS";#N/A,#N/A,FALSE,"CAPONE";#N/A,#N/A,FALSE,"CAPTWO";#N/A,#N/A,FALSE,"CAPTHREE"}</definedName>
    <definedName name="sdf_2_4_2_1" hidden="1">{#N/A,#N/A,FALSE,"mgtsum.XLS";#N/A,#N/A,FALSE,"CAPONE";#N/A,#N/A,FALSE,"CAPTWO";#N/A,#N/A,FALSE,"CAPTHREE"}</definedName>
    <definedName name="sdf_2_4_2_2" hidden="1">{#N/A,#N/A,FALSE,"mgtsum.XLS";#N/A,#N/A,FALSE,"CAPONE";#N/A,#N/A,FALSE,"CAPTWO";#N/A,#N/A,FALSE,"CAPTHREE"}</definedName>
    <definedName name="sdf_2_4_2_3" hidden="1">{#N/A,#N/A,FALSE,"mgtsum.XLS";#N/A,#N/A,FALSE,"CAPONE";#N/A,#N/A,FALSE,"CAPTWO";#N/A,#N/A,FALSE,"CAPTHREE"}</definedName>
    <definedName name="sdf_2_4_2_4" hidden="1">{#N/A,#N/A,FALSE,"mgtsum.XLS";#N/A,#N/A,FALSE,"CAPONE";#N/A,#N/A,FALSE,"CAPTWO";#N/A,#N/A,FALSE,"CAPTHREE"}</definedName>
    <definedName name="sdf_2_4_2_5" hidden="1">{#N/A,#N/A,FALSE,"mgtsum.XLS";#N/A,#N/A,FALSE,"CAPONE";#N/A,#N/A,FALSE,"CAPTWO";#N/A,#N/A,FALSE,"CAPTHREE"}</definedName>
    <definedName name="sdf_2_4_3" hidden="1">{#N/A,#N/A,FALSE,"mgtsum.XLS";#N/A,#N/A,FALSE,"CAPONE";#N/A,#N/A,FALSE,"CAPTWO";#N/A,#N/A,FALSE,"CAPTHREE"}</definedName>
    <definedName name="sdf_2_4_4" hidden="1">{#N/A,#N/A,FALSE,"mgtsum.XLS";#N/A,#N/A,FALSE,"CAPONE";#N/A,#N/A,FALSE,"CAPTWO";#N/A,#N/A,FALSE,"CAPTHREE"}</definedName>
    <definedName name="sdf_2_4_5" hidden="1">{#N/A,#N/A,FALSE,"mgtsum.XLS";#N/A,#N/A,FALSE,"CAPONE";#N/A,#N/A,FALSE,"CAPTWO";#N/A,#N/A,FALSE,"CAPTHREE"}</definedName>
    <definedName name="sdf_2_5" hidden="1">{#N/A,#N/A,FALSE,"mgtsum.XLS";#N/A,#N/A,FALSE,"CAPONE";#N/A,#N/A,FALSE,"CAPTWO";#N/A,#N/A,FALSE,"CAPTHREE"}</definedName>
    <definedName name="sdf_2_5_1" hidden="1">{#N/A,#N/A,FALSE,"mgtsum.XLS";#N/A,#N/A,FALSE,"CAPONE";#N/A,#N/A,FALSE,"CAPTWO";#N/A,#N/A,FALSE,"CAPTHREE"}</definedName>
    <definedName name="sdf_2_5_2" hidden="1">{#N/A,#N/A,FALSE,"mgtsum.XLS";#N/A,#N/A,FALSE,"CAPONE";#N/A,#N/A,FALSE,"CAPTWO";#N/A,#N/A,FALSE,"CAPTHREE"}</definedName>
    <definedName name="sdf_2_5_3" hidden="1">{#N/A,#N/A,FALSE,"mgtsum.XLS";#N/A,#N/A,FALSE,"CAPONE";#N/A,#N/A,FALSE,"CAPTWO";#N/A,#N/A,FALSE,"CAPTHREE"}</definedName>
    <definedName name="sdf_2_5_4" hidden="1">{#N/A,#N/A,FALSE,"mgtsum.XLS";#N/A,#N/A,FALSE,"CAPONE";#N/A,#N/A,FALSE,"CAPTWO";#N/A,#N/A,FALSE,"CAPTHREE"}</definedName>
    <definedName name="sdf_2_5_5" hidden="1">{#N/A,#N/A,FALSE,"mgtsum.XLS";#N/A,#N/A,FALSE,"CAPONE";#N/A,#N/A,FALSE,"CAPTWO";#N/A,#N/A,FALSE,"CAPTHREE"}</definedName>
    <definedName name="sdf_3" hidden="1">{#N/A,#N/A,FALSE,"mgtsum.XLS";#N/A,#N/A,FALSE,"CAPONE";#N/A,#N/A,FALSE,"CAPTWO";#N/A,#N/A,FALSE,"CAPTHREE"}</definedName>
    <definedName name="sdf_3_1" hidden="1">{#N/A,#N/A,FALSE,"mgtsum.XLS";#N/A,#N/A,FALSE,"CAPONE";#N/A,#N/A,FALSE,"CAPTWO";#N/A,#N/A,FALSE,"CAPTHREE"}</definedName>
    <definedName name="sdf_3_1_1" hidden="1">{#N/A,#N/A,FALSE,"mgtsum.XLS";#N/A,#N/A,FALSE,"CAPONE";#N/A,#N/A,FALSE,"CAPTWO";#N/A,#N/A,FALSE,"CAPTHREE"}</definedName>
    <definedName name="sdf_3_1_1_1" hidden="1">{#N/A,#N/A,FALSE,"mgtsum.XLS";#N/A,#N/A,FALSE,"CAPONE";#N/A,#N/A,FALSE,"CAPTWO";#N/A,#N/A,FALSE,"CAPTHREE"}</definedName>
    <definedName name="sdf_3_1_1_2" hidden="1">{#N/A,#N/A,FALSE,"mgtsum.XLS";#N/A,#N/A,FALSE,"CAPONE";#N/A,#N/A,FALSE,"CAPTWO";#N/A,#N/A,FALSE,"CAPTHREE"}</definedName>
    <definedName name="sdf_3_1_1_3" hidden="1">{#N/A,#N/A,FALSE,"mgtsum.XLS";#N/A,#N/A,FALSE,"CAPONE";#N/A,#N/A,FALSE,"CAPTWO";#N/A,#N/A,FALSE,"CAPTHREE"}</definedName>
    <definedName name="sdf_3_1_1_4" hidden="1">{#N/A,#N/A,FALSE,"mgtsum.XLS";#N/A,#N/A,FALSE,"CAPONE";#N/A,#N/A,FALSE,"CAPTWO";#N/A,#N/A,FALSE,"CAPTHREE"}</definedName>
    <definedName name="sdf_3_1_1_5" hidden="1">{#N/A,#N/A,FALSE,"mgtsum.XLS";#N/A,#N/A,FALSE,"CAPONE";#N/A,#N/A,FALSE,"CAPTWO";#N/A,#N/A,FALSE,"CAPTHREE"}</definedName>
    <definedName name="sdf_3_1_2" hidden="1">{#N/A,#N/A,FALSE,"mgtsum.XLS";#N/A,#N/A,FALSE,"CAPONE";#N/A,#N/A,FALSE,"CAPTWO";#N/A,#N/A,FALSE,"CAPTHREE"}</definedName>
    <definedName name="sdf_3_1_2_1" hidden="1">{#N/A,#N/A,FALSE,"mgtsum.XLS";#N/A,#N/A,FALSE,"CAPONE";#N/A,#N/A,FALSE,"CAPTWO";#N/A,#N/A,FALSE,"CAPTHREE"}</definedName>
    <definedName name="sdf_3_1_2_2" hidden="1">{#N/A,#N/A,FALSE,"mgtsum.XLS";#N/A,#N/A,FALSE,"CAPONE";#N/A,#N/A,FALSE,"CAPTWO";#N/A,#N/A,FALSE,"CAPTHREE"}</definedName>
    <definedName name="sdf_3_1_2_3" hidden="1">{#N/A,#N/A,FALSE,"mgtsum.XLS";#N/A,#N/A,FALSE,"CAPONE";#N/A,#N/A,FALSE,"CAPTWO";#N/A,#N/A,FALSE,"CAPTHREE"}</definedName>
    <definedName name="sdf_3_1_2_4" hidden="1">{#N/A,#N/A,FALSE,"mgtsum.XLS";#N/A,#N/A,FALSE,"CAPONE";#N/A,#N/A,FALSE,"CAPTWO";#N/A,#N/A,FALSE,"CAPTHREE"}</definedName>
    <definedName name="sdf_3_1_2_5" hidden="1">{#N/A,#N/A,FALSE,"mgtsum.XLS";#N/A,#N/A,FALSE,"CAPONE";#N/A,#N/A,FALSE,"CAPTWO";#N/A,#N/A,FALSE,"CAPTHREE"}</definedName>
    <definedName name="sdf_3_1_3" hidden="1">{#N/A,#N/A,FALSE,"mgtsum.XLS";#N/A,#N/A,FALSE,"CAPONE";#N/A,#N/A,FALSE,"CAPTWO";#N/A,#N/A,FALSE,"CAPTHREE"}</definedName>
    <definedName name="sdf_3_1_3_1" hidden="1">{#N/A,#N/A,FALSE,"mgtsum.XLS";#N/A,#N/A,FALSE,"CAPONE";#N/A,#N/A,FALSE,"CAPTWO";#N/A,#N/A,FALSE,"CAPTHREE"}</definedName>
    <definedName name="sdf_3_1_3_2" hidden="1">{#N/A,#N/A,FALSE,"mgtsum.XLS";#N/A,#N/A,FALSE,"CAPONE";#N/A,#N/A,FALSE,"CAPTWO";#N/A,#N/A,FALSE,"CAPTHREE"}</definedName>
    <definedName name="sdf_3_1_3_3" hidden="1">{#N/A,#N/A,FALSE,"mgtsum.XLS";#N/A,#N/A,FALSE,"CAPONE";#N/A,#N/A,FALSE,"CAPTWO";#N/A,#N/A,FALSE,"CAPTHREE"}</definedName>
    <definedName name="sdf_3_1_3_4" hidden="1">{#N/A,#N/A,FALSE,"mgtsum.XLS";#N/A,#N/A,FALSE,"CAPONE";#N/A,#N/A,FALSE,"CAPTWO";#N/A,#N/A,FALSE,"CAPTHREE"}</definedName>
    <definedName name="sdf_3_1_3_5" hidden="1">{#N/A,#N/A,FALSE,"mgtsum.XLS";#N/A,#N/A,FALSE,"CAPONE";#N/A,#N/A,FALSE,"CAPTWO";#N/A,#N/A,FALSE,"CAPTHREE"}</definedName>
    <definedName name="sdf_3_1_4" hidden="1">{#N/A,#N/A,FALSE,"mgtsum.XLS";#N/A,#N/A,FALSE,"CAPONE";#N/A,#N/A,FALSE,"CAPTWO";#N/A,#N/A,FALSE,"CAPTHREE"}</definedName>
    <definedName name="sdf_3_1_5" hidden="1">{#N/A,#N/A,FALSE,"mgtsum.XLS";#N/A,#N/A,FALSE,"CAPONE";#N/A,#N/A,FALSE,"CAPTWO";#N/A,#N/A,FALSE,"CAPTHREE"}</definedName>
    <definedName name="sdf_3_2" hidden="1">{#N/A,#N/A,FALSE,"mgtsum.XLS";#N/A,#N/A,FALSE,"CAPONE";#N/A,#N/A,FALSE,"CAPTWO";#N/A,#N/A,FALSE,"CAPTHREE"}</definedName>
    <definedName name="sdf_3_2_1" hidden="1">{#N/A,#N/A,FALSE,"mgtsum.XLS";#N/A,#N/A,FALSE,"CAPONE";#N/A,#N/A,FALSE,"CAPTWO";#N/A,#N/A,FALSE,"CAPTHREE"}</definedName>
    <definedName name="sdf_3_2_1_1" hidden="1">{#N/A,#N/A,FALSE,"mgtsum.XLS";#N/A,#N/A,FALSE,"CAPONE";#N/A,#N/A,FALSE,"CAPTWO";#N/A,#N/A,FALSE,"CAPTHREE"}</definedName>
    <definedName name="sdf_3_2_1_2" hidden="1">{#N/A,#N/A,FALSE,"mgtsum.XLS";#N/A,#N/A,FALSE,"CAPONE";#N/A,#N/A,FALSE,"CAPTWO";#N/A,#N/A,FALSE,"CAPTHREE"}</definedName>
    <definedName name="sdf_3_2_1_3" hidden="1">{#N/A,#N/A,FALSE,"mgtsum.XLS";#N/A,#N/A,FALSE,"CAPONE";#N/A,#N/A,FALSE,"CAPTWO";#N/A,#N/A,FALSE,"CAPTHREE"}</definedName>
    <definedName name="sdf_3_2_1_4" hidden="1">{#N/A,#N/A,FALSE,"mgtsum.XLS";#N/A,#N/A,FALSE,"CAPONE";#N/A,#N/A,FALSE,"CAPTWO";#N/A,#N/A,FALSE,"CAPTHREE"}</definedName>
    <definedName name="sdf_3_2_1_5" hidden="1">{#N/A,#N/A,FALSE,"mgtsum.XLS";#N/A,#N/A,FALSE,"CAPONE";#N/A,#N/A,FALSE,"CAPTWO";#N/A,#N/A,FALSE,"CAPTHREE"}</definedName>
    <definedName name="sdf_3_2_2" hidden="1">{#N/A,#N/A,FALSE,"mgtsum.XLS";#N/A,#N/A,FALSE,"CAPONE";#N/A,#N/A,FALSE,"CAPTWO";#N/A,#N/A,FALSE,"CAPTHREE"}</definedName>
    <definedName name="sdf_3_2_2_1" hidden="1">{#N/A,#N/A,FALSE,"mgtsum.XLS";#N/A,#N/A,FALSE,"CAPONE";#N/A,#N/A,FALSE,"CAPTWO";#N/A,#N/A,FALSE,"CAPTHREE"}</definedName>
    <definedName name="sdf_3_2_2_2" hidden="1">{#N/A,#N/A,FALSE,"mgtsum.XLS";#N/A,#N/A,FALSE,"CAPONE";#N/A,#N/A,FALSE,"CAPTWO";#N/A,#N/A,FALSE,"CAPTHREE"}</definedName>
    <definedName name="sdf_3_2_2_3" hidden="1">{#N/A,#N/A,FALSE,"mgtsum.XLS";#N/A,#N/A,FALSE,"CAPONE";#N/A,#N/A,FALSE,"CAPTWO";#N/A,#N/A,FALSE,"CAPTHREE"}</definedName>
    <definedName name="sdf_3_2_2_4" hidden="1">{#N/A,#N/A,FALSE,"mgtsum.XLS";#N/A,#N/A,FALSE,"CAPONE";#N/A,#N/A,FALSE,"CAPTWO";#N/A,#N/A,FALSE,"CAPTHREE"}</definedName>
    <definedName name="sdf_3_2_2_5" hidden="1">{#N/A,#N/A,FALSE,"mgtsum.XLS";#N/A,#N/A,FALSE,"CAPONE";#N/A,#N/A,FALSE,"CAPTWO";#N/A,#N/A,FALSE,"CAPTHREE"}</definedName>
    <definedName name="sdf_3_2_3" hidden="1">{#N/A,#N/A,FALSE,"mgtsum.XLS";#N/A,#N/A,FALSE,"CAPONE";#N/A,#N/A,FALSE,"CAPTWO";#N/A,#N/A,FALSE,"CAPTHREE"}</definedName>
    <definedName name="sdf_3_2_4" hidden="1">{#N/A,#N/A,FALSE,"mgtsum.XLS";#N/A,#N/A,FALSE,"CAPONE";#N/A,#N/A,FALSE,"CAPTWO";#N/A,#N/A,FALSE,"CAPTHREE"}</definedName>
    <definedName name="sdf_3_2_5" hidden="1">{#N/A,#N/A,FALSE,"mgtsum.XLS";#N/A,#N/A,FALSE,"CAPONE";#N/A,#N/A,FALSE,"CAPTWO";#N/A,#N/A,FALSE,"CAPTHREE"}</definedName>
    <definedName name="sdf_3_3" hidden="1">{#N/A,#N/A,FALSE,"mgtsum.XLS";#N/A,#N/A,FALSE,"CAPONE";#N/A,#N/A,FALSE,"CAPTWO";#N/A,#N/A,FALSE,"CAPTHREE"}</definedName>
    <definedName name="sdf_3_3_1" hidden="1">{#N/A,#N/A,FALSE,"mgtsum.XLS";#N/A,#N/A,FALSE,"CAPONE";#N/A,#N/A,FALSE,"CAPTWO";#N/A,#N/A,FALSE,"CAPTHREE"}</definedName>
    <definedName name="sdf_3_3_1_1" hidden="1">{#N/A,#N/A,FALSE,"mgtsum.XLS";#N/A,#N/A,FALSE,"CAPONE";#N/A,#N/A,FALSE,"CAPTWO";#N/A,#N/A,FALSE,"CAPTHREE"}</definedName>
    <definedName name="sdf_3_3_1_2" hidden="1">{#N/A,#N/A,FALSE,"mgtsum.XLS";#N/A,#N/A,FALSE,"CAPONE";#N/A,#N/A,FALSE,"CAPTWO";#N/A,#N/A,FALSE,"CAPTHREE"}</definedName>
    <definedName name="sdf_3_3_1_3" hidden="1">{#N/A,#N/A,FALSE,"mgtsum.XLS";#N/A,#N/A,FALSE,"CAPONE";#N/A,#N/A,FALSE,"CAPTWO";#N/A,#N/A,FALSE,"CAPTHREE"}</definedName>
    <definedName name="sdf_3_3_1_4" hidden="1">{#N/A,#N/A,FALSE,"mgtsum.XLS";#N/A,#N/A,FALSE,"CAPONE";#N/A,#N/A,FALSE,"CAPTWO";#N/A,#N/A,FALSE,"CAPTHREE"}</definedName>
    <definedName name="sdf_3_3_1_5" hidden="1">{#N/A,#N/A,FALSE,"mgtsum.XLS";#N/A,#N/A,FALSE,"CAPONE";#N/A,#N/A,FALSE,"CAPTWO";#N/A,#N/A,FALSE,"CAPTHREE"}</definedName>
    <definedName name="sdf_3_3_2" hidden="1">{#N/A,#N/A,FALSE,"mgtsum.XLS";#N/A,#N/A,FALSE,"CAPONE";#N/A,#N/A,FALSE,"CAPTWO";#N/A,#N/A,FALSE,"CAPTHREE"}</definedName>
    <definedName name="sdf_3_3_2_1" hidden="1">{#N/A,#N/A,FALSE,"mgtsum.XLS";#N/A,#N/A,FALSE,"CAPONE";#N/A,#N/A,FALSE,"CAPTWO";#N/A,#N/A,FALSE,"CAPTHREE"}</definedName>
    <definedName name="sdf_3_3_2_2" hidden="1">{#N/A,#N/A,FALSE,"mgtsum.XLS";#N/A,#N/A,FALSE,"CAPONE";#N/A,#N/A,FALSE,"CAPTWO";#N/A,#N/A,FALSE,"CAPTHREE"}</definedName>
    <definedName name="sdf_3_3_2_3" hidden="1">{#N/A,#N/A,FALSE,"mgtsum.XLS";#N/A,#N/A,FALSE,"CAPONE";#N/A,#N/A,FALSE,"CAPTWO";#N/A,#N/A,FALSE,"CAPTHREE"}</definedName>
    <definedName name="sdf_3_3_2_4" hidden="1">{#N/A,#N/A,FALSE,"mgtsum.XLS";#N/A,#N/A,FALSE,"CAPONE";#N/A,#N/A,FALSE,"CAPTWO";#N/A,#N/A,FALSE,"CAPTHREE"}</definedName>
    <definedName name="sdf_3_3_2_5" hidden="1">{#N/A,#N/A,FALSE,"mgtsum.XLS";#N/A,#N/A,FALSE,"CAPONE";#N/A,#N/A,FALSE,"CAPTWO";#N/A,#N/A,FALSE,"CAPTHREE"}</definedName>
    <definedName name="sdf_3_3_3" hidden="1">{#N/A,#N/A,FALSE,"mgtsum.XLS";#N/A,#N/A,FALSE,"CAPONE";#N/A,#N/A,FALSE,"CAPTWO";#N/A,#N/A,FALSE,"CAPTHREE"}</definedName>
    <definedName name="sdf_3_3_4" hidden="1">{#N/A,#N/A,FALSE,"mgtsum.XLS";#N/A,#N/A,FALSE,"CAPONE";#N/A,#N/A,FALSE,"CAPTWO";#N/A,#N/A,FALSE,"CAPTHREE"}</definedName>
    <definedName name="sdf_3_3_5" hidden="1">{#N/A,#N/A,FALSE,"mgtsum.XLS";#N/A,#N/A,FALSE,"CAPONE";#N/A,#N/A,FALSE,"CAPTWO";#N/A,#N/A,FALSE,"CAPTHREE"}</definedName>
    <definedName name="sdf_3_4" hidden="1">{#N/A,#N/A,FALSE,"mgtsum.XLS";#N/A,#N/A,FALSE,"CAPONE";#N/A,#N/A,FALSE,"CAPTWO";#N/A,#N/A,FALSE,"CAPTHREE"}</definedName>
    <definedName name="sdf_3_4_1" hidden="1">{#N/A,#N/A,FALSE,"mgtsum.XLS";#N/A,#N/A,FALSE,"CAPONE";#N/A,#N/A,FALSE,"CAPTWO";#N/A,#N/A,FALSE,"CAPTHREE"}</definedName>
    <definedName name="sdf_3_4_1_1" hidden="1">{#N/A,#N/A,FALSE,"mgtsum.XLS";#N/A,#N/A,FALSE,"CAPONE";#N/A,#N/A,FALSE,"CAPTWO";#N/A,#N/A,FALSE,"CAPTHREE"}</definedName>
    <definedName name="sdf_3_4_1_2" hidden="1">{#N/A,#N/A,FALSE,"mgtsum.XLS";#N/A,#N/A,FALSE,"CAPONE";#N/A,#N/A,FALSE,"CAPTWO";#N/A,#N/A,FALSE,"CAPTHREE"}</definedName>
    <definedName name="sdf_3_4_1_3" hidden="1">{#N/A,#N/A,FALSE,"mgtsum.XLS";#N/A,#N/A,FALSE,"CAPONE";#N/A,#N/A,FALSE,"CAPTWO";#N/A,#N/A,FALSE,"CAPTHREE"}</definedName>
    <definedName name="sdf_3_4_1_4" hidden="1">{#N/A,#N/A,FALSE,"mgtsum.XLS";#N/A,#N/A,FALSE,"CAPONE";#N/A,#N/A,FALSE,"CAPTWO";#N/A,#N/A,FALSE,"CAPTHREE"}</definedName>
    <definedName name="sdf_3_4_1_5" hidden="1">{#N/A,#N/A,FALSE,"mgtsum.XLS";#N/A,#N/A,FALSE,"CAPONE";#N/A,#N/A,FALSE,"CAPTWO";#N/A,#N/A,FALSE,"CAPTHREE"}</definedName>
    <definedName name="sdf_3_4_2" hidden="1">{#N/A,#N/A,FALSE,"mgtsum.XLS";#N/A,#N/A,FALSE,"CAPONE";#N/A,#N/A,FALSE,"CAPTWO";#N/A,#N/A,FALSE,"CAPTHREE"}</definedName>
    <definedName name="sdf_3_4_2_1" hidden="1">{#N/A,#N/A,FALSE,"mgtsum.XLS";#N/A,#N/A,FALSE,"CAPONE";#N/A,#N/A,FALSE,"CAPTWO";#N/A,#N/A,FALSE,"CAPTHREE"}</definedName>
    <definedName name="sdf_3_4_2_2" hidden="1">{#N/A,#N/A,FALSE,"mgtsum.XLS";#N/A,#N/A,FALSE,"CAPONE";#N/A,#N/A,FALSE,"CAPTWO";#N/A,#N/A,FALSE,"CAPTHREE"}</definedName>
    <definedName name="sdf_3_4_2_3" hidden="1">{#N/A,#N/A,FALSE,"mgtsum.XLS";#N/A,#N/A,FALSE,"CAPONE";#N/A,#N/A,FALSE,"CAPTWO";#N/A,#N/A,FALSE,"CAPTHREE"}</definedName>
    <definedName name="sdf_3_4_2_4" hidden="1">{#N/A,#N/A,FALSE,"mgtsum.XLS";#N/A,#N/A,FALSE,"CAPONE";#N/A,#N/A,FALSE,"CAPTWO";#N/A,#N/A,FALSE,"CAPTHREE"}</definedName>
    <definedName name="sdf_3_4_2_5" hidden="1">{#N/A,#N/A,FALSE,"mgtsum.XLS";#N/A,#N/A,FALSE,"CAPONE";#N/A,#N/A,FALSE,"CAPTWO";#N/A,#N/A,FALSE,"CAPTHREE"}</definedName>
    <definedName name="sdf_3_4_3" hidden="1">{#N/A,#N/A,FALSE,"mgtsum.XLS";#N/A,#N/A,FALSE,"CAPONE";#N/A,#N/A,FALSE,"CAPTWO";#N/A,#N/A,FALSE,"CAPTHREE"}</definedName>
    <definedName name="sdf_3_4_4" hidden="1">{#N/A,#N/A,FALSE,"mgtsum.XLS";#N/A,#N/A,FALSE,"CAPONE";#N/A,#N/A,FALSE,"CAPTWO";#N/A,#N/A,FALSE,"CAPTHREE"}</definedName>
    <definedName name="sdf_3_4_5" hidden="1">{#N/A,#N/A,FALSE,"mgtsum.XLS";#N/A,#N/A,FALSE,"CAPONE";#N/A,#N/A,FALSE,"CAPTWO";#N/A,#N/A,FALSE,"CAPTHREE"}</definedName>
    <definedName name="sdf_3_5" hidden="1">{#N/A,#N/A,FALSE,"mgtsum.XLS";#N/A,#N/A,FALSE,"CAPONE";#N/A,#N/A,FALSE,"CAPTWO";#N/A,#N/A,FALSE,"CAPTHREE"}</definedName>
    <definedName name="sdf_3_5_1" hidden="1">{#N/A,#N/A,FALSE,"mgtsum.XLS";#N/A,#N/A,FALSE,"CAPONE";#N/A,#N/A,FALSE,"CAPTWO";#N/A,#N/A,FALSE,"CAPTHREE"}</definedName>
    <definedName name="sdf_3_5_2" hidden="1">{#N/A,#N/A,FALSE,"mgtsum.XLS";#N/A,#N/A,FALSE,"CAPONE";#N/A,#N/A,FALSE,"CAPTWO";#N/A,#N/A,FALSE,"CAPTHREE"}</definedName>
    <definedName name="sdf_3_5_3" hidden="1">{#N/A,#N/A,FALSE,"mgtsum.XLS";#N/A,#N/A,FALSE,"CAPONE";#N/A,#N/A,FALSE,"CAPTWO";#N/A,#N/A,FALSE,"CAPTHREE"}</definedName>
    <definedName name="sdf_3_5_4" hidden="1">{#N/A,#N/A,FALSE,"mgtsum.XLS";#N/A,#N/A,FALSE,"CAPONE";#N/A,#N/A,FALSE,"CAPTWO";#N/A,#N/A,FALSE,"CAPTHREE"}</definedName>
    <definedName name="sdf_3_5_5" hidden="1">{#N/A,#N/A,FALSE,"mgtsum.XLS";#N/A,#N/A,FALSE,"CAPONE";#N/A,#N/A,FALSE,"CAPTWO";#N/A,#N/A,FALSE,"CAPTHREE"}</definedName>
    <definedName name="sdf_4" hidden="1">{#N/A,#N/A,FALSE,"mgtsum.XLS";#N/A,#N/A,FALSE,"CAPONE";#N/A,#N/A,FALSE,"CAPTWO";#N/A,#N/A,FALSE,"CAPTHREE"}</definedName>
    <definedName name="sdf_4_1" hidden="1">{#N/A,#N/A,FALSE,"mgtsum.XLS";#N/A,#N/A,FALSE,"CAPONE";#N/A,#N/A,FALSE,"CAPTWO";#N/A,#N/A,FALSE,"CAPTHREE"}</definedName>
    <definedName name="sdf_4_1_1" hidden="1">{#N/A,#N/A,FALSE,"mgtsum.XLS";#N/A,#N/A,FALSE,"CAPONE";#N/A,#N/A,FALSE,"CAPTWO";#N/A,#N/A,FALSE,"CAPTHREE"}</definedName>
    <definedName name="sdf_4_1_1_1" hidden="1">{#N/A,#N/A,FALSE,"mgtsum.XLS";#N/A,#N/A,FALSE,"CAPONE";#N/A,#N/A,FALSE,"CAPTWO";#N/A,#N/A,FALSE,"CAPTHREE"}</definedName>
    <definedName name="sdf_4_1_1_2" hidden="1">{#N/A,#N/A,FALSE,"mgtsum.XLS";#N/A,#N/A,FALSE,"CAPONE";#N/A,#N/A,FALSE,"CAPTWO";#N/A,#N/A,FALSE,"CAPTHREE"}</definedName>
    <definedName name="sdf_4_1_1_3" hidden="1">{#N/A,#N/A,FALSE,"mgtsum.XLS";#N/A,#N/A,FALSE,"CAPONE";#N/A,#N/A,FALSE,"CAPTWO";#N/A,#N/A,FALSE,"CAPTHREE"}</definedName>
    <definedName name="sdf_4_1_1_4" hidden="1">{#N/A,#N/A,FALSE,"mgtsum.XLS";#N/A,#N/A,FALSE,"CAPONE";#N/A,#N/A,FALSE,"CAPTWO";#N/A,#N/A,FALSE,"CAPTHREE"}</definedName>
    <definedName name="sdf_4_1_1_5" hidden="1">{#N/A,#N/A,FALSE,"mgtsum.XLS";#N/A,#N/A,FALSE,"CAPONE";#N/A,#N/A,FALSE,"CAPTWO";#N/A,#N/A,FALSE,"CAPTHREE"}</definedName>
    <definedName name="sdf_4_1_2" hidden="1">{#N/A,#N/A,FALSE,"mgtsum.XLS";#N/A,#N/A,FALSE,"CAPONE";#N/A,#N/A,FALSE,"CAPTWO";#N/A,#N/A,FALSE,"CAPTHREE"}</definedName>
    <definedName name="sdf_4_1_2_1" hidden="1">{#N/A,#N/A,FALSE,"mgtsum.XLS";#N/A,#N/A,FALSE,"CAPONE";#N/A,#N/A,FALSE,"CAPTWO";#N/A,#N/A,FALSE,"CAPTHREE"}</definedName>
    <definedName name="sdf_4_1_2_2" hidden="1">{#N/A,#N/A,FALSE,"mgtsum.XLS";#N/A,#N/A,FALSE,"CAPONE";#N/A,#N/A,FALSE,"CAPTWO";#N/A,#N/A,FALSE,"CAPTHREE"}</definedName>
    <definedName name="sdf_4_1_2_3" hidden="1">{#N/A,#N/A,FALSE,"mgtsum.XLS";#N/A,#N/A,FALSE,"CAPONE";#N/A,#N/A,FALSE,"CAPTWO";#N/A,#N/A,FALSE,"CAPTHREE"}</definedName>
    <definedName name="sdf_4_1_2_4" hidden="1">{#N/A,#N/A,FALSE,"mgtsum.XLS";#N/A,#N/A,FALSE,"CAPONE";#N/A,#N/A,FALSE,"CAPTWO";#N/A,#N/A,FALSE,"CAPTHREE"}</definedName>
    <definedName name="sdf_4_1_2_5" hidden="1">{#N/A,#N/A,FALSE,"mgtsum.XLS";#N/A,#N/A,FALSE,"CAPONE";#N/A,#N/A,FALSE,"CAPTWO";#N/A,#N/A,FALSE,"CAPTHREE"}</definedName>
    <definedName name="sdf_4_1_3" hidden="1">{#N/A,#N/A,FALSE,"mgtsum.XLS";#N/A,#N/A,FALSE,"CAPONE";#N/A,#N/A,FALSE,"CAPTWO";#N/A,#N/A,FALSE,"CAPTHREE"}</definedName>
    <definedName name="sdf_4_1_3_1" hidden="1">{#N/A,#N/A,FALSE,"mgtsum.XLS";#N/A,#N/A,FALSE,"CAPONE";#N/A,#N/A,FALSE,"CAPTWO";#N/A,#N/A,FALSE,"CAPTHREE"}</definedName>
    <definedName name="sdf_4_1_3_2" hidden="1">{#N/A,#N/A,FALSE,"mgtsum.XLS";#N/A,#N/A,FALSE,"CAPONE";#N/A,#N/A,FALSE,"CAPTWO";#N/A,#N/A,FALSE,"CAPTHREE"}</definedName>
    <definedName name="sdf_4_1_3_3" hidden="1">{#N/A,#N/A,FALSE,"mgtsum.XLS";#N/A,#N/A,FALSE,"CAPONE";#N/A,#N/A,FALSE,"CAPTWO";#N/A,#N/A,FALSE,"CAPTHREE"}</definedName>
    <definedName name="sdf_4_1_3_4" hidden="1">{#N/A,#N/A,FALSE,"mgtsum.XLS";#N/A,#N/A,FALSE,"CAPONE";#N/A,#N/A,FALSE,"CAPTWO";#N/A,#N/A,FALSE,"CAPTHREE"}</definedName>
    <definedName name="sdf_4_1_3_5" hidden="1">{#N/A,#N/A,FALSE,"mgtsum.XLS";#N/A,#N/A,FALSE,"CAPONE";#N/A,#N/A,FALSE,"CAPTWO";#N/A,#N/A,FALSE,"CAPTHREE"}</definedName>
    <definedName name="sdf_4_1_4" hidden="1">{#N/A,#N/A,FALSE,"mgtsum.XLS";#N/A,#N/A,FALSE,"CAPONE";#N/A,#N/A,FALSE,"CAPTWO";#N/A,#N/A,FALSE,"CAPTHREE"}</definedName>
    <definedName name="sdf_4_1_5" hidden="1">{#N/A,#N/A,FALSE,"mgtsum.XLS";#N/A,#N/A,FALSE,"CAPONE";#N/A,#N/A,FALSE,"CAPTWO";#N/A,#N/A,FALSE,"CAPTHREE"}</definedName>
    <definedName name="sdf_4_2" hidden="1">{#N/A,#N/A,FALSE,"mgtsum.XLS";#N/A,#N/A,FALSE,"CAPONE";#N/A,#N/A,FALSE,"CAPTWO";#N/A,#N/A,FALSE,"CAPTHREE"}</definedName>
    <definedName name="sdf_4_2_1" hidden="1">{#N/A,#N/A,FALSE,"mgtsum.XLS";#N/A,#N/A,FALSE,"CAPONE";#N/A,#N/A,FALSE,"CAPTWO";#N/A,#N/A,FALSE,"CAPTHREE"}</definedName>
    <definedName name="sdf_4_2_2" hidden="1">{#N/A,#N/A,FALSE,"mgtsum.XLS";#N/A,#N/A,FALSE,"CAPONE";#N/A,#N/A,FALSE,"CAPTWO";#N/A,#N/A,FALSE,"CAPTHREE"}</definedName>
    <definedName name="sdf_4_2_3" hidden="1">{#N/A,#N/A,FALSE,"mgtsum.XLS";#N/A,#N/A,FALSE,"CAPONE";#N/A,#N/A,FALSE,"CAPTWO";#N/A,#N/A,FALSE,"CAPTHREE"}</definedName>
    <definedName name="sdf_4_2_4" hidden="1">{#N/A,#N/A,FALSE,"mgtsum.XLS";#N/A,#N/A,FALSE,"CAPONE";#N/A,#N/A,FALSE,"CAPTWO";#N/A,#N/A,FALSE,"CAPTHREE"}</definedName>
    <definedName name="sdf_4_2_5" hidden="1">{#N/A,#N/A,FALSE,"mgtsum.XLS";#N/A,#N/A,FALSE,"CAPONE";#N/A,#N/A,FALSE,"CAPTWO";#N/A,#N/A,FALSE,"CAPTHREE"}</definedName>
    <definedName name="sdf_4_3" hidden="1">{#N/A,#N/A,FALSE,"mgtsum.XLS";#N/A,#N/A,FALSE,"CAPONE";#N/A,#N/A,FALSE,"CAPTWO";#N/A,#N/A,FALSE,"CAPTHREE"}</definedName>
    <definedName name="sdf_4_3_1" hidden="1">{#N/A,#N/A,FALSE,"mgtsum.XLS";#N/A,#N/A,FALSE,"CAPONE";#N/A,#N/A,FALSE,"CAPTWO";#N/A,#N/A,FALSE,"CAPTHREE"}</definedName>
    <definedName name="sdf_4_3_2" hidden="1">{#N/A,#N/A,FALSE,"mgtsum.XLS";#N/A,#N/A,FALSE,"CAPONE";#N/A,#N/A,FALSE,"CAPTWO";#N/A,#N/A,FALSE,"CAPTHREE"}</definedName>
    <definedName name="sdf_4_3_3" hidden="1">{#N/A,#N/A,FALSE,"mgtsum.XLS";#N/A,#N/A,FALSE,"CAPONE";#N/A,#N/A,FALSE,"CAPTWO";#N/A,#N/A,FALSE,"CAPTHREE"}</definedName>
    <definedName name="sdf_4_3_4" hidden="1">{#N/A,#N/A,FALSE,"mgtsum.XLS";#N/A,#N/A,FALSE,"CAPONE";#N/A,#N/A,FALSE,"CAPTWO";#N/A,#N/A,FALSE,"CAPTHREE"}</definedName>
    <definedName name="sdf_4_3_5" hidden="1">{#N/A,#N/A,FALSE,"mgtsum.XLS";#N/A,#N/A,FALSE,"CAPONE";#N/A,#N/A,FALSE,"CAPTWO";#N/A,#N/A,FALSE,"CAPTHREE"}</definedName>
    <definedName name="sdf_4_4" hidden="1">{#N/A,#N/A,FALSE,"mgtsum.XLS";#N/A,#N/A,FALSE,"CAPONE";#N/A,#N/A,FALSE,"CAPTWO";#N/A,#N/A,FALSE,"CAPTHREE"}</definedName>
    <definedName name="sdf_4_5" hidden="1">{#N/A,#N/A,FALSE,"mgtsum.XLS";#N/A,#N/A,FALSE,"CAPONE";#N/A,#N/A,FALSE,"CAPTWO";#N/A,#N/A,FALSE,"CAPTHREE"}</definedName>
    <definedName name="sdf_5" hidden="1">{#N/A,#N/A,FALSE,"mgtsum.XLS";#N/A,#N/A,FALSE,"CAPONE";#N/A,#N/A,FALSE,"CAPTWO";#N/A,#N/A,FALSE,"CAPTHREE"}</definedName>
    <definedName name="sdf_5_1" hidden="1">{#N/A,#N/A,FALSE,"mgtsum.XLS";#N/A,#N/A,FALSE,"CAPONE";#N/A,#N/A,FALSE,"CAPTWO";#N/A,#N/A,FALSE,"CAPTHREE"}</definedName>
    <definedName name="sdf_5_1_1" hidden="1">{#N/A,#N/A,FALSE,"mgtsum.XLS";#N/A,#N/A,FALSE,"CAPONE";#N/A,#N/A,FALSE,"CAPTWO";#N/A,#N/A,FALSE,"CAPTHREE"}</definedName>
    <definedName name="sdf_5_1_2" hidden="1">{#N/A,#N/A,FALSE,"mgtsum.XLS";#N/A,#N/A,FALSE,"CAPONE";#N/A,#N/A,FALSE,"CAPTWO";#N/A,#N/A,FALSE,"CAPTHREE"}</definedName>
    <definedName name="sdf_5_1_3" hidden="1">{#N/A,#N/A,FALSE,"mgtsum.XLS";#N/A,#N/A,FALSE,"CAPONE";#N/A,#N/A,FALSE,"CAPTWO";#N/A,#N/A,FALSE,"CAPTHREE"}</definedName>
    <definedName name="sdf_5_1_4" hidden="1">{#N/A,#N/A,FALSE,"mgtsum.XLS";#N/A,#N/A,FALSE,"CAPONE";#N/A,#N/A,FALSE,"CAPTWO";#N/A,#N/A,FALSE,"CAPTHREE"}</definedName>
    <definedName name="sdf_5_1_5" hidden="1">{#N/A,#N/A,FALSE,"mgtsum.XLS";#N/A,#N/A,FALSE,"CAPONE";#N/A,#N/A,FALSE,"CAPTWO";#N/A,#N/A,FALSE,"CAPTHREE"}</definedName>
    <definedName name="sdf_5_2" hidden="1">{#N/A,#N/A,FALSE,"mgtsum.XLS";#N/A,#N/A,FALSE,"CAPONE";#N/A,#N/A,FALSE,"CAPTWO";#N/A,#N/A,FALSE,"CAPTHREE"}</definedName>
    <definedName name="sdf_5_2_1" hidden="1">{#N/A,#N/A,FALSE,"mgtsum.XLS";#N/A,#N/A,FALSE,"CAPONE";#N/A,#N/A,FALSE,"CAPTWO";#N/A,#N/A,FALSE,"CAPTHREE"}</definedName>
    <definedName name="sdf_5_2_2" hidden="1">{#N/A,#N/A,FALSE,"mgtsum.XLS";#N/A,#N/A,FALSE,"CAPONE";#N/A,#N/A,FALSE,"CAPTWO";#N/A,#N/A,FALSE,"CAPTHREE"}</definedName>
    <definedName name="sdf_5_2_3" hidden="1">{#N/A,#N/A,FALSE,"mgtsum.XLS";#N/A,#N/A,FALSE,"CAPONE";#N/A,#N/A,FALSE,"CAPTWO";#N/A,#N/A,FALSE,"CAPTHREE"}</definedName>
    <definedName name="sdf_5_2_4" hidden="1">{#N/A,#N/A,FALSE,"mgtsum.XLS";#N/A,#N/A,FALSE,"CAPONE";#N/A,#N/A,FALSE,"CAPTWO";#N/A,#N/A,FALSE,"CAPTHREE"}</definedName>
    <definedName name="sdf_5_2_5" hidden="1">{#N/A,#N/A,FALSE,"mgtsum.XLS";#N/A,#N/A,FALSE,"CAPONE";#N/A,#N/A,FALSE,"CAPTWO";#N/A,#N/A,FALSE,"CAPTHREE"}</definedName>
    <definedName name="sdf_5_3" hidden="1">{#N/A,#N/A,FALSE,"mgtsum.XLS";#N/A,#N/A,FALSE,"CAPONE";#N/A,#N/A,FALSE,"CAPTWO";#N/A,#N/A,FALSE,"CAPTHREE"}</definedName>
    <definedName name="sdf_5_4" hidden="1">{#N/A,#N/A,FALSE,"mgtsum.XLS";#N/A,#N/A,FALSE,"CAPONE";#N/A,#N/A,FALSE,"CAPTWO";#N/A,#N/A,FALSE,"CAPTHREE"}</definedName>
    <definedName name="sdf_5_5" hidden="1">{#N/A,#N/A,FALSE,"mgtsum.XLS";#N/A,#N/A,FALSE,"CAPONE";#N/A,#N/A,FALSE,"CAPTWO";#N/A,#N/A,FALSE,"CAPTHREE"}</definedName>
    <definedName name="sdfa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sdfas" localSheetId="1" hidden="1">{"msc sw feat summary",#N/A,FALSE,"MSC SW Features v. 1.1."}</definedName>
    <definedName name="sdfas" hidden="1">{"msc sw feat summary",#N/A,FALSE,"MSC SW Features v. 1.1."}</definedName>
    <definedName name="sdfd" hidden="1">{#N/A,#N/A,FALSE,"ihz. icmal";#N/A,#N/A,FALSE,"avans";#N/A,#N/A,FALSE,"mal_FF_icm";#N/A,#N/A,FALSE,"fat_ihz";#N/A,#N/A,FALSE,"söz_fiy_fark";#N/A,#N/A,FALSE,"kap2"}</definedName>
    <definedName name="sdfds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dff" hidden="1">{#N/A,#N/A,FALSE,"ihz. icmal";#N/A,#N/A,FALSE,"avans";#N/A,#N/A,FALSE,"mal_FF_icm";#N/A,#N/A,FALSE,"fat_ihz";#N/A,#N/A,FALSE,"söz_fiy_fark";#N/A,#N/A,FALSE,"kap2"}</definedName>
    <definedName name="sdfg" hidden="1">#REF!</definedName>
    <definedName name="sdfggs" hidden="1">{#N/A,#N/A,FALSE,"Unit Summary";#N/A,#N/A,FALSE,"pax only";#N/A,#N/A,FALSE,"H_A_F_B";#N/A,#N/A,FALSE,"spend history";#N/A,#N/A,FALSE,"spend budget"}</definedName>
    <definedName name="SDFS" hidden="1">{#N/A,#N/A,TRUE,"Sheet1";#N/A,#N/A,TRUE,"Sheet2";#N/A,#N/A,TRUE,"Sheet3";#N/A,#N/A,TRUE,"Sheet4"}</definedName>
    <definedName name="SDFSA" hidden="1">{#N/A,#N/A,FALSE,"Aging Summary";#N/A,#N/A,FALSE,"Ratio Analysis";#N/A,#N/A,FALSE,"Test 120 Day Accts";#N/A,#N/A,FALSE,"Tickmarks"}</definedName>
    <definedName name="sdfsdf" hidden="1">{#VALUE!,#N/A,FALSE,0;#N/A,#N/A,FALSE,0;#N/A,#N/A,FALSE,0;#N/A,#N/A,FALSE,0;#N/A,#N/A,FALSE,0;#N/A,#N/A,FALSE,0;#N/A,#N/A,FALSE,0;#N/A,#N/A,FALSE,0;#N/A,#N/A,FALSE,0;#N/A,#N/A,FALSE,0;#N/A,#N/A,FALSE,0;#N/A,#N/A,FALSE,0}</definedName>
    <definedName name="SDFSDFSDFD" hidden="1">{#VALUE!,#N/A,FALSE,0;#N/A,#N/A,FALSE,0;#N/A,#N/A,FALSE,0;#N/A,#N/A,FALSE,0;#N/A,#N/A,FALSE,0;#N/A,#N/A,FALSE,0;#N/A,#N/A,FALSE,0;#N/A,#N/A,FALSE,0;#N/A,#N/A,FALSE,0;#N/A,#N/A,FALSE,0;#N/A,#N/A,FALSE,0;#N/A,#N/A,FALSE,0}</definedName>
    <definedName name="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tyu" hidden="1">{#N/A,#N/A,FALSE,"ihz. icmal";#N/A,#N/A,FALSE,"avans";#N/A,#N/A,FALSE,"mal_FF_icm";#N/A,#N/A,FALSE,"fat_ihz";#N/A,#N/A,FALSE,"söz_fiy_fark";#N/A,#N/A,FALSE,"kap2"}</definedName>
    <definedName name="sdg" hidden="1">#REF!</definedName>
    <definedName name="sdhg" hidden="1">#REF!</definedName>
    <definedName name="sdhydfyftuu" hidden="1">{#N/A,#N/A,TRUE,"Cover";#N/A,#N/A,TRUE,"Conts";#N/A,#N/A,TRUE,"VOS";#N/A,#N/A,TRUE,"Warrington";#N/A,#N/A,TRUE,"Widnes"}</definedName>
    <definedName name="sdi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dlki" hidden="1">#REF!</definedName>
    <definedName name="sdsa" hidden="1">#REF!</definedName>
    <definedName name="sdsdg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tju" hidden="1">{"offequipsch",#N/A,FALSE,"GTC_Schedule";"onconstsch",#N/A,FALSE,"GTC_Schedule";"techsch",#N/A,FALSE,"GTC_Schedule";"totsch",#N/A,FALSE,"GTC_Schedule"}</definedName>
    <definedName name="sdtr" hidden="1">#REF!,#REF!</definedName>
    <definedName name="se" hidden="1">{#N/A,#N/A,FALSE,"maff_h1";#N/A,#N/A,FALSE,"maff_h2";#N/A,#N/A,FALSE,"maff_h3";#N/A,#N/A,FALSE,"maff_h4";#N/A,#N/A,FALSE,"maff_h5";#N/A,#N/A,FALSE,"maff_h6";#N/A,#N/A,FALSE,"maff_h7"}</definedName>
    <definedName name="se5tvys" hidden="1">#REF!</definedName>
    <definedName name="sealant">#REF!</definedName>
    <definedName name="sectionc">#REF!</definedName>
    <definedName name="sectiond">#REF!</definedName>
    <definedName name="sectionfg">#REF!</definedName>
    <definedName name="se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egment4">#REF!</definedName>
    <definedName name="Segment5">#REF!</definedName>
    <definedName name="sehzadelerden" hidden="1">#REF!</definedName>
    <definedName name="Select">#REF!</definedName>
    <definedName name="Select_from_list">#REF!</definedName>
    <definedName name="SELLING">#REF!</definedName>
    <definedName name="ŞEN" hidden="1">{#N/A,#N/A,FALSE,"Çaykara ataköy (1)";#N/A,#N/A,FALSE,"Çaykara ataköy (2)";#N/A,#N/A,FALSE,"Rize Kalkandere ";#N/A,#N/A,FALSE,"meydancık";#N/A,#N/A,FALSE,"muratlı"}</definedName>
    <definedName name="sencount" hidden="1">1</definedName>
    <definedName name="SENTA_CFA">#REF!</definedName>
    <definedName name="ser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erendra" hidden="1">#REF!</definedName>
    <definedName name="serty" hidden="1">#REF!</definedName>
    <definedName name="Services">#REF!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hidden="1">{#N/A,#N/A,TRUE,"Cover";#N/A,#N/A,TRUE,"Conts";#N/A,#N/A,TRUE,"VOS";#N/A,#N/A,TRUE,"Warrington";#N/A,#N/A,TRUE,"Widnes"}</definedName>
    <definedName name="setrva" hidden="1">#REF!</definedName>
    <definedName name="SEVEN">#REF!</definedName>
    <definedName name="SEVENTEEN">#REF!</definedName>
    <definedName name="sewer">#REF!</definedName>
    <definedName name="SEX">#REF!</definedName>
    <definedName name="sf">#REF!</definedName>
    <definedName name="sfA">#REF!</definedName>
    <definedName name="sfB">#REF!</definedName>
    <definedName name="sfbjdf" hidden="1">#REF!</definedName>
    <definedName name="sfBrGenl">#REF!</definedName>
    <definedName name="sfBrLab">#REF!</definedName>
    <definedName name="sfBrManu">#REF!</definedName>
    <definedName name="sfBrUnass">#REF!</definedName>
    <definedName name="sfC">#REF!</definedName>
    <definedName name="sfCubGenl">#REF!</definedName>
    <definedName name="sfCubManu">#REF!</definedName>
    <definedName name="sfD">#REF!</definedName>
    <definedName name="sfd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fE">#REF!</definedName>
    <definedName name="sfEAST">#REF!</definedName>
    <definedName name="sfF">#REF!</definedName>
    <definedName name="sfFab">#REF!</definedName>
    <definedName name="SFFF" hidden="1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F" hidden="1">#REF!</definedName>
    <definedName name="sfG">#REF!</definedName>
    <definedName name="sfH">#REF!</definedName>
    <definedName name="sfhdfj" hidden="1">{#N/A,#N/A,TRUE,"Cover";#N/A,#N/A,TRUE,"Conts";#N/A,#N/A,TRUE,"VOS";#N/A,#N/A,TRUE,"Warrington";#N/A,#N/A,TRUE,"Widnes"}</definedName>
    <definedName name="sfhgmn" hidden="1">#REF!</definedName>
    <definedName name="sfI">#REF!</definedName>
    <definedName name="sfJ">#REF!</definedName>
    <definedName name="sfK">#REF!</definedName>
    <definedName name="sfL">#REF!</definedName>
    <definedName name="sfLITHO">#REF!</definedName>
    <definedName name="sfM">#REF!</definedName>
    <definedName name="sfN">#REF!</definedName>
    <definedName name="sfNONLITHO">#REF!</definedName>
    <definedName name="sfO">#REF!</definedName>
    <definedName name="sfP">#REF!</definedName>
    <definedName name="sfQ">#REF!</definedName>
    <definedName name="sfR">#REF!</definedName>
    <definedName name="sfS">#REF!</definedName>
    <definedName name="sfsad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fW">#REF!</definedName>
    <definedName name="sfWEST">#REF!</definedName>
    <definedName name="sfX">#REF!</definedName>
    <definedName name="sfY">#REF!</definedName>
    <definedName name="sfZ">#REF!</definedName>
    <definedName name="sg">#REF!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gsgs" hidden="1">{#N/A,#N/A,FALSE,"ihz. icmal";#N/A,#N/A,FALSE,"avans";#N/A,#N/A,FALSE,"mal_FF_icm";#N/A,#N/A,FALSE,"fat_ihz";#N/A,#N/A,FALSE,"söz_fiy_fark";#N/A,#N/A,FALSE,"kap2"}</definedName>
    <definedName name="SGWg" hidden="1">{#N/A,#N/A,FALSE,"SUMMARY 4a";#N/A,#N/A,FALSE,"GBA 4b";#N/A,#N/A,FALSE,"TENANT 4c";#N/A,#N/A,FALSE,"BUDGET DETAIL";#N/A,#N/A,FALSE,"PRO FORMA"}</definedName>
    <definedName name="SHA" hidden="1">{"form-D1",#N/A,FALSE,"FORM-D1";"form-D1_amt",#N/A,FALSE,"FORM-D1"}</definedName>
    <definedName name="Sheet" hidden="1">#REF!</definedName>
    <definedName name="sheet.1" hidden="1">{"'Leverage'!$B$2:$M$418"}</definedName>
    <definedName name="sheet.13" hidden="1">{"'Leverage'!$B$2:$M$418"}</definedName>
    <definedName name="sheet.5" hidden="1">{"'Leverage'!$B$2:$M$418"}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1.13" hidden="1">{"'Leverage'!$B$2:$M$418"}</definedName>
    <definedName name="Sheet4" hidden="1">{"CASH FLOW",#N/A,FALSE,"A"}</definedName>
    <definedName name="Sheet5" hidden="1">{"FTS",#N/A,FALSE,"E"}</definedName>
    <definedName name="Sheet6" hidden="1">{"SUMMARY",#N/A,FALSE,"C"}</definedName>
    <definedName name="SHELTER" hidden="1">{#N/A,#N/A,TRUE,"Basic";#N/A,#N/A,TRUE,"EXT-TABLE";#N/A,#N/A,TRUE,"STEEL";#N/A,#N/A,TRUE,"INT-Table";#N/A,#N/A,TRUE,"STEEL";#N/A,#N/A,TRUE,"Door"}</definedName>
    <definedName name="shet" hidden="1">OFFSET([0]!Data.Top.Left,1,0)</definedName>
    <definedName name="ship" hidden="1">#REF!</definedName>
    <definedName name="shit">#REF!</definedName>
    <definedName name="short" hidden="1">{#N/A,#N/A,FALSE,"COVER1.XLS ";#N/A,#N/A,FALSE,"RACT1.XLS";#N/A,#N/A,FALSE,"RACT2.XLS";#N/A,#N/A,FALSE,"ECCMP";#N/A,#N/A,FALSE,"WELDER.XLS"}</definedName>
    <definedName name="ShoulderEmb.">#REF!</definedName>
    <definedName name="ShoulderSubbase">#REF!</definedName>
    <definedName name="Show.Acct.Update.Warning" hidden="1">#REF!</definedName>
    <definedName name="Show.MDB.Update.Warning" hidden="1">#REF!</definedName>
    <definedName name="shshgtr" hidden="1">{#N/A,#N/A,TRUE,"Cover";#N/A,#N/A,TRUE,"Conts";#N/A,#N/A,TRUE,"VOS";#N/A,#N/A,TRUE,"Warrington";#N/A,#N/A,TRUE,"Widnes"}</definedName>
    <definedName name="shutt" hidden="1">#REF!</definedName>
    <definedName name="Shutter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shutter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ibel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sıçtıım" hidden="1">#REF!</definedName>
    <definedName name="sıçtık" hidden="1">#REF!,#REF!</definedName>
    <definedName name="sıçtık1" hidden="1">#REF!,#REF!</definedName>
    <definedName name="sıçtık2" hidden="1">#REF!,#REF!</definedName>
    <definedName name="sıçtık3" hidden="1">#REF!</definedName>
    <definedName name="sıçtık4" hidden="1">#REF!,#REF!</definedName>
    <definedName name="sıçtık5" hidden="1">#REF!</definedName>
    <definedName name="sıçtık6" hidden="1">#REF!</definedName>
    <definedName name="sıçtık7" hidden="1">#REF!</definedName>
    <definedName name="sıçtık8" hidden="1">#REF!,#REF!</definedName>
    <definedName name="sıçtım1" hidden="1">#REF!,#REF!</definedName>
    <definedName name="sıçtım10" hidden="1">#REF!</definedName>
    <definedName name="sıçtım11" hidden="1">#REF!,#REF!</definedName>
    <definedName name="sıçtım12" hidden="1">#REF!</definedName>
    <definedName name="sıçtım13" hidden="1">#REF!</definedName>
    <definedName name="sıçtım14" hidden="1">#REF!,#REF!</definedName>
    <definedName name="sıçtım15" hidden="1">#REF!</definedName>
    <definedName name="sıçtım16" hidden="1">#REF!</definedName>
    <definedName name="sıçtım17" hidden="1">#REF!</definedName>
    <definedName name="sıçtım18" hidden="1">#REF!</definedName>
    <definedName name="sıçtım19" hidden="1">#REF!,#REF!</definedName>
    <definedName name="sıçtım2" hidden="1">#REF!</definedName>
    <definedName name="sıçtım20" hidden="1">#REF!</definedName>
    <definedName name="sıçtım21" hidden="1">#REF!,#REF!</definedName>
    <definedName name="sıçtım22" hidden="1">#REF!</definedName>
    <definedName name="sıçtım23" hidden="1">#REF!</definedName>
    <definedName name="sıçtım24" hidden="1">#REF!</definedName>
    <definedName name="sıçtım25" hidden="1">#REF!</definedName>
    <definedName name="sıçtım26" hidden="1">#REF!</definedName>
    <definedName name="sıçtım27" hidden="1">#REF!</definedName>
    <definedName name="sıçtım28" hidden="1">#REF!</definedName>
    <definedName name="sıçtım29" hidden="1">#REF!</definedName>
    <definedName name="sıçtım3" hidden="1">#REF!</definedName>
    <definedName name="sıçtım30" hidden="1">#REF!</definedName>
    <definedName name="sıçtım31" hidden="1">#REF!</definedName>
    <definedName name="sıçtım32" hidden="1">#REF!</definedName>
    <definedName name="sıçtım33" hidden="1">#REF!</definedName>
    <definedName name="sıçtım34" hidden="1">#REF!</definedName>
    <definedName name="sıçtım35" hidden="1">#REF!</definedName>
    <definedName name="sıçtım36" hidden="1">#REF!</definedName>
    <definedName name="sıçtım37" hidden="1">#REF!</definedName>
    <definedName name="sıçtım38" hidden="1">#REF!</definedName>
    <definedName name="sıçtım39" hidden="1">#REF!</definedName>
    <definedName name="sıçtım40" hidden="1">#REF!</definedName>
    <definedName name="sıçtım41" hidden="1">#REF!</definedName>
    <definedName name="sıçtım42" hidden="1">#REF!</definedName>
    <definedName name="sıçtım44" hidden="1">#REF!</definedName>
    <definedName name="sıçtım46" hidden="1">#REF!</definedName>
    <definedName name="sıçtım47" hidden="1">#REF!</definedName>
    <definedName name="sıçtım48" hidden="1">#REF!</definedName>
    <definedName name="sıçtım49" hidden="1">#REF!,#REF!</definedName>
    <definedName name="sıçtım5" hidden="1">#REF!,#REF!</definedName>
    <definedName name="sıçtım50" hidden="1">#REF!,#REF!</definedName>
    <definedName name="sıçtım54" hidden="1">#REF!</definedName>
    <definedName name="sıçtım55" hidden="1">#REF!</definedName>
    <definedName name="sıçtım56" hidden="1">#REF!</definedName>
    <definedName name="sıçtım57" hidden="1">#REF!</definedName>
    <definedName name="sıçtım58" hidden="1">#REF!</definedName>
    <definedName name="sıçtım59" hidden="1">#REF!</definedName>
    <definedName name="sıçtım6" hidden="1">#REF!</definedName>
    <definedName name="sıçtım60" hidden="1">#REF!,#REF!</definedName>
    <definedName name="sıçtım61" hidden="1">#REF!,#REF!</definedName>
    <definedName name="sıçtım62" hidden="1">#REF!</definedName>
    <definedName name="sıçtım63" hidden="1">#REF!</definedName>
    <definedName name="sıçtım64" hidden="1">#REF!</definedName>
    <definedName name="sıçtım65" hidden="1">#REF!</definedName>
    <definedName name="sıçtım66" hidden="1">#REF!</definedName>
    <definedName name="sıçtım67" hidden="1">#REF!</definedName>
    <definedName name="sıçtım68" hidden="1">#REF!</definedName>
    <definedName name="sıçtım69" hidden="1">#REF!</definedName>
    <definedName name="sıçtım7" hidden="1">#REF!</definedName>
    <definedName name="sıçtım70" hidden="1">#REF!</definedName>
    <definedName name="sıçtım71" hidden="1">#REF!</definedName>
    <definedName name="sıçtım73" hidden="1">#REF!</definedName>
    <definedName name="sıçtım8" hidden="1">#REF!</definedName>
    <definedName name="sıçtım9" hidden="1">#REF!</definedName>
    <definedName name="SIGN">#REF!</definedName>
    <definedName name="sit_off">#REF!</definedName>
    <definedName name="Site">#REF!</definedName>
    <definedName name="SITE_SUMMARY">#REF!</definedName>
    <definedName name="siteequip">#REF!</definedName>
    <definedName name="SIXTEEN">#REF!</definedName>
    <definedName name="SIXYRS_OF_PROJ">#REF!</definedName>
    <definedName name="sk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I" hidden="1">#REF!</definedName>
    <definedName name="sk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l1_print">#REF!</definedName>
    <definedName name="sl1_title">#REF!</definedName>
    <definedName name="sl2_print">#REF!</definedName>
    <definedName name="sl2_title">#REF!</definedName>
    <definedName name="Slab">0.14</definedName>
    <definedName name="slab_1" hidden="1">{"form-D1",#N/A,FALSE,"FORM-D1";"form-D1_amt",#N/A,FALSE,"FORM-D1"}</definedName>
    <definedName name="slab_2" hidden="1">{"form-D1",#N/A,FALSE,"FORM-D1";"form-D1_amt",#N/A,FALSE,"FORM-D1"}</definedName>
    <definedName name="slab_3" hidden="1">{"form-D1",#N/A,FALSE,"FORM-D1";"form-D1_amt",#N/A,FALSE,"FORM-D1"}</definedName>
    <definedName name="slab_p" hidden="1">{"form-D1",#N/A,FALSE,"FORM-D1";"form-D1_amt",#N/A,FALSE,"FORM-D1"}</definedName>
    <definedName name="slab_p_1" hidden="1">{"form-D1",#N/A,FALSE,"FORM-D1";"form-D1_amt",#N/A,FALSE,"FORM-D1"}</definedName>
    <definedName name="slab_p_2" hidden="1">{"form-D1",#N/A,FALSE,"FORM-D1";"form-D1_amt",#N/A,FALSE,"FORM-D1"}</definedName>
    <definedName name="slab_p_3" hidden="1">{"form-D1",#N/A,FALSE,"FORM-D1";"form-D1_amt",#N/A,FALSE,"FORM-D1"}</definedName>
    <definedName name="Slicer_PROJECT_TO_DATE">#N/A</definedName>
    <definedName name="SM">#N/A</definedName>
    <definedName name="SN" hidden="1">{#N/A,#N/A,FALSE,"MODULE3"}</definedName>
    <definedName name="SN_1" hidden="1">{#N/A,#N/A,FALSE,"MODULE3"}</definedName>
    <definedName name="SN_2" hidden="1">{#N/A,#N/A,FALSE,"MODULE3"}</definedName>
    <definedName name="SN_3" hidden="1">{#N/A,#N/A,FALSE,"MODULE3"}</definedName>
    <definedName name="SO">#REF!</definedName>
    <definedName name="solver_adj" hidden="1">#REF!,#REF!</definedName>
    <definedName name="solver_lin" hidden="1">0</definedName>
    <definedName name="solver_num" hidden="1">0</definedName>
    <definedName name="solver_opt" hidden="1">#REF!</definedName>
    <definedName name="solver_rel10" hidden="1">2</definedName>
    <definedName name="solver_rel11" hidden="1">2</definedName>
    <definedName name="solver_rel5" hidden="1">2</definedName>
    <definedName name="solver_rel6" hidden="1">2</definedName>
    <definedName name="solver_rel7" hidden="1">2</definedName>
    <definedName name="solver_rel8" hidden="1">2</definedName>
    <definedName name="solver_rel9" hidden="1">2</definedName>
    <definedName name="solver_rhs10" hidden="1">315430</definedName>
    <definedName name="solver_rhs11" hidden="1">284920</definedName>
    <definedName name="solver_tmp" hidden="1">#REF!,#REF!</definedName>
    <definedName name="solver_typ" hidden="1">3</definedName>
    <definedName name="solver_val" hidden="1">22000000000</definedName>
    <definedName name="sort" hidden="1">#REF!</definedName>
    <definedName name="SORT1" hidden="1">#REF!</definedName>
    <definedName name="SozlesmeRsYenParitesi">#REF!</definedName>
    <definedName name="SozlesmeYenUSDParitesi">#REF!</definedName>
    <definedName name="spbd">#REF!</definedName>
    <definedName name="spds">#REF!</definedName>
    <definedName name="SpecialPrice" hidden="1">#REF!</definedName>
    <definedName name="sper">#REF!</definedName>
    <definedName name="Splice">1.12</definedName>
    <definedName name="sppl">#REF!</definedName>
    <definedName name="sprrow">#REF!</definedName>
    <definedName name="spsw">#REF!</definedName>
    <definedName name="sptc">#REF!</definedName>
    <definedName name="spws">#REF!</definedName>
    <definedName name="sqfb.1">#REF!</definedName>
    <definedName name="sqfta">#REF!</definedName>
    <definedName name="sqfta.1">#REF!</definedName>
    <definedName name="sqfta.2">#REF!</definedName>
    <definedName name="sqfta.3">#REF!</definedName>
    <definedName name="sqfta.4">#REF!</definedName>
    <definedName name="sqfta_b">#REF!</definedName>
    <definedName name="sqftaa">#REF!</definedName>
    <definedName name="sqftb">#REF!</definedName>
    <definedName name="sqftb.2">#REF!</definedName>
    <definedName name="sr" hidden="1">#REF!</definedName>
    <definedName name="SRB" hidden="1">{"'Sheet1'!$A$4386:$N$4591"}</definedName>
    <definedName name="SRC">#REF!</definedName>
    <definedName name="srety" hidden="1">#REF!</definedName>
    <definedName name="SRG" hidden="1">{#N/A,#N/A,TRUE,"총괄"}</definedName>
    <definedName name="SRGAWG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rhrh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TPAY">#N/A</definedName>
    <definedName name="sryeysr" hidden="1">{#N/A,#N/A,TRUE,"Cover";#N/A,#N/A,TRUE,"Conts";#N/A,#N/A,TRUE,"VOS";#N/A,#N/A,TRUE,"Warrington";#N/A,#N/A,TRUE,"Widnes"}</definedName>
    <definedName name="SS" hidden="1">{#N/A,#N/A,FALSE,"Çaykara ataköy (1)";#N/A,#N/A,FALSE,"Çaykara ataköy (2)";#N/A,#N/A,FALSE,"Rize Kalkandere ";#N/A,#N/A,FALSE,"meydancık";#N/A,#N/A,FALSE,"muratlı"}</definedName>
    <definedName name="SSC" hidden="1">{"'Bill No. 7'!$A$1:$G$32"}</definedName>
    <definedName name="ssfdfd" hidden="1">{#N/A,#N/A,FALSE,"Sheet1";#N/A,#N/A,FALSE,"Sheet1";#N/A,#N/A,FALSE,"Sheet1";#N/A,#N/A,FALSE,"Sheet1"}</definedName>
    <definedName name="ssıçtık" hidden="1">#REF!,#REF!</definedName>
    <definedName name="SSS" hidden="1">{#N/A,#N/A,FALSE,"ihz. icmal";#N/A,#N/A,FALSE,"avans";#N/A,#N/A,FALSE,"mal_FF_icm";#N/A,#N/A,FALSE,"fat_ihz";#N/A,#N/A,FALSE,"söz_fiy_fark";#N/A,#N/A,FALSE,"kap2"}</definedName>
    <definedName name="sssa" hidden="1">{#N/A,#N/A,FALSE,"ihz. icmal";#N/A,#N/A,FALSE,"avans";#N/A,#N/A,FALSE,"mal_FF_icm";#N/A,#N/A,FALSE,"fat_ihz";#N/A,#N/A,FALSE,"söz_fiy_fark";#N/A,#N/A,FALSE,"kap2"}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{#N/A,#N/A,TRUE,"Basic";#N/A,#N/A,TRUE,"EXT-TABLE";#N/A,#N/A,TRUE,"STEEL";#N/A,#N/A,TRUE,"INT-Table";#N/A,#N/A,TRUE,"STEEL";#N/A,#N/A,TRUE,"Door"}</definedName>
    <definedName name="SSSS_1" hidden="1">{#N/A,#N/A,FALSE,"MODULE3"}</definedName>
    <definedName name="SSSS_2" hidden="1">{#N/A,#N/A,FALSE,"MODULE3"}</definedName>
    <definedName name="SSSS_3" hidden="1">{#N/A,#N/A,FALSE,"MODULE3"}</definedName>
    <definedName name="sssss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SSSSSSSS" hidden="1">{#N/A,#N/A,FALSE,"ihz. icmal";#N/A,#N/A,FALSE,"avans";#N/A,#N/A,FALSE,"mal_FF_icm";#N/A,#N/A,FALSE,"fat_ihz";#N/A,#N/A,FALSE,"söz_fiy_fark";#N/A,#N/A,FALSE,"kap2"}</definedName>
    <definedName name="sssssssss" hidden="1">{"form-D1",#N/A,FALSE,"FORM-D1";"form-D1_amt",#N/A,FALSE,"FORM-D1"}</definedName>
    <definedName name="sssssssss_1" hidden="1">{"form-D1",#N/A,FALSE,"FORM-D1";"form-D1_amt",#N/A,FALSE,"FORM-D1"}</definedName>
    <definedName name="sssssssss_2" hidden="1">{"form-D1",#N/A,FALSE,"FORM-D1";"form-D1_amt",#N/A,FALSE,"FORM-D1"}</definedName>
    <definedName name="sssssssss_3" hidden="1">{"form-D1",#N/A,FALSE,"FORM-D1";"form-D1_amt",#N/A,FALSE,"FORM-D1"}</definedName>
    <definedName name="SSSSSSSSSS" hidden="1">{#N/A,#N/A,TRUE,"총괄"}</definedName>
    <definedName name="sssssssssssss" hidden="1">{"form-D1",#N/A,FALSE,"FORM-D1";"form-D1_amt",#N/A,FALSE,"FORM-D1"}</definedName>
    <definedName name="sssssssssssss_1" hidden="1">{"form-D1",#N/A,FALSE,"FORM-D1";"form-D1_amt",#N/A,FALSE,"FORM-D1"}</definedName>
    <definedName name="sssssssssssss_2" hidden="1">{"form-D1",#N/A,FALSE,"FORM-D1";"form-D1_amt",#N/A,FALSE,"FORM-D1"}</definedName>
    <definedName name="sssssssssssss_3" hidden="1">{"form-D1",#N/A,FALSE,"FORM-D1";"form-D1_amt",#N/A,FALSE,"FORM-D1"}</definedName>
    <definedName name="sssssssssssssas" hidden="1">{"form-D1",#N/A,FALSE,"FORM-D1";"form-D1_amt",#N/A,FALSE,"FORM-D1"}</definedName>
    <definedName name="sssssssssssssas_1" hidden="1">{"form-D1",#N/A,FALSE,"FORM-D1";"form-D1_amt",#N/A,FALSE,"FORM-D1"}</definedName>
    <definedName name="sssssssssssssas_2" hidden="1">{"form-D1",#N/A,FALSE,"FORM-D1";"form-D1_amt",#N/A,FALSE,"FORM-D1"}</definedName>
    <definedName name="sssssssssssssas_3" hidden="1">{"form-D1",#N/A,FALSE,"FORM-D1";"form-D1_amt",#N/A,FALSE,"FORM-D1"}</definedName>
    <definedName name="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_1" hidden="1">{#N/A,#N/A,FALSE,"MODULE3"}</definedName>
    <definedName name="st_2" hidden="1">{#N/A,#N/A,FALSE,"MODULE3"}</definedName>
    <definedName name="st_3" hidden="1">{#N/A,#N/A,FALSE,"MODULE3"}</definedName>
    <definedName name="STAFFHRS">#N/A</definedName>
    <definedName name="STAFFING">#N/A</definedName>
    <definedName name="Stage">#REF!</definedName>
    <definedName name="STAIR" hidden="1">{"'장비'!$A$3:$M$12"}</definedName>
    <definedName name="stand" hidden="1">{"'Sheet1'!$A$4386:$N$4591"}</definedName>
    <definedName name="Standby" hidden="1">#REF!</definedName>
    <definedName name="START1">#N/A</definedName>
    <definedName name="START2">#N/A</definedName>
    <definedName name="START3">#N/A</definedName>
    <definedName name="START4">#N/A</definedName>
    <definedName name="START5">#N/A</definedName>
    <definedName name="STARTING">#N/A</definedName>
    <definedName name="Startpack" localSheetId="1" hidden="1">{#N/A,#N/A,FALSE,"Summary"}</definedName>
    <definedName name="Startpack" hidden="1">{#N/A,#N/A,FALSE,"Summary"}</definedName>
    <definedName name="Steelwork_Supports">#REF!</definedName>
    <definedName name="STELTS">#REF!</definedName>
    <definedName name="stff" hidden="1">{"FTS",#N/A,FALSE,"E"}</definedName>
    <definedName name="STG40_HRS">#N/A</definedName>
    <definedName name="STG40_LAB">#N/A</definedName>
    <definedName name="STG40_MAT">#N/A</definedName>
    <definedName name="STG40_S_C">#N/A</definedName>
    <definedName name="STG40_SC">#N/A</definedName>
    <definedName name="STG40_TOT">#N/A</definedName>
    <definedName name="STL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STLUKES_TAB">#REF!</definedName>
    <definedName name="STLUKES_TAB_5">#REF!</definedName>
    <definedName name="STLUKES_TAB_5_5">"#REF!"</definedName>
    <definedName name="STLUKES_TAB_6">#REF!</definedName>
    <definedName name="STLUKES_TAB_6_5">"#REF!"</definedName>
    <definedName name="stock02" hidden="1">{#N/A,#N/A,FALSE,"gc (2)"}</definedName>
    <definedName name="Stocks" hidden="1">{#N/A,#N/A,FALSE,"Aging Summary";#N/A,#N/A,FALSE,"Ratio Analysis";#N/A,#N/A,FALSE,"Test 120 Day Accts";#N/A,#N/A,FALSE,"Tickmarks"}</definedName>
    <definedName name="Strategic">#REF!</definedName>
    <definedName name="StrID">#REF!</definedName>
    <definedName name="StrucB">#REF!</definedName>
    <definedName name="StructBEB">#REF!</definedName>
    <definedName name="STRUCTCHART" localSheetId="1" hidden="1">{#N/A,#N/A,TRUE,"Equipment installation bm"}</definedName>
    <definedName name="STRUCTCHART" hidden="1">{#N/A,#N/A,TRUE,"Equipment installation bm"}</definedName>
    <definedName name="Structural_Steel">#REF!</definedName>
    <definedName name="stryt5u8h87" hidden="1">{#N/A,#N/A,TRUE,"Cover";#N/A,#N/A,TRUE,"Conts";#N/A,#N/A,TRUE,"VOS";#N/A,#N/A,TRUE,"Warrington";#N/A,#N/A,TRUE,"Widnes"}</definedName>
    <definedName name="STUB_OUT">#REF!</definedName>
    <definedName name="Sub">#REF!</definedName>
    <definedName name="SUB_BASE">#REF!</definedName>
    <definedName name="SUB_BASE_COURSE">#REF!</definedName>
    <definedName name="SUBBASE">#REF!</definedName>
    <definedName name="subcon">#REF!</definedName>
    <definedName name="subcondim">#REF!</definedName>
    <definedName name="subcones">#REF!</definedName>
    <definedName name="subconsds">#REF!</definedName>
    <definedName name="subconsewer">#REF!</definedName>
    <definedName name="subcontel">#REF!</definedName>
    <definedName name="SubconVAT">1.12</definedName>
    <definedName name="subconws">#REF!</definedName>
    <definedName name="subconwt">#REF!</definedName>
    <definedName name="subfab">#REF!</definedName>
    <definedName name="SubFac">1</definedName>
    <definedName name="Subject">#REF!</definedName>
    <definedName name="SUBTOTALS">#N/A</definedName>
    <definedName name="SUM">#REF!</definedName>
    <definedName name="SUM_DATA">#N/A</definedName>
    <definedName name="summa" hidden="1">{#N/A,#N/A,TRUE,"Equipment installation bm"}</definedName>
    <definedName name="SUMMARY">#REF!</definedName>
    <definedName name="SUMMARY_5">"#REF!"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2">#N/A</definedName>
    <definedName name="SUMMARYT" hidden="1">#REF!</definedName>
    <definedName name="Sundries">#REF!</definedName>
    <definedName name="supply" hidden="1">#REF!</definedName>
    <definedName name="SUPPORT">#REF!</definedName>
    <definedName name="süpürgelik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usan" hidden="1">#REF!</definedName>
    <definedName name="sve" hidden="1">#REF!,#REF!</definedName>
    <definedName name="SVF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VGL_MS2_DUV_STEPPER_Reuse">#REF!</definedName>
    <definedName name="SWA">#REF!</definedName>
    <definedName name="swdew" hidden="1">#REF!</definedName>
    <definedName name="sw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WFSDF" hidden="1">{#N/A,#N/A,FALSE,"COMP"}</definedName>
    <definedName name="swsdfa" hidden="1">{#N/A,#N/A,TRUE,"Cover";#N/A,#N/A,TRUE,"Conts";#N/A,#N/A,TRUE,"VOS";#N/A,#N/A,TRUE,"Warrington";#N/A,#N/A,TRUE,"Widnes"}</definedName>
    <definedName name="sww" hidden="1">{#N/A,#N/A,FALSE,"elk_iç_er";#N/A,#N/A,FALSE,"elk_iç_tut";#N/A,#N/A,FALSE,"elk_iç_ihz"}</definedName>
    <definedName name="SYS">#N/A</definedName>
    <definedName name="syu" hidden="1">{#N/A,#N/A,TRUE,"Cover";#N/A,#N/A,TRUE,"Conts";#N/A,#N/A,TRUE,"VOS";#N/A,#N/A,TRUE,"Warrington";#N/A,#N/A,TRUE,"Widnes"}</definedName>
    <definedName name="t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ble_2">#REF!</definedName>
    <definedName name="TableSummary" hidden="1">#REF!</definedName>
    <definedName name="tablo2" hidden="1">#REF!</definedName>
    <definedName name="TackCoat">#REF!</definedName>
    <definedName name="TAKEOFF">#N/A</definedName>
    <definedName name="TARIFAS" hidden="1">#REF!</definedName>
    <definedName name="TARIK" hidden="1">#REF!</definedName>
    <definedName name="TARIK1" hidden="1">#REF!</definedName>
    <definedName name="TARIK3" hidden="1">#REF!</definedName>
    <definedName name="TARIK4" hidden="1">#REF!</definedName>
    <definedName name="TARIK5" hidden="1">#REF!</definedName>
    <definedName name="TARIK6" hidden="1">#REF!</definedName>
    <definedName name="TASKS">#REF!</definedName>
    <definedName name="TB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tbl_ProdInfo" hidden="1">#REF!</definedName>
    <definedName name="TC">#REF!</definedName>
    <definedName name="tcf">#REF!</definedName>
    <definedName name="tcs">#REF!</definedName>
    <definedName name="tcv">#REF!</definedName>
    <definedName name="tdc">#REF!</definedName>
    <definedName name="TDS" hidden="1">{"'Sheet1'!$A$4386:$N$4591"}</definedName>
    <definedName name="te" hidden="1">#REF!</definedName>
    <definedName name="Team">#REF!</definedName>
    <definedName name="tech" hidden="1">{#N/A,#N/A,FALSE,"Sheet1";#N/A,#N/A,FALSE,"Sheet1";#N/A,#N/A,FALSE,"Sheet1";#N/A,#N/A,FALSE,"Sheet1"}</definedName>
    <definedName name="tech_dg70_15" hidden="1">{#N/A,#N/A,FALSE,"Sheet1";#N/A,#N/A,FALSE,"Sheet1";#N/A,#N/A,FALSE,"Sheet1";#N/A,#N/A,FALSE,"Sheet1"}</definedName>
    <definedName name="tech1" hidden="1">{#N/A,#N/A,FALSE,"Sheet1";#N/A,#N/A,FALSE,"Sheet1";#N/A,#N/A,FALSE,"Sheet1";#N/A,#N/A,FALSE,"Sheet1"}</definedName>
    <definedName name="technical" hidden="1">{#N/A,#N/A,FALSE,"CAPTION LIST (As-Built)";#N/A,#N/A,FALSE,"DOCUMENT LIST (As-Built)";#N/A,#N/A,FALSE,"PLANT SPECIFICATION";#N/A,#N/A,FALSE,"PRODUCT LIST"}</definedName>
    <definedName name="techspec" hidden="1">{#N/A,#N/A,FALSE,"Sheet1";#N/A,#N/A,FALSE,"Sheet1";#N/A,#N/A,FALSE,"Sheet1";#N/A,#N/A,FALSE,"Sheet1"}</definedName>
    <definedName name="tefe" hidden="1">#REF!</definedName>
    <definedName name="tefe1" hidden="1">#REF!</definedName>
    <definedName name="tefemayıs" hidden="1">#REF!</definedName>
    <definedName name="Tel_Tab">#REF!</definedName>
    <definedName name="Teleh" localSheetId="1" hidden="1">{#N/A,#N/A,FALSE,"Summary"}</definedName>
    <definedName name="Teleh" hidden="1">{#N/A,#N/A,FALSE,"Summary"}</definedName>
    <definedName name="te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ACIL">#REF!</definedName>
    <definedName name="template">#REF!</definedName>
    <definedName name="TEN">#REF!</definedName>
    <definedName name="Tend_Box" hidden="1">#REF!</definedName>
    <definedName name="Term">#REF!</definedName>
    <definedName name="TerminalCap">#REF!</definedName>
    <definedName name="TESHİN" hidden="1">#REF!</definedName>
    <definedName name="TESHİN_KALIP" hidden="1">#REF!</definedName>
    <definedName name="TESHİN_KAZIDOLGU" hidden="1">#REF!</definedName>
    <definedName name="test">#REF!</definedName>
    <definedName name="TEST0">#REF!</definedName>
    <definedName name="TESTHKEY">#REF!</definedName>
    <definedName name="testing" hidden="1">#REF!</definedName>
    <definedName name="TESTKEYS">#REF!</definedName>
    <definedName name="TESTVKEY">#REF!</definedName>
    <definedName name="tew" hidden="1">#REF!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xtRefCopyRangeCount" hidden="1">4</definedName>
    <definedName name="TF">#REF!</definedName>
    <definedName name="tfgf" hidden="1">#REF!</definedName>
    <definedName name="T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ğgğr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grae" hidden="1">#REF!</definedName>
    <definedName name="thanh" hidden="1">{"'Sheet1'!$L$16"}</definedName>
    <definedName name="the" hidden="1">{#N/A,#N/A,FALSE,"gc (2)"}</definedName>
    <definedName name="Th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hirdFloorArchiSum">#REF!</definedName>
    <definedName name="THIRTY">#REF!</definedName>
    <definedName name="THIRTY_EIGHT">#REF!</definedName>
    <definedName name="THIRTY_FIVE">#REF!</definedName>
    <definedName name="THIRTY_FOUR">#REF!</definedName>
    <definedName name="THIRTY_NINE">#REF!</definedName>
    <definedName name="THIRTY_ONE">#REF!</definedName>
    <definedName name="THIRTY_SEVEN">#REF!</definedName>
    <definedName name="THIRTY_SIX">#REF!</definedName>
    <definedName name="THIRTY_THREE">#REF!</definedName>
    <definedName name="THIRTY_TWO">#REF!</definedName>
    <definedName name="THIRTYEIGHT">#REF!</definedName>
    <definedName name="THIRTYFIVE">#REF!</definedName>
    <definedName name="THIRTYFOUR">#REF!</definedName>
    <definedName name="THIRTYNINE">#REF!</definedName>
    <definedName name="THIRTYONE">#REF!</definedName>
    <definedName name="THIRTYSEVEN">#REF!</definedName>
    <definedName name="THIRTYSIX">#REF!</definedName>
    <definedName name="THIRTYTHREE">#REF!</definedName>
    <definedName name="THIRTYTWO">#REF!</definedName>
    <definedName name="THKP7YT" hidden="1">{"'Sheet1'!$L$16"}</definedName>
    <definedName name="thr" hidden="1">#REF!</definedName>
    <definedName name="three" hidden="1">OFFSET([0]!Data.Top.Left,1,0)</definedName>
    <definedName name="threecubicles">#REF!</definedName>
    <definedName name="thwghrt" hidden="1">{#N/A,#N/A,TRUE,"Cover";#N/A,#N/A,TRUE,"Conts";#N/A,#N/A,TRUE,"VOS";#N/A,#N/A,TRUE,"Warrington";#N/A,#N/A,TRUE,"Widnes"}</definedName>
    <definedName name="TI" hidden="1">#REF!</definedName>
    <definedName name="tie_wire">#REF!</definedName>
    <definedName name="TIEI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iles">#REF!</definedName>
    <definedName name="TIME">#N/A</definedName>
    <definedName name="TIME1">#N/A</definedName>
    <definedName name="Title1">#REF!</definedName>
    <definedName name="Title2">#REF!</definedName>
    <definedName name="titles">#REF!,#REF!,#REF!,#REF!,#REF!,#REF!</definedName>
    <definedName name="tj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K" hidden="1">{#N/A,#N/A,FALSE,"결의서";#N/A,#N/A,FALSE,"내역서";#N/A,#N/A,FALSE,"도급예상";#N/A,#N/A,FALSE,"시방서"}</definedName>
    <definedName name="tmp" hidden="1">{"'Break down'!$A$4"}</definedName>
    <definedName name="Toilet1" hidden="1">#REF!</definedName>
    <definedName name="TOK" hidden="1">#REF!</definedName>
    <definedName name="tol">#REF!</definedName>
    <definedName name="tonyaiskend." hidden="1">{#N/A,#N/A,FALSE,"Çaykara ataköy (1)";#N/A,#N/A,FALSE,"Çaykara ataköy (2)";#N/A,#N/A,FALSE,"Rize Kalkandere ";#N/A,#N/A,FALSE,"meydancık";#N/A,#N/A,FALSE,"muratlı"}</definedName>
    <definedName name="TOOL_DESCRIPTION">#REF!</definedName>
    <definedName name="Topaz2_PL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opl">#REF!</definedName>
    <definedName name="topn">#REF!</definedName>
    <definedName name="TOTAL_NO._OF_BLDGS.">#REF!</definedName>
    <definedName name="TOTAL_QUANTITY_PER_P.O_NO.">#REF!</definedName>
    <definedName name="TOTBUDHR">#REF!</definedName>
    <definedName name="TOTESTTC">#REF!</definedName>
    <definedName name="TOTSPENT">#REF!</definedName>
    <definedName name="Tower1">#REF!</definedName>
    <definedName name="TOWERWISE" hidden="1">{"'Sheet1'!$A$4386:$N$4591"}</definedName>
    <definedName name="tpoıl" hidden="1">#REF!</definedName>
    <definedName name="TPT_QTR">#REF!</definedName>
    <definedName name="TR">#REF!</definedName>
    <definedName name="TrafficSings">#REF!</definedName>
    <definedName name="TransactionCosts">#REF!</definedName>
    <definedName name="Transport">#REF!</definedName>
    <definedName name="trbnuomi" hidden="1">{#N/A,#N/A,TRUE,"Cover";#N/A,#N/A,TRUE,"Conts";#N/A,#N/A,TRUE,"VOS";#N/A,#N/A,TRUE,"Warrington";#N/A,#N/A,TRUE,"Widnes"}</definedName>
    <definedName name="TR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gr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rial" hidden="1">#REF!</definedName>
    <definedName name="TROTS_CFA1">#REF!</definedName>
    <definedName name="trrrrrrrrrrrrr" hidden="1">{"form-D1",#N/A,FALSE,"FORM-D1";"form-D1_amt",#N/A,FALSE,"FORM-D1"}</definedName>
    <definedName name="trrrrrrrrrrrrr_1" hidden="1">{"form-D1",#N/A,FALSE,"FORM-D1";"form-D1_amt",#N/A,FALSE,"FORM-D1"}</definedName>
    <definedName name="trrrrrrrrrrrrr_2" hidden="1">{"form-D1",#N/A,FALSE,"FORM-D1";"form-D1_amt",#N/A,FALSE,"FORM-D1"}</definedName>
    <definedName name="trrrrrrrrrrrrr_3" hidden="1">{"form-D1",#N/A,FALSE,"FORM-D1";"form-D1_amt",#N/A,FALSE,"FORM-D1"}</definedName>
    <definedName name="trrr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wtewer" hidden="1">{#VALUE!,#N/A,TRUE,0;#N/A,#N/A,TRUE,0;#N/A,#N/A,TRUE,0;#N/A,#N/A,TRUE,0;#N/A,#N/A,TRUE,0;#N/A,#N/A,TRUE,0;#N/A,#N/A,TRUE,0}</definedName>
    <definedName name="tsgdgsdgf" hidden="1">#REF!</definedName>
    <definedName name="TSUPPOT" hidden="1">{#N/A,#N/A,FALSE,"CCTV"}</definedName>
    <definedName name="tt" hidden="1">{#VALUE!,#N/A,FALSE,0;#N/A,#N/A,FALSE,0;#N/A,#N/A,FALSE,0;#N/A,#N/A,FALSE,0;#N/A,#N/A,FALSE,0}</definedName>
    <definedName name="tttt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TTTTT" hidden="1">#REF!</definedName>
    <definedName name="TU" hidden="1">{"form-D1",#N/A,FALSE,"FORM-D1";"form-D1_amt",#N/A,FALSE,"FORM-D1"}</definedName>
    <definedName name="TU_1" hidden="1">{"form-D1",#N/A,FALSE,"FORM-D1";"form-D1_amt",#N/A,FALSE,"FORM-D1"}</definedName>
    <definedName name="TU_2" hidden="1">{"form-D1",#N/A,FALSE,"FORM-D1";"form-D1_amt",#N/A,FALSE,"FORM-D1"}</definedName>
    <definedName name="TU_3" hidden="1">{"form-D1",#N/A,FALSE,"FORM-D1";"form-D1_amt",#N/A,FALSE,"FORM-D1"}</definedName>
    <definedName name="TUBE" hidden="1">{#N/A,#N/A,FALSE,"CCTV"}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URGUT" hidden="1">{"turbine",#N/A,FALSE,"Option"}</definedName>
    <definedName name="turgutac" hidden="1">{#N/A,#N/A,TRUE,"arnitower";#N/A,#N/A,TRUE,"arnigarage "}</definedName>
    <definedName name="Turk">#REF!</definedName>
    <definedName name="tüt" hidden="1">{#N/A,#N/A,FALSE,0;#N/A,#N/A,FALSE,0;#N/A,#N/A,FALSE,0}</definedName>
    <definedName name="tutanak" hidden="1">{#N/A,#N/A,FALSE,"Çaykara ataköy (1)";#N/A,#N/A,FALSE,"Çaykara ataköy (2)";#N/A,#N/A,FALSE,"Rize Kalkandere ";#N/A,#N/A,FALSE,"meydancık";#N/A,#N/A,FALSE,"muratlı"}</definedName>
    <definedName name="tvtyiuoujl" hidden="1">{#N/A,#N/A,TRUE,"Cover";#N/A,#N/A,TRUE,"Conts";#N/A,#N/A,TRUE,"VOS";#N/A,#N/A,TRUE,"Warrington";#N/A,#N/A,TRUE,"Widnes"}</definedName>
    <definedName name="TWELVE">#REF!</definedName>
    <definedName name="TWENTY">#REF!</definedName>
    <definedName name="TWENTY_EIGHT">#REF!</definedName>
    <definedName name="TWENTY_FIVE">#REF!</definedName>
    <definedName name="TWENTY_FOUR">#REF!</definedName>
    <definedName name="TWENTY_NINE">#REF!</definedName>
    <definedName name="TWENTY_ONE">#REF!</definedName>
    <definedName name="TWENTY_SEVEN">#REF!</definedName>
    <definedName name="TWENTY_SIX">#REF!</definedName>
    <definedName name="TWENTY_THREE">#REF!</definedName>
    <definedName name="TWENTY_TWO">#REF!</definedName>
    <definedName name="TWENTYEIGHT">#REF!</definedName>
    <definedName name="TWENTYFIVE">#REF!</definedName>
    <definedName name="TWENTYFOUR">#REF!</definedName>
    <definedName name="TWENTYNINE">#REF!</definedName>
    <definedName name="TWENTYONE">#REF!</definedName>
    <definedName name="TWENTYSEVEN">#REF!</definedName>
    <definedName name="TWENTYSIX">#REF!</definedName>
    <definedName name="TWENTYTHREE">#REF!</definedName>
    <definedName name="TWENTYTWO">#REF!</definedName>
    <definedName name="two">#REF!</definedName>
    <definedName name="ty" hidden="1">{#N/A,#N/A,TRUE,"Cover";#N/A,#N/A,TRUE,"Conts";#N/A,#N/A,TRUE,"VOS";#N/A,#N/A,TRUE,"Warrington";#N/A,#N/A,TRUE,"Widnes"}</definedName>
    <definedName name="type">#REF!</definedName>
    <definedName name="tyr" hidden="1">{"FTS",#N/A,FALSE,"E"}</definedName>
    <definedName name="tyutri" hidden="1">{#N/A,#N/A,TRUE,"Cover";#N/A,#N/A,TRUE,"Conts";#N/A,#N/A,TRUE,"VOS";#N/A,#N/A,TRUE,"Warrington";#N/A,#N/A,TRUE,"Widnes"}</definedName>
    <definedName name="u">#REF!</definedName>
    <definedName name="U_G">#N/A</definedName>
    <definedName name="u567ı" hidden="1">#REF!</definedName>
    <definedName name="UA">#REF!</definedName>
    <definedName name="üa" hidden="1">{#VALUE!,#N/A,TRUE,0;#N/A,#N/A,TRUE,0;#N/A,#N/A,TRUE,0;#N/A,#N/A,TRUE,0;#N/A,#N/A,TRUE,0;#N/A,#N/A,TRUE,0;#N/A,#N/A,TRUE,0}</definedName>
    <definedName name="üa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aa2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ditch" hidden="1">{"'장비'!$A$3:$M$12"}</definedName>
    <definedName name="UG">#REF!</definedName>
    <definedName name="UGUR" hidden="1">{#N/A,#N/A,FALSE,"ihz. icmal";#N/A,#N/A,FALSE,"avans";#N/A,#N/A,FALSE,"mal_FF_icm";#N/A,#N/A,FALSE,"fat_ihz";#N/A,#N/A,FALSE,"söz_fiy_fark";#N/A,#N/A,FALSE,"kap2"}</definedName>
    <definedName name="uhhtrytrs" hidden="1">{#N/A,#N/A,TRUE,"Cover";#N/A,#N/A,TRUE,"Conts";#N/A,#N/A,TRUE,"VOS";#N/A,#N/A,TRUE,"Warrington";#N/A,#N/A,TRUE,"Widnes"}</definedName>
    <definedName name="ui" hidden="1">{"form-D1",#N/A,FALSE,"FORM-D1";"form-D1_amt",#N/A,FALSE,"FORM-D1"}</definedName>
    <definedName name="uııı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uııııı" hidden="1">{#N/A,#N/A,FALSE,"maff_h1";#N/A,#N/A,FALSE,"maff_h2";#N/A,#N/A,FALSE,"maff_h3";#N/A,#N/A,FALSE,"maff_h4";#N/A,#N/A,FALSE,"maff_h5";#N/A,#N/A,FALSE,"maff_h6";#N/A,#N/A,FALSE,"maff_h7"}</definedName>
    <definedName name="uıııuı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uııu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ık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UIO">#REF!</definedName>
    <definedName name="uit" hidden="1">{#N/A,#N/A,TRUE,"Cover";#N/A,#N/A,TRUE,"Conts";#N/A,#N/A,TRUE,"VOS";#N/A,#N/A,TRUE,"Warrington";#N/A,#N/A,TRUE,"Widnes"}</definedName>
    <definedName name="uıtl" hidden="1">#REF!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ıuı" hidden="1">{#N/A,#N/A,FALSE,"avans";#N/A,#N/A,FALSE,"teminat_mektubu";#N/A,#N/A,FALSE,"ihz. icmal";#N/A,#N/A,FALSE,"söz_fiy_fark";#N/A,#N/A,FALSE,"kap2";#N/A,#N/A,FALSE,"mal_FF_icm";#N/A,#N/A,FALSE,"kap1"}</definedName>
    <definedName name="uiuif" hidden="1">{#N/A,#N/A,TRUE,"Cover";#N/A,#N/A,TRUE,"Conts";#N/A,#N/A,TRUE,"VOS";#N/A,#N/A,TRUE,"Warrington";#N/A,#N/A,TRUE,"Widnes"}</definedName>
    <definedName name="uıuıuıuı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uiyuitii" hidden="1">{#N/A,#N/A,TRUE,"Cover";#N/A,#N/A,TRUE,"Conts";#N/A,#N/A,TRUE,"VOS";#N/A,#N/A,TRUE,"Warrington";#N/A,#N/A,TRUE,"Widnes"}</definedName>
    <definedName name="uj" hidden="1">{#N/A,#N/A,FALSE,"Project Properties";#N/A,#N/A,FALSE,"Eng %";#N/A,#N/A,FALSE,"ENGFORM";#N/A,#N/A,FALSE,"staffing";#N/A,#N/A,FALSE,"spending"}</definedName>
    <definedName name="UJD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k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lömnhy" hidden="1">{#N/A,#N/A,FALSE,"ihz. icmal";#N/A,#N/A,FALSE,"avans";#N/A,#N/A,FALSE,"mal_FF_icm";#N/A,#N/A,FALSE,"fat_ihz";#N/A,#N/A,FALSE,"söz_fiy_fark";#N/A,#N/A,FALSE,"kap2"}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lppuipui" hidden="1">{#N/A,#N/A,TRUE,"Cover";#N/A,#N/A,TRUE,"Conts";#N/A,#N/A,TRUE,"VOS";#N/A,#N/A,TRUE,"Warrington";#N/A,#N/A,TRUE,"Widnes"}</definedName>
    <definedName name="ulul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U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ndo" hidden="1">{#N/A,#N/A,TRUE,"Cover";#N/A,#N/A,TRUE,"Conts";#N/A,#N/A,TRUE,"VOS";#N/A,#N/A,TRUE,"Warrington";#N/A,#N/A,TRUE,"Widnes"}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S">#REF!</definedName>
    <definedName name="ünsa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oıy" hidden="1">#REF!</definedName>
    <definedName name="uolougouio" hidden="1">{#N/A,#N/A,TRUE,"Cover";#N/A,#N/A,TRUE,"Conts";#N/A,#N/A,TRUE,"VOS";#N/A,#N/A,TRUE,"Warrington";#N/A,#N/A,TRUE,"Widnes"}</definedName>
    <definedName name="uot" hidden="1">{"SUMMARY",#N/A,FALSE,"C"}</definedName>
    <definedName name="urop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USD">1</definedName>
    <definedName name="USDRs">#REF!</definedName>
    <definedName name="USDYen">#REF!</definedName>
    <definedName name="UTILH">#REF!</definedName>
    <definedName name="UTILITIESBUILDING" hidden="1">#REF!</definedName>
    <definedName name="UTILITY">#REF!</definedName>
    <definedName name="UTILV">#REF!</definedName>
    <definedName name="ütk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m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TR_QTR">#REF!</definedName>
    <definedName name="utry" hidden="1">#REF!,#REF!</definedName>
    <definedName name="uty" hidden="1">#REF!,#REF!</definedName>
    <definedName name="uuı" hidden="1">{#N/A,#N/A,FALSE,"inş_iç_ihz";#N/A,#N/A,FALSE,"inş_iç_er";#N/A,#N/A,FALSE,"inş_iç_tut"}</definedName>
    <definedName name="uuııı" hidden="1">{#N/A,#N/A,FALSE,"kal_iç_ihz";#N/A,#N/A,FALSE,"kal_iç_er";#N/A,#N/A,FALSE,"kal_iç_tut"}</definedName>
    <definedName name="uuıyy" hidden="1">{#VALUE!,#N/A,FALSE,0;#N/A,#N/A,FALSE,0;#N/A,#N/A,FALSE,0;#N/A,#N/A,FALSE,0;#N/A,#N/A,FALSE,0;#N/A,#N/A,FALSE,0;#N/A,#N/A,FALSE,0;#N/A,#N/A,FALSE,0;#N/A,#N/A,FALSE,0;#N/A,#N/A,FALSE,0;#N/A,#N/A,FALSE,0}</definedName>
    <definedName name="uuu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ı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ııu" hidden="1">{#N/A,#N/A,FALSE,"müş_iç_ihz";#N/A,#N/A,FALSE,"müş_iç_er";#N/A,#N/A,FALSE,"müş_iç_tut"}</definedName>
    <definedName name="uuuu" hidden="1">{#N/A,#N/A,FALSE,"단가표지"}</definedName>
    <definedName name="uuuuııuıı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y" hidden="1">{#VALUE!,#N/A,TRUE,0;#N/A,#N/A,TRUE,0;#N/A,#N/A,TRUE,0;#N/A,#N/A,TRUE,0;#N/A,#N/A,TRUE,0;#N/A,#N/A,TRUE,0;#N/A,#N/A,TRUE,0}</definedName>
    <definedName name="uy_1" hidden="1">{"form-D1",#N/A,FALSE,"FORM-D1";"form-D1_amt",#N/A,FALSE,"FORM-D1"}</definedName>
    <definedName name="uy_2" hidden="1">{"form-D1",#N/A,FALSE,"FORM-D1";"form-D1_amt",#N/A,FALSE,"FORM-D1"}</definedName>
    <definedName name="uy_3" hidden="1">{"form-D1",#N/A,FALSE,"FORM-D1";"form-D1_amt",#N/A,FALSE,"FORM-D1"}</definedName>
    <definedName name="uyedgnhgdf" hidden="1">#REF!</definedName>
    <definedName name="UYI" hidden="1">{#N/A,#N/A,FALSE,"elk_iç_er";#N/A,#N/A,FALSE,"elk_iç_tut";#N/A,#N/A,FALSE,"elk_iç_ihz"}</definedName>
    <definedName name="uyıııı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yuy" hidden="1">{#N/A,#N/A,FALSE,"M.F.F.İCMALİ";#N/A,#N/A,FALSE,"MFF HESAP TAB";#N/A,#N/A,FALSE,"AKARY.MİK";#N/A,#N/A,FALSE,"AKARY.TUTANAĞI";#N/A,#N/A,FALSE,"MOTORİN";#N/A,#N/A,FALSE," TAB ÇİM PÇ425";#N/A,#N/A,FALSE,"ÇİM. MİK PÇ-425";#N/A,#N/A,FALSE,"DEMİR";#N/A,#N/A,FALSE," TAB demir"}</definedName>
    <definedName name="uyyuı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">#REF!</definedName>
    <definedName name="v45v7y6" hidden="1">#REF!,#REF!</definedName>
    <definedName name="Variance" hidden="1">{#N/A,#N/A,FALSE,"MODULE3"}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t">#REF!</definedName>
    <definedName name="VATM" hidden="1">{"'Sheet1'!$L$16"}</definedName>
    <definedName name="VATMAY99" hidden="1">{#N/A,#N/A,FALSE,"AR2";#N/A,#N/A,FALSE,"SUM"}</definedName>
    <definedName name="vbnghj77865" hidden="1">{#N/A,#N/A,TRUE,"Str.";#N/A,#N/A,TRUE,"Steel &amp; Roof";#N/A,#N/A,TRUE,"Arc.";#N/A,#N/A,TRUE,"Preliminary";#N/A,#N/A,TRUE,"Sum_Prelim"}</definedName>
    <definedName name="vcoto" hidden="1">{"'Sheet1'!$L$16"}</definedName>
    <definedName name="vc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das" hidden="1">#REF!</definedName>
    <definedName name="vdbdbdb">#REF!</definedName>
    <definedName name="vdsa" hidden="1">#REF!</definedName>
    <definedName name="vdsfa" hidden="1">#REF!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vfds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ffsfs" hidden="1">{#N/A,#N/A,TRUE,"Basic";#N/A,#N/A,TRUE,"EXT-TABLE";#N/A,#N/A,TRUE,"STEEL";#N/A,#N/A,TRUE,"INT-Table";#N/A,#N/A,TRUE,"STEEL";#N/A,#N/A,TRUE,"Door"}</definedName>
    <definedName name="vfgj678" hidden="1">{#N/A,#N/A,FALSE,"mgtsum.XLS";#N/A,#N/A,FALSE,"CAPONE";#N/A,#N/A,FALSE,"CAPTWO";#N/A,#N/A,FALSE,"CAPTHREE"}</definedName>
    <definedName name="vfvfv" hidden="1">{#N/A,#N/A,FALSE,"Broker Sheet";#N/A,#N/A,FALSE,"Exec.Summary";#N/A,#N/A,FALSE,"Argus Cash Flow";#N/A,#N/A,FALSE,"SPF";#N/A,#N/A,FALSE,"RentRoll"}</definedName>
    <definedName name="vh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VIEW">#N/A</definedName>
    <definedName name="vim" hidden="1">{#N/A,#N/A,FALSE,"CAPTION LIST (As-Built)";#N/A,#N/A,FALSE,"DOCUMENT LIST (As-Built)";#N/A,#N/A,FALSE,"PLANT SPECIFICATION";#N/A,#N/A,FALSE,"PRODUCT LIST"}</definedName>
    <definedName name="vinod" hidden="1">{#N/A,#N/A,FALSE,"MODULE3"}</definedName>
    <definedName name="vinod_1" hidden="1">{#N/A,#N/A,FALSE,"MODULE3"}</definedName>
    <definedName name="vinod_2" hidden="1">{#N/A,#N/A,FALSE,"MODULE3"}</definedName>
    <definedName name="vinod_3" hidden="1">{#N/A,#N/A,FALSE,"MODULE3"}</definedName>
    <definedName name="virtu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j" hidden="1">{#N/A,#N/A,TRUE,"Cover";#N/A,#N/A,TRUE,"Conts";#N/A,#N/A,TRUE,"VOS";#N/A,#N/A,TRUE,"Warrington";#N/A,#N/A,TRUE,"Widnes"}</definedName>
    <definedName name="VPOPO" hidden="1">{"PLANT BREAKUP",#N/A,FALSE,"E"}</definedName>
    <definedName name="vsd" hidden="1">#REF!</definedName>
    <definedName name="vsddtr" hidden="1">#REF!</definedName>
    <definedName name="vşş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vur" hidden="1">#REF!</definedName>
    <definedName name="vural" hidden="1">#REF!</definedName>
    <definedName name="vv" hidden="1">{#N/A,#N/A,FALSE,"kap1";#N/A,#N/A,FALSE,"kap2";#N/A,#N/A,FALSE,"tem_mektubu";#N/A,#N/A,FALSE,"avans";#N/A,#N/A,FALSE,"söz_fiy_fark";#N/A,#N/A,FALSE,"fat_ihz"}</definedName>
    <definedName name="vvvv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_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_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_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" hidden="1">#REF!</definedName>
    <definedName name="w26te" hidden="1">{#N/A,#N/A,TRUE,"Cover";#N/A,#N/A,TRUE,"Conts";#N/A,#N/A,TRUE,"VOS";#N/A,#N/A,TRUE,"Warrington";#N/A,#N/A,TRUE,"Widnes"}</definedName>
    <definedName name="W4TF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6y" hidden="1">{#N/A,#N/A,TRUE,"Cover";#N/A,#N/A,TRUE,"Conts";#N/A,#N/A,TRUE,"VOS";#N/A,#N/A,TRUE,"Warrington";#N/A,#N/A,TRUE,"Widnes"}</definedName>
    <definedName name="WA">#REF!</definedName>
    <definedName name="waer" hidden="1">#REF!</definedName>
    <definedName name="waff" hidden="1">{#N/A,#N/A,TRUE,"Cover";#N/A,#N/A,TRUE,"Conts";#N/A,#N/A,TRUE,"VOS";#N/A,#N/A,TRUE,"Warrington";#N/A,#N/A,TRUE,"Widnes"}</definedName>
    <definedName name="wag" hidden="1">{#N/A,#N/A,TRUE,"Basic";#N/A,#N/A,TRUE,"EXT-TABLE";#N/A,#N/A,TRUE,"STEEL";#N/A,#N/A,TRUE,"INT-Table";#N/A,#N/A,TRUE,"STEEL";#N/A,#N/A,TRUE,"Door"}</definedName>
    <definedName name="Wages" hidden="1">{"CASH FLOW",#N/A,FALSE,"A"}</definedName>
    <definedName name="wagess" hidden="1">{"CASH FLOW",#N/A,FALSE,"A"}</definedName>
    <definedName name="wall_adj">#REF!</definedName>
    <definedName name="wallmounted">#REF!</definedName>
    <definedName name="wallpaint">#REF!</definedName>
    <definedName name="warergtrjyiu" hidden="1">{#N/A,#N/A,TRUE,"Cover";#N/A,#N/A,TRUE,"Conts";#N/A,#N/A,TRUE,"VOS";#N/A,#N/A,TRUE,"Warrington";#N/A,#N/A,TRUE,"Widnes"}</definedName>
    <definedName name="wasa" hidden="1">{#N/A,#N/A,FALSE,"mgtsum.XLS";#N/A,#N/A,FALSE,"CAPONE";#N/A,#N/A,FALSE,"CAPTWO";#N/A,#N/A,FALSE,"CAPTHREE"}</definedName>
    <definedName name="waste">1.1</definedName>
    <definedName name="WasteWaterTeratmentHouse" hidden="1">{#N/A,#N/A,FALSE,"Sheet1"}</definedName>
    <definedName name="wat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ater_funds" hidden="1">{"'Sheet1'!$A$4386:$N$4591"}</definedName>
    <definedName name="wawst" hidden="1">{#N/A,#N/A,TRUE,"Cover";#N/A,#N/A,TRUE,"Conts";#N/A,#N/A,TRUE,"VOS";#N/A,#N/A,TRUE,"Warrington";#N/A,#N/A,TRUE,"Widnes"}</definedName>
    <definedName name="WD">#REF!</definedName>
    <definedName name="wdssubcon">#REF!</definedName>
    <definedName name="we" hidden="1">{#N/A,#N/A,FALSE,"Pro-forma claim";#N/A,#N/A,FALSE,"Summary sheet";#N/A,#N/A,FALSE,"SITE INSTRUCTIONS";#N/A,#N/A,FALSE,"DAY WORKS CIVILS";#N/A,#N/A,FALSE,"DAY WORKS STEEL"}</definedName>
    <definedName name="we_1" hidden="1">{"form-D1",#N/A,FALSE,"FORM-D1";"form-D1_amt",#N/A,FALSE,"FORM-D1"}</definedName>
    <definedName name="we_2" hidden="1">{"form-D1",#N/A,FALSE,"FORM-D1";"form-D1_amt",#N/A,FALSE,"FORM-D1"}</definedName>
    <definedName name="we_3" hidden="1">{"form-D1",#N/A,FALSE,"FORM-D1";"form-D1_amt",#N/A,FALSE,"FORM-D1"}</definedName>
    <definedName name="WE1CD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earingCourse">#REF!</definedName>
    <definedName name="wedafaseghr">#REF!</definedName>
    <definedName name="WEDW" hidden="1">#REF!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kStart">#REF!</definedName>
    <definedName name="WEEKUPD">#REF!</definedName>
    <definedName name="wefw" hidden="1">#REF!</definedName>
    <definedName name="wegEG" hidden="1">{#N/A,#N/A,TRUE,"Basic";#N/A,#N/A,TRUE,"EXT-TABLE";#N/A,#N/A,TRUE,"STEEL";#N/A,#N/A,TRUE,"INT-Table";#N/A,#N/A,TRUE,"STEEL";#N/A,#N/A,TRUE,"Door"}</definedName>
    <definedName name="wegywegt" hidden="1">{#N/A,#N/A,TRUE,"Cover";#N/A,#N/A,TRUE,"Conts";#N/A,#N/A,TRUE,"VOS";#N/A,#N/A,TRUE,"Warrington";#N/A,#N/A,TRUE,"Widnes"}</definedName>
    <definedName name="weight" hidden="1">{#N/A,#N/A,FALSE,"CCTV"}</definedName>
    <definedName name="weki_9701.xls" hidden="1">#REF!</definedName>
    <definedName name="wekir9701.xls" hidden="1">#REF!</definedName>
    <definedName name="wen" hidden="1">{#N/A,#N/A,FALSE,"CAPTION LIST (As-Built)";#N/A,#N/A,FALSE,"DOCUMENT LIST (As-Built)";#N/A,#N/A,FALSE,"PLANT SPECIFICATION";#N/A,#N/A,FALSE,"PRODUCT LIST"}</definedName>
    <definedName name="weq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eqr" hidden="1">#REF!</definedName>
    <definedName name="weqrqewr" hidden="1">#REF!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r" hidden="1">#REF!</definedName>
    <definedName name="wer_1" hidden="1">{"form-D1",#N/A,FALSE,"FORM-D1";"form-D1_amt",#N/A,FALSE,"FORM-D1"}</definedName>
    <definedName name="wer_2" hidden="1">{"form-D1",#N/A,FALSE,"FORM-D1";"form-D1_amt",#N/A,FALSE,"FORM-D1"}</definedName>
    <definedName name="wer_3" hidden="1">{"form-D1",#N/A,FALSE,"FORM-D1";"form-D1_amt",#N/A,FALSE,"FORM-D1"}</definedName>
    <definedName name="WERERWQEW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RFWEFWE" hidden="1">#REF!</definedName>
    <definedName name="wergdfcvbnhmgjuiy" hidden="1">#REF!</definedName>
    <definedName name="werqwr" hidden="1">#REF!</definedName>
    <definedName name="wert" hidden="1">{#N/A,#N/A,TRUE,"Cover";#N/A,#N/A,TRUE,"Conts";#N/A,#N/A,TRUE,"VOS";#N/A,#N/A,TRUE,"Warrington";#N/A,#N/A,TRUE,"Widnes"}</definedName>
    <definedName name="wETGWT" hidden="1">{#N/A,#N/A,FALSE,"Broker Sheet";#N/A,#N/A,FALSE,"Exec.Summary";#N/A,#N/A,FALSE,"Argus Cash Flow";#N/A,#N/A,FALSE,"SPF";#N/A,#N/A,FALSE,"RentRoll"}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EWEWEW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WEWEWEWE" hidden="1">{#VALUE!,#N/A,FALSE,0;#N/A,#N/A,FALSE,0;#N/A,#N/A,FALSE,0;#N/A,#N/A,FALSE,0}</definedName>
    <definedName name="wfedc" hidden="1">#REF!,#REF!</definedName>
    <definedName name="wfqhofoo" hidden="1">{"PLANT BREAKUP",#N/A,FALSE,"E"}</definedName>
    <definedName name="wgkjqklgw" hidden="1">{"PLANT BREAKUP",#N/A,FALSE,"E"}</definedName>
    <definedName name="win">#REF!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_3">"#REF!"</definedName>
    <definedName name="win_5">"#REF!"</definedName>
    <definedName name="win_5_3">"#REF!"</definedName>
    <definedName name="WIN22_5">"#REF!"</definedName>
    <definedName name="WIN22_5_3">"#REF!"</definedName>
    <definedName name="Windows_Doors">#REF!</definedName>
    <definedName name="wip" hidden="1">{"'Sheet1'!$A$4386:$N$4591"}</definedName>
    <definedName name="wipn" hidden="1">{"'Sheet1'!$A$4386:$N$4591"}</definedName>
    <definedName name="wire_mesh">#REF!</definedName>
    <definedName name="Wire_Tab">#REF!</definedName>
    <definedName name="WiringDevice_Tab">#REF!</definedName>
    <definedName name="wjd" hidden="1">#REF!</definedName>
    <definedName name="wjs" hidden="1">{#N/A,#N/A,FALSE,"CCTV"}</definedName>
    <definedName name="WM" hidden="1">{#N/A,#N/A,FALSE,"CCTV"}</definedName>
    <definedName name="wm.조골재1" hidden="1">{#N/A,#N/A,FALSE,"조골재"}</definedName>
    <definedName name="woogi" hidden="1">#REF!</definedName>
    <definedName name="woogi2" hidden="1">#REF!</definedName>
    <definedName name="WORKSHOP" hidden="1">{#N/A,#N/A,TRUE,"Basic";#N/A,#N/A,TRUE,"EXT-TABLE";#N/A,#N/A,TRUE,"STEEL";#N/A,#N/A,TRUE,"INT-Table";#N/A,#N/A,TRUE,"STEEL";#N/A,#N/A,TRUE,"Door"}</definedName>
    <definedName name="Workweek">#REF!</definedName>
    <definedName name="WQ" hidden="1">{#N/A,#N/A,FALSE,"ihz. icmal";#N/A,#N/A,FALSE,"avans";#N/A,#N/A,FALSE,"mal_FF_icm";#N/A,#N/A,FALSE,"fat_ihz";#N/A,#N/A,FALSE,"söz_fiy_fark";#N/A,#N/A,FALSE,"kap2"}</definedName>
    <definedName name="wqer" hidden="1">{#N/A,#N/A,TRUE,"Cover";#N/A,#N/A,TRUE,"Conts";#N/A,#N/A,TRUE,"VOS";#N/A,#N/A,TRUE,"Warrington";#N/A,#N/A,TRUE,"Widnes"}</definedName>
    <definedName name="wqerewq" hidden="1">{"Co1statements",#N/A,FALSE,"Cmpy1";"Co2statement",#N/A,FALSE,"Cmpy2";"co1pm",#N/A,FALSE,"Co1PM";"co2PM",#N/A,FALSE,"Co2PM";"value",#N/A,FALSE,"value";"opco",#N/A,FALSE,"NewSparkle";"adjusts",#N/A,FALSE,"Adjustments"}</definedName>
    <definedName name="wqetqwer" hidden="1">#REF!</definedName>
    <definedName name="wqq" hidden="1">{#N/A,#N/A,FALSE,"elk_iç_er";#N/A,#N/A,FALSE,"elk_iç_tut";#N/A,#N/A,FALSE,"elk_iç_ihz"}</definedName>
    <definedName name="wqwqw" hidden="1">{#VALUE!,#N/A,TRUE,0;#N/A,#N/A,TRUE,0;#N/A,#N/A,TRUE,0;#N/A,#N/A,TRUE,0;#N/A,#N/A,TRUE,0;#N/A,#N/A,TRUE,0;#N/A,#N/A,TRUE,0}</definedName>
    <definedName name="wqwqwq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" hidden="1">{#N/A,#N/A,FALSE,"ihz. icmal";#N/A,#N/A,FALSE,"avans";#N/A,#N/A,FALSE,"mal_FF_icm";#N/A,#N/A,FALSE,"fat_ihz";#N/A,#N/A,FALSE,"söz_fiy_fark";#N/A,#N/A,FALSE,"kap2"}</definedName>
    <definedName name="wrhse">#REF!</definedName>
    <definedName name="WRITE" hidden="1">{#N/A,#N/A,FALSE,"CCTV"}</definedName>
    <definedName name="WRM" hidden="1">{#N/A,#N/A,FALSE,"CCTV"}</definedName>
    <definedName name="wrn" hidden="1">{#N/A,#N/A,TRUE,"Equipment installation bm"}</definedName>
    <definedName name="wrn.1." hidden="1">{#N/A,#N/A,FALSE,"17MAY";#N/A,#N/A,FALSE,"24MAY"}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.2" hidden="1">{#N/A,#N/A,FALSE,"17MAY";#N/A,#N/A,FALSE,"24MAY"}</definedName>
    <definedName name="wrn.2번." hidden="1">{#N/A,#N/A,FALSE,"2~8번"}</definedName>
    <definedName name="wrn.A." hidden="1">{#VALUE!,#N/A,FALSE,0;#N/A,#N/A,FALSE,0;#N/A,#N/A,FALSE,0;#N/A,#N/A,FALSE,0;#N/A,#N/A,FALSE,0}</definedName>
    <definedName name="wrn.aaa." hidden="1">{#N/A,#N/A,FALSE,"Sheet1";#N/A,#N/A,FALSE,"Sheet1";#N/A,#N/A,FALSE,"Sheet1"}</definedName>
    <definedName name="wrn.abc." hidden="1">{"Execavation",#N/A,FALSE,"furniture (employer)"}</definedName>
    <definedName name="wrn.Actuals." hidden="1">{#N/A,#N/A,FALSE,"TUN";#N/A,#N/A,FALSE,"TOK";#N/A,#N/A,FALSE,"SIN";#N/A,#N/A,FALSE,"SYD";#N/A,#N/A,FALSE,"SEO";#N/A,#N/A,FALSE,"ROM";#N/A,#N/A,FALSE,"PAR";#N/A,#N/A,FALSE,"MUN";#N/A,#N/A,FALSE,"MAD";#N/A,#N/A,FALSE,"LON";#N/A,#N/A,FALSE,"JOH";#N/A,#N/A,FALSE,"HON";#N/A,#N/A,FALSE,"HAM";#N/A,#N/A,FALSE,"DUB";#N/A,#N/A,FALSE,"BRU";#N/A,#N/A,FALSE,"AMS"}</definedName>
    <definedName name="wrn.age._.ihzarat." hidden="1">{#N/A,#N/A,FALSE,"ihz. icmal";#N/A,#N/A,FALSE,"avans";#N/A,#N/A,FALSE,"mal_FF_icm";#N/A,#N/A,FALSE,"fat_ihz";#N/A,#N/A,FALSE,"söz_fiy_fark";#N/A,#N/A,FALSE,"kap2"}</definedName>
    <definedName name="wrn.age._.imalat.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ing._.and._.Trend._.Analysis." hidden="1">{#N/A,#N/A,FALSE,"Aging Summary";#N/A,#N/A,FALSE,"Ratio Analysis";#N/A,#N/A,FALSE,"Test 120 Day Accts";#N/A,#N/A,FALSE,"Tickmarks"}</definedName>
    <definedName name="wrn.AHMET." hidden="1">{#VALUE!,#N/A,FALSE,0;#N/A,#N/A,FALSE,0;#N/A,#N/A,FALSE,0;#N/A,#N/A,FALSE,0}</definedName>
    <definedName name="wrn.akyuz_hakedis." hidden="1">{#VALUE!,#N/A,TRUE,0;#N/A,#N/A,TRUE,0;#N/A,#N/A,TRUE,0;#N/A,#N/A,TRUE,0;#N/A,#N/A,TRUE,0;#N/A,#N/A,TRUE,0;#N/A,#N/A,TRUE,0;#N/A,#N/A,TRUE,0}</definedName>
    <definedName name="wrn.ALL." localSheetId="1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ll._.Pages.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{#N/A,#N/A,FALSE,"HO Sum";#N/A,#N/A,FALSE,"HO Rates";#N/A,#N/A,FALSE,"Co Sum";#N/A,#N/A,FALSE,"Clients Office";#N/A,#N/A,FALSE,"Field Sum";#N/A,#N/A,FALSE,"Field Rates"}</definedName>
    <definedName name="wrn.AllVariances." hidden="1">{#N/A,#N/A,FALSE,"ActPrior";#N/A,#N/A,FALSE,"ActPlan";#N/A,#N/A,FALSE,"ActFore"}</definedName>
    <definedName name="wrn.Application.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wrn.apt1." localSheetId="1" hidden="1">{#N/A,#N/A,FALSE,"Summary"}</definedName>
    <definedName name="wrn.apt1." hidden="1">{#N/A,#N/A,FALSE,"Summary"}</definedName>
    <definedName name="wrn.apt2" localSheetId="1" hidden="1">{#N/A,#N/A,FALSE,"Summary"}</definedName>
    <definedName name="wrn.apt2" hidden="1">{#N/A,#N/A,FALSE,"Summary"}</definedName>
    <definedName name="wrn.araba." hidden="1">{#N/A,#N/A,FALSE,"yazı";#N/A,#N/A,FALSE,"ödeme cet.";#N/A,#N/A,FALSE,"hak.rap.(iç)";#N/A,#N/A,FALSE,"y.def.(iç)";#N/A,#N/A,FALSE,"y.def.(kapak)";#N/A,#N/A,FALSE,"puvantajlar";#N/A,#N/A,FALSE,"işe baş.tut."}</definedName>
    <definedName name="wrn.atıksu_hat.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wrn.atıksu_parsel_baca." hidden="1">{#N/A,#N/A,FALSE,"parsel_atıksu_icmal";#N/A,#N/A,FALSE,"parsel_atıksu 236";#N/A,#N/A,FALSE,"parsel_atıksu 238";#N/A,#N/A,FALSE,"parsel_atıksu 244";#N/A,#N/A,FALSE,"parsel_atıksu 245";#N/A,#N/A,FALSE,"parsel_atıksu 246"}</definedName>
    <definedName name="wrn.Attendance._.Schedule._.1995." hidden="1">{#N/A,#N/A,TRUE,"Sheet1";#N/A,#N/A,TRUE,"Sheet2";#N/A,#N/A,TRUE,"Sheet3";#N/A,#N/A,TRUE,"Sheet4"}</definedName>
    <definedName name="wrn.autoproj." hidden="1">{#N/A,#N/A,FALSE,"Project Properties";#N/A,#N/A,FALSE,"Eng %";#N/A,#N/A,FALSE,"ENGFORM";#N/A,#N/A,FALSE,"staffing";#N/A,#N/A,FALSE,"spending"}</definedName>
    <definedName name="wrn.ayrap.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wrn.bakı.xla." hidden="1">{#N/A,#N/A,FALSE,"Çaykara ataköy (1)";#N/A,#N/A,FALSE,"Çaykara ataköy (2)";#N/A,#N/A,FALSE,"Rize Kalkandere ";#N/A,#N/A,FALSE,"meydancık";#N/A,#N/A,FALSE,"muratlı"}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şyazıcıoğlu." hidden="1">{#VALUE!,#N/A,FALSE,0;#N/A,#N/A,FALSE,0;#N/A,#N/A,FALSE,0;#N/A,#N/A,FALSE,0;#N/A,#N/A,FALSE,0;#N/A,#N/A,FALSE,0;#N/A,#N/A,FALSE,0;#N/A,#N/A,FALSE,0;#N/A,#N/A,FALSE,0;#N/A,#N/A,FALSE,0;#N/A,#N/A,FALSE,0}</definedName>
    <definedName name="wrn.BETON.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rn.bh." hidden="1">{#N/A,#N/A,FALSE,"TELEFON"}</definedName>
    <definedName name="wrn.bh1." hidden="1">{#N/A,#N/A,FALSE,"TELEFON"}</definedName>
    <definedName name="wrn.BILLS._.OF._.QUANTITY." localSheetId="1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BIMAL." hidden="1">{#N/A,#N/A,FALSE,"BRIM_ICMAL";#N/A,#N/A,FALSE,"ASE_KUR";#N/A,#N/A,FALSE,"ASE_YES";#N/A,#N/A,FALSE,"AM_KUR";#N/A,#N/A,FALSE,"AMU_YES";#N/A,#N/A,FALSE,"PAR_KUR";#N/A,#N/A,FALSE,"PAR_YES";#N/A,#N/A,FALSE,"YSE_KUR";#N/A,#N/A,FALSE,"YSE_YES";#N/A,#N/A,FALSE,"YMU_KUR";#N/A,#N/A,FALSE,"YM_YES"}</definedName>
    <definedName name="wrn.Birmingham._.Main." hidden="1">{#N/A,#N/A,FALSE,"Unit Summary";#N/A,#N/A,FALSE,"pax only";#N/A,#N/A,FALSE,"H_A_F_B";#N/A,#N/A,FALSE,"spend history";#N/A,#N/A,FALSE,"spend budget"}</definedName>
    <definedName name="wrn.BM." hidden="1">{#N/A,#N/A,FALSE,"CCTV"}</definedName>
    <definedName name="wrn.Book." hidden="1">{"EVA",#N/A,FALSE,"SMT2";#N/A,#N/A,FALSE,"Summary";#N/A,#N/A,FALSE,"Graphs";#N/A,#N/A,FALSE,"4 Panel"}</definedName>
    <definedName name="wrn.book1.xls." hidden="1">{#N/A,#N/A,FALSE,"NAKLİYE TABLOLARI";#N/A,#N/A,FALSE,"İTİNERER";#N/A,#N/A,FALSE,"bürükner cetveli";#N/A,#N/A,FALSE,"SANAT YAPILARI";#N/A,#N/A,FALSE,"B.A TABLOLARI";#N/A,#N/A,FALSE,"istinat duv.";#N/A,#N/A,FALSE,"NAKLİYE TABLOLARI"}</definedName>
    <definedName name="wrn.BOOK11." hidden="1">{"SUM",#N/A,FALSE,"summary";"BOOK11-1",#N/A,FALSE,"1CityGarden";"BOOK11-2",#N/A,FALSE,"2CountryGarden";"BOOK11-3",#N/A,FALSE,"3JUNGLE";"BOOK11-4CIVIL",#N/A,FALSE,"CIVIL"}</definedName>
    <definedName name="wrn.branch." hidden="1">{"led",#N/A,FALSE,"BRANCH";"bal",#N/A,FALSE,"BRANCH";#N/A,#N/A,FALSE,"Misc_JEs"}</definedName>
    <definedName name="wrn.budget." hidden="1">{"form-D1",#N/A,FALSE,"FORM-D1";"form-D1_amt",#N/A,FALSE,"FORM-D1"}</definedName>
    <definedName name="wrn.Call._.Access._.Performance." hidden="1">{#N/A,#N/A,FALSE,"1 Title Page";#N/A,#N/A,FALSE,"2 Cover Sheet";#N/A,#N/A,FALSE,"3 Graph Page";#N/A,#N/A,FALSE,"4 ACD Split";#N/A,#N/A,FALSE,"5 ACD-GQ '98";#N/A,#N/A,FALSE,"6 Specialty ";#N/A,#N/A,FALSE,"7 Specialty-GQ '98";#N/A,#N/A,FALSE,"8 E-line";#N/A,#N/A,FALSE,"9 E-line-GQ '98";#N/A,#N/A,FALSE,"10 EAP";#N/A,#N/A,FALSE,"11 EAP-GQ '98";#N/A,#N/A,FALSE,"12 Philly";#N/A,#N/A,FALSE,"13 Philly-GQ '98"}</definedName>
    <definedName name="wrn.canon.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rn.CAP." hidden="1">{"DEA CAP",#N/A,TRUE,"DEA";"RVA CAP",#N/A,TRUE,"RVA";"MDA CAP",#N/A,TRUE,"MDA";"Table C CAP",#N/A,TRUE,"C";"Table V CAP",#N/A,TRUE,"V";"DEA GL ACCOUNTS",#N/A,TRUE,"DEA";"RULES CAP",#N/A,TRUE,"RULES";"COs CAP",#N/A,TRUE,"COs";#N/A,#N/A,TRUE,"CHIP"}</definedName>
    <definedName name="wrn.Capex.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ÇARŞAF." hidden="1">{#N/A,#N/A,FALSE,"İÇ TOPRAK";#N/A,#N/A,FALSE,"İÇ SANAT";#N/A,#N/A,FALSE,"İÇ AYASOFYA ";#N/A,#N/A,FALSE,"İÇ AKYAZI";#N/A,#N/A,FALSE,"İÇ BEŞİRLİ";#N/A,#N/A,FALSE,"İÇ HAVAALANI";#N/A,#N/A,FALSE,"İÇ SONDAJ";#N/A,#N/A,FALSE,"İÇ KAMU";#N/A,#N/A,FALSE,"İÇ FAROZ"}</definedName>
    <definedName name="wrn.CASH._.FLOW." hidden="1">{"CASH FLOW",#N/A,FALSE,"A"}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ertificate." hidden="1">{#N/A,#N/A,TRUE,"Report";#N/A,#N/A,TRUE,"Trade Summary";#N/A,#N/A,TRUE,"ProvSums";#N/A,#N/A,TRUE,"VOs";#N/A,#N/A,TRUE,"Cashflow";#N/A,#N/A,TRUE,"Cover";#N/A,#N/A,TRUE,"Reconcile"}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g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heck._.sheets." hidden="1">{#N/A,#N/A,FALSE,"1B";#N/A,#N/A,FALSE,"2B";#N/A,#N/A,FALSE,"3B";#N/A,#N/A,FALSE,"Trade Summary";#N/A,#N/A,FALSE,"ProvSums";#N/A,#N/A,FALSE,"VO"}</definedName>
    <definedName name="wrn.chi._.tiÆt." hidden="1">{#N/A,#N/A,FALSE,"Chi tiÆt"}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RCUITS." hidden="1">{"DBANK",#N/A,FALSE,"PriceE";"CKTS",#N/A,FALSE,"PriceE"}</definedName>
    <definedName name="wrn.Clients._.Office._.and._.sum." hidden="1">{#N/A,#N/A,FALSE,"Clients Office";#N/A,#N/A,FALSE,"Co Sum"}</definedName>
    <definedName name="wrn.COMBINED." localSheetId="1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plete." hidden="1">{#N/A,#N/A,FALSE,"SMT1";#N/A,#N/A,FALSE,"SMT2";#N/A,#N/A,FALSE,"Summary";#N/A,#N/A,FALSE,"Graphs";#N/A,#N/A,FALSE,"4 Panel"}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ng." hidden="1">{#N/A,#N/A,FALSE,"Sheet1"}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_SHEETS." hidden="1">{#N/A,#N/A,FALSE,"WBS 1.06";#N/A,#N/A,FALSE,"WBS 1.14";#N/A,#N/A,FALSE,"WBS 1.17";#N/A,#N/A,FALSE,"WBS 1.18"}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mulative._.Material._.Cost." hidden="1">{#N/A,#N/A,FALSE,"MARCH"}</definedName>
    <definedName name="wrn.dave." hidden="1">{"salaried",#N/A,FALSE,"VLD View (2)"}</definedName>
    <definedName name="wrn.DEMIR.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wrn.DEPR." hidden="1">{#N/A,#N/A,FALSE,"DEPR"}</definedName>
    <definedName name="wrn.Detail." localSheetId="1" hidden="1">{"Detail",#N/A,FALSE,"Assump";"Detail",#N/A,FALSE,"Muni";"Detail",#N/A,FALSE,"Proj";"Detail",#N/A,FALSE,"Calc";"Present",#N/A,FALSE,"Cover"}</definedName>
    <definedName name="wrn.Detail." hidden="1">{"Detail",#N/A,FALSE,"Assump";"Detail",#N/A,FALSE,"Muni";"Detail",#N/A,FALSE,"Proj";"Detail",#N/A,FALSE,"Calc";"Present",#N/A,FALSE,"Cover"}</definedName>
    <definedName name="wrn.Detail._1" hidden="1">{"Detail",#N/A,FALSE,"Assump";"Detail",#N/A,FALSE,"Muni";"Detail",#N/A,FALSE,"Proj";"Detail",#N/A,FALSE,"Calc";"Present",#N/A,FALSE,"Cover"}</definedName>
    <definedName name="wrn.Detail._1_1" hidden="1">{"Detail",#N/A,FALSE,"Assump";"Detail",#N/A,FALSE,"Muni";"Detail",#N/A,FALSE,"Proj";"Detail",#N/A,FALSE,"Calc";"Present",#N/A,FALSE,"Cover"}</definedName>
    <definedName name="wrn.Detail._1_1_1" hidden="1">{"Detail",#N/A,FALSE,"Assump";"Detail",#N/A,FALSE,"Muni";"Detail",#N/A,FALSE,"Proj";"Detail",#N/A,FALSE,"Calc";"Present",#N/A,FALSE,"Cover"}</definedName>
    <definedName name="wrn.Detail._1_1_1_1" hidden="1">{"Detail",#N/A,FALSE,"Assump";"Detail",#N/A,FALSE,"Muni";"Detail",#N/A,FALSE,"Proj";"Detail",#N/A,FALSE,"Calc";"Present",#N/A,FALSE,"Cover"}</definedName>
    <definedName name="wrn.Detail._1_1_1_2" hidden="1">{"Detail",#N/A,FALSE,"Assump";"Detail",#N/A,FALSE,"Muni";"Detail",#N/A,FALSE,"Proj";"Detail",#N/A,FALSE,"Calc";"Present",#N/A,FALSE,"Cover"}</definedName>
    <definedName name="wrn.Detail._1_1_1_3" hidden="1">{"Detail",#N/A,FALSE,"Assump";"Detail",#N/A,FALSE,"Muni";"Detail",#N/A,FALSE,"Proj";"Detail",#N/A,FALSE,"Calc";"Present",#N/A,FALSE,"Cover"}</definedName>
    <definedName name="wrn.Detail._1_1_1_4" hidden="1">{"Detail",#N/A,FALSE,"Assump";"Detail",#N/A,FALSE,"Muni";"Detail",#N/A,FALSE,"Proj";"Detail",#N/A,FALSE,"Calc";"Present",#N/A,FALSE,"Cover"}</definedName>
    <definedName name="wrn.Detail._1_1_1_5" hidden="1">{"Detail",#N/A,FALSE,"Assump";"Detail",#N/A,FALSE,"Muni";"Detail",#N/A,FALSE,"Proj";"Detail",#N/A,FALSE,"Calc";"Present",#N/A,FALSE,"Cover"}</definedName>
    <definedName name="wrn.Detail._1_1_2" hidden="1">{"Detail",#N/A,FALSE,"Assump";"Detail",#N/A,FALSE,"Muni";"Detail",#N/A,FALSE,"Proj";"Detail",#N/A,FALSE,"Calc";"Present",#N/A,FALSE,"Cover"}</definedName>
    <definedName name="wrn.Detail._1_1_2_1" hidden="1">{"Detail",#N/A,FALSE,"Assump";"Detail",#N/A,FALSE,"Muni";"Detail",#N/A,FALSE,"Proj";"Detail",#N/A,FALSE,"Calc";"Present",#N/A,FALSE,"Cover"}</definedName>
    <definedName name="wrn.Detail._1_1_2_2" hidden="1">{"Detail",#N/A,FALSE,"Assump";"Detail",#N/A,FALSE,"Muni";"Detail",#N/A,FALSE,"Proj";"Detail",#N/A,FALSE,"Calc";"Present",#N/A,FALSE,"Cover"}</definedName>
    <definedName name="wrn.Detail._1_1_2_3" hidden="1">{"Detail",#N/A,FALSE,"Assump";"Detail",#N/A,FALSE,"Muni";"Detail",#N/A,FALSE,"Proj";"Detail",#N/A,FALSE,"Calc";"Present",#N/A,FALSE,"Cover"}</definedName>
    <definedName name="wrn.Detail._1_1_2_4" hidden="1">{"Detail",#N/A,FALSE,"Assump";"Detail",#N/A,FALSE,"Muni";"Detail",#N/A,FALSE,"Proj";"Detail",#N/A,FALSE,"Calc";"Present",#N/A,FALSE,"Cover"}</definedName>
    <definedName name="wrn.Detail._1_1_2_5" hidden="1">{"Detail",#N/A,FALSE,"Assump";"Detail",#N/A,FALSE,"Muni";"Detail",#N/A,FALSE,"Proj";"Detail",#N/A,FALSE,"Calc";"Present",#N/A,FALSE,"Cover"}</definedName>
    <definedName name="wrn.Detail._1_1_3" hidden="1">{"Detail",#N/A,FALSE,"Assump";"Detail",#N/A,FALSE,"Muni";"Detail",#N/A,FALSE,"Proj";"Detail",#N/A,FALSE,"Calc";"Present",#N/A,FALSE,"Cover"}</definedName>
    <definedName name="wrn.Detail._1_1_3_1" hidden="1">{"Detail",#N/A,FALSE,"Assump";"Detail",#N/A,FALSE,"Muni";"Detail",#N/A,FALSE,"Proj";"Detail",#N/A,FALSE,"Calc";"Present",#N/A,FALSE,"Cover"}</definedName>
    <definedName name="wrn.Detail._1_1_3_2" hidden="1">{"Detail",#N/A,FALSE,"Assump";"Detail",#N/A,FALSE,"Muni";"Detail",#N/A,FALSE,"Proj";"Detail",#N/A,FALSE,"Calc";"Present",#N/A,FALSE,"Cover"}</definedName>
    <definedName name="wrn.Detail._1_1_3_3" hidden="1">{"Detail",#N/A,FALSE,"Assump";"Detail",#N/A,FALSE,"Muni";"Detail",#N/A,FALSE,"Proj";"Detail",#N/A,FALSE,"Calc";"Present",#N/A,FALSE,"Cover"}</definedName>
    <definedName name="wrn.Detail._1_1_3_4" hidden="1">{"Detail",#N/A,FALSE,"Assump";"Detail",#N/A,FALSE,"Muni";"Detail",#N/A,FALSE,"Proj";"Detail",#N/A,FALSE,"Calc";"Present",#N/A,FALSE,"Cover"}</definedName>
    <definedName name="wrn.Detail._1_1_3_5" hidden="1">{"Detail",#N/A,FALSE,"Assump";"Detail",#N/A,FALSE,"Muni";"Detail",#N/A,FALSE,"Proj";"Detail",#N/A,FALSE,"Calc";"Present",#N/A,FALSE,"Cover"}</definedName>
    <definedName name="wrn.Detail._1_1_4" hidden="1">{"Detail",#N/A,FALSE,"Assump";"Detail",#N/A,FALSE,"Muni";"Detail",#N/A,FALSE,"Proj";"Detail",#N/A,FALSE,"Calc";"Present",#N/A,FALSE,"Cover"}</definedName>
    <definedName name="wrn.Detail._1_1_5" hidden="1">{"Detail",#N/A,FALSE,"Assump";"Detail",#N/A,FALSE,"Muni";"Detail",#N/A,FALSE,"Proj";"Detail",#N/A,FALSE,"Calc";"Present",#N/A,FALSE,"Cover"}</definedName>
    <definedName name="wrn.Detail._1_2" hidden="1">{"Detail",#N/A,FALSE,"Assump";"Detail",#N/A,FALSE,"Muni";"Detail",#N/A,FALSE,"Proj";"Detail",#N/A,FALSE,"Calc";"Present",#N/A,FALSE,"Cover"}</definedName>
    <definedName name="wrn.Detail._1_2_1" hidden="1">{"Detail",#N/A,FALSE,"Assump";"Detail",#N/A,FALSE,"Muni";"Detail",#N/A,FALSE,"Proj";"Detail",#N/A,FALSE,"Calc";"Present",#N/A,FALSE,"Cover"}</definedName>
    <definedName name="wrn.Detail._1_2_1_1" hidden="1">{"Detail",#N/A,FALSE,"Assump";"Detail",#N/A,FALSE,"Muni";"Detail",#N/A,FALSE,"Proj";"Detail",#N/A,FALSE,"Calc";"Present",#N/A,FALSE,"Cover"}</definedName>
    <definedName name="wrn.Detail._1_2_1_2" hidden="1">{"Detail",#N/A,FALSE,"Assump";"Detail",#N/A,FALSE,"Muni";"Detail",#N/A,FALSE,"Proj";"Detail",#N/A,FALSE,"Calc";"Present",#N/A,FALSE,"Cover"}</definedName>
    <definedName name="wrn.Detail._1_2_1_3" hidden="1">{"Detail",#N/A,FALSE,"Assump";"Detail",#N/A,FALSE,"Muni";"Detail",#N/A,FALSE,"Proj";"Detail",#N/A,FALSE,"Calc";"Present",#N/A,FALSE,"Cover"}</definedName>
    <definedName name="wrn.Detail._1_2_1_4" hidden="1">{"Detail",#N/A,FALSE,"Assump";"Detail",#N/A,FALSE,"Muni";"Detail",#N/A,FALSE,"Proj";"Detail",#N/A,FALSE,"Calc";"Present",#N/A,FALSE,"Cover"}</definedName>
    <definedName name="wrn.Detail._1_2_1_5" hidden="1">{"Detail",#N/A,FALSE,"Assump";"Detail",#N/A,FALSE,"Muni";"Detail",#N/A,FALSE,"Proj";"Detail",#N/A,FALSE,"Calc";"Present",#N/A,FALSE,"Cover"}</definedName>
    <definedName name="wrn.Detail._1_2_2" hidden="1">{"Detail",#N/A,FALSE,"Assump";"Detail",#N/A,FALSE,"Muni";"Detail",#N/A,FALSE,"Proj";"Detail",#N/A,FALSE,"Calc";"Present",#N/A,FALSE,"Cover"}</definedName>
    <definedName name="wrn.Detail._1_2_2_1" hidden="1">{"Detail",#N/A,FALSE,"Assump";"Detail",#N/A,FALSE,"Muni";"Detail",#N/A,FALSE,"Proj";"Detail",#N/A,FALSE,"Calc";"Present",#N/A,FALSE,"Cover"}</definedName>
    <definedName name="wrn.Detail._1_2_2_2" hidden="1">{"Detail",#N/A,FALSE,"Assump";"Detail",#N/A,FALSE,"Muni";"Detail",#N/A,FALSE,"Proj";"Detail",#N/A,FALSE,"Calc";"Present",#N/A,FALSE,"Cover"}</definedName>
    <definedName name="wrn.Detail._1_2_2_3" hidden="1">{"Detail",#N/A,FALSE,"Assump";"Detail",#N/A,FALSE,"Muni";"Detail",#N/A,FALSE,"Proj";"Detail",#N/A,FALSE,"Calc";"Present",#N/A,FALSE,"Cover"}</definedName>
    <definedName name="wrn.Detail._1_2_2_4" hidden="1">{"Detail",#N/A,FALSE,"Assump";"Detail",#N/A,FALSE,"Muni";"Detail",#N/A,FALSE,"Proj";"Detail",#N/A,FALSE,"Calc";"Present",#N/A,FALSE,"Cover"}</definedName>
    <definedName name="wrn.Detail._1_2_2_5" hidden="1">{"Detail",#N/A,FALSE,"Assump";"Detail",#N/A,FALSE,"Muni";"Detail",#N/A,FALSE,"Proj";"Detail",#N/A,FALSE,"Calc";"Present",#N/A,FALSE,"Cover"}</definedName>
    <definedName name="wrn.Detail._1_2_3" hidden="1">{"Detail",#N/A,FALSE,"Assump";"Detail",#N/A,FALSE,"Muni";"Detail",#N/A,FALSE,"Proj";"Detail",#N/A,FALSE,"Calc";"Present",#N/A,FALSE,"Cover"}</definedName>
    <definedName name="wrn.Detail._1_2_4" hidden="1">{"Detail",#N/A,FALSE,"Assump";"Detail",#N/A,FALSE,"Muni";"Detail",#N/A,FALSE,"Proj";"Detail",#N/A,FALSE,"Calc";"Present",#N/A,FALSE,"Cover"}</definedName>
    <definedName name="wrn.Detail._1_2_5" hidden="1">{"Detail",#N/A,FALSE,"Assump";"Detail",#N/A,FALSE,"Muni";"Detail",#N/A,FALSE,"Proj";"Detail",#N/A,FALSE,"Calc";"Present",#N/A,FALSE,"Cover"}</definedName>
    <definedName name="wrn.Detail._1_3" hidden="1">{"Detail",#N/A,FALSE,"Assump";"Detail",#N/A,FALSE,"Muni";"Detail",#N/A,FALSE,"Proj";"Detail",#N/A,FALSE,"Calc";"Present",#N/A,FALSE,"Cover"}</definedName>
    <definedName name="wrn.Detail._1_3_1" hidden="1">{"Detail",#N/A,FALSE,"Assump";"Detail",#N/A,FALSE,"Muni";"Detail",#N/A,FALSE,"Proj";"Detail",#N/A,FALSE,"Calc";"Present",#N/A,FALSE,"Cover"}</definedName>
    <definedName name="wrn.Detail._1_3_1_1" hidden="1">{"Detail",#N/A,FALSE,"Assump";"Detail",#N/A,FALSE,"Muni";"Detail",#N/A,FALSE,"Proj";"Detail",#N/A,FALSE,"Calc";"Present",#N/A,FALSE,"Cover"}</definedName>
    <definedName name="wrn.Detail._1_3_1_2" hidden="1">{"Detail",#N/A,FALSE,"Assump";"Detail",#N/A,FALSE,"Muni";"Detail",#N/A,FALSE,"Proj";"Detail",#N/A,FALSE,"Calc";"Present",#N/A,FALSE,"Cover"}</definedName>
    <definedName name="wrn.Detail._1_3_1_3" hidden="1">{"Detail",#N/A,FALSE,"Assump";"Detail",#N/A,FALSE,"Muni";"Detail",#N/A,FALSE,"Proj";"Detail",#N/A,FALSE,"Calc";"Present",#N/A,FALSE,"Cover"}</definedName>
    <definedName name="wrn.Detail._1_3_1_4" hidden="1">{"Detail",#N/A,FALSE,"Assump";"Detail",#N/A,FALSE,"Muni";"Detail",#N/A,FALSE,"Proj";"Detail",#N/A,FALSE,"Calc";"Present",#N/A,FALSE,"Cover"}</definedName>
    <definedName name="wrn.Detail._1_3_1_5" hidden="1">{"Detail",#N/A,FALSE,"Assump";"Detail",#N/A,FALSE,"Muni";"Detail",#N/A,FALSE,"Proj";"Detail",#N/A,FALSE,"Calc";"Present",#N/A,FALSE,"Cover"}</definedName>
    <definedName name="wrn.Detail._1_3_2" hidden="1">{"Detail",#N/A,FALSE,"Assump";"Detail",#N/A,FALSE,"Muni";"Detail",#N/A,FALSE,"Proj";"Detail",#N/A,FALSE,"Calc";"Present",#N/A,FALSE,"Cover"}</definedName>
    <definedName name="wrn.Detail._1_3_2_1" hidden="1">{"Detail",#N/A,FALSE,"Assump";"Detail",#N/A,FALSE,"Muni";"Detail",#N/A,FALSE,"Proj";"Detail",#N/A,FALSE,"Calc";"Present",#N/A,FALSE,"Cover"}</definedName>
    <definedName name="wrn.Detail._1_3_2_2" hidden="1">{"Detail",#N/A,FALSE,"Assump";"Detail",#N/A,FALSE,"Muni";"Detail",#N/A,FALSE,"Proj";"Detail",#N/A,FALSE,"Calc";"Present",#N/A,FALSE,"Cover"}</definedName>
    <definedName name="wrn.Detail._1_3_2_3" hidden="1">{"Detail",#N/A,FALSE,"Assump";"Detail",#N/A,FALSE,"Muni";"Detail",#N/A,FALSE,"Proj";"Detail",#N/A,FALSE,"Calc";"Present",#N/A,FALSE,"Cover"}</definedName>
    <definedName name="wrn.Detail._1_3_2_4" hidden="1">{"Detail",#N/A,FALSE,"Assump";"Detail",#N/A,FALSE,"Muni";"Detail",#N/A,FALSE,"Proj";"Detail",#N/A,FALSE,"Calc";"Present",#N/A,FALSE,"Cover"}</definedName>
    <definedName name="wrn.Detail._1_3_2_5" hidden="1">{"Detail",#N/A,FALSE,"Assump";"Detail",#N/A,FALSE,"Muni";"Detail",#N/A,FALSE,"Proj";"Detail",#N/A,FALSE,"Calc";"Present",#N/A,FALSE,"Cover"}</definedName>
    <definedName name="wrn.Detail._1_3_3" hidden="1">{"Detail",#N/A,FALSE,"Assump";"Detail",#N/A,FALSE,"Muni";"Detail",#N/A,FALSE,"Proj";"Detail",#N/A,FALSE,"Calc";"Present",#N/A,FALSE,"Cover"}</definedName>
    <definedName name="wrn.Detail._1_3_4" hidden="1">{"Detail",#N/A,FALSE,"Assump";"Detail",#N/A,FALSE,"Muni";"Detail",#N/A,FALSE,"Proj";"Detail",#N/A,FALSE,"Calc";"Present",#N/A,FALSE,"Cover"}</definedName>
    <definedName name="wrn.Detail._1_3_5" hidden="1">{"Detail",#N/A,FALSE,"Assump";"Detail",#N/A,FALSE,"Muni";"Detail",#N/A,FALSE,"Proj";"Detail",#N/A,FALSE,"Calc";"Present",#N/A,FALSE,"Cover"}</definedName>
    <definedName name="wrn.Detail._1_4" hidden="1">{"Detail",#N/A,FALSE,"Assump";"Detail",#N/A,FALSE,"Muni";"Detail",#N/A,FALSE,"Proj";"Detail",#N/A,FALSE,"Calc";"Present",#N/A,FALSE,"Cover"}</definedName>
    <definedName name="wrn.Detail._1_4_1" hidden="1">{"Detail",#N/A,FALSE,"Assump";"Detail",#N/A,FALSE,"Muni";"Detail",#N/A,FALSE,"Proj";"Detail",#N/A,FALSE,"Calc";"Present",#N/A,FALSE,"Cover"}</definedName>
    <definedName name="wrn.Detail._1_4_1_1" hidden="1">{"Detail",#N/A,FALSE,"Assump";"Detail",#N/A,FALSE,"Muni";"Detail",#N/A,FALSE,"Proj";"Detail",#N/A,FALSE,"Calc";"Present",#N/A,FALSE,"Cover"}</definedName>
    <definedName name="wrn.Detail._1_4_1_2" hidden="1">{"Detail",#N/A,FALSE,"Assump";"Detail",#N/A,FALSE,"Muni";"Detail",#N/A,FALSE,"Proj";"Detail",#N/A,FALSE,"Calc";"Present",#N/A,FALSE,"Cover"}</definedName>
    <definedName name="wrn.Detail._1_4_1_3" hidden="1">{"Detail",#N/A,FALSE,"Assump";"Detail",#N/A,FALSE,"Muni";"Detail",#N/A,FALSE,"Proj";"Detail",#N/A,FALSE,"Calc";"Present",#N/A,FALSE,"Cover"}</definedName>
    <definedName name="wrn.Detail._1_4_1_4" hidden="1">{"Detail",#N/A,FALSE,"Assump";"Detail",#N/A,FALSE,"Muni";"Detail",#N/A,FALSE,"Proj";"Detail",#N/A,FALSE,"Calc";"Present",#N/A,FALSE,"Cover"}</definedName>
    <definedName name="wrn.Detail._1_4_1_5" hidden="1">{"Detail",#N/A,FALSE,"Assump";"Detail",#N/A,FALSE,"Muni";"Detail",#N/A,FALSE,"Proj";"Detail",#N/A,FALSE,"Calc";"Present",#N/A,FALSE,"Cover"}</definedName>
    <definedName name="wrn.Detail._1_4_2" hidden="1">{"Detail",#N/A,FALSE,"Assump";"Detail",#N/A,FALSE,"Muni";"Detail",#N/A,FALSE,"Proj";"Detail",#N/A,FALSE,"Calc";"Present",#N/A,FALSE,"Cover"}</definedName>
    <definedName name="wrn.Detail._1_4_2_1" hidden="1">{"Detail",#N/A,FALSE,"Assump";"Detail",#N/A,FALSE,"Muni";"Detail",#N/A,FALSE,"Proj";"Detail",#N/A,FALSE,"Calc";"Present",#N/A,FALSE,"Cover"}</definedName>
    <definedName name="wrn.Detail._1_4_2_2" hidden="1">{"Detail",#N/A,FALSE,"Assump";"Detail",#N/A,FALSE,"Muni";"Detail",#N/A,FALSE,"Proj";"Detail",#N/A,FALSE,"Calc";"Present",#N/A,FALSE,"Cover"}</definedName>
    <definedName name="wrn.Detail._1_4_2_3" hidden="1">{"Detail",#N/A,FALSE,"Assump";"Detail",#N/A,FALSE,"Muni";"Detail",#N/A,FALSE,"Proj";"Detail",#N/A,FALSE,"Calc";"Present",#N/A,FALSE,"Cover"}</definedName>
    <definedName name="wrn.Detail._1_4_2_4" hidden="1">{"Detail",#N/A,FALSE,"Assump";"Detail",#N/A,FALSE,"Muni";"Detail",#N/A,FALSE,"Proj";"Detail",#N/A,FALSE,"Calc";"Present",#N/A,FALSE,"Cover"}</definedName>
    <definedName name="wrn.Detail._1_4_2_5" hidden="1">{"Detail",#N/A,FALSE,"Assump";"Detail",#N/A,FALSE,"Muni";"Detail",#N/A,FALSE,"Proj";"Detail",#N/A,FALSE,"Calc";"Present",#N/A,FALSE,"Cover"}</definedName>
    <definedName name="wrn.Detail._1_4_3" hidden="1">{"Detail",#N/A,FALSE,"Assump";"Detail",#N/A,FALSE,"Muni";"Detail",#N/A,FALSE,"Proj";"Detail",#N/A,FALSE,"Calc";"Present",#N/A,FALSE,"Cover"}</definedName>
    <definedName name="wrn.Detail._1_4_4" hidden="1">{"Detail",#N/A,FALSE,"Assump";"Detail",#N/A,FALSE,"Muni";"Detail",#N/A,FALSE,"Proj";"Detail",#N/A,FALSE,"Calc";"Present",#N/A,FALSE,"Cover"}</definedName>
    <definedName name="wrn.Detail._1_4_5" hidden="1">{"Detail",#N/A,FALSE,"Assump";"Detail",#N/A,FALSE,"Muni";"Detail",#N/A,FALSE,"Proj";"Detail",#N/A,FALSE,"Calc";"Present",#N/A,FALSE,"Cover"}</definedName>
    <definedName name="wrn.Detail._1_5" hidden="1">{"Detail",#N/A,FALSE,"Assump";"Detail",#N/A,FALSE,"Muni";"Detail",#N/A,FALSE,"Proj";"Detail",#N/A,FALSE,"Calc";"Present",#N/A,FALSE,"Cover"}</definedName>
    <definedName name="wrn.Detail._1_5_1" hidden="1">{"Detail",#N/A,FALSE,"Assump";"Detail",#N/A,FALSE,"Muni";"Detail",#N/A,FALSE,"Proj";"Detail",#N/A,FALSE,"Calc";"Present",#N/A,FALSE,"Cover"}</definedName>
    <definedName name="wrn.Detail._1_5_1_1" hidden="1">{"Detail",#N/A,FALSE,"Assump";"Detail",#N/A,FALSE,"Muni";"Detail",#N/A,FALSE,"Proj";"Detail",#N/A,FALSE,"Calc";"Present",#N/A,FALSE,"Cover"}</definedName>
    <definedName name="wrn.Detail._1_5_1_2" hidden="1">{"Detail",#N/A,FALSE,"Assump";"Detail",#N/A,FALSE,"Muni";"Detail",#N/A,FALSE,"Proj";"Detail",#N/A,FALSE,"Calc";"Present",#N/A,FALSE,"Cover"}</definedName>
    <definedName name="wrn.Detail._1_5_1_3" hidden="1">{"Detail",#N/A,FALSE,"Assump";"Detail",#N/A,FALSE,"Muni";"Detail",#N/A,FALSE,"Proj";"Detail",#N/A,FALSE,"Calc";"Present",#N/A,FALSE,"Cover"}</definedName>
    <definedName name="wrn.Detail._1_5_1_4" hidden="1">{"Detail",#N/A,FALSE,"Assump";"Detail",#N/A,FALSE,"Muni";"Detail",#N/A,FALSE,"Proj";"Detail",#N/A,FALSE,"Calc";"Present",#N/A,FALSE,"Cover"}</definedName>
    <definedName name="wrn.Detail._1_5_1_5" hidden="1">{"Detail",#N/A,FALSE,"Assump";"Detail",#N/A,FALSE,"Muni";"Detail",#N/A,FALSE,"Proj";"Detail",#N/A,FALSE,"Calc";"Present",#N/A,FALSE,"Cover"}</definedName>
    <definedName name="wrn.Detail._1_5_2" hidden="1">{"Detail",#N/A,FALSE,"Assump";"Detail",#N/A,FALSE,"Muni";"Detail",#N/A,FALSE,"Proj";"Detail",#N/A,FALSE,"Calc";"Present",#N/A,FALSE,"Cover"}</definedName>
    <definedName name="wrn.Detail._1_5_2_1" hidden="1">{"Detail",#N/A,FALSE,"Assump";"Detail",#N/A,FALSE,"Muni";"Detail",#N/A,FALSE,"Proj";"Detail",#N/A,FALSE,"Calc";"Present",#N/A,FALSE,"Cover"}</definedName>
    <definedName name="wrn.Detail._1_5_2_2" hidden="1">{"Detail",#N/A,FALSE,"Assump";"Detail",#N/A,FALSE,"Muni";"Detail",#N/A,FALSE,"Proj";"Detail",#N/A,FALSE,"Calc";"Present",#N/A,FALSE,"Cover"}</definedName>
    <definedName name="wrn.Detail._1_5_2_3" hidden="1">{"Detail",#N/A,FALSE,"Assump";"Detail",#N/A,FALSE,"Muni";"Detail",#N/A,FALSE,"Proj";"Detail",#N/A,FALSE,"Calc";"Present",#N/A,FALSE,"Cover"}</definedName>
    <definedName name="wrn.Detail._1_5_2_4" hidden="1">{"Detail",#N/A,FALSE,"Assump";"Detail",#N/A,FALSE,"Muni";"Detail",#N/A,FALSE,"Proj";"Detail",#N/A,FALSE,"Calc";"Present",#N/A,FALSE,"Cover"}</definedName>
    <definedName name="wrn.Detail._1_5_2_5" hidden="1">{"Detail",#N/A,FALSE,"Assump";"Detail",#N/A,FALSE,"Muni";"Detail",#N/A,FALSE,"Proj";"Detail",#N/A,FALSE,"Calc";"Present",#N/A,FALSE,"Cover"}</definedName>
    <definedName name="wrn.Detail._1_5_3" hidden="1">{"Detail",#N/A,FALSE,"Assump";"Detail",#N/A,FALSE,"Muni";"Detail",#N/A,FALSE,"Proj";"Detail",#N/A,FALSE,"Calc";"Present",#N/A,FALSE,"Cover"}</definedName>
    <definedName name="wrn.Detail._1_5_4" hidden="1">{"Detail",#N/A,FALSE,"Assump";"Detail",#N/A,FALSE,"Muni";"Detail",#N/A,FALSE,"Proj";"Detail",#N/A,FALSE,"Calc";"Present",#N/A,FALSE,"Cover"}</definedName>
    <definedName name="wrn.Detail._1_5_5" hidden="1">{"Detail",#N/A,FALSE,"Assump";"Detail",#N/A,FALSE,"Muni";"Detail",#N/A,FALSE,"Proj";"Detail",#N/A,FALSE,"Calc";"Present",#N/A,FALSE,"Cover"}</definedName>
    <definedName name="wrn.Detail._2" hidden="1">{"Detail",#N/A,FALSE,"Assump";"Detail",#N/A,FALSE,"Muni";"Detail",#N/A,FALSE,"Proj";"Detail",#N/A,FALSE,"Calc";"Present",#N/A,FALSE,"Cover"}</definedName>
    <definedName name="wrn.Detail._2_1" hidden="1">{"Detail",#N/A,FALSE,"Assump";"Detail",#N/A,FALSE,"Muni";"Detail",#N/A,FALSE,"Proj";"Detail",#N/A,FALSE,"Calc";"Present",#N/A,FALSE,"Cover"}</definedName>
    <definedName name="wrn.Detail._2_1_1" hidden="1">{"Detail",#N/A,FALSE,"Assump";"Detail",#N/A,FALSE,"Muni";"Detail",#N/A,FALSE,"Proj";"Detail",#N/A,FALSE,"Calc";"Present",#N/A,FALSE,"Cover"}</definedName>
    <definedName name="wrn.Detail._2_1_1_1" hidden="1">{"Detail",#N/A,FALSE,"Assump";"Detail",#N/A,FALSE,"Muni";"Detail",#N/A,FALSE,"Proj";"Detail",#N/A,FALSE,"Calc";"Present",#N/A,FALSE,"Cover"}</definedName>
    <definedName name="wrn.Detail._2_1_1_2" hidden="1">{"Detail",#N/A,FALSE,"Assump";"Detail",#N/A,FALSE,"Muni";"Detail",#N/A,FALSE,"Proj";"Detail",#N/A,FALSE,"Calc";"Present",#N/A,FALSE,"Cover"}</definedName>
    <definedName name="wrn.Detail._2_1_1_3" hidden="1">{"Detail",#N/A,FALSE,"Assump";"Detail",#N/A,FALSE,"Muni";"Detail",#N/A,FALSE,"Proj";"Detail",#N/A,FALSE,"Calc";"Present",#N/A,FALSE,"Cover"}</definedName>
    <definedName name="wrn.Detail._2_1_1_4" hidden="1">{"Detail",#N/A,FALSE,"Assump";"Detail",#N/A,FALSE,"Muni";"Detail",#N/A,FALSE,"Proj";"Detail",#N/A,FALSE,"Calc";"Present",#N/A,FALSE,"Cover"}</definedName>
    <definedName name="wrn.Detail._2_1_1_5" hidden="1">{"Detail",#N/A,FALSE,"Assump";"Detail",#N/A,FALSE,"Muni";"Detail",#N/A,FALSE,"Proj";"Detail",#N/A,FALSE,"Calc";"Present",#N/A,FALSE,"Cover"}</definedName>
    <definedName name="wrn.Detail._2_1_2" hidden="1">{"Detail",#N/A,FALSE,"Assump";"Detail",#N/A,FALSE,"Muni";"Detail",#N/A,FALSE,"Proj";"Detail",#N/A,FALSE,"Calc";"Present",#N/A,FALSE,"Cover"}</definedName>
    <definedName name="wrn.Detail._2_1_2_1" hidden="1">{"Detail",#N/A,FALSE,"Assump";"Detail",#N/A,FALSE,"Muni";"Detail",#N/A,FALSE,"Proj";"Detail",#N/A,FALSE,"Calc";"Present",#N/A,FALSE,"Cover"}</definedName>
    <definedName name="wrn.Detail._2_1_2_2" hidden="1">{"Detail",#N/A,FALSE,"Assump";"Detail",#N/A,FALSE,"Muni";"Detail",#N/A,FALSE,"Proj";"Detail",#N/A,FALSE,"Calc";"Present",#N/A,FALSE,"Cover"}</definedName>
    <definedName name="wrn.Detail._2_1_2_3" hidden="1">{"Detail",#N/A,FALSE,"Assump";"Detail",#N/A,FALSE,"Muni";"Detail",#N/A,FALSE,"Proj";"Detail",#N/A,FALSE,"Calc";"Present",#N/A,FALSE,"Cover"}</definedName>
    <definedName name="wrn.Detail._2_1_2_4" hidden="1">{"Detail",#N/A,FALSE,"Assump";"Detail",#N/A,FALSE,"Muni";"Detail",#N/A,FALSE,"Proj";"Detail",#N/A,FALSE,"Calc";"Present",#N/A,FALSE,"Cover"}</definedName>
    <definedName name="wrn.Detail._2_1_2_5" hidden="1">{"Detail",#N/A,FALSE,"Assump";"Detail",#N/A,FALSE,"Muni";"Detail",#N/A,FALSE,"Proj";"Detail",#N/A,FALSE,"Calc";"Present",#N/A,FALSE,"Cover"}</definedName>
    <definedName name="wrn.Detail._2_1_3" hidden="1">{"Detail",#N/A,FALSE,"Assump";"Detail",#N/A,FALSE,"Muni";"Detail",#N/A,FALSE,"Proj";"Detail",#N/A,FALSE,"Calc";"Present",#N/A,FALSE,"Cover"}</definedName>
    <definedName name="wrn.Detail._2_1_3_1" hidden="1">{"Detail",#N/A,FALSE,"Assump";"Detail",#N/A,FALSE,"Muni";"Detail",#N/A,FALSE,"Proj";"Detail",#N/A,FALSE,"Calc";"Present",#N/A,FALSE,"Cover"}</definedName>
    <definedName name="wrn.Detail._2_1_3_2" hidden="1">{"Detail",#N/A,FALSE,"Assump";"Detail",#N/A,FALSE,"Muni";"Detail",#N/A,FALSE,"Proj";"Detail",#N/A,FALSE,"Calc";"Present",#N/A,FALSE,"Cover"}</definedName>
    <definedName name="wrn.Detail._2_1_3_3" hidden="1">{"Detail",#N/A,FALSE,"Assump";"Detail",#N/A,FALSE,"Muni";"Detail",#N/A,FALSE,"Proj";"Detail",#N/A,FALSE,"Calc";"Present",#N/A,FALSE,"Cover"}</definedName>
    <definedName name="wrn.Detail._2_1_3_4" hidden="1">{"Detail",#N/A,FALSE,"Assump";"Detail",#N/A,FALSE,"Muni";"Detail",#N/A,FALSE,"Proj";"Detail",#N/A,FALSE,"Calc";"Present",#N/A,FALSE,"Cover"}</definedName>
    <definedName name="wrn.Detail._2_1_3_5" hidden="1">{"Detail",#N/A,FALSE,"Assump";"Detail",#N/A,FALSE,"Muni";"Detail",#N/A,FALSE,"Proj";"Detail",#N/A,FALSE,"Calc";"Present",#N/A,FALSE,"Cover"}</definedName>
    <definedName name="wrn.Detail._2_1_4" hidden="1">{"Detail",#N/A,FALSE,"Assump";"Detail",#N/A,FALSE,"Muni";"Detail",#N/A,FALSE,"Proj";"Detail",#N/A,FALSE,"Calc";"Present",#N/A,FALSE,"Cover"}</definedName>
    <definedName name="wrn.Detail._2_1_5" hidden="1">{"Detail",#N/A,FALSE,"Assump";"Detail",#N/A,FALSE,"Muni";"Detail",#N/A,FALSE,"Proj";"Detail",#N/A,FALSE,"Calc";"Present",#N/A,FALSE,"Cover"}</definedName>
    <definedName name="wrn.Detail._2_2" hidden="1">{"Detail",#N/A,FALSE,"Assump";"Detail",#N/A,FALSE,"Muni";"Detail",#N/A,FALSE,"Proj";"Detail",#N/A,FALSE,"Calc";"Present",#N/A,FALSE,"Cover"}</definedName>
    <definedName name="wrn.Detail._2_2_1" hidden="1">{"Detail",#N/A,FALSE,"Assump";"Detail",#N/A,FALSE,"Muni";"Detail",#N/A,FALSE,"Proj";"Detail",#N/A,FALSE,"Calc";"Present",#N/A,FALSE,"Cover"}</definedName>
    <definedName name="wrn.Detail._2_2_1_1" hidden="1">{"Detail",#N/A,FALSE,"Assump";"Detail",#N/A,FALSE,"Muni";"Detail",#N/A,FALSE,"Proj";"Detail",#N/A,FALSE,"Calc";"Present",#N/A,FALSE,"Cover"}</definedName>
    <definedName name="wrn.Detail._2_2_1_2" hidden="1">{"Detail",#N/A,FALSE,"Assump";"Detail",#N/A,FALSE,"Muni";"Detail",#N/A,FALSE,"Proj";"Detail",#N/A,FALSE,"Calc";"Present",#N/A,FALSE,"Cover"}</definedName>
    <definedName name="wrn.Detail._2_2_1_3" hidden="1">{"Detail",#N/A,FALSE,"Assump";"Detail",#N/A,FALSE,"Muni";"Detail",#N/A,FALSE,"Proj";"Detail",#N/A,FALSE,"Calc";"Present",#N/A,FALSE,"Cover"}</definedName>
    <definedName name="wrn.Detail._2_2_1_4" hidden="1">{"Detail",#N/A,FALSE,"Assump";"Detail",#N/A,FALSE,"Muni";"Detail",#N/A,FALSE,"Proj";"Detail",#N/A,FALSE,"Calc";"Present",#N/A,FALSE,"Cover"}</definedName>
    <definedName name="wrn.Detail._2_2_1_5" hidden="1">{"Detail",#N/A,FALSE,"Assump";"Detail",#N/A,FALSE,"Muni";"Detail",#N/A,FALSE,"Proj";"Detail",#N/A,FALSE,"Calc";"Present",#N/A,FALSE,"Cover"}</definedName>
    <definedName name="wrn.Detail._2_2_2" hidden="1">{"Detail",#N/A,FALSE,"Assump";"Detail",#N/A,FALSE,"Muni";"Detail",#N/A,FALSE,"Proj";"Detail",#N/A,FALSE,"Calc";"Present",#N/A,FALSE,"Cover"}</definedName>
    <definedName name="wrn.Detail._2_2_2_1" hidden="1">{"Detail",#N/A,FALSE,"Assump";"Detail",#N/A,FALSE,"Muni";"Detail",#N/A,FALSE,"Proj";"Detail",#N/A,FALSE,"Calc";"Present",#N/A,FALSE,"Cover"}</definedName>
    <definedName name="wrn.Detail._2_2_2_2" hidden="1">{"Detail",#N/A,FALSE,"Assump";"Detail",#N/A,FALSE,"Muni";"Detail",#N/A,FALSE,"Proj";"Detail",#N/A,FALSE,"Calc";"Present",#N/A,FALSE,"Cover"}</definedName>
    <definedName name="wrn.Detail._2_2_2_3" hidden="1">{"Detail",#N/A,FALSE,"Assump";"Detail",#N/A,FALSE,"Muni";"Detail",#N/A,FALSE,"Proj";"Detail",#N/A,FALSE,"Calc";"Present",#N/A,FALSE,"Cover"}</definedName>
    <definedName name="wrn.Detail._2_2_2_4" hidden="1">{"Detail",#N/A,FALSE,"Assump";"Detail",#N/A,FALSE,"Muni";"Detail",#N/A,FALSE,"Proj";"Detail",#N/A,FALSE,"Calc";"Present",#N/A,FALSE,"Cover"}</definedName>
    <definedName name="wrn.Detail._2_2_2_5" hidden="1">{"Detail",#N/A,FALSE,"Assump";"Detail",#N/A,FALSE,"Muni";"Detail",#N/A,FALSE,"Proj";"Detail",#N/A,FALSE,"Calc";"Present",#N/A,FALSE,"Cover"}</definedName>
    <definedName name="wrn.Detail._2_2_3" hidden="1">{"Detail",#N/A,FALSE,"Assump";"Detail",#N/A,FALSE,"Muni";"Detail",#N/A,FALSE,"Proj";"Detail",#N/A,FALSE,"Calc";"Present",#N/A,FALSE,"Cover"}</definedName>
    <definedName name="wrn.Detail._2_2_4" hidden="1">{"Detail",#N/A,FALSE,"Assump";"Detail",#N/A,FALSE,"Muni";"Detail",#N/A,FALSE,"Proj";"Detail",#N/A,FALSE,"Calc";"Present",#N/A,FALSE,"Cover"}</definedName>
    <definedName name="wrn.Detail._2_2_5" hidden="1">{"Detail",#N/A,FALSE,"Assump";"Detail",#N/A,FALSE,"Muni";"Detail",#N/A,FALSE,"Proj";"Detail",#N/A,FALSE,"Calc";"Present",#N/A,FALSE,"Cover"}</definedName>
    <definedName name="wrn.Detail._2_3" hidden="1">{"Detail",#N/A,FALSE,"Assump";"Detail",#N/A,FALSE,"Muni";"Detail",#N/A,FALSE,"Proj";"Detail",#N/A,FALSE,"Calc";"Present",#N/A,FALSE,"Cover"}</definedName>
    <definedName name="wrn.Detail._2_3_1" hidden="1">{"Detail",#N/A,FALSE,"Assump";"Detail",#N/A,FALSE,"Muni";"Detail",#N/A,FALSE,"Proj";"Detail",#N/A,FALSE,"Calc";"Present",#N/A,FALSE,"Cover"}</definedName>
    <definedName name="wrn.Detail._2_3_1_1" hidden="1">{"Detail",#N/A,FALSE,"Assump";"Detail",#N/A,FALSE,"Muni";"Detail",#N/A,FALSE,"Proj";"Detail",#N/A,FALSE,"Calc";"Present",#N/A,FALSE,"Cover"}</definedName>
    <definedName name="wrn.Detail._2_3_1_2" hidden="1">{"Detail",#N/A,FALSE,"Assump";"Detail",#N/A,FALSE,"Muni";"Detail",#N/A,FALSE,"Proj";"Detail",#N/A,FALSE,"Calc";"Present",#N/A,FALSE,"Cover"}</definedName>
    <definedName name="wrn.Detail._2_3_1_3" hidden="1">{"Detail",#N/A,FALSE,"Assump";"Detail",#N/A,FALSE,"Muni";"Detail",#N/A,FALSE,"Proj";"Detail",#N/A,FALSE,"Calc";"Present",#N/A,FALSE,"Cover"}</definedName>
    <definedName name="wrn.Detail._2_3_1_4" hidden="1">{"Detail",#N/A,FALSE,"Assump";"Detail",#N/A,FALSE,"Muni";"Detail",#N/A,FALSE,"Proj";"Detail",#N/A,FALSE,"Calc";"Present",#N/A,FALSE,"Cover"}</definedName>
    <definedName name="wrn.Detail._2_3_1_5" hidden="1">{"Detail",#N/A,FALSE,"Assump";"Detail",#N/A,FALSE,"Muni";"Detail",#N/A,FALSE,"Proj";"Detail",#N/A,FALSE,"Calc";"Present",#N/A,FALSE,"Cover"}</definedName>
    <definedName name="wrn.Detail._2_3_2" hidden="1">{"Detail",#N/A,FALSE,"Assump";"Detail",#N/A,FALSE,"Muni";"Detail",#N/A,FALSE,"Proj";"Detail",#N/A,FALSE,"Calc";"Present",#N/A,FALSE,"Cover"}</definedName>
    <definedName name="wrn.Detail._2_3_2_1" hidden="1">{"Detail",#N/A,FALSE,"Assump";"Detail",#N/A,FALSE,"Muni";"Detail",#N/A,FALSE,"Proj";"Detail",#N/A,FALSE,"Calc";"Present",#N/A,FALSE,"Cover"}</definedName>
    <definedName name="wrn.Detail._2_3_2_2" hidden="1">{"Detail",#N/A,FALSE,"Assump";"Detail",#N/A,FALSE,"Muni";"Detail",#N/A,FALSE,"Proj";"Detail",#N/A,FALSE,"Calc";"Present",#N/A,FALSE,"Cover"}</definedName>
    <definedName name="wrn.Detail._2_3_2_3" hidden="1">{"Detail",#N/A,FALSE,"Assump";"Detail",#N/A,FALSE,"Muni";"Detail",#N/A,FALSE,"Proj";"Detail",#N/A,FALSE,"Calc";"Present",#N/A,FALSE,"Cover"}</definedName>
    <definedName name="wrn.Detail._2_3_2_4" hidden="1">{"Detail",#N/A,FALSE,"Assump";"Detail",#N/A,FALSE,"Muni";"Detail",#N/A,FALSE,"Proj";"Detail",#N/A,FALSE,"Calc";"Present",#N/A,FALSE,"Cover"}</definedName>
    <definedName name="wrn.Detail._2_3_2_5" hidden="1">{"Detail",#N/A,FALSE,"Assump";"Detail",#N/A,FALSE,"Muni";"Detail",#N/A,FALSE,"Proj";"Detail",#N/A,FALSE,"Calc";"Present",#N/A,FALSE,"Cover"}</definedName>
    <definedName name="wrn.Detail._2_3_3" hidden="1">{"Detail",#N/A,FALSE,"Assump";"Detail",#N/A,FALSE,"Muni";"Detail",#N/A,FALSE,"Proj";"Detail",#N/A,FALSE,"Calc";"Present",#N/A,FALSE,"Cover"}</definedName>
    <definedName name="wrn.Detail._2_3_4" hidden="1">{"Detail",#N/A,FALSE,"Assump";"Detail",#N/A,FALSE,"Muni";"Detail",#N/A,FALSE,"Proj";"Detail",#N/A,FALSE,"Calc";"Present",#N/A,FALSE,"Cover"}</definedName>
    <definedName name="wrn.Detail._2_3_5" hidden="1">{"Detail",#N/A,FALSE,"Assump";"Detail",#N/A,FALSE,"Muni";"Detail",#N/A,FALSE,"Proj";"Detail",#N/A,FALSE,"Calc";"Present",#N/A,FALSE,"Cover"}</definedName>
    <definedName name="wrn.Detail._2_4" hidden="1">{"Detail",#N/A,FALSE,"Assump";"Detail",#N/A,FALSE,"Muni";"Detail",#N/A,FALSE,"Proj";"Detail",#N/A,FALSE,"Calc";"Present",#N/A,FALSE,"Cover"}</definedName>
    <definedName name="wrn.Detail._2_4_1" hidden="1">{"Detail",#N/A,FALSE,"Assump";"Detail",#N/A,FALSE,"Muni";"Detail",#N/A,FALSE,"Proj";"Detail",#N/A,FALSE,"Calc";"Present",#N/A,FALSE,"Cover"}</definedName>
    <definedName name="wrn.Detail._2_4_1_1" hidden="1">{"Detail",#N/A,FALSE,"Assump";"Detail",#N/A,FALSE,"Muni";"Detail",#N/A,FALSE,"Proj";"Detail",#N/A,FALSE,"Calc";"Present",#N/A,FALSE,"Cover"}</definedName>
    <definedName name="wrn.Detail._2_4_1_2" hidden="1">{"Detail",#N/A,FALSE,"Assump";"Detail",#N/A,FALSE,"Muni";"Detail",#N/A,FALSE,"Proj";"Detail",#N/A,FALSE,"Calc";"Present",#N/A,FALSE,"Cover"}</definedName>
    <definedName name="wrn.Detail._2_4_1_3" hidden="1">{"Detail",#N/A,FALSE,"Assump";"Detail",#N/A,FALSE,"Muni";"Detail",#N/A,FALSE,"Proj";"Detail",#N/A,FALSE,"Calc";"Present",#N/A,FALSE,"Cover"}</definedName>
    <definedName name="wrn.Detail._2_4_1_4" hidden="1">{"Detail",#N/A,FALSE,"Assump";"Detail",#N/A,FALSE,"Muni";"Detail",#N/A,FALSE,"Proj";"Detail",#N/A,FALSE,"Calc";"Present",#N/A,FALSE,"Cover"}</definedName>
    <definedName name="wrn.Detail._2_4_1_5" hidden="1">{"Detail",#N/A,FALSE,"Assump";"Detail",#N/A,FALSE,"Muni";"Detail",#N/A,FALSE,"Proj";"Detail",#N/A,FALSE,"Calc";"Present",#N/A,FALSE,"Cover"}</definedName>
    <definedName name="wrn.Detail._2_4_2" hidden="1">{"Detail",#N/A,FALSE,"Assump";"Detail",#N/A,FALSE,"Muni";"Detail",#N/A,FALSE,"Proj";"Detail",#N/A,FALSE,"Calc";"Present",#N/A,FALSE,"Cover"}</definedName>
    <definedName name="wrn.Detail._2_4_2_1" hidden="1">{"Detail",#N/A,FALSE,"Assump";"Detail",#N/A,FALSE,"Muni";"Detail",#N/A,FALSE,"Proj";"Detail",#N/A,FALSE,"Calc";"Present",#N/A,FALSE,"Cover"}</definedName>
    <definedName name="wrn.Detail._2_4_2_2" hidden="1">{"Detail",#N/A,FALSE,"Assump";"Detail",#N/A,FALSE,"Muni";"Detail",#N/A,FALSE,"Proj";"Detail",#N/A,FALSE,"Calc";"Present",#N/A,FALSE,"Cover"}</definedName>
    <definedName name="wrn.Detail._2_4_2_3" hidden="1">{"Detail",#N/A,FALSE,"Assump";"Detail",#N/A,FALSE,"Muni";"Detail",#N/A,FALSE,"Proj";"Detail",#N/A,FALSE,"Calc";"Present",#N/A,FALSE,"Cover"}</definedName>
    <definedName name="wrn.Detail._2_4_2_4" hidden="1">{"Detail",#N/A,FALSE,"Assump";"Detail",#N/A,FALSE,"Muni";"Detail",#N/A,FALSE,"Proj";"Detail",#N/A,FALSE,"Calc";"Present",#N/A,FALSE,"Cover"}</definedName>
    <definedName name="wrn.Detail._2_4_2_5" hidden="1">{"Detail",#N/A,FALSE,"Assump";"Detail",#N/A,FALSE,"Muni";"Detail",#N/A,FALSE,"Proj";"Detail",#N/A,FALSE,"Calc";"Present",#N/A,FALSE,"Cover"}</definedName>
    <definedName name="wrn.Detail._2_4_3" hidden="1">{"Detail",#N/A,FALSE,"Assump";"Detail",#N/A,FALSE,"Muni";"Detail",#N/A,FALSE,"Proj";"Detail",#N/A,FALSE,"Calc";"Present",#N/A,FALSE,"Cover"}</definedName>
    <definedName name="wrn.Detail._2_4_4" hidden="1">{"Detail",#N/A,FALSE,"Assump";"Detail",#N/A,FALSE,"Muni";"Detail",#N/A,FALSE,"Proj";"Detail",#N/A,FALSE,"Calc";"Present",#N/A,FALSE,"Cover"}</definedName>
    <definedName name="wrn.Detail._2_4_5" hidden="1">{"Detail",#N/A,FALSE,"Assump";"Detail",#N/A,FALSE,"Muni";"Detail",#N/A,FALSE,"Proj";"Detail",#N/A,FALSE,"Calc";"Present",#N/A,FALSE,"Cover"}</definedName>
    <definedName name="wrn.Detail._2_5" hidden="1">{"Detail",#N/A,FALSE,"Assump";"Detail",#N/A,FALSE,"Muni";"Detail",#N/A,FALSE,"Proj";"Detail",#N/A,FALSE,"Calc";"Present",#N/A,FALSE,"Cover"}</definedName>
    <definedName name="wrn.Detail._2_5_1" hidden="1">{"Detail",#N/A,FALSE,"Assump";"Detail",#N/A,FALSE,"Muni";"Detail",#N/A,FALSE,"Proj";"Detail",#N/A,FALSE,"Calc";"Present",#N/A,FALSE,"Cover"}</definedName>
    <definedName name="wrn.Detail._2_5_2" hidden="1">{"Detail",#N/A,FALSE,"Assump";"Detail",#N/A,FALSE,"Muni";"Detail",#N/A,FALSE,"Proj";"Detail",#N/A,FALSE,"Calc";"Present",#N/A,FALSE,"Cover"}</definedName>
    <definedName name="wrn.Detail._2_5_3" hidden="1">{"Detail",#N/A,FALSE,"Assump";"Detail",#N/A,FALSE,"Muni";"Detail",#N/A,FALSE,"Proj";"Detail",#N/A,FALSE,"Calc";"Present",#N/A,FALSE,"Cover"}</definedName>
    <definedName name="wrn.Detail._2_5_4" hidden="1">{"Detail",#N/A,FALSE,"Assump";"Detail",#N/A,FALSE,"Muni";"Detail",#N/A,FALSE,"Proj";"Detail",#N/A,FALSE,"Calc";"Present",#N/A,FALSE,"Cover"}</definedName>
    <definedName name="wrn.Detail._2_5_5" hidden="1">{"Detail",#N/A,FALSE,"Assump";"Detail",#N/A,FALSE,"Muni";"Detail",#N/A,FALSE,"Proj";"Detail",#N/A,FALSE,"Calc";"Present",#N/A,FALSE,"Cover"}</definedName>
    <definedName name="wrn.Detail._3" hidden="1">{"Detail",#N/A,FALSE,"Assump";"Detail",#N/A,FALSE,"Muni";"Detail",#N/A,FALSE,"Proj";"Detail",#N/A,FALSE,"Calc";"Present",#N/A,FALSE,"Cover"}</definedName>
    <definedName name="wrn.Detail._3_1" hidden="1">{"Detail",#N/A,FALSE,"Assump";"Detail",#N/A,FALSE,"Muni";"Detail",#N/A,FALSE,"Proj";"Detail",#N/A,FALSE,"Calc";"Present",#N/A,FALSE,"Cover"}</definedName>
    <definedName name="wrn.Detail._3_1_1" hidden="1">{"Detail",#N/A,FALSE,"Assump";"Detail",#N/A,FALSE,"Muni";"Detail",#N/A,FALSE,"Proj";"Detail",#N/A,FALSE,"Calc";"Present",#N/A,FALSE,"Cover"}</definedName>
    <definedName name="wrn.Detail._3_1_1_1" hidden="1">{"Detail",#N/A,FALSE,"Assump";"Detail",#N/A,FALSE,"Muni";"Detail",#N/A,FALSE,"Proj";"Detail",#N/A,FALSE,"Calc";"Present",#N/A,FALSE,"Cover"}</definedName>
    <definedName name="wrn.Detail._3_1_1_2" hidden="1">{"Detail",#N/A,FALSE,"Assump";"Detail",#N/A,FALSE,"Muni";"Detail",#N/A,FALSE,"Proj";"Detail",#N/A,FALSE,"Calc";"Present",#N/A,FALSE,"Cover"}</definedName>
    <definedName name="wrn.Detail._3_1_1_3" hidden="1">{"Detail",#N/A,FALSE,"Assump";"Detail",#N/A,FALSE,"Muni";"Detail",#N/A,FALSE,"Proj";"Detail",#N/A,FALSE,"Calc";"Present",#N/A,FALSE,"Cover"}</definedName>
    <definedName name="wrn.Detail._3_1_1_4" hidden="1">{"Detail",#N/A,FALSE,"Assump";"Detail",#N/A,FALSE,"Muni";"Detail",#N/A,FALSE,"Proj";"Detail",#N/A,FALSE,"Calc";"Present",#N/A,FALSE,"Cover"}</definedName>
    <definedName name="wrn.Detail._3_1_1_5" hidden="1">{"Detail",#N/A,FALSE,"Assump";"Detail",#N/A,FALSE,"Muni";"Detail",#N/A,FALSE,"Proj";"Detail",#N/A,FALSE,"Calc";"Present",#N/A,FALSE,"Cover"}</definedName>
    <definedName name="wrn.Detail._3_1_2" hidden="1">{"Detail",#N/A,FALSE,"Assump";"Detail",#N/A,FALSE,"Muni";"Detail",#N/A,FALSE,"Proj";"Detail",#N/A,FALSE,"Calc";"Present",#N/A,FALSE,"Cover"}</definedName>
    <definedName name="wrn.Detail._3_1_2_1" hidden="1">{"Detail",#N/A,FALSE,"Assump";"Detail",#N/A,FALSE,"Muni";"Detail",#N/A,FALSE,"Proj";"Detail",#N/A,FALSE,"Calc";"Present",#N/A,FALSE,"Cover"}</definedName>
    <definedName name="wrn.Detail._3_1_2_2" hidden="1">{"Detail",#N/A,FALSE,"Assump";"Detail",#N/A,FALSE,"Muni";"Detail",#N/A,FALSE,"Proj";"Detail",#N/A,FALSE,"Calc";"Present",#N/A,FALSE,"Cover"}</definedName>
    <definedName name="wrn.Detail._3_1_2_3" hidden="1">{"Detail",#N/A,FALSE,"Assump";"Detail",#N/A,FALSE,"Muni";"Detail",#N/A,FALSE,"Proj";"Detail",#N/A,FALSE,"Calc";"Present",#N/A,FALSE,"Cover"}</definedName>
    <definedName name="wrn.Detail._3_1_2_4" hidden="1">{"Detail",#N/A,FALSE,"Assump";"Detail",#N/A,FALSE,"Muni";"Detail",#N/A,FALSE,"Proj";"Detail",#N/A,FALSE,"Calc";"Present",#N/A,FALSE,"Cover"}</definedName>
    <definedName name="wrn.Detail._3_1_2_5" hidden="1">{"Detail",#N/A,FALSE,"Assump";"Detail",#N/A,FALSE,"Muni";"Detail",#N/A,FALSE,"Proj";"Detail",#N/A,FALSE,"Calc";"Present",#N/A,FALSE,"Cover"}</definedName>
    <definedName name="wrn.Detail._3_1_3" hidden="1">{"Detail",#N/A,FALSE,"Assump";"Detail",#N/A,FALSE,"Muni";"Detail",#N/A,FALSE,"Proj";"Detail",#N/A,FALSE,"Calc";"Present",#N/A,FALSE,"Cover"}</definedName>
    <definedName name="wrn.Detail._3_1_3_1" hidden="1">{"Detail",#N/A,FALSE,"Assump";"Detail",#N/A,FALSE,"Muni";"Detail",#N/A,FALSE,"Proj";"Detail",#N/A,FALSE,"Calc";"Present",#N/A,FALSE,"Cover"}</definedName>
    <definedName name="wrn.Detail._3_1_3_2" hidden="1">{"Detail",#N/A,FALSE,"Assump";"Detail",#N/A,FALSE,"Muni";"Detail",#N/A,FALSE,"Proj";"Detail",#N/A,FALSE,"Calc";"Present",#N/A,FALSE,"Cover"}</definedName>
    <definedName name="wrn.Detail._3_1_3_3" hidden="1">{"Detail",#N/A,FALSE,"Assump";"Detail",#N/A,FALSE,"Muni";"Detail",#N/A,FALSE,"Proj";"Detail",#N/A,FALSE,"Calc";"Present",#N/A,FALSE,"Cover"}</definedName>
    <definedName name="wrn.Detail._3_1_3_4" hidden="1">{"Detail",#N/A,FALSE,"Assump";"Detail",#N/A,FALSE,"Muni";"Detail",#N/A,FALSE,"Proj";"Detail",#N/A,FALSE,"Calc";"Present",#N/A,FALSE,"Cover"}</definedName>
    <definedName name="wrn.Detail._3_1_3_5" hidden="1">{"Detail",#N/A,FALSE,"Assump";"Detail",#N/A,FALSE,"Muni";"Detail",#N/A,FALSE,"Proj";"Detail",#N/A,FALSE,"Calc";"Present",#N/A,FALSE,"Cover"}</definedName>
    <definedName name="wrn.Detail._3_1_4" hidden="1">{"Detail",#N/A,FALSE,"Assump";"Detail",#N/A,FALSE,"Muni";"Detail",#N/A,FALSE,"Proj";"Detail",#N/A,FALSE,"Calc";"Present",#N/A,FALSE,"Cover"}</definedName>
    <definedName name="wrn.Detail._3_1_5" hidden="1">{"Detail",#N/A,FALSE,"Assump";"Detail",#N/A,FALSE,"Muni";"Detail",#N/A,FALSE,"Proj";"Detail",#N/A,FALSE,"Calc";"Present",#N/A,FALSE,"Cover"}</definedName>
    <definedName name="wrn.Detail._3_2" hidden="1">{"Detail",#N/A,FALSE,"Assump";"Detail",#N/A,FALSE,"Muni";"Detail",#N/A,FALSE,"Proj";"Detail",#N/A,FALSE,"Calc";"Present",#N/A,FALSE,"Cover"}</definedName>
    <definedName name="wrn.Detail._3_2_1" hidden="1">{"Detail",#N/A,FALSE,"Assump";"Detail",#N/A,FALSE,"Muni";"Detail",#N/A,FALSE,"Proj";"Detail",#N/A,FALSE,"Calc";"Present",#N/A,FALSE,"Cover"}</definedName>
    <definedName name="wrn.Detail._3_2_1_1" hidden="1">{"Detail",#N/A,FALSE,"Assump";"Detail",#N/A,FALSE,"Muni";"Detail",#N/A,FALSE,"Proj";"Detail",#N/A,FALSE,"Calc";"Present",#N/A,FALSE,"Cover"}</definedName>
    <definedName name="wrn.Detail._3_2_1_2" hidden="1">{"Detail",#N/A,FALSE,"Assump";"Detail",#N/A,FALSE,"Muni";"Detail",#N/A,FALSE,"Proj";"Detail",#N/A,FALSE,"Calc";"Present",#N/A,FALSE,"Cover"}</definedName>
    <definedName name="wrn.Detail._3_2_1_3" hidden="1">{"Detail",#N/A,FALSE,"Assump";"Detail",#N/A,FALSE,"Muni";"Detail",#N/A,FALSE,"Proj";"Detail",#N/A,FALSE,"Calc";"Present",#N/A,FALSE,"Cover"}</definedName>
    <definedName name="wrn.Detail._3_2_1_4" hidden="1">{"Detail",#N/A,FALSE,"Assump";"Detail",#N/A,FALSE,"Muni";"Detail",#N/A,FALSE,"Proj";"Detail",#N/A,FALSE,"Calc";"Present",#N/A,FALSE,"Cover"}</definedName>
    <definedName name="wrn.Detail._3_2_1_5" hidden="1">{"Detail",#N/A,FALSE,"Assump";"Detail",#N/A,FALSE,"Muni";"Detail",#N/A,FALSE,"Proj";"Detail",#N/A,FALSE,"Calc";"Present",#N/A,FALSE,"Cover"}</definedName>
    <definedName name="wrn.Detail._3_2_2" hidden="1">{"Detail",#N/A,FALSE,"Assump";"Detail",#N/A,FALSE,"Muni";"Detail",#N/A,FALSE,"Proj";"Detail",#N/A,FALSE,"Calc";"Present",#N/A,FALSE,"Cover"}</definedName>
    <definedName name="wrn.Detail._3_2_2_1" hidden="1">{"Detail",#N/A,FALSE,"Assump";"Detail",#N/A,FALSE,"Muni";"Detail",#N/A,FALSE,"Proj";"Detail",#N/A,FALSE,"Calc";"Present",#N/A,FALSE,"Cover"}</definedName>
    <definedName name="wrn.Detail._3_2_2_2" hidden="1">{"Detail",#N/A,FALSE,"Assump";"Detail",#N/A,FALSE,"Muni";"Detail",#N/A,FALSE,"Proj";"Detail",#N/A,FALSE,"Calc";"Present",#N/A,FALSE,"Cover"}</definedName>
    <definedName name="wrn.Detail._3_2_2_3" hidden="1">{"Detail",#N/A,FALSE,"Assump";"Detail",#N/A,FALSE,"Muni";"Detail",#N/A,FALSE,"Proj";"Detail",#N/A,FALSE,"Calc";"Present",#N/A,FALSE,"Cover"}</definedName>
    <definedName name="wrn.Detail._3_2_2_4" hidden="1">{"Detail",#N/A,FALSE,"Assump";"Detail",#N/A,FALSE,"Muni";"Detail",#N/A,FALSE,"Proj";"Detail",#N/A,FALSE,"Calc";"Present",#N/A,FALSE,"Cover"}</definedName>
    <definedName name="wrn.Detail._3_2_2_5" hidden="1">{"Detail",#N/A,FALSE,"Assump";"Detail",#N/A,FALSE,"Muni";"Detail",#N/A,FALSE,"Proj";"Detail",#N/A,FALSE,"Calc";"Present",#N/A,FALSE,"Cover"}</definedName>
    <definedName name="wrn.Detail._3_2_3" hidden="1">{"Detail",#N/A,FALSE,"Assump";"Detail",#N/A,FALSE,"Muni";"Detail",#N/A,FALSE,"Proj";"Detail",#N/A,FALSE,"Calc";"Present",#N/A,FALSE,"Cover"}</definedName>
    <definedName name="wrn.Detail._3_2_4" hidden="1">{"Detail",#N/A,FALSE,"Assump";"Detail",#N/A,FALSE,"Muni";"Detail",#N/A,FALSE,"Proj";"Detail",#N/A,FALSE,"Calc";"Present",#N/A,FALSE,"Cover"}</definedName>
    <definedName name="wrn.Detail._3_2_5" hidden="1">{"Detail",#N/A,FALSE,"Assump";"Detail",#N/A,FALSE,"Muni";"Detail",#N/A,FALSE,"Proj";"Detail",#N/A,FALSE,"Calc";"Present",#N/A,FALSE,"Cover"}</definedName>
    <definedName name="wrn.Detail._3_3" hidden="1">{"Detail",#N/A,FALSE,"Assump";"Detail",#N/A,FALSE,"Muni";"Detail",#N/A,FALSE,"Proj";"Detail",#N/A,FALSE,"Calc";"Present",#N/A,FALSE,"Cover"}</definedName>
    <definedName name="wrn.Detail._3_3_1" hidden="1">{"Detail",#N/A,FALSE,"Assump";"Detail",#N/A,FALSE,"Muni";"Detail",#N/A,FALSE,"Proj";"Detail",#N/A,FALSE,"Calc";"Present",#N/A,FALSE,"Cover"}</definedName>
    <definedName name="wrn.Detail._3_3_1_1" hidden="1">{"Detail",#N/A,FALSE,"Assump";"Detail",#N/A,FALSE,"Muni";"Detail",#N/A,FALSE,"Proj";"Detail",#N/A,FALSE,"Calc";"Present",#N/A,FALSE,"Cover"}</definedName>
    <definedName name="wrn.Detail._3_3_1_2" hidden="1">{"Detail",#N/A,FALSE,"Assump";"Detail",#N/A,FALSE,"Muni";"Detail",#N/A,FALSE,"Proj";"Detail",#N/A,FALSE,"Calc";"Present",#N/A,FALSE,"Cover"}</definedName>
    <definedName name="wrn.Detail._3_3_1_3" hidden="1">{"Detail",#N/A,FALSE,"Assump";"Detail",#N/A,FALSE,"Muni";"Detail",#N/A,FALSE,"Proj";"Detail",#N/A,FALSE,"Calc";"Present",#N/A,FALSE,"Cover"}</definedName>
    <definedName name="wrn.Detail._3_3_1_4" hidden="1">{"Detail",#N/A,FALSE,"Assump";"Detail",#N/A,FALSE,"Muni";"Detail",#N/A,FALSE,"Proj";"Detail",#N/A,FALSE,"Calc";"Present",#N/A,FALSE,"Cover"}</definedName>
    <definedName name="wrn.Detail._3_3_1_5" hidden="1">{"Detail",#N/A,FALSE,"Assump";"Detail",#N/A,FALSE,"Muni";"Detail",#N/A,FALSE,"Proj";"Detail",#N/A,FALSE,"Calc";"Present",#N/A,FALSE,"Cover"}</definedName>
    <definedName name="wrn.Detail._3_3_2" hidden="1">{"Detail",#N/A,FALSE,"Assump";"Detail",#N/A,FALSE,"Muni";"Detail",#N/A,FALSE,"Proj";"Detail",#N/A,FALSE,"Calc";"Present",#N/A,FALSE,"Cover"}</definedName>
    <definedName name="wrn.Detail._3_3_2_1" hidden="1">{"Detail",#N/A,FALSE,"Assump";"Detail",#N/A,FALSE,"Muni";"Detail",#N/A,FALSE,"Proj";"Detail",#N/A,FALSE,"Calc";"Present",#N/A,FALSE,"Cover"}</definedName>
    <definedName name="wrn.Detail._3_3_2_2" hidden="1">{"Detail",#N/A,FALSE,"Assump";"Detail",#N/A,FALSE,"Muni";"Detail",#N/A,FALSE,"Proj";"Detail",#N/A,FALSE,"Calc";"Present",#N/A,FALSE,"Cover"}</definedName>
    <definedName name="wrn.Detail._3_3_2_3" hidden="1">{"Detail",#N/A,FALSE,"Assump";"Detail",#N/A,FALSE,"Muni";"Detail",#N/A,FALSE,"Proj";"Detail",#N/A,FALSE,"Calc";"Present",#N/A,FALSE,"Cover"}</definedName>
    <definedName name="wrn.Detail._3_3_2_4" hidden="1">{"Detail",#N/A,FALSE,"Assump";"Detail",#N/A,FALSE,"Muni";"Detail",#N/A,FALSE,"Proj";"Detail",#N/A,FALSE,"Calc";"Present",#N/A,FALSE,"Cover"}</definedName>
    <definedName name="wrn.Detail._3_3_2_5" hidden="1">{"Detail",#N/A,FALSE,"Assump";"Detail",#N/A,FALSE,"Muni";"Detail",#N/A,FALSE,"Proj";"Detail",#N/A,FALSE,"Calc";"Present",#N/A,FALSE,"Cover"}</definedName>
    <definedName name="wrn.Detail._3_3_3" hidden="1">{"Detail",#N/A,FALSE,"Assump";"Detail",#N/A,FALSE,"Muni";"Detail",#N/A,FALSE,"Proj";"Detail",#N/A,FALSE,"Calc";"Present",#N/A,FALSE,"Cover"}</definedName>
    <definedName name="wrn.Detail._3_3_4" hidden="1">{"Detail",#N/A,FALSE,"Assump";"Detail",#N/A,FALSE,"Muni";"Detail",#N/A,FALSE,"Proj";"Detail",#N/A,FALSE,"Calc";"Present",#N/A,FALSE,"Cover"}</definedName>
    <definedName name="wrn.Detail._3_3_5" hidden="1">{"Detail",#N/A,FALSE,"Assump";"Detail",#N/A,FALSE,"Muni";"Detail",#N/A,FALSE,"Proj";"Detail",#N/A,FALSE,"Calc";"Present",#N/A,FALSE,"Cover"}</definedName>
    <definedName name="wrn.Detail._3_4" hidden="1">{"Detail",#N/A,FALSE,"Assump";"Detail",#N/A,FALSE,"Muni";"Detail",#N/A,FALSE,"Proj";"Detail",#N/A,FALSE,"Calc";"Present",#N/A,FALSE,"Cover"}</definedName>
    <definedName name="wrn.Detail._3_4_1" hidden="1">{"Detail",#N/A,FALSE,"Assump";"Detail",#N/A,FALSE,"Muni";"Detail",#N/A,FALSE,"Proj";"Detail",#N/A,FALSE,"Calc";"Present",#N/A,FALSE,"Cover"}</definedName>
    <definedName name="wrn.Detail._3_4_1_1" hidden="1">{"Detail",#N/A,FALSE,"Assump";"Detail",#N/A,FALSE,"Muni";"Detail",#N/A,FALSE,"Proj";"Detail",#N/A,FALSE,"Calc";"Present",#N/A,FALSE,"Cover"}</definedName>
    <definedName name="wrn.Detail._3_4_1_2" hidden="1">{"Detail",#N/A,FALSE,"Assump";"Detail",#N/A,FALSE,"Muni";"Detail",#N/A,FALSE,"Proj";"Detail",#N/A,FALSE,"Calc";"Present",#N/A,FALSE,"Cover"}</definedName>
    <definedName name="wrn.Detail._3_4_1_3" hidden="1">{"Detail",#N/A,FALSE,"Assump";"Detail",#N/A,FALSE,"Muni";"Detail",#N/A,FALSE,"Proj";"Detail",#N/A,FALSE,"Calc";"Present",#N/A,FALSE,"Cover"}</definedName>
    <definedName name="wrn.Detail._3_4_1_4" hidden="1">{"Detail",#N/A,FALSE,"Assump";"Detail",#N/A,FALSE,"Muni";"Detail",#N/A,FALSE,"Proj";"Detail",#N/A,FALSE,"Calc";"Present",#N/A,FALSE,"Cover"}</definedName>
    <definedName name="wrn.Detail._3_4_1_5" hidden="1">{"Detail",#N/A,FALSE,"Assump";"Detail",#N/A,FALSE,"Muni";"Detail",#N/A,FALSE,"Proj";"Detail",#N/A,FALSE,"Calc";"Present",#N/A,FALSE,"Cover"}</definedName>
    <definedName name="wrn.Detail._3_4_2" hidden="1">{"Detail",#N/A,FALSE,"Assump";"Detail",#N/A,FALSE,"Muni";"Detail",#N/A,FALSE,"Proj";"Detail",#N/A,FALSE,"Calc";"Present",#N/A,FALSE,"Cover"}</definedName>
    <definedName name="wrn.Detail._3_4_2_1" hidden="1">{"Detail",#N/A,FALSE,"Assump";"Detail",#N/A,FALSE,"Muni";"Detail",#N/A,FALSE,"Proj";"Detail",#N/A,FALSE,"Calc";"Present",#N/A,FALSE,"Cover"}</definedName>
    <definedName name="wrn.Detail._3_4_2_2" hidden="1">{"Detail",#N/A,FALSE,"Assump";"Detail",#N/A,FALSE,"Muni";"Detail",#N/A,FALSE,"Proj";"Detail",#N/A,FALSE,"Calc";"Present",#N/A,FALSE,"Cover"}</definedName>
    <definedName name="wrn.Detail._3_4_2_3" hidden="1">{"Detail",#N/A,FALSE,"Assump";"Detail",#N/A,FALSE,"Muni";"Detail",#N/A,FALSE,"Proj";"Detail",#N/A,FALSE,"Calc";"Present",#N/A,FALSE,"Cover"}</definedName>
    <definedName name="wrn.Detail._3_4_2_4" hidden="1">{"Detail",#N/A,FALSE,"Assump";"Detail",#N/A,FALSE,"Muni";"Detail",#N/A,FALSE,"Proj";"Detail",#N/A,FALSE,"Calc";"Present",#N/A,FALSE,"Cover"}</definedName>
    <definedName name="wrn.Detail._3_4_2_5" hidden="1">{"Detail",#N/A,FALSE,"Assump";"Detail",#N/A,FALSE,"Muni";"Detail",#N/A,FALSE,"Proj";"Detail",#N/A,FALSE,"Calc";"Present",#N/A,FALSE,"Cover"}</definedName>
    <definedName name="wrn.Detail._3_4_3" hidden="1">{"Detail",#N/A,FALSE,"Assump";"Detail",#N/A,FALSE,"Muni";"Detail",#N/A,FALSE,"Proj";"Detail",#N/A,FALSE,"Calc";"Present",#N/A,FALSE,"Cover"}</definedName>
    <definedName name="wrn.Detail._3_4_4" hidden="1">{"Detail",#N/A,FALSE,"Assump";"Detail",#N/A,FALSE,"Muni";"Detail",#N/A,FALSE,"Proj";"Detail",#N/A,FALSE,"Calc";"Present",#N/A,FALSE,"Cover"}</definedName>
    <definedName name="wrn.Detail._3_4_5" hidden="1">{"Detail",#N/A,FALSE,"Assump";"Detail",#N/A,FALSE,"Muni";"Detail",#N/A,FALSE,"Proj";"Detail",#N/A,FALSE,"Calc";"Present",#N/A,FALSE,"Cover"}</definedName>
    <definedName name="wrn.Detail._3_5" hidden="1">{"Detail",#N/A,FALSE,"Assump";"Detail",#N/A,FALSE,"Muni";"Detail",#N/A,FALSE,"Proj";"Detail",#N/A,FALSE,"Calc";"Present",#N/A,FALSE,"Cover"}</definedName>
    <definedName name="wrn.Detail._3_5_1" hidden="1">{"Detail",#N/A,FALSE,"Assump";"Detail",#N/A,FALSE,"Muni";"Detail",#N/A,FALSE,"Proj";"Detail",#N/A,FALSE,"Calc";"Present",#N/A,FALSE,"Cover"}</definedName>
    <definedName name="wrn.Detail._3_5_2" hidden="1">{"Detail",#N/A,FALSE,"Assump";"Detail",#N/A,FALSE,"Muni";"Detail",#N/A,FALSE,"Proj";"Detail",#N/A,FALSE,"Calc";"Present",#N/A,FALSE,"Cover"}</definedName>
    <definedName name="wrn.Detail._3_5_3" hidden="1">{"Detail",#N/A,FALSE,"Assump";"Detail",#N/A,FALSE,"Muni";"Detail",#N/A,FALSE,"Proj";"Detail",#N/A,FALSE,"Calc";"Present",#N/A,FALSE,"Cover"}</definedName>
    <definedName name="wrn.Detail._3_5_4" hidden="1">{"Detail",#N/A,FALSE,"Assump";"Detail",#N/A,FALSE,"Muni";"Detail",#N/A,FALSE,"Proj";"Detail",#N/A,FALSE,"Calc";"Present",#N/A,FALSE,"Cover"}</definedName>
    <definedName name="wrn.Detail._3_5_5" hidden="1">{"Detail",#N/A,FALSE,"Assump";"Detail",#N/A,FALSE,"Muni";"Detail",#N/A,FALSE,"Proj";"Detail",#N/A,FALSE,"Calc";"Present",#N/A,FALSE,"Cover"}</definedName>
    <definedName name="wrn.Detail._4" hidden="1">{"Detail",#N/A,FALSE,"Assump";"Detail",#N/A,FALSE,"Muni";"Detail",#N/A,FALSE,"Proj";"Detail",#N/A,FALSE,"Calc";"Present",#N/A,FALSE,"Cover"}</definedName>
    <definedName name="wrn.Detail._4_1" hidden="1">{"Detail",#N/A,FALSE,"Assump";"Detail",#N/A,FALSE,"Muni";"Detail",#N/A,FALSE,"Proj";"Detail",#N/A,FALSE,"Calc";"Present",#N/A,FALSE,"Cover"}</definedName>
    <definedName name="wrn.Detail._4_1_1" hidden="1">{"Detail",#N/A,FALSE,"Assump";"Detail",#N/A,FALSE,"Muni";"Detail",#N/A,FALSE,"Proj";"Detail",#N/A,FALSE,"Calc";"Present",#N/A,FALSE,"Cover"}</definedName>
    <definedName name="wrn.Detail._4_1_1_1" hidden="1">{"Detail",#N/A,FALSE,"Assump";"Detail",#N/A,FALSE,"Muni";"Detail",#N/A,FALSE,"Proj";"Detail",#N/A,FALSE,"Calc";"Present",#N/A,FALSE,"Cover"}</definedName>
    <definedName name="wrn.Detail._4_1_1_2" hidden="1">{"Detail",#N/A,FALSE,"Assump";"Detail",#N/A,FALSE,"Muni";"Detail",#N/A,FALSE,"Proj";"Detail",#N/A,FALSE,"Calc";"Present",#N/A,FALSE,"Cover"}</definedName>
    <definedName name="wrn.Detail._4_1_1_3" hidden="1">{"Detail",#N/A,FALSE,"Assump";"Detail",#N/A,FALSE,"Muni";"Detail",#N/A,FALSE,"Proj";"Detail",#N/A,FALSE,"Calc";"Present",#N/A,FALSE,"Cover"}</definedName>
    <definedName name="wrn.Detail._4_1_1_4" hidden="1">{"Detail",#N/A,FALSE,"Assump";"Detail",#N/A,FALSE,"Muni";"Detail",#N/A,FALSE,"Proj";"Detail",#N/A,FALSE,"Calc";"Present",#N/A,FALSE,"Cover"}</definedName>
    <definedName name="wrn.Detail._4_1_1_5" hidden="1">{"Detail",#N/A,FALSE,"Assump";"Detail",#N/A,FALSE,"Muni";"Detail",#N/A,FALSE,"Proj";"Detail",#N/A,FALSE,"Calc";"Present",#N/A,FALSE,"Cover"}</definedName>
    <definedName name="wrn.Detail._4_1_2" hidden="1">{"Detail",#N/A,FALSE,"Assump";"Detail",#N/A,FALSE,"Muni";"Detail",#N/A,FALSE,"Proj";"Detail",#N/A,FALSE,"Calc";"Present",#N/A,FALSE,"Cover"}</definedName>
    <definedName name="wrn.Detail._4_1_2_1" hidden="1">{"Detail",#N/A,FALSE,"Assump";"Detail",#N/A,FALSE,"Muni";"Detail",#N/A,FALSE,"Proj";"Detail",#N/A,FALSE,"Calc";"Present",#N/A,FALSE,"Cover"}</definedName>
    <definedName name="wrn.Detail._4_1_2_2" hidden="1">{"Detail",#N/A,FALSE,"Assump";"Detail",#N/A,FALSE,"Muni";"Detail",#N/A,FALSE,"Proj";"Detail",#N/A,FALSE,"Calc";"Present",#N/A,FALSE,"Cover"}</definedName>
    <definedName name="wrn.Detail._4_1_2_3" hidden="1">{"Detail",#N/A,FALSE,"Assump";"Detail",#N/A,FALSE,"Muni";"Detail",#N/A,FALSE,"Proj";"Detail",#N/A,FALSE,"Calc";"Present",#N/A,FALSE,"Cover"}</definedName>
    <definedName name="wrn.Detail._4_1_2_4" hidden="1">{"Detail",#N/A,FALSE,"Assump";"Detail",#N/A,FALSE,"Muni";"Detail",#N/A,FALSE,"Proj";"Detail",#N/A,FALSE,"Calc";"Present",#N/A,FALSE,"Cover"}</definedName>
    <definedName name="wrn.Detail._4_1_2_5" hidden="1">{"Detail",#N/A,FALSE,"Assump";"Detail",#N/A,FALSE,"Muni";"Detail",#N/A,FALSE,"Proj";"Detail",#N/A,FALSE,"Calc";"Present",#N/A,FALSE,"Cover"}</definedName>
    <definedName name="wrn.Detail._4_1_3" hidden="1">{"Detail",#N/A,FALSE,"Assump";"Detail",#N/A,FALSE,"Muni";"Detail",#N/A,FALSE,"Proj";"Detail",#N/A,FALSE,"Calc";"Present",#N/A,FALSE,"Cover"}</definedName>
    <definedName name="wrn.Detail._4_1_3_1" hidden="1">{"Detail",#N/A,FALSE,"Assump";"Detail",#N/A,FALSE,"Muni";"Detail",#N/A,FALSE,"Proj";"Detail",#N/A,FALSE,"Calc";"Present",#N/A,FALSE,"Cover"}</definedName>
    <definedName name="wrn.Detail._4_1_3_2" hidden="1">{"Detail",#N/A,FALSE,"Assump";"Detail",#N/A,FALSE,"Muni";"Detail",#N/A,FALSE,"Proj";"Detail",#N/A,FALSE,"Calc";"Present",#N/A,FALSE,"Cover"}</definedName>
    <definedName name="wrn.Detail._4_1_3_3" hidden="1">{"Detail",#N/A,FALSE,"Assump";"Detail",#N/A,FALSE,"Muni";"Detail",#N/A,FALSE,"Proj";"Detail",#N/A,FALSE,"Calc";"Present",#N/A,FALSE,"Cover"}</definedName>
    <definedName name="wrn.Detail._4_1_3_4" hidden="1">{"Detail",#N/A,FALSE,"Assump";"Detail",#N/A,FALSE,"Muni";"Detail",#N/A,FALSE,"Proj";"Detail",#N/A,FALSE,"Calc";"Present",#N/A,FALSE,"Cover"}</definedName>
    <definedName name="wrn.Detail._4_1_3_5" hidden="1">{"Detail",#N/A,FALSE,"Assump";"Detail",#N/A,FALSE,"Muni";"Detail",#N/A,FALSE,"Proj";"Detail",#N/A,FALSE,"Calc";"Present",#N/A,FALSE,"Cover"}</definedName>
    <definedName name="wrn.Detail._4_1_4" hidden="1">{"Detail",#N/A,FALSE,"Assump";"Detail",#N/A,FALSE,"Muni";"Detail",#N/A,FALSE,"Proj";"Detail",#N/A,FALSE,"Calc";"Present",#N/A,FALSE,"Cover"}</definedName>
    <definedName name="wrn.Detail._4_1_5" hidden="1">{"Detail",#N/A,FALSE,"Assump";"Detail",#N/A,FALSE,"Muni";"Detail",#N/A,FALSE,"Proj";"Detail",#N/A,FALSE,"Calc";"Present",#N/A,FALSE,"Cover"}</definedName>
    <definedName name="wrn.Detail._4_2" hidden="1">{"Detail",#N/A,FALSE,"Assump";"Detail",#N/A,FALSE,"Muni";"Detail",#N/A,FALSE,"Proj";"Detail",#N/A,FALSE,"Calc";"Present",#N/A,FALSE,"Cover"}</definedName>
    <definedName name="wrn.Detail._4_2_1" hidden="1">{"Detail",#N/A,FALSE,"Assump";"Detail",#N/A,FALSE,"Muni";"Detail",#N/A,FALSE,"Proj";"Detail",#N/A,FALSE,"Calc";"Present",#N/A,FALSE,"Cover"}</definedName>
    <definedName name="wrn.Detail._4_2_2" hidden="1">{"Detail",#N/A,FALSE,"Assump";"Detail",#N/A,FALSE,"Muni";"Detail",#N/A,FALSE,"Proj";"Detail",#N/A,FALSE,"Calc";"Present",#N/A,FALSE,"Cover"}</definedName>
    <definedName name="wrn.Detail._4_2_3" hidden="1">{"Detail",#N/A,FALSE,"Assump";"Detail",#N/A,FALSE,"Muni";"Detail",#N/A,FALSE,"Proj";"Detail",#N/A,FALSE,"Calc";"Present",#N/A,FALSE,"Cover"}</definedName>
    <definedName name="wrn.Detail._4_2_4" hidden="1">{"Detail",#N/A,FALSE,"Assump";"Detail",#N/A,FALSE,"Muni";"Detail",#N/A,FALSE,"Proj";"Detail",#N/A,FALSE,"Calc";"Present",#N/A,FALSE,"Cover"}</definedName>
    <definedName name="wrn.Detail._4_2_5" hidden="1">{"Detail",#N/A,FALSE,"Assump";"Detail",#N/A,FALSE,"Muni";"Detail",#N/A,FALSE,"Proj";"Detail",#N/A,FALSE,"Calc";"Present",#N/A,FALSE,"Cover"}</definedName>
    <definedName name="wrn.Detail._4_3" hidden="1">{"Detail",#N/A,FALSE,"Assump";"Detail",#N/A,FALSE,"Muni";"Detail",#N/A,FALSE,"Proj";"Detail",#N/A,FALSE,"Calc";"Present",#N/A,FALSE,"Cover"}</definedName>
    <definedName name="wrn.Detail._4_3_1" hidden="1">{"Detail",#N/A,FALSE,"Assump";"Detail",#N/A,FALSE,"Muni";"Detail",#N/A,FALSE,"Proj";"Detail",#N/A,FALSE,"Calc";"Present",#N/A,FALSE,"Cover"}</definedName>
    <definedName name="wrn.Detail._4_3_2" hidden="1">{"Detail",#N/A,FALSE,"Assump";"Detail",#N/A,FALSE,"Muni";"Detail",#N/A,FALSE,"Proj";"Detail",#N/A,FALSE,"Calc";"Present",#N/A,FALSE,"Cover"}</definedName>
    <definedName name="wrn.Detail._4_3_3" hidden="1">{"Detail",#N/A,FALSE,"Assump";"Detail",#N/A,FALSE,"Muni";"Detail",#N/A,FALSE,"Proj";"Detail",#N/A,FALSE,"Calc";"Present",#N/A,FALSE,"Cover"}</definedName>
    <definedName name="wrn.Detail._4_3_4" hidden="1">{"Detail",#N/A,FALSE,"Assump";"Detail",#N/A,FALSE,"Muni";"Detail",#N/A,FALSE,"Proj";"Detail",#N/A,FALSE,"Calc";"Present",#N/A,FALSE,"Cover"}</definedName>
    <definedName name="wrn.Detail._4_3_5" hidden="1">{"Detail",#N/A,FALSE,"Assump";"Detail",#N/A,FALSE,"Muni";"Detail",#N/A,FALSE,"Proj";"Detail",#N/A,FALSE,"Calc";"Present",#N/A,FALSE,"Cover"}</definedName>
    <definedName name="wrn.Detail._4_4" hidden="1">{"Detail",#N/A,FALSE,"Assump";"Detail",#N/A,FALSE,"Muni";"Detail",#N/A,FALSE,"Proj";"Detail",#N/A,FALSE,"Calc";"Present",#N/A,FALSE,"Cover"}</definedName>
    <definedName name="wrn.Detail._4_5" hidden="1">{"Detail",#N/A,FALSE,"Assump";"Detail",#N/A,FALSE,"Muni";"Detail",#N/A,FALSE,"Proj";"Detail",#N/A,FALSE,"Calc";"Present",#N/A,FALSE,"Cover"}</definedName>
    <definedName name="wrn.Detail._5" hidden="1">{"Detail",#N/A,FALSE,"Assump";"Detail",#N/A,FALSE,"Muni";"Detail",#N/A,FALSE,"Proj";"Detail",#N/A,FALSE,"Calc";"Present",#N/A,FALSE,"Cover"}</definedName>
    <definedName name="wrn.Detail._5_1" hidden="1">{"Detail",#N/A,FALSE,"Assump";"Detail",#N/A,FALSE,"Muni";"Detail",#N/A,FALSE,"Proj";"Detail",#N/A,FALSE,"Calc";"Present",#N/A,FALSE,"Cover"}</definedName>
    <definedName name="wrn.Detail._5_1_1" hidden="1">{"Detail",#N/A,FALSE,"Assump";"Detail",#N/A,FALSE,"Muni";"Detail",#N/A,FALSE,"Proj";"Detail",#N/A,FALSE,"Calc";"Present",#N/A,FALSE,"Cover"}</definedName>
    <definedName name="wrn.Detail._5_1_2" hidden="1">{"Detail",#N/A,FALSE,"Assump";"Detail",#N/A,FALSE,"Muni";"Detail",#N/A,FALSE,"Proj";"Detail",#N/A,FALSE,"Calc";"Present",#N/A,FALSE,"Cover"}</definedName>
    <definedName name="wrn.Detail._5_1_3" hidden="1">{"Detail",#N/A,FALSE,"Assump";"Detail",#N/A,FALSE,"Muni";"Detail",#N/A,FALSE,"Proj";"Detail",#N/A,FALSE,"Calc";"Present",#N/A,FALSE,"Cover"}</definedName>
    <definedName name="wrn.Detail._5_1_4" hidden="1">{"Detail",#N/A,FALSE,"Assump";"Detail",#N/A,FALSE,"Muni";"Detail",#N/A,FALSE,"Proj";"Detail",#N/A,FALSE,"Calc";"Present",#N/A,FALSE,"Cover"}</definedName>
    <definedName name="wrn.Detail._5_1_5" hidden="1">{"Detail",#N/A,FALSE,"Assump";"Detail",#N/A,FALSE,"Muni";"Detail",#N/A,FALSE,"Proj";"Detail",#N/A,FALSE,"Calc";"Present",#N/A,FALSE,"Cover"}</definedName>
    <definedName name="wrn.Detail._5_2" hidden="1">{"Detail",#N/A,FALSE,"Assump";"Detail",#N/A,FALSE,"Muni";"Detail",#N/A,FALSE,"Proj";"Detail",#N/A,FALSE,"Calc";"Present",#N/A,FALSE,"Cover"}</definedName>
    <definedName name="wrn.Detail._5_2_1" hidden="1">{"Detail",#N/A,FALSE,"Assump";"Detail",#N/A,FALSE,"Muni";"Detail",#N/A,FALSE,"Proj";"Detail",#N/A,FALSE,"Calc";"Present",#N/A,FALSE,"Cover"}</definedName>
    <definedName name="wrn.Detail._5_2_2" hidden="1">{"Detail",#N/A,FALSE,"Assump";"Detail",#N/A,FALSE,"Muni";"Detail",#N/A,FALSE,"Proj";"Detail",#N/A,FALSE,"Calc";"Present",#N/A,FALSE,"Cover"}</definedName>
    <definedName name="wrn.Detail._5_2_3" hidden="1">{"Detail",#N/A,FALSE,"Assump";"Detail",#N/A,FALSE,"Muni";"Detail",#N/A,FALSE,"Proj";"Detail",#N/A,FALSE,"Calc";"Present",#N/A,FALSE,"Cover"}</definedName>
    <definedName name="wrn.Detail._5_2_4" hidden="1">{"Detail",#N/A,FALSE,"Assump";"Detail",#N/A,FALSE,"Muni";"Detail",#N/A,FALSE,"Proj";"Detail",#N/A,FALSE,"Calc";"Present",#N/A,FALSE,"Cover"}</definedName>
    <definedName name="wrn.Detail._5_2_5" hidden="1">{"Detail",#N/A,FALSE,"Assump";"Detail",#N/A,FALSE,"Muni";"Detail",#N/A,FALSE,"Proj";"Detail",#N/A,FALSE,"Calc";"Present",#N/A,FALSE,"Cover"}</definedName>
    <definedName name="wrn.Detail._5_3" hidden="1">{"Detail",#N/A,FALSE,"Assump";"Detail",#N/A,FALSE,"Muni";"Detail",#N/A,FALSE,"Proj";"Detail",#N/A,FALSE,"Calc";"Present",#N/A,FALSE,"Cover"}</definedName>
    <definedName name="wrn.Detail._5_4" hidden="1">{"Detail",#N/A,FALSE,"Assump";"Detail",#N/A,FALSE,"Muni";"Detail",#N/A,FALSE,"Proj";"Detail",#N/A,FALSE,"Calc";"Present",#N/A,FALSE,"Cover"}</definedName>
    <definedName name="wrn.Detail._5_5" hidden="1">{"Detail",#N/A,FALSE,"Assump";"Detail",#N/A,FALSE,"Muni";"Detail",#N/A,FALSE,"Proj";"Detail",#N/A,FALSE,"Calc";"Present",#N/A,FALSE,"Cover"}</definedName>
    <definedName name="wrn.dış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ividend._.Schedule." hidden="1">{"Dividend",#N/A,FALSE,"Cash Flow"}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_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_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_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_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_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_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SG." hidden="1">{#N/A,#N/A,FALSE,"BRU";#N/A,#N/A,FALSE,"MAD";#N/A,#N/A,FALSE,"MUN";#N/A,#N/A,FALSE,"SEO";#N/A,#N/A,FALSE,"TOK"}</definedName>
    <definedName name="wrn.dx." hidden="1">{#VALUE!,#N/A,FALSE,0;#N/A,#N/A,FALSE,0;#N/A,#N/A,FALSE,0;#N/A,#N/A,FALSE,0;#N/A,#N/A,FALSE,0;#N/A,#N/A,FALSE,0}</definedName>
    <definedName name="wrn.EBITDA._.Print._.Range." hidden="1">{"EBITDA Print Range",#N/A,FALSE,"EBITDA"}</definedName>
    <definedName name="wrn.ED." localSheetId="1" hidden="1">{#N/A,#N/A,TRUE,"Equipment installation bm"}</definedName>
    <definedName name="wrn.ED." hidden="1">{#N/A,#N/A,TRUE,"Equipment installation bm"}</definedName>
    <definedName name="wrn.ED._1" hidden="1">{#N/A,#N/A,TRUE,"Equipment installation bm"}</definedName>
    <definedName name="wrn.ED._1_1" hidden="1">{#N/A,#N/A,TRUE,"Equipment installation bm"}</definedName>
    <definedName name="wrn.ED._1_1_1" hidden="1">{#N/A,#N/A,TRUE,"Equipment installation bm"}</definedName>
    <definedName name="wrn.ED._1_1_2" hidden="1">{#N/A,#N/A,TRUE,"Equipment installation bm"}</definedName>
    <definedName name="wrn.ED._1_1_3" hidden="1">{#N/A,#N/A,TRUE,"Equipment installation bm"}</definedName>
    <definedName name="wrn.ED._1_1_4" hidden="1">{#N/A,#N/A,TRUE,"Equipment installation bm"}</definedName>
    <definedName name="wrn.ED._1_1_5" hidden="1">{#N/A,#N/A,TRUE,"Equipment installation bm"}</definedName>
    <definedName name="wrn.ED._1_2" hidden="1">{#N/A,#N/A,TRUE,"Equipment installation bm"}</definedName>
    <definedName name="wrn.ED._1_2_1" hidden="1">{#N/A,#N/A,TRUE,"Equipment installation bm"}</definedName>
    <definedName name="wrn.ED._1_2_2" hidden="1">{#N/A,#N/A,TRUE,"Equipment installation bm"}</definedName>
    <definedName name="wrn.ED._1_2_3" hidden="1">{#N/A,#N/A,TRUE,"Equipment installation bm"}</definedName>
    <definedName name="wrn.ED._1_2_4" hidden="1">{#N/A,#N/A,TRUE,"Equipment installation bm"}</definedName>
    <definedName name="wrn.ED._1_2_5" hidden="1">{#N/A,#N/A,TRUE,"Equipment installation bm"}</definedName>
    <definedName name="wrn.ED._1_3" hidden="1">{#N/A,#N/A,TRUE,"Equipment installation bm"}</definedName>
    <definedName name="wrn.ED._1_3_1" hidden="1">{#N/A,#N/A,TRUE,"Equipment installation bm"}</definedName>
    <definedName name="wrn.ED._1_3_2" hidden="1">{#N/A,#N/A,TRUE,"Equipment installation bm"}</definedName>
    <definedName name="wrn.ED._1_3_3" hidden="1">{#N/A,#N/A,TRUE,"Equipment installation bm"}</definedName>
    <definedName name="wrn.ED._1_3_4" hidden="1">{#N/A,#N/A,TRUE,"Equipment installation bm"}</definedName>
    <definedName name="wrn.ED._1_3_5" hidden="1">{#N/A,#N/A,TRUE,"Equipment installation bm"}</definedName>
    <definedName name="wrn.ED._1_4" hidden="1">{#N/A,#N/A,TRUE,"Equipment installation bm"}</definedName>
    <definedName name="wrn.ED._1_4_1" hidden="1">{#N/A,#N/A,TRUE,"Equipment installation bm"}</definedName>
    <definedName name="wrn.ED._1_4_2" hidden="1">{#N/A,#N/A,TRUE,"Equipment installation bm"}</definedName>
    <definedName name="wrn.ED._1_4_3" hidden="1">{#N/A,#N/A,TRUE,"Equipment installation bm"}</definedName>
    <definedName name="wrn.ED._1_4_4" hidden="1">{#N/A,#N/A,TRUE,"Equipment installation bm"}</definedName>
    <definedName name="wrn.ED._1_4_5" hidden="1">{#N/A,#N/A,TRUE,"Equipment installation bm"}</definedName>
    <definedName name="wrn.ED._1_5" hidden="1">{#N/A,#N/A,TRUE,"Equipment installation bm"}</definedName>
    <definedName name="wrn.ED._1_5_1" hidden="1">{#N/A,#N/A,TRUE,"Equipment installation bm"}</definedName>
    <definedName name="wrn.ED._1_5_2" hidden="1">{#N/A,#N/A,TRUE,"Equipment installation bm"}</definedName>
    <definedName name="wrn.ED._1_5_3" hidden="1">{#N/A,#N/A,TRUE,"Equipment installation bm"}</definedName>
    <definedName name="wrn.ED._1_5_4" hidden="1">{#N/A,#N/A,TRUE,"Equipment installation bm"}</definedName>
    <definedName name="wrn.ED._1_5_5" hidden="1">{#N/A,#N/A,TRUE,"Equipment installation bm"}</definedName>
    <definedName name="wrn.ED._2" hidden="1">{#N/A,#N/A,TRUE,"Equipment installation bm"}</definedName>
    <definedName name="wrn.ED._2_1" hidden="1">{#N/A,#N/A,TRUE,"Equipment installation bm"}</definedName>
    <definedName name="wrn.ED._2_1_1" hidden="1">{#N/A,#N/A,TRUE,"Equipment installation bm"}</definedName>
    <definedName name="wrn.ED._2_1_2" hidden="1">{#N/A,#N/A,TRUE,"Equipment installation bm"}</definedName>
    <definedName name="wrn.ED._2_1_3" hidden="1">{#N/A,#N/A,TRUE,"Equipment installation bm"}</definedName>
    <definedName name="wrn.ED._2_1_4" hidden="1">{#N/A,#N/A,TRUE,"Equipment installation bm"}</definedName>
    <definedName name="wrn.ED._2_1_5" hidden="1">{#N/A,#N/A,TRUE,"Equipment installation bm"}</definedName>
    <definedName name="wrn.ED._2_2" hidden="1">{#N/A,#N/A,TRUE,"Equipment installation bm"}</definedName>
    <definedName name="wrn.ED._2_2_1" hidden="1">{#N/A,#N/A,TRUE,"Equipment installation bm"}</definedName>
    <definedName name="wrn.ED._2_2_2" hidden="1">{#N/A,#N/A,TRUE,"Equipment installation bm"}</definedName>
    <definedName name="wrn.ED._2_2_3" hidden="1">{#N/A,#N/A,TRUE,"Equipment installation bm"}</definedName>
    <definedName name="wrn.ED._2_2_4" hidden="1">{#N/A,#N/A,TRUE,"Equipment installation bm"}</definedName>
    <definedName name="wrn.ED._2_2_5" hidden="1">{#N/A,#N/A,TRUE,"Equipment installation bm"}</definedName>
    <definedName name="wrn.ED._2_3" hidden="1">{#N/A,#N/A,TRUE,"Equipment installation bm"}</definedName>
    <definedName name="wrn.ED._2_3_1" hidden="1">{#N/A,#N/A,TRUE,"Equipment installation bm"}</definedName>
    <definedName name="wrn.ED._2_3_2" hidden="1">{#N/A,#N/A,TRUE,"Equipment installation bm"}</definedName>
    <definedName name="wrn.ED._2_3_3" hidden="1">{#N/A,#N/A,TRUE,"Equipment installation bm"}</definedName>
    <definedName name="wrn.ED._2_3_4" hidden="1">{#N/A,#N/A,TRUE,"Equipment installation bm"}</definedName>
    <definedName name="wrn.ED._2_3_5" hidden="1">{#N/A,#N/A,TRUE,"Equipment installation bm"}</definedName>
    <definedName name="wrn.ED._2_4" hidden="1">{#N/A,#N/A,TRUE,"Equipment installation bm"}</definedName>
    <definedName name="wrn.ED._2_4_1" hidden="1">{#N/A,#N/A,TRUE,"Equipment installation bm"}</definedName>
    <definedName name="wrn.ED._2_4_2" hidden="1">{#N/A,#N/A,TRUE,"Equipment installation bm"}</definedName>
    <definedName name="wrn.ED._2_4_3" hidden="1">{#N/A,#N/A,TRUE,"Equipment installation bm"}</definedName>
    <definedName name="wrn.ED._2_4_4" hidden="1">{#N/A,#N/A,TRUE,"Equipment installation bm"}</definedName>
    <definedName name="wrn.ED._2_4_5" hidden="1">{#N/A,#N/A,TRUE,"Equipment installation bm"}</definedName>
    <definedName name="wrn.ED._2_5" hidden="1">{#N/A,#N/A,TRUE,"Equipment installation bm"}</definedName>
    <definedName name="wrn.ED._2_5_1" hidden="1">{#N/A,#N/A,TRUE,"Equipment installation bm"}</definedName>
    <definedName name="wrn.ED._2_5_2" hidden="1">{#N/A,#N/A,TRUE,"Equipment installation bm"}</definedName>
    <definedName name="wrn.ED._2_5_3" hidden="1">{#N/A,#N/A,TRUE,"Equipment installation bm"}</definedName>
    <definedName name="wrn.ED._2_5_4" hidden="1">{#N/A,#N/A,TRUE,"Equipment installation bm"}</definedName>
    <definedName name="wrn.ED._2_5_5" hidden="1">{#N/A,#N/A,TRUE,"Equipment installation bm"}</definedName>
    <definedName name="wrn.ED._3" hidden="1">{#N/A,#N/A,TRUE,"Equipment installation bm"}</definedName>
    <definedName name="wrn.ED._3_1" hidden="1">{#N/A,#N/A,TRUE,"Equipment installation bm"}</definedName>
    <definedName name="wrn.ED._3_1_1" hidden="1">{#N/A,#N/A,TRUE,"Equipment installation bm"}</definedName>
    <definedName name="wrn.ED._3_1_2" hidden="1">{#N/A,#N/A,TRUE,"Equipment installation bm"}</definedName>
    <definedName name="wrn.ED._3_1_3" hidden="1">{#N/A,#N/A,TRUE,"Equipment installation bm"}</definedName>
    <definedName name="wrn.ED._3_1_4" hidden="1">{#N/A,#N/A,TRUE,"Equipment installation bm"}</definedName>
    <definedName name="wrn.ED._3_1_5" hidden="1">{#N/A,#N/A,TRUE,"Equipment installation bm"}</definedName>
    <definedName name="wrn.ED._3_2" hidden="1">{#N/A,#N/A,TRUE,"Equipment installation bm"}</definedName>
    <definedName name="wrn.ED._3_2_1" hidden="1">{#N/A,#N/A,TRUE,"Equipment installation bm"}</definedName>
    <definedName name="wrn.ED._3_2_2" hidden="1">{#N/A,#N/A,TRUE,"Equipment installation bm"}</definedName>
    <definedName name="wrn.ED._3_2_3" hidden="1">{#N/A,#N/A,TRUE,"Equipment installation bm"}</definedName>
    <definedName name="wrn.ED._3_2_4" hidden="1">{#N/A,#N/A,TRUE,"Equipment installation bm"}</definedName>
    <definedName name="wrn.ED._3_2_5" hidden="1">{#N/A,#N/A,TRUE,"Equipment installation bm"}</definedName>
    <definedName name="wrn.ED._3_3" hidden="1">{#N/A,#N/A,TRUE,"Equipment installation bm"}</definedName>
    <definedName name="wrn.ED._3_3_1" hidden="1">{#N/A,#N/A,TRUE,"Equipment installation bm"}</definedName>
    <definedName name="wrn.ED._3_3_2" hidden="1">{#N/A,#N/A,TRUE,"Equipment installation bm"}</definedName>
    <definedName name="wrn.ED._3_3_3" hidden="1">{#N/A,#N/A,TRUE,"Equipment installation bm"}</definedName>
    <definedName name="wrn.ED._3_3_4" hidden="1">{#N/A,#N/A,TRUE,"Equipment installation bm"}</definedName>
    <definedName name="wrn.ED._3_3_5" hidden="1">{#N/A,#N/A,TRUE,"Equipment installation bm"}</definedName>
    <definedName name="wrn.ED._3_4" hidden="1">{#N/A,#N/A,TRUE,"Equipment installation bm"}</definedName>
    <definedName name="wrn.ED._3_4_1" hidden="1">{#N/A,#N/A,TRUE,"Equipment installation bm"}</definedName>
    <definedName name="wrn.ED._3_4_2" hidden="1">{#N/A,#N/A,TRUE,"Equipment installation bm"}</definedName>
    <definedName name="wrn.ED._3_4_3" hidden="1">{#N/A,#N/A,TRUE,"Equipment installation bm"}</definedName>
    <definedName name="wrn.ED._3_4_4" hidden="1">{#N/A,#N/A,TRUE,"Equipment installation bm"}</definedName>
    <definedName name="wrn.ED._3_4_5" hidden="1">{#N/A,#N/A,TRUE,"Equipment installation bm"}</definedName>
    <definedName name="wrn.ED._3_5" hidden="1">{#N/A,#N/A,TRUE,"Equipment installation bm"}</definedName>
    <definedName name="wrn.ED._3_5_1" hidden="1">{#N/A,#N/A,TRUE,"Equipment installation bm"}</definedName>
    <definedName name="wrn.ED._3_5_2" hidden="1">{#N/A,#N/A,TRUE,"Equipment installation bm"}</definedName>
    <definedName name="wrn.ED._3_5_3" hidden="1">{#N/A,#N/A,TRUE,"Equipment installation bm"}</definedName>
    <definedName name="wrn.ED._3_5_4" hidden="1">{#N/A,#N/A,TRUE,"Equipment installation bm"}</definedName>
    <definedName name="wrn.ED._3_5_5" hidden="1">{#N/A,#N/A,TRUE,"Equipment installation bm"}</definedName>
    <definedName name="wrn.ED._4" hidden="1">{#N/A,#N/A,TRUE,"Equipment installation bm"}</definedName>
    <definedName name="wrn.ED._4_1" hidden="1">{#N/A,#N/A,TRUE,"Equipment installation bm"}</definedName>
    <definedName name="wrn.ED._4_1_1" hidden="1">{#N/A,#N/A,TRUE,"Equipment installation bm"}</definedName>
    <definedName name="wrn.ED._4_1_2" hidden="1">{#N/A,#N/A,TRUE,"Equipment installation bm"}</definedName>
    <definedName name="wrn.ED._4_1_3" hidden="1">{#N/A,#N/A,TRUE,"Equipment installation bm"}</definedName>
    <definedName name="wrn.ED._4_1_4" hidden="1">{#N/A,#N/A,TRUE,"Equipment installation bm"}</definedName>
    <definedName name="wrn.ED._4_1_5" hidden="1">{#N/A,#N/A,TRUE,"Equipment installation bm"}</definedName>
    <definedName name="wrn.ED._4_2" hidden="1">{#N/A,#N/A,TRUE,"Equipment installation bm"}</definedName>
    <definedName name="wrn.ED._4_2_1" hidden="1">{#N/A,#N/A,TRUE,"Equipment installation bm"}</definedName>
    <definedName name="wrn.ED._4_2_2" hidden="1">{#N/A,#N/A,TRUE,"Equipment installation bm"}</definedName>
    <definedName name="wrn.ED._4_2_3" hidden="1">{#N/A,#N/A,TRUE,"Equipment installation bm"}</definedName>
    <definedName name="wrn.ED._4_2_4" hidden="1">{#N/A,#N/A,TRUE,"Equipment installation bm"}</definedName>
    <definedName name="wrn.ED._4_2_5" hidden="1">{#N/A,#N/A,TRUE,"Equipment installation bm"}</definedName>
    <definedName name="wrn.ED._4_3" hidden="1">{#N/A,#N/A,TRUE,"Equipment installation bm"}</definedName>
    <definedName name="wrn.ED._4_3_1" hidden="1">{#N/A,#N/A,TRUE,"Equipment installation bm"}</definedName>
    <definedName name="wrn.ED._4_3_2" hidden="1">{#N/A,#N/A,TRUE,"Equipment installation bm"}</definedName>
    <definedName name="wrn.ED._4_3_3" hidden="1">{#N/A,#N/A,TRUE,"Equipment installation bm"}</definedName>
    <definedName name="wrn.ED._4_3_4" hidden="1">{#N/A,#N/A,TRUE,"Equipment installation bm"}</definedName>
    <definedName name="wrn.ED._4_3_5" hidden="1">{#N/A,#N/A,TRUE,"Equipment installation bm"}</definedName>
    <definedName name="wrn.ED._4_4" hidden="1">{#N/A,#N/A,TRUE,"Equipment installation bm"}</definedName>
    <definedName name="wrn.ED._4_4_1" hidden="1">{#N/A,#N/A,TRUE,"Equipment installation bm"}</definedName>
    <definedName name="wrn.ED._4_4_2" hidden="1">{#N/A,#N/A,TRUE,"Equipment installation bm"}</definedName>
    <definedName name="wrn.ED._4_4_3" hidden="1">{#N/A,#N/A,TRUE,"Equipment installation bm"}</definedName>
    <definedName name="wrn.ED._4_4_4" hidden="1">{#N/A,#N/A,TRUE,"Equipment installation bm"}</definedName>
    <definedName name="wrn.ED._4_4_5" hidden="1">{#N/A,#N/A,TRUE,"Equipment installation bm"}</definedName>
    <definedName name="wrn.ED._4_5" hidden="1">{#N/A,#N/A,TRUE,"Equipment installation bm"}</definedName>
    <definedName name="wrn.ED._4_5_1" hidden="1">{#N/A,#N/A,TRUE,"Equipment installation bm"}</definedName>
    <definedName name="wrn.ED._4_5_2" hidden="1">{#N/A,#N/A,TRUE,"Equipment installation bm"}</definedName>
    <definedName name="wrn.ED._4_5_3" hidden="1">{#N/A,#N/A,TRUE,"Equipment installation bm"}</definedName>
    <definedName name="wrn.ED._4_5_4" hidden="1">{#N/A,#N/A,TRUE,"Equipment installation bm"}</definedName>
    <definedName name="wrn.ED._4_5_5" hidden="1">{#N/A,#N/A,TRUE,"Equipment installation bm"}</definedName>
    <definedName name="wrn.ED._5" hidden="1">{#N/A,#N/A,TRUE,"Equipment installation bm"}</definedName>
    <definedName name="wrn.ED._5_1" hidden="1">{#N/A,#N/A,TRUE,"Equipment installation bm"}</definedName>
    <definedName name="wrn.ED._5_1_1" hidden="1">{#N/A,#N/A,TRUE,"Equipment installation bm"}</definedName>
    <definedName name="wrn.ED._5_1_2" hidden="1">{#N/A,#N/A,TRUE,"Equipment installation bm"}</definedName>
    <definedName name="wrn.ED._5_1_3" hidden="1">{#N/A,#N/A,TRUE,"Equipment installation bm"}</definedName>
    <definedName name="wrn.ED._5_1_4" hidden="1">{#N/A,#N/A,TRUE,"Equipment installation bm"}</definedName>
    <definedName name="wrn.ED._5_1_5" hidden="1">{#N/A,#N/A,TRUE,"Equipment installation bm"}</definedName>
    <definedName name="wrn.ED._5_2" hidden="1">{#N/A,#N/A,TRUE,"Equipment installation bm"}</definedName>
    <definedName name="wrn.ED._5_2_1" hidden="1">{#N/A,#N/A,TRUE,"Equipment installation bm"}</definedName>
    <definedName name="wrn.ED._5_2_2" hidden="1">{#N/A,#N/A,TRUE,"Equipment installation bm"}</definedName>
    <definedName name="wrn.ED._5_2_3" hidden="1">{#N/A,#N/A,TRUE,"Equipment installation bm"}</definedName>
    <definedName name="wrn.ED._5_2_4" hidden="1">{#N/A,#N/A,TRUE,"Equipment installation bm"}</definedName>
    <definedName name="wrn.ED._5_2_5" hidden="1">{#N/A,#N/A,TRUE,"Equipment installation bm"}</definedName>
    <definedName name="wrn.ED._5_3" hidden="1">{#N/A,#N/A,TRUE,"Equipment installation bm"}</definedName>
    <definedName name="wrn.ED._5_3_1" hidden="1">{#N/A,#N/A,TRUE,"Equipment installation bm"}</definedName>
    <definedName name="wrn.ED._5_3_2" hidden="1">{#N/A,#N/A,TRUE,"Equipment installation bm"}</definedName>
    <definedName name="wrn.ED._5_3_3" hidden="1">{#N/A,#N/A,TRUE,"Equipment installation bm"}</definedName>
    <definedName name="wrn.ED._5_3_4" hidden="1">{#N/A,#N/A,TRUE,"Equipment installation bm"}</definedName>
    <definedName name="wrn.ED._5_3_5" hidden="1">{#N/A,#N/A,TRUE,"Equipment installation bm"}</definedName>
    <definedName name="wrn.ED._5_4" hidden="1">{#N/A,#N/A,TRUE,"Equipment installation bm"}</definedName>
    <definedName name="wrn.ED._5_4_1" hidden="1">{#N/A,#N/A,TRUE,"Equipment installation bm"}</definedName>
    <definedName name="wrn.ED._5_4_2" hidden="1">{#N/A,#N/A,TRUE,"Equipment installation bm"}</definedName>
    <definedName name="wrn.ED._5_4_3" hidden="1">{#N/A,#N/A,TRUE,"Equipment installation bm"}</definedName>
    <definedName name="wrn.ED._5_4_4" hidden="1">{#N/A,#N/A,TRUE,"Equipment installation bm"}</definedName>
    <definedName name="wrn.ED._5_4_5" hidden="1">{#N/A,#N/A,TRUE,"Equipment installation bm"}</definedName>
    <definedName name="wrn.ED._5_5" hidden="1">{#N/A,#N/A,TRUE,"Equipment installation bm"}</definedName>
    <definedName name="wrn.ED._5_5_1" hidden="1">{#N/A,#N/A,TRUE,"Equipment installation bm"}</definedName>
    <definedName name="wrn.ED._5_5_2" hidden="1">{#N/A,#N/A,TRUE,"Equipment installation bm"}</definedName>
    <definedName name="wrn.ED._5_5_3" hidden="1">{#N/A,#N/A,TRUE,"Equipment installation bm"}</definedName>
    <definedName name="wrn.ED._5_5_4" hidden="1">{#N/A,#N/A,TRUE,"Equipment installation bm"}</definedName>
    <definedName name="wrn.ED._5_5_5" hidden="1">{#N/A,#N/A,TRUE,"Equipment installation bm"}</definedName>
    <definedName name="wrn.ekinci._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ekinci._.imalat.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ktirk._.hakediş." hidden="1">{#N/A,#N/A,FALSE,"12.10";#N/A,#N/A,FALSE,"12.11";#N/A,#N/A,FALSE,"12.12";#N/A,#N/A,FALSE,"12.21";#N/A,#N/A,FALSE,"12.22";#N/A,#N/A,FALSE,"12.23";#N/A,#N/A,FALSE,"12.24";#N/A,#N/A,FALSE,"12.25";#N/A,#N/A,FALSE,"12.26"}</definedName>
    <definedName name="wrn.elektrik_iç." hidden="1">{#N/A,#N/A,FALSE,"elk_iç_er";#N/A,#N/A,FALSE,"elk_iç_tut";#N/A,#N/A,FALSE,"elk_iç_ihz"}</definedName>
    <definedName name="wrn.elist1." hidden="1">{#N/A,#N/A,FALSE,"E1";#N/A,#N/A,FALSE,"E1 (2)"}</definedName>
    <definedName name="wrn.ENERJI._.TEMİNİ.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wrn.enrollment._.schedule." hidden="1">{#N/A,#N/A,FALSE,"Enrollment Summary";#N/A,#N/A,FALSE,"Plan";#N/A,#N/A,FALSE,"State";#N/A,#N/A,FALSE,"Change "}</definedName>
    <definedName name="wrn.Estimated._.Tax._.Annualized._.Method." hidden="1">{#N/A,#N/A,FALSE,"Summary";#N/A,#N/A,FALSE,"Adj to Option C";#N/A,#N/A,FALSE,"Dividend Analysis";#N/A,#N/A,FALSE,"Reserve Analysis";#N/A,#N/A,FALSE,"Depreciation";#N/A,#N/A,FALSE,"Other Tax Adj"}</definedName>
    <definedName name="wrn.EXEC_1." hidden="1">{"EXEC",#N/A,TRUE,"Header";"EXEC_1",#N/A,TRUE,"Summary_1"}</definedName>
    <definedName name="wrn.EXEC_2." hidden="1">{"EXEC",#N/A,FALSE,"Header";"EXEC_2",#N/A,FALSE,"Summary_2"}</definedName>
    <definedName name="wrn.EXEC_3." hidden="1">{"EXEC",#N/A,FALSE,"Header";"EXEC_3",#N/A,FALSE,"Summary_3"}</definedName>
    <definedName name="wrn.EXEC_4." hidden="1">{"EXEC",#N/A,FALSE,"Header";"EXEC_4",#N/A,FALSE,"Summary_4"}</definedName>
    <definedName name="wrn.fall" hidden="1">{#N/A,#N/A,FALSE,"Index";"HIDE",#N/A,FALSE,"Income Statement";#N/A,#N/A,FALSE,"BS";#N/A,#N/A,FALSE,"CF";"stprint",#N/A,FALSE,"Segment Totals ";"HIDE",#N/A,FALSE,"HP";"HIDE",#N/A,FALSE,"SBS";"HIDE",#N/A,FALSE,"InsSvcs";"HIDE",#N/A,FALSE,"RSS";"HIDE",#N/A,FALSE,"SCS";"HIDE",#N/A,FALSE,"K_I";"HIDE",#N/A,FALSE,"ENT_SVC";"HIDE",#N/A,FALSE,"CORP"}</definedName>
    <definedName name="wrn.ffrv." hidden="1">{#VALUE!,#N/A,FALSE,0;#N/A,#N/A,FALSE,0;#N/A,#N/A,FALSE,0;#N/A,#N/A,FALSE,0;#N/A,#N/A,FALSE,0;#N/A,#N/A,FALSE,0;#N/A,#N/A,FALSE,0;#N/A,#N/A,FALSE,0;#N/A,#N/A,FALSE,0;#N/A,#N/A,FALSE,0;#N/A,#N/A,FALSE,0;#N/A,#N/A,FALSE,0}</definedName>
    <definedName name="wrn.Field._.Office._.and._.Sum." hidden="1">{#N/A,#N/A,FALSE,"Field Rates";#N/A,#N/A,FALSE,"Field Sum"}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ZIB.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ORM.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1." hidden="1">{#N/A,#N/A,FALSE,"COMP"}</definedName>
    <definedName name="wrn.FTS." hidden="1">{"FTS",#N/A,FALSE,"E"}</definedName>
    <definedName name="wrn.FTS._.PLANT._.BREAKUP." hidden="1">{"PLANT BREAKUP",#N/A,FALSE,"E"}</definedName>
    <definedName name="wrn.Fuel._.oil._.option." hidden="1">{"FUEL OIL",#N/A,FALSE,"Option"}</definedName>
    <definedName name="WRN.FU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report.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G.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wrn.gecici." hidden="1">{#N/A,#N/A,FALSE,"avans";#N/A,#N/A,FALSE,"teminat_mektubu";#N/A,#N/A,FALSE,"ihz. icmal";#N/A,#N/A,FALSE,"söz_fiy_fark";#N/A,#N/A,FALSE,"kap2";#N/A,#N/A,FALSE,"mal_FF_icm";#N/A,#N/A,FALSE,"kap1"}</definedName>
    <definedName name="wrn.GENEL." hidden="1">{#N/A,#N/A,FALSE,"kap1";#N/A,#N/A,FALSE,"kap2";#N/A,#N/A,FALSE,"tem_mektubu";#N/A,#N/A,FALSE,"avans";#N/A,#N/A,FALSE,"söz_fiy_fark";#N/A,#N/A,FALSE,"fat_ihz"}</definedName>
    <definedName name="wrn.GL." hidden="1">{#N/A,#N/A,FALSE,"TB"}</definedName>
    <definedName name="wrn.GRAPHS." localSheetId="1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gunal_REPORT." hidden="1">{#VALUE!,#N/A,TRUE,0;#N/A,#N/A,TRUE,0;#N/A,#N/A,TRUE,0;#N/A,#N/A,TRUE,0;#N/A,#N/A,TRUE,0;#N/A,#N/A,TRUE,0;#N/A,#N/A,TRUE,0}</definedName>
    <definedName name="wrn.HAK1.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4.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wrn.HAK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4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5." hidden="1">{#VALUE!,#N/A,FALSE,0;#N/A,#N/A,FALSE,0;#N/A,#N/A,FALSE,0;#N/A,#N/A,FALSE,0;#N/A,#N/A,FALSE,0;#N/A,#N/A,FALSE,0;#N/A,#N/A,FALSE,0;#N/A,#N/A,FALSE,0}</definedName>
    <definedName name="wrn.hak6" hidden="1">{#VALUE!,#N/A,FALSE,0;#N/A,#N/A,FALSE,0;#N/A,#N/A,FALSE,0;#N/A,#N/A,FALSE,0;#N/A,#N/A,FALSE,0;#N/A,#N/A,FALSE,0;#N/A,#N/A,FALSE,0;#N/A,#N/A,FALSE,0}</definedName>
    <definedName name="wrn.hak7." hidden="1">{#N/A,#N/A,FALSE,"k1";#N/A,#N/A,FALSE,"fihrist";#N/A,#N/A,FALSE,"1";#N/A,#N/A,FALSE,"2";#N/A,#N/A,FALSE,"3";#N/A,#N/A,FALSE,"4";#N/A,#N/A,FALSE,"6.10";#N/A,#N/A,FALSE,"6.20";#N/A,#N/A,FALSE,"6.21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13.1";#N/A,#N/A,FALSE,"13.2"}</definedName>
    <definedName name="wrn.hak8.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kari._.imalat.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wrn.HO._.Rates._.and._.Sum." hidden="1">{#N/A,#N/A,FALSE,"HO Rates";#N/A,#N/A,FALSE,"HO Sum"}</definedName>
    <definedName name="wrn.İHZAR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ihzar1." hidden="1">{#VALUE!,#N/A,FALSE,0;#N/A,#N/A,FALSE,0;#N/A,#N/A,FALSE,0;#N/A,#N/A,FALSE,0;#N/A,#N/A,FALSE,0;#N/A,#N/A,FALSE,0;#N/A,#N/A,FALSE,0}</definedName>
    <definedName name="wrn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LAVE._.BETON." hidden="1">{#N/A,#N/A,FALSE,"B216 4-5'-9 (12 Hak)";#N/A,#N/A,FALSE,"B216 8 (12 Hak)";#N/A,#N/A,FALSE,"B214 4 (İlave) ";#N/A,#N/A,FALSE,"B214 3 (İlave) ";#N/A,#N/A,FALSE,"B214 2 (İlave)";#N/A,#N/A,FALSE,"B213 7 (İlave)";#N/A,#N/A,FALSE,"B210 12 (İlave)";#N/A,#N/A,FALSE,"B209 11 (İlave) ";#N/A,#N/A,FALSE,"B209 12 (İlave) ";#N/A,#N/A,FALSE,"B209 10 (İlave) ";#N/A,#N/A,FALSE,"B209 9 (İlave)";#N/A,#N/A,FALSE,"B209 6 (İlave) ";#N/A,#N/A,FALSE,"B207 (Ek)";#N/A,#N/A,FALSE,"B210 10 (İlave)"}</definedName>
    <definedName name="wrn.ILAVE._.DEMIR." hidden="1">{#N/A,#N/A,FALSE,"D216 4-5'-9 (12 Hak)";#N/A,#N/A,FALSE,"D216 8 (12 Hak)";#N/A,#N/A,FALSE,"D214 4 (İlave) ";#N/A,#N/A,FALSE,"D214 3 (İlave) ";#N/A,#N/A,FALSE,"D214 2 (İlave)";#N/A,#N/A,FALSE,"D213 7 (İlave)";#N/A,#N/A,FALSE,"D 210 12 (İlave)";#N/A,#N/A,FALSE,"D209 11 (İlave) ";#N/A,#N/A,FALSE,"D209 12 (İlave)  ";#N/A,#N/A,FALSE,"D209 10 (İlave) ";#N/A,#N/A,FALSE,"D209 9 (İlave)";#N/A,#N/A,FALSE,"D209 6 (İlave) ";#N/A,#N/A,FALSE,"D207 (Ek)";#N/A,#N/A,FALSE,"D 210 10 (İlave)"}</definedName>
    <definedName name="wrn.india" hidden="1">{#N/A,#N/A,FALSE,"India - 3f";#N/A,#N/A,FALSE,"India - 3";#N/A,#N/A,FALSE,"India - 4f";#N/A,#N/A,FALSE,"India - 4";#N/A,#N/A,FALSE,"Retail Spider"}</definedName>
    <definedName name="wrn.india." hidden="1">{#N/A,#N/A,FALSE,"India - 3f";#N/A,#N/A,FALSE,"India - 3";#N/A,#N/A,FALSE,"India - 4f";#N/A,#N/A,FALSE,"India - 4";#N/A,#N/A,FALSE,"Retail Spider"}</definedName>
    <definedName name="wrn.INS." hidden="1">{#N/A,#N/A,FALSE,"kap2";#N/A,#N/A,FALSE,"tem_mektubu";#N/A,#N/A,FALSE,"söz_fiy_fark";#N/A,#N/A,FALSE,"fat_ihz";#N/A,#N/A,FALSE,"ihz. icmal";#N/A,#N/A,FALSE,"inş_iç_ihz";#N/A,#N/A,FALSE,"inş_iç_tut";#N/A,#N/A,FALSE,"inş_iç_er"}</definedName>
    <definedName name="wrn.insaat_ic." hidden="1">{#N/A,#N/A,FALSE,"inş_iç_ihz";#N/A,#N/A,FALSE,"inş_iç_er";#N/A,#N/A,FALSE,"inş_iç_tut"}</definedName>
    <definedName name="wrn.ipo." hidden="1">{"assumptions",#N/A,FALSE,"Scenario 1";"valuation",#N/A,FALSE,"Scenario 1"}</definedName>
    <definedName name="wrn.IPO._.Valuation." hidden="1">{"assumptions",#N/A,FALSE,"Scenario 1";"valuation",#N/A,FALSE,"Scenario 1"}</definedName>
    <definedName name="wrn.istinat." hidden="1">{#N/A,#N/A,FALSE,"NF_S1";#N/A,#N/A,FALSE,"İ_100M";#N/A,#N/A,FALSE,"İ_150M";#N/A,#N/A,FALSE,"İ_200M"}</definedName>
    <definedName name="wrn.item1." hidden="1">{#N/A,#N/A,FALSE,"Wadhal";#N/A,#N/A,FALSE,"Manglad U-S";#N/A,#N/A,FALSE,"Manglad D-S";#N/A,#N/A,FALSE,"Ratanpur U-S";#N/A,#N/A,FALSE,"Ratanpur D-S";#N/A,#N/A,FALSE,"VI Face"}</definedName>
    <definedName name="wrn.KAL._.BÜR." hidden="1">{#N/A,#N/A,FALSE,"3";#N/A,#N/A,FALSE,"kal_iç_ihz";#N/A,#N/A,FALSE,"kal_iç_er";#N/A,#N/A,FALSE,"kal_iç_tut";#N/A,#N/A,FALSE,"5";#N/A,#N/A,FALSE,"brü_ihz";#N/A,#N/A,FALSE,"brü_er";#N/A,#N/A,FALSE,"brü_tut"}</definedName>
    <definedName name="wrn.kalorifer_ic." hidden="1">{#N/A,#N/A,FALSE,"kal_iç_ihz";#N/A,#N/A,FALSE,"kal_iç_er";#N/A,#N/A,FALSE,"kal_iç_tut"}</definedName>
    <definedName name="wrn.kapak._.ıcmal." hidden="1">{#N/A,#N/A,FALSE,"12.21";#N/A,#N/A,FALSE,"12.10";#N/A,#N/A,FALSE,"3";#N/A,#N/A,FALSE,"2";#N/A,#N/A,FALSE,"1"}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OC." hidden="1">{#N/A,#N/A,FALSE,"ATIKSU_246 (3)";#N/A,#N/A,FALSE,"ATIKSU_246 (2)";#N/A,#N/A,FALSE,"ATIKSU_246 (1)";#N/A,#N/A,FALSE,"YAGMUR_246 (2)";#N/A,#N/A,FALSE,"YAGMUR_246 (1)";#N/A,#N/A,FALSE,"ATIKSU_245 (2)";#N/A,#N/A,FALSE,"ATIKSU_245 (1)";#N/A,#N/A,FALSE,"YAGMUR_245 (2)";#N/A,#N/A,FALSE,"YAGMUR_245 (1)";#N/A,#N/A,FALSE,"ATIKSU_244 (2)";#N/A,#N/A,FALSE,"ATIKSU_244 (1)";#N/A,#N/A,FALSE,"YAGMUR_244 (2)";#N/A,#N/A,FALSE,"YAGMUR_244 (1)";#N/A,#N/A,FALSE,"ATIKSU_238 (2)";#N/A,#N/A,FALSE,"ATIKSU_238 (1)";#N/A,#N/A,FALSE,"YAGMUR_238 (2)";#N/A,#N/A,FALSE,"YAGMUR_238 (1)";#N/A,#N/A,FALSE,"ATIKSU_236 (2)";#N/A,#N/A,FALSE,"ATIKSU_236 (1)";#N/A,#N/A,FALSE,"YAGMUR_236 (2)";#N/A,#N/A,FALSE,"YAGMUR_236 (1)"}</definedName>
    <definedName name="wrn.kocoglu._.ihzarat.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malat.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ren." hidden="1">{#VALUE!,#N/A,FALSE,0;#N/A,#N/A,FALSE,0;#N/A,#N/A,FALSE,0;#N/A,#N/A,FALSE,0;#N/A,#N/A,FALSE,0;#N/A,#N/A,FALSE,0;#N/A,#N/A,FALSE,0;#N/A,#N/A,FALSE,0;#N/A,#N/A,FALSE,0;#N/A,#N/A,FALSE,0}</definedName>
    <definedName name="wrn.Leasing._.Variance." hidden="1">{#N/A,#N/A,FALSE,"Leasing 6A"}</definedName>
    <definedName name="wrn.maff_report." hidden="1">{#N/A,#N/A,FALSE,"maff_h1";#N/A,#N/A,FALSE,"maff_h2";#N/A,#N/A,FALSE,"maff_h3";#N/A,#N/A,FALSE,"maff_h4";#N/A,#N/A,FALSE,"maff_h5";#N/A,#N/A,FALSE,"maff_h6";#N/A,#N/A,FALSE,"maff_h7"}</definedName>
    <definedName name="wrn.MAIN." hidden="1">{#N/A,#N/A,FALSE,"TB";#N/A,#N/A,FALSE,"GLIC";#N/A,#N/A,FALSE,"SLIC"}</definedName>
    <definedName name="wrn.malzeme._.fiyat._.farkı." hidden="1">{#N/A,#N/A,FALSE,"M.F.F.İCMALİ";#N/A,#N/A,FALSE,"MFF HESAP TAB";#N/A,#N/A,FALSE,"AKARY.MİK";#N/A,#N/A,FALSE,"AKARY.TUTANAĞI";#N/A,#N/A,FALSE,"MOTORİN";#N/A,#N/A,FALSE," TAB ÇİM PÇ425";#N/A,#N/A,FALSE,"ÇİM. MİK PÇ-425";#N/A,#N/A,FALSE,"DEMİR";#N/A,#N/A,FALSE," TAB demir"}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hidden="1">{#N/A,#N/A,FALSE,"OT &amp; Contract (OK)";#N/A,#N/A,FALSE,"Benefits (OK)";#N/A,#N/A,FALSE,"Int.Con &amp; Dues (OK)";#N/A,#N/A,FALSE,"Rep&amp;Trans";#N/A,#N/A,FALSE,"FTravel (OK)";#N/A,#N/A,FALSE,"Supplies (OK)";#N/A,#N/A,FALSE,"Car Insurance";#N/A,#N/A,FALSE,"Postal&amp;Com (OK)";#N/A,#N/A,FALSE,"Training (OK)";#N/A,#N/A,FALSE,"CAPEX (OK)"}</definedName>
    <definedName name="wrn.mekanik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L.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rn.met1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T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ISC." hidden="1">{#N/A,#N/A,FALSE,"MISC"}</definedName>
    <definedName name="wrn.MKESIF." hidden="1">{#N/A,#N/A,TRUE,"İcmal1";#N/A,#N/A,TRUE,"icmal2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}</definedName>
    <definedName name="wrn.MONTH._.END._.SPREADS.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_end_spreads2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ly.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_.financia2" hidden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onthly._.Financial._.Package." hidden="1">{#N/A,#N/A,TRUE,"Cover Sheet";#N/A,#N/A,TRUE,"Operations Summary";#N/A,#N/A,TRUE,"Admin Summary";#N/A,#N/A,TRUE,"Membership Summary";#N/A,#N/A,TRUE,"Income Statement ";#N/A,#N/A,TRUE,"Narrative Footnote Summary";#N/A,#N/A,TRUE,"Acute";#N/A,#N/A,TRUE,"Intermed";#N/A,#N/A,TRUE,"OP"}</definedName>
    <definedName name="wrn.mortassetplan.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sc._.sw._.feat._.summary." localSheetId="1" hidden="1">{"msc sw feat summary",#N/A,FALSE,"MSC SW Features v. 1.1."}</definedName>
    <definedName name="wrn.msc._.sw._.feat._.summary." hidden="1">{"msc sw feat summary",#N/A,FALSE,"MSC SW Features v. 1.1."}</definedName>
    <definedName name="wrn.mukayese." hidden="1">{#N/A,#N/A,FALSE,"İcmal1";#N/A,#N/A,FALSE,"icmal2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müşterek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usterek_ic." hidden="1">{#N/A,#N/A,FALSE,"müş_iç_ihz";#N/A,#N/A,FALSE,"müş_iç_er";#N/A,#N/A,FALSE,"müş_iç_tut"}</definedName>
    <definedName name="wrn.nakliye." hidden="1">{#N/A,#N/A,FALSE,"NAKLİYE_MESAFE";#N/A,#N/A,FALSE,"NF_01";#N/A,#N/A,FALSE,"NF_02";#N/A,#N/A,FALSE,"NF_03";#N/A,#N/A,FALSE,"NF_04";#N/A,#N/A,FALSE,"NF_05";#N/A,#N/A,FALSE,"NF_06"}</definedName>
    <definedName name="wrn.NAKLİYE._.METRAJI." hidden="1">{#N/A,#N/A,FALSE,"NAK-BEŞİRLİ"}</definedName>
    <definedName name="wrn.NAKLİYELER." hidden="1">{#N/A,#N/A,FALSE,"SANAT NAKLİYE "}</definedName>
    <definedName name="wrn.NSC._.Summary." hidden="1">{#N/A,#N/A,FALSE,"11-NSC"}</definedName>
    <definedName name="wrn.OCS._.REPORT." hidden="1">{#N/A,#N/A,FALSE,"Cover";#N/A,#N/A,FALSE,"Index";#N/A,#N/A,FALSE,"Spec";#N/A,#N/A,FALSE,"Breakdown";#N/A,#N/A,FALSE,"Cost Plan"}</definedName>
    <definedName name="wrn.ÖDEME._.SAYFALARI." hidden="1">{#N/A,#N/A,TRUE,"TAKİP";#N/A,#N/A,TRUE,"RAPOR";#N/A,#N/A,TRUE,"ÖDEME";#N/A,#N/A,TRUE,"İCMAL"}</definedName>
    <definedName name="wrn.one" hidden="1">{"page1",#N/A,FALSE,"A";"page2",#N/A,FALSE,"A"}</definedName>
    <definedName name="wrn.one." hidden="1">{"page1",#N/A,FALSE,"A";"page2",#N/A,FALSE,"A"}</definedName>
    <definedName name="wrn.ontario." hidden="1">{"page1",#N/A,FALSE,"sheet 1";"Page2",#N/A,FALSE,"sheet 1";"page3",#N/A,FALSE,"sheet 1";"page4",#N/A,FALSE,"sheet 1"}</definedName>
    <definedName name="wrn.orhan_kose." hidden="1">{#VALUE!,#N/A,TRUE,0;#N/A,#N/A,TRUE,0;#N/A,#N/A,TRUE,0}</definedName>
    <definedName name="wrn.oztas._.imalat.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p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854._.ADDENDUM." localSheetId="1" hidden="1">{#N/A,#N/A,FALSE,"mgtsum.XLS";#N/A,#N/A,FALSE,"CAPONE";#N/A,#N/A,FALSE,"CAPTWO";#N/A,#N/A,FALSE,"CAPTHREE"}</definedName>
    <definedName name="wrn.P854._.ADDENDUM." hidden="1">{#N/A,#N/A,FALSE,"mgtsum.XLS";#N/A,#N/A,FALSE,"CAPONE";#N/A,#N/A,FALSE,"CAPTWO";#N/A,#N/A,FALSE,"CAPTHREE"}</definedName>
    <definedName name="wrn.P854._.ADDENDUM._1" hidden="1">{#N/A,#N/A,FALSE,"mgtsum.XLS";#N/A,#N/A,FALSE,"CAPONE";#N/A,#N/A,FALSE,"CAPTWO";#N/A,#N/A,FALSE,"CAPTHREE"}</definedName>
    <definedName name="wrn.P854._.ADDENDUM._1_1" hidden="1">{#N/A,#N/A,FALSE,"mgtsum.XLS";#N/A,#N/A,FALSE,"CAPONE";#N/A,#N/A,FALSE,"CAPTWO";#N/A,#N/A,FALSE,"CAPTHREE"}</definedName>
    <definedName name="wrn.P854._.ADDENDUM._1_1_1" hidden="1">{#N/A,#N/A,FALSE,"mgtsum.XLS";#N/A,#N/A,FALSE,"CAPONE";#N/A,#N/A,FALSE,"CAPTWO";#N/A,#N/A,FALSE,"CAPTHREE"}</definedName>
    <definedName name="wrn.P854._.ADDENDUM._1_1_1_1" hidden="1">{#N/A,#N/A,FALSE,"mgtsum.XLS";#N/A,#N/A,FALSE,"CAPONE";#N/A,#N/A,FALSE,"CAPTWO";#N/A,#N/A,FALSE,"CAPTHREE"}</definedName>
    <definedName name="wrn.P854._.ADDENDUM._1_1_1_2" hidden="1">{#N/A,#N/A,FALSE,"mgtsum.XLS";#N/A,#N/A,FALSE,"CAPONE";#N/A,#N/A,FALSE,"CAPTWO";#N/A,#N/A,FALSE,"CAPTHREE"}</definedName>
    <definedName name="wrn.P854._.ADDENDUM._1_1_1_3" hidden="1">{#N/A,#N/A,FALSE,"mgtsum.XLS";#N/A,#N/A,FALSE,"CAPONE";#N/A,#N/A,FALSE,"CAPTWO";#N/A,#N/A,FALSE,"CAPTHREE"}</definedName>
    <definedName name="wrn.P854._.ADDENDUM._1_1_1_4" hidden="1">{#N/A,#N/A,FALSE,"mgtsum.XLS";#N/A,#N/A,FALSE,"CAPONE";#N/A,#N/A,FALSE,"CAPTWO";#N/A,#N/A,FALSE,"CAPTHREE"}</definedName>
    <definedName name="wrn.P854._.ADDENDUM._1_1_1_5" hidden="1">{#N/A,#N/A,FALSE,"mgtsum.XLS";#N/A,#N/A,FALSE,"CAPONE";#N/A,#N/A,FALSE,"CAPTWO";#N/A,#N/A,FALSE,"CAPTHREE"}</definedName>
    <definedName name="wrn.P854._.ADDENDUM._1_1_2" hidden="1">{#N/A,#N/A,FALSE,"mgtsum.XLS";#N/A,#N/A,FALSE,"CAPONE";#N/A,#N/A,FALSE,"CAPTWO";#N/A,#N/A,FALSE,"CAPTHREE"}</definedName>
    <definedName name="wrn.P854._.ADDENDUM._1_1_2_1" hidden="1">{#N/A,#N/A,FALSE,"mgtsum.XLS";#N/A,#N/A,FALSE,"CAPONE";#N/A,#N/A,FALSE,"CAPTWO";#N/A,#N/A,FALSE,"CAPTHREE"}</definedName>
    <definedName name="wrn.P854._.ADDENDUM._1_1_2_2" hidden="1">{#N/A,#N/A,FALSE,"mgtsum.XLS";#N/A,#N/A,FALSE,"CAPONE";#N/A,#N/A,FALSE,"CAPTWO";#N/A,#N/A,FALSE,"CAPTHREE"}</definedName>
    <definedName name="wrn.P854._.ADDENDUM._1_1_2_3" hidden="1">{#N/A,#N/A,FALSE,"mgtsum.XLS";#N/A,#N/A,FALSE,"CAPONE";#N/A,#N/A,FALSE,"CAPTWO";#N/A,#N/A,FALSE,"CAPTHREE"}</definedName>
    <definedName name="wrn.P854._.ADDENDUM._1_1_2_4" hidden="1">{#N/A,#N/A,FALSE,"mgtsum.XLS";#N/A,#N/A,FALSE,"CAPONE";#N/A,#N/A,FALSE,"CAPTWO";#N/A,#N/A,FALSE,"CAPTHREE"}</definedName>
    <definedName name="wrn.P854._.ADDENDUM._1_1_2_5" hidden="1">{#N/A,#N/A,FALSE,"mgtsum.XLS";#N/A,#N/A,FALSE,"CAPONE";#N/A,#N/A,FALSE,"CAPTWO";#N/A,#N/A,FALSE,"CAPTHREE"}</definedName>
    <definedName name="wrn.P854._.ADDENDUM._1_1_3" hidden="1">{#N/A,#N/A,FALSE,"mgtsum.XLS";#N/A,#N/A,FALSE,"CAPONE";#N/A,#N/A,FALSE,"CAPTWO";#N/A,#N/A,FALSE,"CAPTHREE"}</definedName>
    <definedName name="wrn.P854._.ADDENDUM._1_1_3_1" hidden="1">{#N/A,#N/A,FALSE,"mgtsum.XLS";#N/A,#N/A,FALSE,"CAPONE";#N/A,#N/A,FALSE,"CAPTWO";#N/A,#N/A,FALSE,"CAPTHREE"}</definedName>
    <definedName name="wrn.P854._.ADDENDUM._1_1_3_2" hidden="1">{#N/A,#N/A,FALSE,"mgtsum.XLS";#N/A,#N/A,FALSE,"CAPONE";#N/A,#N/A,FALSE,"CAPTWO";#N/A,#N/A,FALSE,"CAPTHREE"}</definedName>
    <definedName name="wrn.P854._.ADDENDUM._1_1_3_3" hidden="1">{#N/A,#N/A,FALSE,"mgtsum.XLS";#N/A,#N/A,FALSE,"CAPONE";#N/A,#N/A,FALSE,"CAPTWO";#N/A,#N/A,FALSE,"CAPTHREE"}</definedName>
    <definedName name="wrn.P854._.ADDENDUM._1_1_3_4" hidden="1">{#N/A,#N/A,FALSE,"mgtsum.XLS";#N/A,#N/A,FALSE,"CAPONE";#N/A,#N/A,FALSE,"CAPTWO";#N/A,#N/A,FALSE,"CAPTHREE"}</definedName>
    <definedName name="wrn.P854._.ADDENDUM._1_1_3_5" hidden="1">{#N/A,#N/A,FALSE,"mgtsum.XLS";#N/A,#N/A,FALSE,"CAPONE";#N/A,#N/A,FALSE,"CAPTWO";#N/A,#N/A,FALSE,"CAPTHREE"}</definedName>
    <definedName name="wrn.P854._.ADDENDUM._1_1_4" hidden="1">{#N/A,#N/A,FALSE,"mgtsum.XLS";#N/A,#N/A,FALSE,"CAPONE";#N/A,#N/A,FALSE,"CAPTWO";#N/A,#N/A,FALSE,"CAPTHREE"}</definedName>
    <definedName name="wrn.P854._.ADDENDUM._1_1_5" hidden="1">{#N/A,#N/A,FALSE,"mgtsum.XLS";#N/A,#N/A,FALSE,"CAPONE";#N/A,#N/A,FALSE,"CAPTWO";#N/A,#N/A,FALSE,"CAPTHREE"}</definedName>
    <definedName name="wrn.P854._.ADDENDUM._1_2" hidden="1">{#N/A,#N/A,FALSE,"mgtsum.XLS";#N/A,#N/A,FALSE,"CAPONE";#N/A,#N/A,FALSE,"CAPTWO";#N/A,#N/A,FALSE,"CAPTHREE"}</definedName>
    <definedName name="wrn.P854._.ADDENDUM._1_2_1" hidden="1">{#N/A,#N/A,FALSE,"mgtsum.XLS";#N/A,#N/A,FALSE,"CAPONE";#N/A,#N/A,FALSE,"CAPTWO";#N/A,#N/A,FALSE,"CAPTHREE"}</definedName>
    <definedName name="wrn.P854._.ADDENDUM._1_2_1_1" hidden="1">{#N/A,#N/A,FALSE,"mgtsum.XLS";#N/A,#N/A,FALSE,"CAPONE";#N/A,#N/A,FALSE,"CAPTWO";#N/A,#N/A,FALSE,"CAPTHREE"}</definedName>
    <definedName name="wrn.P854._.ADDENDUM._1_2_1_2" hidden="1">{#N/A,#N/A,FALSE,"mgtsum.XLS";#N/A,#N/A,FALSE,"CAPONE";#N/A,#N/A,FALSE,"CAPTWO";#N/A,#N/A,FALSE,"CAPTHREE"}</definedName>
    <definedName name="wrn.P854._.ADDENDUM._1_2_1_3" hidden="1">{#N/A,#N/A,FALSE,"mgtsum.XLS";#N/A,#N/A,FALSE,"CAPONE";#N/A,#N/A,FALSE,"CAPTWO";#N/A,#N/A,FALSE,"CAPTHREE"}</definedName>
    <definedName name="wrn.P854._.ADDENDUM._1_2_1_4" hidden="1">{#N/A,#N/A,FALSE,"mgtsum.XLS";#N/A,#N/A,FALSE,"CAPONE";#N/A,#N/A,FALSE,"CAPTWO";#N/A,#N/A,FALSE,"CAPTHREE"}</definedName>
    <definedName name="wrn.P854._.ADDENDUM._1_2_1_5" hidden="1">{#N/A,#N/A,FALSE,"mgtsum.XLS";#N/A,#N/A,FALSE,"CAPONE";#N/A,#N/A,FALSE,"CAPTWO";#N/A,#N/A,FALSE,"CAPTHREE"}</definedName>
    <definedName name="wrn.P854._.ADDENDUM._1_2_2" hidden="1">{#N/A,#N/A,FALSE,"mgtsum.XLS";#N/A,#N/A,FALSE,"CAPONE";#N/A,#N/A,FALSE,"CAPTWO";#N/A,#N/A,FALSE,"CAPTHREE"}</definedName>
    <definedName name="wrn.P854._.ADDENDUM._1_2_2_1" hidden="1">{#N/A,#N/A,FALSE,"mgtsum.XLS";#N/A,#N/A,FALSE,"CAPONE";#N/A,#N/A,FALSE,"CAPTWO";#N/A,#N/A,FALSE,"CAPTHREE"}</definedName>
    <definedName name="wrn.P854._.ADDENDUM._1_2_2_2" hidden="1">{#N/A,#N/A,FALSE,"mgtsum.XLS";#N/A,#N/A,FALSE,"CAPONE";#N/A,#N/A,FALSE,"CAPTWO";#N/A,#N/A,FALSE,"CAPTHREE"}</definedName>
    <definedName name="wrn.P854._.ADDENDUM._1_2_2_3" hidden="1">{#N/A,#N/A,FALSE,"mgtsum.XLS";#N/A,#N/A,FALSE,"CAPONE";#N/A,#N/A,FALSE,"CAPTWO";#N/A,#N/A,FALSE,"CAPTHREE"}</definedName>
    <definedName name="wrn.P854._.ADDENDUM._1_2_2_4" hidden="1">{#N/A,#N/A,FALSE,"mgtsum.XLS";#N/A,#N/A,FALSE,"CAPONE";#N/A,#N/A,FALSE,"CAPTWO";#N/A,#N/A,FALSE,"CAPTHREE"}</definedName>
    <definedName name="wrn.P854._.ADDENDUM._1_2_2_5" hidden="1">{#N/A,#N/A,FALSE,"mgtsum.XLS";#N/A,#N/A,FALSE,"CAPONE";#N/A,#N/A,FALSE,"CAPTWO";#N/A,#N/A,FALSE,"CAPTHREE"}</definedName>
    <definedName name="wrn.P854._.ADDENDUM._1_2_3" hidden="1">{#N/A,#N/A,FALSE,"mgtsum.XLS";#N/A,#N/A,FALSE,"CAPONE";#N/A,#N/A,FALSE,"CAPTWO";#N/A,#N/A,FALSE,"CAPTHREE"}</definedName>
    <definedName name="wrn.P854._.ADDENDUM._1_2_4" hidden="1">{#N/A,#N/A,FALSE,"mgtsum.XLS";#N/A,#N/A,FALSE,"CAPONE";#N/A,#N/A,FALSE,"CAPTWO";#N/A,#N/A,FALSE,"CAPTHREE"}</definedName>
    <definedName name="wrn.P854._.ADDENDUM._1_2_5" hidden="1">{#N/A,#N/A,FALSE,"mgtsum.XLS";#N/A,#N/A,FALSE,"CAPONE";#N/A,#N/A,FALSE,"CAPTWO";#N/A,#N/A,FALSE,"CAPTHREE"}</definedName>
    <definedName name="wrn.P854._.ADDENDUM._1_3" hidden="1">{#N/A,#N/A,FALSE,"mgtsum.XLS";#N/A,#N/A,FALSE,"CAPONE";#N/A,#N/A,FALSE,"CAPTWO";#N/A,#N/A,FALSE,"CAPTHREE"}</definedName>
    <definedName name="wrn.P854._.ADDENDUM._1_3_1" hidden="1">{#N/A,#N/A,FALSE,"mgtsum.XLS";#N/A,#N/A,FALSE,"CAPONE";#N/A,#N/A,FALSE,"CAPTWO";#N/A,#N/A,FALSE,"CAPTHREE"}</definedName>
    <definedName name="wrn.P854._.ADDENDUM._1_3_1_1" hidden="1">{#N/A,#N/A,FALSE,"mgtsum.XLS";#N/A,#N/A,FALSE,"CAPONE";#N/A,#N/A,FALSE,"CAPTWO";#N/A,#N/A,FALSE,"CAPTHREE"}</definedName>
    <definedName name="wrn.P854._.ADDENDUM._1_3_1_2" hidden="1">{#N/A,#N/A,FALSE,"mgtsum.XLS";#N/A,#N/A,FALSE,"CAPONE";#N/A,#N/A,FALSE,"CAPTWO";#N/A,#N/A,FALSE,"CAPTHREE"}</definedName>
    <definedName name="wrn.P854._.ADDENDUM._1_3_1_3" hidden="1">{#N/A,#N/A,FALSE,"mgtsum.XLS";#N/A,#N/A,FALSE,"CAPONE";#N/A,#N/A,FALSE,"CAPTWO";#N/A,#N/A,FALSE,"CAPTHREE"}</definedName>
    <definedName name="wrn.P854._.ADDENDUM._1_3_1_4" hidden="1">{#N/A,#N/A,FALSE,"mgtsum.XLS";#N/A,#N/A,FALSE,"CAPONE";#N/A,#N/A,FALSE,"CAPTWO";#N/A,#N/A,FALSE,"CAPTHREE"}</definedName>
    <definedName name="wrn.P854._.ADDENDUM._1_3_1_5" hidden="1">{#N/A,#N/A,FALSE,"mgtsum.XLS";#N/A,#N/A,FALSE,"CAPONE";#N/A,#N/A,FALSE,"CAPTWO";#N/A,#N/A,FALSE,"CAPTHREE"}</definedName>
    <definedName name="wrn.P854._.ADDENDUM._1_3_2" hidden="1">{#N/A,#N/A,FALSE,"mgtsum.XLS";#N/A,#N/A,FALSE,"CAPONE";#N/A,#N/A,FALSE,"CAPTWO";#N/A,#N/A,FALSE,"CAPTHREE"}</definedName>
    <definedName name="wrn.P854._.ADDENDUM._1_3_2_1" hidden="1">{#N/A,#N/A,FALSE,"mgtsum.XLS";#N/A,#N/A,FALSE,"CAPONE";#N/A,#N/A,FALSE,"CAPTWO";#N/A,#N/A,FALSE,"CAPTHREE"}</definedName>
    <definedName name="wrn.P854._.ADDENDUM._1_3_2_2" hidden="1">{#N/A,#N/A,FALSE,"mgtsum.XLS";#N/A,#N/A,FALSE,"CAPONE";#N/A,#N/A,FALSE,"CAPTWO";#N/A,#N/A,FALSE,"CAPTHREE"}</definedName>
    <definedName name="wrn.P854._.ADDENDUM._1_3_2_3" hidden="1">{#N/A,#N/A,FALSE,"mgtsum.XLS";#N/A,#N/A,FALSE,"CAPONE";#N/A,#N/A,FALSE,"CAPTWO";#N/A,#N/A,FALSE,"CAPTHREE"}</definedName>
    <definedName name="wrn.P854._.ADDENDUM._1_3_2_4" hidden="1">{#N/A,#N/A,FALSE,"mgtsum.XLS";#N/A,#N/A,FALSE,"CAPONE";#N/A,#N/A,FALSE,"CAPTWO";#N/A,#N/A,FALSE,"CAPTHREE"}</definedName>
    <definedName name="wrn.P854._.ADDENDUM._1_3_2_5" hidden="1">{#N/A,#N/A,FALSE,"mgtsum.XLS";#N/A,#N/A,FALSE,"CAPONE";#N/A,#N/A,FALSE,"CAPTWO";#N/A,#N/A,FALSE,"CAPTHREE"}</definedName>
    <definedName name="wrn.P854._.ADDENDUM._1_3_3" hidden="1">{#N/A,#N/A,FALSE,"mgtsum.XLS";#N/A,#N/A,FALSE,"CAPONE";#N/A,#N/A,FALSE,"CAPTWO";#N/A,#N/A,FALSE,"CAPTHREE"}</definedName>
    <definedName name="wrn.P854._.ADDENDUM._1_3_4" hidden="1">{#N/A,#N/A,FALSE,"mgtsum.XLS";#N/A,#N/A,FALSE,"CAPONE";#N/A,#N/A,FALSE,"CAPTWO";#N/A,#N/A,FALSE,"CAPTHREE"}</definedName>
    <definedName name="wrn.P854._.ADDENDUM._1_3_5" hidden="1">{#N/A,#N/A,FALSE,"mgtsum.XLS";#N/A,#N/A,FALSE,"CAPONE";#N/A,#N/A,FALSE,"CAPTWO";#N/A,#N/A,FALSE,"CAPTHREE"}</definedName>
    <definedName name="wrn.P854._.ADDENDUM._1_4" hidden="1">{#N/A,#N/A,FALSE,"mgtsum.XLS";#N/A,#N/A,FALSE,"CAPONE";#N/A,#N/A,FALSE,"CAPTWO";#N/A,#N/A,FALSE,"CAPTHREE"}</definedName>
    <definedName name="wrn.P854._.ADDENDUM._1_4_1" hidden="1">{#N/A,#N/A,FALSE,"mgtsum.XLS";#N/A,#N/A,FALSE,"CAPONE";#N/A,#N/A,FALSE,"CAPTWO";#N/A,#N/A,FALSE,"CAPTHREE"}</definedName>
    <definedName name="wrn.P854._.ADDENDUM._1_4_1_1" hidden="1">{#N/A,#N/A,FALSE,"mgtsum.XLS";#N/A,#N/A,FALSE,"CAPONE";#N/A,#N/A,FALSE,"CAPTWO";#N/A,#N/A,FALSE,"CAPTHREE"}</definedName>
    <definedName name="wrn.P854._.ADDENDUM._1_4_1_2" hidden="1">{#N/A,#N/A,FALSE,"mgtsum.XLS";#N/A,#N/A,FALSE,"CAPONE";#N/A,#N/A,FALSE,"CAPTWO";#N/A,#N/A,FALSE,"CAPTHREE"}</definedName>
    <definedName name="wrn.P854._.ADDENDUM._1_4_1_3" hidden="1">{#N/A,#N/A,FALSE,"mgtsum.XLS";#N/A,#N/A,FALSE,"CAPONE";#N/A,#N/A,FALSE,"CAPTWO";#N/A,#N/A,FALSE,"CAPTHREE"}</definedName>
    <definedName name="wrn.P854._.ADDENDUM._1_4_1_4" hidden="1">{#N/A,#N/A,FALSE,"mgtsum.XLS";#N/A,#N/A,FALSE,"CAPONE";#N/A,#N/A,FALSE,"CAPTWO";#N/A,#N/A,FALSE,"CAPTHREE"}</definedName>
    <definedName name="wrn.P854._.ADDENDUM._1_4_1_5" hidden="1">{#N/A,#N/A,FALSE,"mgtsum.XLS";#N/A,#N/A,FALSE,"CAPONE";#N/A,#N/A,FALSE,"CAPTWO";#N/A,#N/A,FALSE,"CAPTHREE"}</definedName>
    <definedName name="wrn.P854._.ADDENDUM._1_4_2" hidden="1">{#N/A,#N/A,FALSE,"mgtsum.XLS";#N/A,#N/A,FALSE,"CAPONE";#N/A,#N/A,FALSE,"CAPTWO";#N/A,#N/A,FALSE,"CAPTHREE"}</definedName>
    <definedName name="wrn.P854._.ADDENDUM._1_4_2_1" hidden="1">{#N/A,#N/A,FALSE,"mgtsum.XLS";#N/A,#N/A,FALSE,"CAPONE";#N/A,#N/A,FALSE,"CAPTWO";#N/A,#N/A,FALSE,"CAPTHREE"}</definedName>
    <definedName name="wrn.P854._.ADDENDUM._1_4_2_2" hidden="1">{#N/A,#N/A,FALSE,"mgtsum.XLS";#N/A,#N/A,FALSE,"CAPONE";#N/A,#N/A,FALSE,"CAPTWO";#N/A,#N/A,FALSE,"CAPTHREE"}</definedName>
    <definedName name="wrn.P854._.ADDENDUM._1_4_2_3" hidden="1">{#N/A,#N/A,FALSE,"mgtsum.XLS";#N/A,#N/A,FALSE,"CAPONE";#N/A,#N/A,FALSE,"CAPTWO";#N/A,#N/A,FALSE,"CAPTHREE"}</definedName>
    <definedName name="wrn.P854._.ADDENDUM._1_4_2_4" hidden="1">{#N/A,#N/A,FALSE,"mgtsum.XLS";#N/A,#N/A,FALSE,"CAPONE";#N/A,#N/A,FALSE,"CAPTWO";#N/A,#N/A,FALSE,"CAPTHREE"}</definedName>
    <definedName name="wrn.P854._.ADDENDUM._1_4_2_5" hidden="1">{#N/A,#N/A,FALSE,"mgtsum.XLS";#N/A,#N/A,FALSE,"CAPONE";#N/A,#N/A,FALSE,"CAPTWO";#N/A,#N/A,FALSE,"CAPTHREE"}</definedName>
    <definedName name="wrn.P854._.ADDENDUM._1_4_3" hidden="1">{#N/A,#N/A,FALSE,"mgtsum.XLS";#N/A,#N/A,FALSE,"CAPONE";#N/A,#N/A,FALSE,"CAPTWO";#N/A,#N/A,FALSE,"CAPTHREE"}</definedName>
    <definedName name="wrn.P854._.ADDENDUM._1_4_4" hidden="1">{#N/A,#N/A,FALSE,"mgtsum.XLS";#N/A,#N/A,FALSE,"CAPONE";#N/A,#N/A,FALSE,"CAPTWO";#N/A,#N/A,FALSE,"CAPTHREE"}</definedName>
    <definedName name="wrn.P854._.ADDENDUM._1_4_5" hidden="1">{#N/A,#N/A,FALSE,"mgtsum.XLS";#N/A,#N/A,FALSE,"CAPONE";#N/A,#N/A,FALSE,"CAPTWO";#N/A,#N/A,FALSE,"CAPTHREE"}</definedName>
    <definedName name="wrn.P854._.ADDENDUM._1_5" hidden="1">{#N/A,#N/A,FALSE,"mgtsum.XLS";#N/A,#N/A,FALSE,"CAPONE";#N/A,#N/A,FALSE,"CAPTWO";#N/A,#N/A,FALSE,"CAPTHREE"}</definedName>
    <definedName name="wrn.P854._.ADDENDUM._1_5_1" hidden="1">{#N/A,#N/A,FALSE,"mgtsum.XLS";#N/A,#N/A,FALSE,"CAPONE";#N/A,#N/A,FALSE,"CAPTWO";#N/A,#N/A,FALSE,"CAPTHREE"}</definedName>
    <definedName name="wrn.P854._.ADDENDUM._1_5_1_1" hidden="1">{#N/A,#N/A,FALSE,"mgtsum.XLS";#N/A,#N/A,FALSE,"CAPONE";#N/A,#N/A,FALSE,"CAPTWO";#N/A,#N/A,FALSE,"CAPTHREE"}</definedName>
    <definedName name="wrn.P854._.ADDENDUM._1_5_1_2" hidden="1">{#N/A,#N/A,FALSE,"mgtsum.XLS";#N/A,#N/A,FALSE,"CAPONE";#N/A,#N/A,FALSE,"CAPTWO";#N/A,#N/A,FALSE,"CAPTHREE"}</definedName>
    <definedName name="wrn.P854._.ADDENDUM._1_5_1_3" hidden="1">{#N/A,#N/A,FALSE,"mgtsum.XLS";#N/A,#N/A,FALSE,"CAPONE";#N/A,#N/A,FALSE,"CAPTWO";#N/A,#N/A,FALSE,"CAPTHREE"}</definedName>
    <definedName name="wrn.P854._.ADDENDUM._1_5_1_4" hidden="1">{#N/A,#N/A,FALSE,"mgtsum.XLS";#N/A,#N/A,FALSE,"CAPONE";#N/A,#N/A,FALSE,"CAPTWO";#N/A,#N/A,FALSE,"CAPTHREE"}</definedName>
    <definedName name="wrn.P854._.ADDENDUM._1_5_1_5" hidden="1">{#N/A,#N/A,FALSE,"mgtsum.XLS";#N/A,#N/A,FALSE,"CAPONE";#N/A,#N/A,FALSE,"CAPTWO";#N/A,#N/A,FALSE,"CAPTHREE"}</definedName>
    <definedName name="wrn.P854._.ADDENDUM._1_5_2" hidden="1">{#N/A,#N/A,FALSE,"mgtsum.XLS";#N/A,#N/A,FALSE,"CAPONE";#N/A,#N/A,FALSE,"CAPTWO";#N/A,#N/A,FALSE,"CAPTHREE"}</definedName>
    <definedName name="wrn.P854._.ADDENDUM._1_5_2_1" hidden="1">{#N/A,#N/A,FALSE,"mgtsum.XLS";#N/A,#N/A,FALSE,"CAPONE";#N/A,#N/A,FALSE,"CAPTWO";#N/A,#N/A,FALSE,"CAPTHREE"}</definedName>
    <definedName name="wrn.P854._.ADDENDUM._1_5_2_2" hidden="1">{#N/A,#N/A,FALSE,"mgtsum.XLS";#N/A,#N/A,FALSE,"CAPONE";#N/A,#N/A,FALSE,"CAPTWO";#N/A,#N/A,FALSE,"CAPTHREE"}</definedName>
    <definedName name="wrn.P854._.ADDENDUM._1_5_2_3" hidden="1">{#N/A,#N/A,FALSE,"mgtsum.XLS";#N/A,#N/A,FALSE,"CAPONE";#N/A,#N/A,FALSE,"CAPTWO";#N/A,#N/A,FALSE,"CAPTHREE"}</definedName>
    <definedName name="wrn.P854._.ADDENDUM._1_5_2_4" hidden="1">{#N/A,#N/A,FALSE,"mgtsum.XLS";#N/A,#N/A,FALSE,"CAPONE";#N/A,#N/A,FALSE,"CAPTWO";#N/A,#N/A,FALSE,"CAPTHREE"}</definedName>
    <definedName name="wrn.P854._.ADDENDUM._1_5_2_5" hidden="1">{#N/A,#N/A,FALSE,"mgtsum.XLS";#N/A,#N/A,FALSE,"CAPONE";#N/A,#N/A,FALSE,"CAPTWO";#N/A,#N/A,FALSE,"CAPTHREE"}</definedName>
    <definedName name="wrn.P854._.ADDENDUM._1_5_3" hidden="1">{#N/A,#N/A,FALSE,"mgtsum.XLS";#N/A,#N/A,FALSE,"CAPONE";#N/A,#N/A,FALSE,"CAPTWO";#N/A,#N/A,FALSE,"CAPTHREE"}</definedName>
    <definedName name="wrn.P854._.ADDENDUM._1_5_4" hidden="1">{#N/A,#N/A,FALSE,"mgtsum.XLS";#N/A,#N/A,FALSE,"CAPONE";#N/A,#N/A,FALSE,"CAPTWO";#N/A,#N/A,FALSE,"CAPTHREE"}</definedName>
    <definedName name="wrn.P854._.ADDENDUM._1_5_5" hidden="1">{#N/A,#N/A,FALSE,"mgtsum.XLS";#N/A,#N/A,FALSE,"CAPONE";#N/A,#N/A,FALSE,"CAPTWO";#N/A,#N/A,FALSE,"CAPTHREE"}</definedName>
    <definedName name="wrn.P854._.ADDENDUM._2" hidden="1">{#N/A,#N/A,FALSE,"mgtsum.XLS";#N/A,#N/A,FALSE,"CAPONE";#N/A,#N/A,FALSE,"CAPTWO";#N/A,#N/A,FALSE,"CAPTHREE"}</definedName>
    <definedName name="wrn.P854._.ADDENDUM._2_1" hidden="1">{#N/A,#N/A,FALSE,"mgtsum.XLS";#N/A,#N/A,FALSE,"CAPONE";#N/A,#N/A,FALSE,"CAPTWO";#N/A,#N/A,FALSE,"CAPTHREE"}</definedName>
    <definedName name="wrn.P854._.ADDENDUM._2_1_1" hidden="1">{#N/A,#N/A,FALSE,"mgtsum.XLS";#N/A,#N/A,FALSE,"CAPONE";#N/A,#N/A,FALSE,"CAPTWO";#N/A,#N/A,FALSE,"CAPTHREE"}</definedName>
    <definedName name="wrn.P854._.ADDENDUM._2_1_1_1" hidden="1">{#N/A,#N/A,FALSE,"mgtsum.XLS";#N/A,#N/A,FALSE,"CAPONE";#N/A,#N/A,FALSE,"CAPTWO";#N/A,#N/A,FALSE,"CAPTHREE"}</definedName>
    <definedName name="wrn.P854._.ADDENDUM._2_1_1_2" hidden="1">{#N/A,#N/A,FALSE,"mgtsum.XLS";#N/A,#N/A,FALSE,"CAPONE";#N/A,#N/A,FALSE,"CAPTWO";#N/A,#N/A,FALSE,"CAPTHREE"}</definedName>
    <definedName name="wrn.P854._.ADDENDUM._2_1_1_3" hidden="1">{#N/A,#N/A,FALSE,"mgtsum.XLS";#N/A,#N/A,FALSE,"CAPONE";#N/A,#N/A,FALSE,"CAPTWO";#N/A,#N/A,FALSE,"CAPTHREE"}</definedName>
    <definedName name="wrn.P854._.ADDENDUM._2_1_1_4" hidden="1">{#N/A,#N/A,FALSE,"mgtsum.XLS";#N/A,#N/A,FALSE,"CAPONE";#N/A,#N/A,FALSE,"CAPTWO";#N/A,#N/A,FALSE,"CAPTHREE"}</definedName>
    <definedName name="wrn.P854._.ADDENDUM._2_1_1_5" hidden="1">{#N/A,#N/A,FALSE,"mgtsum.XLS";#N/A,#N/A,FALSE,"CAPONE";#N/A,#N/A,FALSE,"CAPTWO";#N/A,#N/A,FALSE,"CAPTHREE"}</definedName>
    <definedName name="wrn.P854._.ADDENDUM._2_1_2" hidden="1">{#N/A,#N/A,FALSE,"mgtsum.XLS";#N/A,#N/A,FALSE,"CAPONE";#N/A,#N/A,FALSE,"CAPTWO";#N/A,#N/A,FALSE,"CAPTHREE"}</definedName>
    <definedName name="wrn.P854._.ADDENDUM._2_1_2_1" hidden="1">{#N/A,#N/A,FALSE,"mgtsum.XLS";#N/A,#N/A,FALSE,"CAPONE";#N/A,#N/A,FALSE,"CAPTWO";#N/A,#N/A,FALSE,"CAPTHREE"}</definedName>
    <definedName name="wrn.P854._.ADDENDUM._2_1_2_2" hidden="1">{#N/A,#N/A,FALSE,"mgtsum.XLS";#N/A,#N/A,FALSE,"CAPONE";#N/A,#N/A,FALSE,"CAPTWO";#N/A,#N/A,FALSE,"CAPTHREE"}</definedName>
    <definedName name="wrn.P854._.ADDENDUM._2_1_2_3" hidden="1">{#N/A,#N/A,FALSE,"mgtsum.XLS";#N/A,#N/A,FALSE,"CAPONE";#N/A,#N/A,FALSE,"CAPTWO";#N/A,#N/A,FALSE,"CAPTHREE"}</definedName>
    <definedName name="wrn.P854._.ADDENDUM._2_1_2_4" hidden="1">{#N/A,#N/A,FALSE,"mgtsum.XLS";#N/A,#N/A,FALSE,"CAPONE";#N/A,#N/A,FALSE,"CAPTWO";#N/A,#N/A,FALSE,"CAPTHREE"}</definedName>
    <definedName name="wrn.P854._.ADDENDUM._2_1_2_5" hidden="1">{#N/A,#N/A,FALSE,"mgtsum.XLS";#N/A,#N/A,FALSE,"CAPONE";#N/A,#N/A,FALSE,"CAPTWO";#N/A,#N/A,FALSE,"CAPTHREE"}</definedName>
    <definedName name="wrn.P854._.ADDENDUM._2_1_3" hidden="1">{#N/A,#N/A,FALSE,"mgtsum.XLS";#N/A,#N/A,FALSE,"CAPONE";#N/A,#N/A,FALSE,"CAPTWO";#N/A,#N/A,FALSE,"CAPTHREE"}</definedName>
    <definedName name="wrn.P854._.ADDENDUM._2_1_3_1" hidden="1">{#N/A,#N/A,FALSE,"mgtsum.XLS";#N/A,#N/A,FALSE,"CAPONE";#N/A,#N/A,FALSE,"CAPTWO";#N/A,#N/A,FALSE,"CAPTHREE"}</definedName>
    <definedName name="wrn.P854._.ADDENDUM._2_1_3_2" hidden="1">{#N/A,#N/A,FALSE,"mgtsum.XLS";#N/A,#N/A,FALSE,"CAPONE";#N/A,#N/A,FALSE,"CAPTWO";#N/A,#N/A,FALSE,"CAPTHREE"}</definedName>
    <definedName name="wrn.P854._.ADDENDUM._2_1_3_3" hidden="1">{#N/A,#N/A,FALSE,"mgtsum.XLS";#N/A,#N/A,FALSE,"CAPONE";#N/A,#N/A,FALSE,"CAPTWO";#N/A,#N/A,FALSE,"CAPTHREE"}</definedName>
    <definedName name="wrn.P854._.ADDENDUM._2_1_3_4" hidden="1">{#N/A,#N/A,FALSE,"mgtsum.XLS";#N/A,#N/A,FALSE,"CAPONE";#N/A,#N/A,FALSE,"CAPTWO";#N/A,#N/A,FALSE,"CAPTHREE"}</definedName>
    <definedName name="wrn.P854._.ADDENDUM._2_1_3_5" hidden="1">{#N/A,#N/A,FALSE,"mgtsum.XLS";#N/A,#N/A,FALSE,"CAPONE";#N/A,#N/A,FALSE,"CAPTWO";#N/A,#N/A,FALSE,"CAPTHREE"}</definedName>
    <definedName name="wrn.P854._.ADDENDUM._2_1_4" hidden="1">{#N/A,#N/A,FALSE,"mgtsum.XLS";#N/A,#N/A,FALSE,"CAPONE";#N/A,#N/A,FALSE,"CAPTWO";#N/A,#N/A,FALSE,"CAPTHREE"}</definedName>
    <definedName name="wrn.P854._.ADDENDUM._2_1_5" hidden="1">{#N/A,#N/A,FALSE,"mgtsum.XLS";#N/A,#N/A,FALSE,"CAPONE";#N/A,#N/A,FALSE,"CAPTWO";#N/A,#N/A,FALSE,"CAPTHREE"}</definedName>
    <definedName name="wrn.P854._.ADDENDUM._2_2" hidden="1">{#N/A,#N/A,FALSE,"mgtsum.XLS";#N/A,#N/A,FALSE,"CAPONE";#N/A,#N/A,FALSE,"CAPTWO";#N/A,#N/A,FALSE,"CAPTHREE"}</definedName>
    <definedName name="wrn.P854._.ADDENDUM._2_2_1" hidden="1">{#N/A,#N/A,FALSE,"mgtsum.XLS";#N/A,#N/A,FALSE,"CAPONE";#N/A,#N/A,FALSE,"CAPTWO";#N/A,#N/A,FALSE,"CAPTHREE"}</definedName>
    <definedName name="wrn.P854._.ADDENDUM._2_2_1_1" hidden="1">{#N/A,#N/A,FALSE,"mgtsum.XLS";#N/A,#N/A,FALSE,"CAPONE";#N/A,#N/A,FALSE,"CAPTWO";#N/A,#N/A,FALSE,"CAPTHREE"}</definedName>
    <definedName name="wrn.P854._.ADDENDUM._2_2_1_2" hidden="1">{#N/A,#N/A,FALSE,"mgtsum.XLS";#N/A,#N/A,FALSE,"CAPONE";#N/A,#N/A,FALSE,"CAPTWO";#N/A,#N/A,FALSE,"CAPTHREE"}</definedName>
    <definedName name="wrn.P854._.ADDENDUM._2_2_1_3" hidden="1">{#N/A,#N/A,FALSE,"mgtsum.XLS";#N/A,#N/A,FALSE,"CAPONE";#N/A,#N/A,FALSE,"CAPTWO";#N/A,#N/A,FALSE,"CAPTHREE"}</definedName>
    <definedName name="wrn.P854._.ADDENDUM._2_2_1_4" hidden="1">{#N/A,#N/A,FALSE,"mgtsum.XLS";#N/A,#N/A,FALSE,"CAPONE";#N/A,#N/A,FALSE,"CAPTWO";#N/A,#N/A,FALSE,"CAPTHREE"}</definedName>
    <definedName name="wrn.P854._.ADDENDUM._2_2_1_5" hidden="1">{#N/A,#N/A,FALSE,"mgtsum.XLS";#N/A,#N/A,FALSE,"CAPONE";#N/A,#N/A,FALSE,"CAPTWO";#N/A,#N/A,FALSE,"CAPTHREE"}</definedName>
    <definedName name="wrn.P854._.ADDENDUM._2_2_2" hidden="1">{#N/A,#N/A,FALSE,"mgtsum.XLS";#N/A,#N/A,FALSE,"CAPONE";#N/A,#N/A,FALSE,"CAPTWO";#N/A,#N/A,FALSE,"CAPTHREE"}</definedName>
    <definedName name="wrn.P854._.ADDENDUM._2_2_2_1" hidden="1">{#N/A,#N/A,FALSE,"mgtsum.XLS";#N/A,#N/A,FALSE,"CAPONE";#N/A,#N/A,FALSE,"CAPTWO";#N/A,#N/A,FALSE,"CAPTHREE"}</definedName>
    <definedName name="wrn.P854._.ADDENDUM._2_2_2_2" hidden="1">{#N/A,#N/A,FALSE,"mgtsum.XLS";#N/A,#N/A,FALSE,"CAPONE";#N/A,#N/A,FALSE,"CAPTWO";#N/A,#N/A,FALSE,"CAPTHREE"}</definedName>
    <definedName name="wrn.P854._.ADDENDUM._2_2_2_3" hidden="1">{#N/A,#N/A,FALSE,"mgtsum.XLS";#N/A,#N/A,FALSE,"CAPONE";#N/A,#N/A,FALSE,"CAPTWO";#N/A,#N/A,FALSE,"CAPTHREE"}</definedName>
    <definedName name="wrn.P854._.ADDENDUM._2_2_2_4" hidden="1">{#N/A,#N/A,FALSE,"mgtsum.XLS";#N/A,#N/A,FALSE,"CAPONE";#N/A,#N/A,FALSE,"CAPTWO";#N/A,#N/A,FALSE,"CAPTHREE"}</definedName>
    <definedName name="wrn.P854._.ADDENDUM._2_2_2_5" hidden="1">{#N/A,#N/A,FALSE,"mgtsum.XLS";#N/A,#N/A,FALSE,"CAPONE";#N/A,#N/A,FALSE,"CAPTWO";#N/A,#N/A,FALSE,"CAPTHREE"}</definedName>
    <definedName name="wrn.P854._.ADDENDUM._2_2_3" hidden="1">{#N/A,#N/A,FALSE,"mgtsum.XLS";#N/A,#N/A,FALSE,"CAPONE";#N/A,#N/A,FALSE,"CAPTWO";#N/A,#N/A,FALSE,"CAPTHREE"}</definedName>
    <definedName name="wrn.P854._.ADDENDUM._2_2_4" hidden="1">{#N/A,#N/A,FALSE,"mgtsum.XLS";#N/A,#N/A,FALSE,"CAPONE";#N/A,#N/A,FALSE,"CAPTWO";#N/A,#N/A,FALSE,"CAPTHREE"}</definedName>
    <definedName name="wrn.P854._.ADDENDUM._2_2_5" hidden="1">{#N/A,#N/A,FALSE,"mgtsum.XLS";#N/A,#N/A,FALSE,"CAPONE";#N/A,#N/A,FALSE,"CAPTWO";#N/A,#N/A,FALSE,"CAPTHREE"}</definedName>
    <definedName name="wrn.P854._.ADDENDUM._2_3" hidden="1">{#N/A,#N/A,FALSE,"mgtsum.XLS";#N/A,#N/A,FALSE,"CAPONE";#N/A,#N/A,FALSE,"CAPTWO";#N/A,#N/A,FALSE,"CAPTHREE"}</definedName>
    <definedName name="wrn.P854._.ADDENDUM._2_3_1" hidden="1">{#N/A,#N/A,FALSE,"mgtsum.XLS";#N/A,#N/A,FALSE,"CAPONE";#N/A,#N/A,FALSE,"CAPTWO";#N/A,#N/A,FALSE,"CAPTHREE"}</definedName>
    <definedName name="wrn.P854._.ADDENDUM._2_3_1_1" hidden="1">{#N/A,#N/A,FALSE,"mgtsum.XLS";#N/A,#N/A,FALSE,"CAPONE";#N/A,#N/A,FALSE,"CAPTWO";#N/A,#N/A,FALSE,"CAPTHREE"}</definedName>
    <definedName name="wrn.P854._.ADDENDUM._2_3_1_2" hidden="1">{#N/A,#N/A,FALSE,"mgtsum.XLS";#N/A,#N/A,FALSE,"CAPONE";#N/A,#N/A,FALSE,"CAPTWO";#N/A,#N/A,FALSE,"CAPTHREE"}</definedName>
    <definedName name="wrn.P854._.ADDENDUM._2_3_1_3" hidden="1">{#N/A,#N/A,FALSE,"mgtsum.XLS";#N/A,#N/A,FALSE,"CAPONE";#N/A,#N/A,FALSE,"CAPTWO";#N/A,#N/A,FALSE,"CAPTHREE"}</definedName>
    <definedName name="wrn.P854._.ADDENDUM._2_3_1_4" hidden="1">{#N/A,#N/A,FALSE,"mgtsum.XLS";#N/A,#N/A,FALSE,"CAPONE";#N/A,#N/A,FALSE,"CAPTWO";#N/A,#N/A,FALSE,"CAPTHREE"}</definedName>
    <definedName name="wrn.P854._.ADDENDUM._2_3_1_5" hidden="1">{#N/A,#N/A,FALSE,"mgtsum.XLS";#N/A,#N/A,FALSE,"CAPONE";#N/A,#N/A,FALSE,"CAPTWO";#N/A,#N/A,FALSE,"CAPTHREE"}</definedName>
    <definedName name="wrn.P854._.ADDENDUM._2_3_2" hidden="1">{#N/A,#N/A,FALSE,"mgtsum.XLS";#N/A,#N/A,FALSE,"CAPONE";#N/A,#N/A,FALSE,"CAPTWO";#N/A,#N/A,FALSE,"CAPTHREE"}</definedName>
    <definedName name="wrn.P854._.ADDENDUM._2_3_2_1" hidden="1">{#N/A,#N/A,FALSE,"mgtsum.XLS";#N/A,#N/A,FALSE,"CAPONE";#N/A,#N/A,FALSE,"CAPTWO";#N/A,#N/A,FALSE,"CAPTHREE"}</definedName>
    <definedName name="wrn.P854._.ADDENDUM._2_3_2_2" hidden="1">{#N/A,#N/A,FALSE,"mgtsum.XLS";#N/A,#N/A,FALSE,"CAPONE";#N/A,#N/A,FALSE,"CAPTWO";#N/A,#N/A,FALSE,"CAPTHREE"}</definedName>
    <definedName name="wrn.P854._.ADDENDUM._2_3_2_3" hidden="1">{#N/A,#N/A,FALSE,"mgtsum.XLS";#N/A,#N/A,FALSE,"CAPONE";#N/A,#N/A,FALSE,"CAPTWO";#N/A,#N/A,FALSE,"CAPTHREE"}</definedName>
    <definedName name="wrn.P854._.ADDENDUM._2_3_2_4" hidden="1">{#N/A,#N/A,FALSE,"mgtsum.XLS";#N/A,#N/A,FALSE,"CAPONE";#N/A,#N/A,FALSE,"CAPTWO";#N/A,#N/A,FALSE,"CAPTHREE"}</definedName>
    <definedName name="wrn.P854._.ADDENDUM._2_3_2_5" hidden="1">{#N/A,#N/A,FALSE,"mgtsum.XLS";#N/A,#N/A,FALSE,"CAPONE";#N/A,#N/A,FALSE,"CAPTWO";#N/A,#N/A,FALSE,"CAPTHREE"}</definedName>
    <definedName name="wrn.P854._.ADDENDUM._2_3_3" hidden="1">{#N/A,#N/A,FALSE,"mgtsum.XLS";#N/A,#N/A,FALSE,"CAPONE";#N/A,#N/A,FALSE,"CAPTWO";#N/A,#N/A,FALSE,"CAPTHREE"}</definedName>
    <definedName name="wrn.P854._.ADDENDUM._2_3_4" hidden="1">{#N/A,#N/A,FALSE,"mgtsum.XLS";#N/A,#N/A,FALSE,"CAPONE";#N/A,#N/A,FALSE,"CAPTWO";#N/A,#N/A,FALSE,"CAPTHREE"}</definedName>
    <definedName name="wrn.P854._.ADDENDUM._2_3_5" hidden="1">{#N/A,#N/A,FALSE,"mgtsum.XLS";#N/A,#N/A,FALSE,"CAPONE";#N/A,#N/A,FALSE,"CAPTWO";#N/A,#N/A,FALSE,"CAPTHREE"}</definedName>
    <definedName name="wrn.P854._.ADDENDUM._2_4" hidden="1">{#N/A,#N/A,FALSE,"mgtsum.XLS";#N/A,#N/A,FALSE,"CAPONE";#N/A,#N/A,FALSE,"CAPTWO";#N/A,#N/A,FALSE,"CAPTHREE"}</definedName>
    <definedName name="wrn.P854._.ADDENDUM._2_4_1" hidden="1">{#N/A,#N/A,FALSE,"mgtsum.XLS";#N/A,#N/A,FALSE,"CAPONE";#N/A,#N/A,FALSE,"CAPTWO";#N/A,#N/A,FALSE,"CAPTHREE"}</definedName>
    <definedName name="wrn.P854._.ADDENDUM._2_4_1_1" hidden="1">{#N/A,#N/A,FALSE,"mgtsum.XLS";#N/A,#N/A,FALSE,"CAPONE";#N/A,#N/A,FALSE,"CAPTWO";#N/A,#N/A,FALSE,"CAPTHREE"}</definedName>
    <definedName name="wrn.P854._.ADDENDUM._2_4_1_2" hidden="1">{#N/A,#N/A,FALSE,"mgtsum.XLS";#N/A,#N/A,FALSE,"CAPONE";#N/A,#N/A,FALSE,"CAPTWO";#N/A,#N/A,FALSE,"CAPTHREE"}</definedName>
    <definedName name="wrn.P854._.ADDENDUM._2_4_1_3" hidden="1">{#N/A,#N/A,FALSE,"mgtsum.XLS";#N/A,#N/A,FALSE,"CAPONE";#N/A,#N/A,FALSE,"CAPTWO";#N/A,#N/A,FALSE,"CAPTHREE"}</definedName>
    <definedName name="wrn.P854._.ADDENDUM._2_4_1_4" hidden="1">{#N/A,#N/A,FALSE,"mgtsum.XLS";#N/A,#N/A,FALSE,"CAPONE";#N/A,#N/A,FALSE,"CAPTWO";#N/A,#N/A,FALSE,"CAPTHREE"}</definedName>
    <definedName name="wrn.P854._.ADDENDUM._2_4_1_5" hidden="1">{#N/A,#N/A,FALSE,"mgtsum.XLS";#N/A,#N/A,FALSE,"CAPONE";#N/A,#N/A,FALSE,"CAPTWO";#N/A,#N/A,FALSE,"CAPTHREE"}</definedName>
    <definedName name="wrn.P854._.ADDENDUM._2_4_2" hidden="1">{#N/A,#N/A,FALSE,"mgtsum.XLS";#N/A,#N/A,FALSE,"CAPONE";#N/A,#N/A,FALSE,"CAPTWO";#N/A,#N/A,FALSE,"CAPTHREE"}</definedName>
    <definedName name="wrn.P854._.ADDENDUM._2_4_2_1" hidden="1">{#N/A,#N/A,FALSE,"mgtsum.XLS";#N/A,#N/A,FALSE,"CAPONE";#N/A,#N/A,FALSE,"CAPTWO";#N/A,#N/A,FALSE,"CAPTHREE"}</definedName>
    <definedName name="wrn.P854._.ADDENDUM._2_4_2_2" hidden="1">{#N/A,#N/A,FALSE,"mgtsum.XLS";#N/A,#N/A,FALSE,"CAPONE";#N/A,#N/A,FALSE,"CAPTWO";#N/A,#N/A,FALSE,"CAPTHREE"}</definedName>
    <definedName name="wrn.P854._.ADDENDUM._2_4_2_3" hidden="1">{#N/A,#N/A,FALSE,"mgtsum.XLS";#N/A,#N/A,FALSE,"CAPONE";#N/A,#N/A,FALSE,"CAPTWO";#N/A,#N/A,FALSE,"CAPTHREE"}</definedName>
    <definedName name="wrn.P854._.ADDENDUM._2_4_2_4" hidden="1">{#N/A,#N/A,FALSE,"mgtsum.XLS";#N/A,#N/A,FALSE,"CAPONE";#N/A,#N/A,FALSE,"CAPTWO";#N/A,#N/A,FALSE,"CAPTHREE"}</definedName>
    <definedName name="wrn.P854._.ADDENDUM._2_4_2_5" hidden="1">{#N/A,#N/A,FALSE,"mgtsum.XLS";#N/A,#N/A,FALSE,"CAPONE";#N/A,#N/A,FALSE,"CAPTWO";#N/A,#N/A,FALSE,"CAPTHREE"}</definedName>
    <definedName name="wrn.P854._.ADDENDUM._2_4_3" hidden="1">{#N/A,#N/A,FALSE,"mgtsum.XLS";#N/A,#N/A,FALSE,"CAPONE";#N/A,#N/A,FALSE,"CAPTWO";#N/A,#N/A,FALSE,"CAPTHREE"}</definedName>
    <definedName name="wrn.P854._.ADDENDUM._2_4_4" hidden="1">{#N/A,#N/A,FALSE,"mgtsum.XLS";#N/A,#N/A,FALSE,"CAPONE";#N/A,#N/A,FALSE,"CAPTWO";#N/A,#N/A,FALSE,"CAPTHREE"}</definedName>
    <definedName name="wrn.P854._.ADDENDUM._2_4_5" hidden="1">{#N/A,#N/A,FALSE,"mgtsum.XLS";#N/A,#N/A,FALSE,"CAPONE";#N/A,#N/A,FALSE,"CAPTWO";#N/A,#N/A,FALSE,"CAPTHREE"}</definedName>
    <definedName name="wrn.P854._.ADDENDUM._2_5" hidden="1">{#N/A,#N/A,FALSE,"mgtsum.XLS";#N/A,#N/A,FALSE,"CAPONE";#N/A,#N/A,FALSE,"CAPTWO";#N/A,#N/A,FALSE,"CAPTHREE"}</definedName>
    <definedName name="wrn.P854._.ADDENDUM._2_5_1" hidden="1">{#N/A,#N/A,FALSE,"mgtsum.XLS";#N/A,#N/A,FALSE,"CAPONE";#N/A,#N/A,FALSE,"CAPTWO";#N/A,#N/A,FALSE,"CAPTHREE"}</definedName>
    <definedName name="wrn.P854._.ADDENDUM._2_5_2" hidden="1">{#N/A,#N/A,FALSE,"mgtsum.XLS";#N/A,#N/A,FALSE,"CAPONE";#N/A,#N/A,FALSE,"CAPTWO";#N/A,#N/A,FALSE,"CAPTHREE"}</definedName>
    <definedName name="wrn.P854._.ADDENDUM._2_5_3" hidden="1">{#N/A,#N/A,FALSE,"mgtsum.XLS";#N/A,#N/A,FALSE,"CAPONE";#N/A,#N/A,FALSE,"CAPTWO";#N/A,#N/A,FALSE,"CAPTHREE"}</definedName>
    <definedName name="wrn.P854._.ADDENDUM._2_5_4" hidden="1">{#N/A,#N/A,FALSE,"mgtsum.XLS";#N/A,#N/A,FALSE,"CAPONE";#N/A,#N/A,FALSE,"CAPTWO";#N/A,#N/A,FALSE,"CAPTHREE"}</definedName>
    <definedName name="wrn.P854._.ADDENDUM._2_5_5" hidden="1">{#N/A,#N/A,FALSE,"mgtsum.XLS";#N/A,#N/A,FALSE,"CAPONE";#N/A,#N/A,FALSE,"CAPTWO";#N/A,#N/A,FALSE,"CAPTHREE"}</definedName>
    <definedName name="wrn.P854._.ADDENDUM._3" hidden="1">{#N/A,#N/A,FALSE,"mgtsum.XLS";#N/A,#N/A,FALSE,"CAPONE";#N/A,#N/A,FALSE,"CAPTWO";#N/A,#N/A,FALSE,"CAPTHREE"}</definedName>
    <definedName name="wrn.P854._.ADDENDUM._3_1" hidden="1">{#N/A,#N/A,FALSE,"mgtsum.XLS";#N/A,#N/A,FALSE,"CAPONE";#N/A,#N/A,FALSE,"CAPTWO";#N/A,#N/A,FALSE,"CAPTHREE"}</definedName>
    <definedName name="wrn.P854._.ADDENDUM._3_1_1" hidden="1">{#N/A,#N/A,FALSE,"mgtsum.XLS";#N/A,#N/A,FALSE,"CAPONE";#N/A,#N/A,FALSE,"CAPTWO";#N/A,#N/A,FALSE,"CAPTHREE"}</definedName>
    <definedName name="wrn.P854._.ADDENDUM._3_1_1_1" hidden="1">{#N/A,#N/A,FALSE,"mgtsum.XLS";#N/A,#N/A,FALSE,"CAPONE";#N/A,#N/A,FALSE,"CAPTWO";#N/A,#N/A,FALSE,"CAPTHREE"}</definedName>
    <definedName name="wrn.P854._.ADDENDUM._3_1_1_2" hidden="1">{#N/A,#N/A,FALSE,"mgtsum.XLS";#N/A,#N/A,FALSE,"CAPONE";#N/A,#N/A,FALSE,"CAPTWO";#N/A,#N/A,FALSE,"CAPTHREE"}</definedName>
    <definedName name="wrn.P854._.ADDENDUM._3_1_1_3" hidden="1">{#N/A,#N/A,FALSE,"mgtsum.XLS";#N/A,#N/A,FALSE,"CAPONE";#N/A,#N/A,FALSE,"CAPTWO";#N/A,#N/A,FALSE,"CAPTHREE"}</definedName>
    <definedName name="wrn.P854._.ADDENDUM._3_1_1_4" hidden="1">{#N/A,#N/A,FALSE,"mgtsum.XLS";#N/A,#N/A,FALSE,"CAPONE";#N/A,#N/A,FALSE,"CAPTWO";#N/A,#N/A,FALSE,"CAPTHREE"}</definedName>
    <definedName name="wrn.P854._.ADDENDUM._3_1_1_5" hidden="1">{#N/A,#N/A,FALSE,"mgtsum.XLS";#N/A,#N/A,FALSE,"CAPONE";#N/A,#N/A,FALSE,"CAPTWO";#N/A,#N/A,FALSE,"CAPTHREE"}</definedName>
    <definedName name="wrn.P854._.ADDENDUM._3_1_2" hidden="1">{#N/A,#N/A,FALSE,"mgtsum.XLS";#N/A,#N/A,FALSE,"CAPONE";#N/A,#N/A,FALSE,"CAPTWO";#N/A,#N/A,FALSE,"CAPTHREE"}</definedName>
    <definedName name="wrn.P854._.ADDENDUM._3_1_2_1" hidden="1">{#N/A,#N/A,FALSE,"mgtsum.XLS";#N/A,#N/A,FALSE,"CAPONE";#N/A,#N/A,FALSE,"CAPTWO";#N/A,#N/A,FALSE,"CAPTHREE"}</definedName>
    <definedName name="wrn.P854._.ADDENDUM._3_1_2_2" hidden="1">{#N/A,#N/A,FALSE,"mgtsum.XLS";#N/A,#N/A,FALSE,"CAPONE";#N/A,#N/A,FALSE,"CAPTWO";#N/A,#N/A,FALSE,"CAPTHREE"}</definedName>
    <definedName name="wrn.P854._.ADDENDUM._3_1_2_3" hidden="1">{#N/A,#N/A,FALSE,"mgtsum.XLS";#N/A,#N/A,FALSE,"CAPONE";#N/A,#N/A,FALSE,"CAPTWO";#N/A,#N/A,FALSE,"CAPTHREE"}</definedName>
    <definedName name="wrn.P854._.ADDENDUM._3_1_2_4" hidden="1">{#N/A,#N/A,FALSE,"mgtsum.XLS";#N/A,#N/A,FALSE,"CAPONE";#N/A,#N/A,FALSE,"CAPTWO";#N/A,#N/A,FALSE,"CAPTHREE"}</definedName>
    <definedName name="wrn.P854._.ADDENDUM._3_1_2_5" hidden="1">{#N/A,#N/A,FALSE,"mgtsum.XLS";#N/A,#N/A,FALSE,"CAPONE";#N/A,#N/A,FALSE,"CAPTWO";#N/A,#N/A,FALSE,"CAPTHREE"}</definedName>
    <definedName name="wrn.P854._.ADDENDUM._3_1_3" hidden="1">{#N/A,#N/A,FALSE,"mgtsum.XLS";#N/A,#N/A,FALSE,"CAPONE";#N/A,#N/A,FALSE,"CAPTWO";#N/A,#N/A,FALSE,"CAPTHREE"}</definedName>
    <definedName name="wrn.P854._.ADDENDUM._3_1_3_1" hidden="1">{#N/A,#N/A,FALSE,"mgtsum.XLS";#N/A,#N/A,FALSE,"CAPONE";#N/A,#N/A,FALSE,"CAPTWO";#N/A,#N/A,FALSE,"CAPTHREE"}</definedName>
    <definedName name="wrn.P854._.ADDENDUM._3_1_3_2" hidden="1">{#N/A,#N/A,FALSE,"mgtsum.XLS";#N/A,#N/A,FALSE,"CAPONE";#N/A,#N/A,FALSE,"CAPTWO";#N/A,#N/A,FALSE,"CAPTHREE"}</definedName>
    <definedName name="wrn.P854._.ADDENDUM._3_1_3_3" hidden="1">{#N/A,#N/A,FALSE,"mgtsum.XLS";#N/A,#N/A,FALSE,"CAPONE";#N/A,#N/A,FALSE,"CAPTWO";#N/A,#N/A,FALSE,"CAPTHREE"}</definedName>
    <definedName name="wrn.P854._.ADDENDUM._3_1_3_4" hidden="1">{#N/A,#N/A,FALSE,"mgtsum.XLS";#N/A,#N/A,FALSE,"CAPONE";#N/A,#N/A,FALSE,"CAPTWO";#N/A,#N/A,FALSE,"CAPTHREE"}</definedName>
    <definedName name="wrn.P854._.ADDENDUM._3_1_3_5" hidden="1">{#N/A,#N/A,FALSE,"mgtsum.XLS";#N/A,#N/A,FALSE,"CAPONE";#N/A,#N/A,FALSE,"CAPTWO";#N/A,#N/A,FALSE,"CAPTHREE"}</definedName>
    <definedName name="wrn.P854._.ADDENDUM._3_1_4" hidden="1">{#N/A,#N/A,FALSE,"mgtsum.XLS";#N/A,#N/A,FALSE,"CAPONE";#N/A,#N/A,FALSE,"CAPTWO";#N/A,#N/A,FALSE,"CAPTHREE"}</definedName>
    <definedName name="wrn.P854._.ADDENDUM._3_1_5" hidden="1">{#N/A,#N/A,FALSE,"mgtsum.XLS";#N/A,#N/A,FALSE,"CAPONE";#N/A,#N/A,FALSE,"CAPTWO";#N/A,#N/A,FALSE,"CAPTHREE"}</definedName>
    <definedName name="wrn.P854._.ADDENDUM._3_2" hidden="1">{#N/A,#N/A,FALSE,"mgtsum.XLS";#N/A,#N/A,FALSE,"CAPONE";#N/A,#N/A,FALSE,"CAPTWO";#N/A,#N/A,FALSE,"CAPTHREE"}</definedName>
    <definedName name="wrn.P854._.ADDENDUM._3_2_1" hidden="1">{#N/A,#N/A,FALSE,"mgtsum.XLS";#N/A,#N/A,FALSE,"CAPONE";#N/A,#N/A,FALSE,"CAPTWO";#N/A,#N/A,FALSE,"CAPTHREE"}</definedName>
    <definedName name="wrn.P854._.ADDENDUM._3_2_1_1" hidden="1">{#N/A,#N/A,FALSE,"mgtsum.XLS";#N/A,#N/A,FALSE,"CAPONE";#N/A,#N/A,FALSE,"CAPTWO";#N/A,#N/A,FALSE,"CAPTHREE"}</definedName>
    <definedName name="wrn.P854._.ADDENDUM._3_2_1_2" hidden="1">{#N/A,#N/A,FALSE,"mgtsum.XLS";#N/A,#N/A,FALSE,"CAPONE";#N/A,#N/A,FALSE,"CAPTWO";#N/A,#N/A,FALSE,"CAPTHREE"}</definedName>
    <definedName name="wrn.P854._.ADDENDUM._3_2_1_3" hidden="1">{#N/A,#N/A,FALSE,"mgtsum.XLS";#N/A,#N/A,FALSE,"CAPONE";#N/A,#N/A,FALSE,"CAPTWO";#N/A,#N/A,FALSE,"CAPTHREE"}</definedName>
    <definedName name="wrn.P854._.ADDENDUM._3_2_1_4" hidden="1">{#N/A,#N/A,FALSE,"mgtsum.XLS";#N/A,#N/A,FALSE,"CAPONE";#N/A,#N/A,FALSE,"CAPTWO";#N/A,#N/A,FALSE,"CAPTHREE"}</definedName>
    <definedName name="wrn.P854._.ADDENDUM._3_2_1_5" hidden="1">{#N/A,#N/A,FALSE,"mgtsum.XLS";#N/A,#N/A,FALSE,"CAPONE";#N/A,#N/A,FALSE,"CAPTWO";#N/A,#N/A,FALSE,"CAPTHREE"}</definedName>
    <definedName name="wrn.P854._.ADDENDUM._3_2_2" hidden="1">{#N/A,#N/A,FALSE,"mgtsum.XLS";#N/A,#N/A,FALSE,"CAPONE";#N/A,#N/A,FALSE,"CAPTWO";#N/A,#N/A,FALSE,"CAPTHREE"}</definedName>
    <definedName name="wrn.P854._.ADDENDUM._3_2_2_1" hidden="1">{#N/A,#N/A,FALSE,"mgtsum.XLS";#N/A,#N/A,FALSE,"CAPONE";#N/A,#N/A,FALSE,"CAPTWO";#N/A,#N/A,FALSE,"CAPTHREE"}</definedName>
    <definedName name="wrn.P854._.ADDENDUM._3_2_2_2" hidden="1">{#N/A,#N/A,FALSE,"mgtsum.XLS";#N/A,#N/A,FALSE,"CAPONE";#N/A,#N/A,FALSE,"CAPTWO";#N/A,#N/A,FALSE,"CAPTHREE"}</definedName>
    <definedName name="wrn.P854._.ADDENDUM._3_2_2_3" hidden="1">{#N/A,#N/A,FALSE,"mgtsum.XLS";#N/A,#N/A,FALSE,"CAPONE";#N/A,#N/A,FALSE,"CAPTWO";#N/A,#N/A,FALSE,"CAPTHREE"}</definedName>
    <definedName name="wrn.P854._.ADDENDUM._3_2_2_4" hidden="1">{#N/A,#N/A,FALSE,"mgtsum.XLS";#N/A,#N/A,FALSE,"CAPONE";#N/A,#N/A,FALSE,"CAPTWO";#N/A,#N/A,FALSE,"CAPTHREE"}</definedName>
    <definedName name="wrn.P854._.ADDENDUM._3_2_2_5" hidden="1">{#N/A,#N/A,FALSE,"mgtsum.XLS";#N/A,#N/A,FALSE,"CAPONE";#N/A,#N/A,FALSE,"CAPTWO";#N/A,#N/A,FALSE,"CAPTHREE"}</definedName>
    <definedName name="wrn.P854._.ADDENDUM._3_2_3" hidden="1">{#N/A,#N/A,FALSE,"mgtsum.XLS";#N/A,#N/A,FALSE,"CAPONE";#N/A,#N/A,FALSE,"CAPTWO";#N/A,#N/A,FALSE,"CAPTHREE"}</definedName>
    <definedName name="wrn.P854._.ADDENDUM._3_2_4" hidden="1">{#N/A,#N/A,FALSE,"mgtsum.XLS";#N/A,#N/A,FALSE,"CAPONE";#N/A,#N/A,FALSE,"CAPTWO";#N/A,#N/A,FALSE,"CAPTHREE"}</definedName>
    <definedName name="wrn.P854._.ADDENDUM._3_2_5" hidden="1">{#N/A,#N/A,FALSE,"mgtsum.XLS";#N/A,#N/A,FALSE,"CAPONE";#N/A,#N/A,FALSE,"CAPTWO";#N/A,#N/A,FALSE,"CAPTHREE"}</definedName>
    <definedName name="wrn.P854._.ADDENDUM._3_3" hidden="1">{#N/A,#N/A,FALSE,"mgtsum.XLS";#N/A,#N/A,FALSE,"CAPONE";#N/A,#N/A,FALSE,"CAPTWO";#N/A,#N/A,FALSE,"CAPTHREE"}</definedName>
    <definedName name="wrn.P854._.ADDENDUM._3_3_1" hidden="1">{#N/A,#N/A,FALSE,"mgtsum.XLS";#N/A,#N/A,FALSE,"CAPONE";#N/A,#N/A,FALSE,"CAPTWO";#N/A,#N/A,FALSE,"CAPTHREE"}</definedName>
    <definedName name="wrn.P854._.ADDENDUM._3_3_1_1" hidden="1">{#N/A,#N/A,FALSE,"mgtsum.XLS";#N/A,#N/A,FALSE,"CAPONE";#N/A,#N/A,FALSE,"CAPTWO";#N/A,#N/A,FALSE,"CAPTHREE"}</definedName>
    <definedName name="wrn.P854._.ADDENDUM._3_3_1_2" hidden="1">{#N/A,#N/A,FALSE,"mgtsum.XLS";#N/A,#N/A,FALSE,"CAPONE";#N/A,#N/A,FALSE,"CAPTWO";#N/A,#N/A,FALSE,"CAPTHREE"}</definedName>
    <definedName name="wrn.P854._.ADDENDUM._3_3_1_3" hidden="1">{#N/A,#N/A,FALSE,"mgtsum.XLS";#N/A,#N/A,FALSE,"CAPONE";#N/A,#N/A,FALSE,"CAPTWO";#N/A,#N/A,FALSE,"CAPTHREE"}</definedName>
    <definedName name="wrn.P854._.ADDENDUM._3_3_1_4" hidden="1">{#N/A,#N/A,FALSE,"mgtsum.XLS";#N/A,#N/A,FALSE,"CAPONE";#N/A,#N/A,FALSE,"CAPTWO";#N/A,#N/A,FALSE,"CAPTHREE"}</definedName>
    <definedName name="wrn.P854._.ADDENDUM._3_3_1_5" hidden="1">{#N/A,#N/A,FALSE,"mgtsum.XLS";#N/A,#N/A,FALSE,"CAPONE";#N/A,#N/A,FALSE,"CAPTWO";#N/A,#N/A,FALSE,"CAPTHREE"}</definedName>
    <definedName name="wrn.P854._.ADDENDUM._3_3_2" hidden="1">{#N/A,#N/A,FALSE,"mgtsum.XLS";#N/A,#N/A,FALSE,"CAPONE";#N/A,#N/A,FALSE,"CAPTWO";#N/A,#N/A,FALSE,"CAPTHREE"}</definedName>
    <definedName name="wrn.P854._.ADDENDUM._3_3_2_1" hidden="1">{#N/A,#N/A,FALSE,"mgtsum.XLS";#N/A,#N/A,FALSE,"CAPONE";#N/A,#N/A,FALSE,"CAPTWO";#N/A,#N/A,FALSE,"CAPTHREE"}</definedName>
    <definedName name="wrn.P854._.ADDENDUM._3_3_2_2" hidden="1">{#N/A,#N/A,FALSE,"mgtsum.XLS";#N/A,#N/A,FALSE,"CAPONE";#N/A,#N/A,FALSE,"CAPTWO";#N/A,#N/A,FALSE,"CAPTHREE"}</definedName>
    <definedName name="wrn.P854._.ADDENDUM._3_3_2_3" hidden="1">{#N/A,#N/A,FALSE,"mgtsum.XLS";#N/A,#N/A,FALSE,"CAPONE";#N/A,#N/A,FALSE,"CAPTWO";#N/A,#N/A,FALSE,"CAPTHREE"}</definedName>
    <definedName name="wrn.P854._.ADDENDUM._3_3_2_4" hidden="1">{#N/A,#N/A,FALSE,"mgtsum.XLS";#N/A,#N/A,FALSE,"CAPONE";#N/A,#N/A,FALSE,"CAPTWO";#N/A,#N/A,FALSE,"CAPTHREE"}</definedName>
    <definedName name="wrn.P854._.ADDENDUM._3_3_2_5" hidden="1">{#N/A,#N/A,FALSE,"mgtsum.XLS";#N/A,#N/A,FALSE,"CAPONE";#N/A,#N/A,FALSE,"CAPTWO";#N/A,#N/A,FALSE,"CAPTHREE"}</definedName>
    <definedName name="wrn.P854._.ADDENDUM._3_3_3" hidden="1">{#N/A,#N/A,FALSE,"mgtsum.XLS";#N/A,#N/A,FALSE,"CAPONE";#N/A,#N/A,FALSE,"CAPTWO";#N/A,#N/A,FALSE,"CAPTHREE"}</definedName>
    <definedName name="wrn.P854._.ADDENDUM._3_3_4" hidden="1">{#N/A,#N/A,FALSE,"mgtsum.XLS";#N/A,#N/A,FALSE,"CAPONE";#N/A,#N/A,FALSE,"CAPTWO";#N/A,#N/A,FALSE,"CAPTHREE"}</definedName>
    <definedName name="wrn.P854._.ADDENDUM._3_3_5" hidden="1">{#N/A,#N/A,FALSE,"mgtsum.XLS";#N/A,#N/A,FALSE,"CAPONE";#N/A,#N/A,FALSE,"CAPTWO";#N/A,#N/A,FALSE,"CAPTHREE"}</definedName>
    <definedName name="wrn.P854._.ADDENDUM._3_4" hidden="1">{#N/A,#N/A,FALSE,"mgtsum.XLS";#N/A,#N/A,FALSE,"CAPONE";#N/A,#N/A,FALSE,"CAPTWO";#N/A,#N/A,FALSE,"CAPTHREE"}</definedName>
    <definedName name="wrn.P854._.ADDENDUM._3_4_1" hidden="1">{#N/A,#N/A,FALSE,"mgtsum.XLS";#N/A,#N/A,FALSE,"CAPONE";#N/A,#N/A,FALSE,"CAPTWO";#N/A,#N/A,FALSE,"CAPTHREE"}</definedName>
    <definedName name="wrn.P854._.ADDENDUM._3_4_1_1" hidden="1">{#N/A,#N/A,FALSE,"mgtsum.XLS";#N/A,#N/A,FALSE,"CAPONE";#N/A,#N/A,FALSE,"CAPTWO";#N/A,#N/A,FALSE,"CAPTHREE"}</definedName>
    <definedName name="wrn.P854._.ADDENDUM._3_4_1_2" hidden="1">{#N/A,#N/A,FALSE,"mgtsum.XLS";#N/A,#N/A,FALSE,"CAPONE";#N/A,#N/A,FALSE,"CAPTWO";#N/A,#N/A,FALSE,"CAPTHREE"}</definedName>
    <definedName name="wrn.P854._.ADDENDUM._3_4_1_3" hidden="1">{#N/A,#N/A,FALSE,"mgtsum.XLS";#N/A,#N/A,FALSE,"CAPONE";#N/A,#N/A,FALSE,"CAPTWO";#N/A,#N/A,FALSE,"CAPTHREE"}</definedName>
    <definedName name="wrn.P854._.ADDENDUM._3_4_1_4" hidden="1">{#N/A,#N/A,FALSE,"mgtsum.XLS";#N/A,#N/A,FALSE,"CAPONE";#N/A,#N/A,FALSE,"CAPTWO";#N/A,#N/A,FALSE,"CAPTHREE"}</definedName>
    <definedName name="wrn.P854._.ADDENDUM._3_4_1_5" hidden="1">{#N/A,#N/A,FALSE,"mgtsum.XLS";#N/A,#N/A,FALSE,"CAPONE";#N/A,#N/A,FALSE,"CAPTWO";#N/A,#N/A,FALSE,"CAPTHREE"}</definedName>
    <definedName name="wrn.P854._.ADDENDUM._3_4_2" hidden="1">{#N/A,#N/A,FALSE,"mgtsum.XLS";#N/A,#N/A,FALSE,"CAPONE";#N/A,#N/A,FALSE,"CAPTWO";#N/A,#N/A,FALSE,"CAPTHREE"}</definedName>
    <definedName name="wrn.P854._.ADDENDUM._3_4_2_1" hidden="1">{#N/A,#N/A,FALSE,"mgtsum.XLS";#N/A,#N/A,FALSE,"CAPONE";#N/A,#N/A,FALSE,"CAPTWO";#N/A,#N/A,FALSE,"CAPTHREE"}</definedName>
    <definedName name="wrn.P854._.ADDENDUM._3_4_2_2" hidden="1">{#N/A,#N/A,FALSE,"mgtsum.XLS";#N/A,#N/A,FALSE,"CAPONE";#N/A,#N/A,FALSE,"CAPTWO";#N/A,#N/A,FALSE,"CAPTHREE"}</definedName>
    <definedName name="wrn.P854._.ADDENDUM._3_4_2_3" hidden="1">{#N/A,#N/A,FALSE,"mgtsum.XLS";#N/A,#N/A,FALSE,"CAPONE";#N/A,#N/A,FALSE,"CAPTWO";#N/A,#N/A,FALSE,"CAPTHREE"}</definedName>
    <definedName name="wrn.P854._.ADDENDUM._3_4_2_4" hidden="1">{#N/A,#N/A,FALSE,"mgtsum.XLS";#N/A,#N/A,FALSE,"CAPONE";#N/A,#N/A,FALSE,"CAPTWO";#N/A,#N/A,FALSE,"CAPTHREE"}</definedName>
    <definedName name="wrn.P854._.ADDENDUM._3_4_2_5" hidden="1">{#N/A,#N/A,FALSE,"mgtsum.XLS";#N/A,#N/A,FALSE,"CAPONE";#N/A,#N/A,FALSE,"CAPTWO";#N/A,#N/A,FALSE,"CAPTHREE"}</definedName>
    <definedName name="wrn.P854._.ADDENDUM._3_4_3" hidden="1">{#N/A,#N/A,FALSE,"mgtsum.XLS";#N/A,#N/A,FALSE,"CAPONE";#N/A,#N/A,FALSE,"CAPTWO";#N/A,#N/A,FALSE,"CAPTHREE"}</definedName>
    <definedName name="wrn.P854._.ADDENDUM._3_4_4" hidden="1">{#N/A,#N/A,FALSE,"mgtsum.XLS";#N/A,#N/A,FALSE,"CAPONE";#N/A,#N/A,FALSE,"CAPTWO";#N/A,#N/A,FALSE,"CAPTHREE"}</definedName>
    <definedName name="wrn.P854._.ADDENDUM._3_4_5" hidden="1">{#N/A,#N/A,FALSE,"mgtsum.XLS";#N/A,#N/A,FALSE,"CAPONE";#N/A,#N/A,FALSE,"CAPTWO";#N/A,#N/A,FALSE,"CAPTHREE"}</definedName>
    <definedName name="wrn.P854._.ADDENDUM._3_5" hidden="1">{#N/A,#N/A,FALSE,"mgtsum.XLS";#N/A,#N/A,FALSE,"CAPONE";#N/A,#N/A,FALSE,"CAPTWO";#N/A,#N/A,FALSE,"CAPTHREE"}</definedName>
    <definedName name="wrn.P854._.ADDENDUM._3_5_1" hidden="1">{#N/A,#N/A,FALSE,"mgtsum.XLS";#N/A,#N/A,FALSE,"CAPONE";#N/A,#N/A,FALSE,"CAPTWO";#N/A,#N/A,FALSE,"CAPTHREE"}</definedName>
    <definedName name="wrn.P854._.ADDENDUM._3_5_2" hidden="1">{#N/A,#N/A,FALSE,"mgtsum.XLS";#N/A,#N/A,FALSE,"CAPONE";#N/A,#N/A,FALSE,"CAPTWO";#N/A,#N/A,FALSE,"CAPTHREE"}</definedName>
    <definedName name="wrn.P854._.ADDENDUM._3_5_3" hidden="1">{#N/A,#N/A,FALSE,"mgtsum.XLS";#N/A,#N/A,FALSE,"CAPONE";#N/A,#N/A,FALSE,"CAPTWO";#N/A,#N/A,FALSE,"CAPTHREE"}</definedName>
    <definedName name="wrn.P854._.ADDENDUM._3_5_4" hidden="1">{#N/A,#N/A,FALSE,"mgtsum.XLS";#N/A,#N/A,FALSE,"CAPONE";#N/A,#N/A,FALSE,"CAPTWO";#N/A,#N/A,FALSE,"CAPTHREE"}</definedName>
    <definedName name="wrn.P854._.ADDENDUM._3_5_5" hidden="1">{#N/A,#N/A,FALSE,"mgtsum.XLS";#N/A,#N/A,FALSE,"CAPONE";#N/A,#N/A,FALSE,"CAPTWO";#N/A,#N/A,FALSE,"CAPTHREE"}</definedName>
    <definedName name="wrn.P854._.ADDENDUM._4" hidden="1">{#N/A,#N/A,FALSE,"mgtsum.XLS";#N/A,#N/A,FALSE,"CAPONE";#N/A,#N/A,FALSE,"CAPTWO";#N/A,#N/A,FALSE,"CAPTHREE"}</definedName>
    <definedName name="wrn.P854._.ADDENDUM._4_1" hidden="1">{#N/A,#N/A,FALSE,"mgtsum.XLS";#N/A,#N/A,FALSE,"CAPONE";#N/A,#N/A,FALSE,"CAPTWO";#N/A,#N/A,FALSE,"CAPTHREE"}</definedName>
    <definedName name="wrn.P854._.ADDENDUM._4_1_1" hidden="1">{#N/A,#N/A,FALSE,"mgtsum.XLS";#N/A,#N/A,FALSE,"CAPONE";#N/A,#N/A,FALSE,"CAPTWO";#N/A,#N/A,FALSE,"CAPTHREE"}</definedName>
    <definedName name="wrn.P854._.ADDENDUM._4_1_1_1" hidden="1">{#N/A,#N/A,FALSE,"mgtsum.XLS";#N/A,#N/A,FALSE,"CAPONE";#N/A,#N/A,FALSE,"CAPTWO";#N/A,#N/A,FALSE,"CAPTHREE"}</definedName>
    <definedName name="wrn.P854._.ADDENDUM._4_1_1_2" hidden="1">{#N/A,#N/A,FALSE,"mgtsum.XLS";#N/A,#N/A,FALSE,"CAPONE";#N/A,#N/A,FALSE,"CAPTWO";#N/A,#N/A,FALSE,"CAPTHREE"}</definedName>
    <definedName name="wrn.P854._.ADDENDUM._4_1_1_3" hidden="1">{#N/A,#N/A,FALSE,"mgtsum.XLS";#N/A,#N/A,FALSE,"CAPONE";#N/A,#N/A,FALSE,"CAPTWO";#N/A,#N/A,FALSE,"CAPTHREE"}</definedName>
    <definedName name="wrn.P854._.ADDENDUM._4_1_1_4" hidden="1">{#N/A,#N/A,FALSE,"mgtsum.XLS";#N/A,#N/A,FALSE,"CAPONE";#N/A,#N/A,FALSE,"CAPTWO";#N/A,#N/A,FALSE,"CAPTHREE"}</definedName>
    <definedName name="wrn.P854._.ADDENDUM._4_1_1_5" hidden="1">{#N/A,#N/A,FALSE,"mgtsum.XLS";#N/A,#N/A,FALSE,"CAPONE";#N/A,#N/A,FALSE,"CAPTWO";#N/A,#N/A,FALSE,"CAPTHREE"}</definedName>
    <definedName name="wrn.P854._.ADDENDUM._4_1_2" hidden="1">{#N/A,#N/A,FALSE,"mgtsum.XLS";#N/A,#N/A,FALSE,"CAPONE";#N/A,#N/A,FALSE,"CAPTWO";#N/A,#N/A,FALSE,"CAPTHREE"}</definedName>
    <definedName name="wrn.P854._.ADDENDUM._4_1_2_1" hidden="1">{#N/A,#N/A,FALSE,"mgtsum.XLS";#N/A,#N/A,FALSE,"CAPONE";#N/A,#N/A,FALSE,"CAPTWO";#N/A,#N/A,FALSE,"CAPTHREE"}</definedName>
    <definedName name="wrn.P854._.ADDENDUM._4_1_2_2" hidden="1">{#N/A,#N/A,FALSE,"mgtsum.XLS";#N/A,#N/A,FALSE,"CAPONE";#N/A,#N/A,FALSE,"CAPTWO";#N/A,#N/A,FALSE,"CAPTHREE"}</definedName>
    <definedName name="wrn.P854._.ADDENDUM._4_1_2_3" hidden="1">{#N/A,#N/A,FALSE,"mgtsum.XLS";#N/A,#N/A,FALSE,"CAPONE";#N/A,#N/A,FALSE,"CAPTWO";#N/A,#N/A,FALSE,"CAPTHREE"}</definedName>
    <definedName name="wrn.P854._.ADDENDUM._4_1_2_4" hidden="1">{#N/A,#N/A,FALSE,"mgtsum.XLS";#N/A,#N/A,FALSE,"CAPONE";#N/A,#N/A,FALSE,"CAPTWO";#N/A,#N/A,FALSE,"CAPTHREE"}</definedName>
    <definedName name="wrn.P854._.ADDENDUM._4_1_2_5" hidden="1">{#N/A,#N/A,FALSE,"mgtsum.XLS";#N/A,#N/A,FALSE,"CAPONE";#N/A,#N/A,FALSE,"CAPTWO";#N/A,#N/A,FALSE,"CAPTHREE"}</definedName>
    <definedName name="wrn.P854._.ADDENDUM._4_1_3" hidden="1">{#N/A,#N/A,FALSE,"mgtsum.XLS";#N/A,#N/A,FALSE,"CAPONE";#N/A,#N/A,FALSE,"CAPTWO";#N/A,#N/A,FALSE,"CAPTHREE"}</definedName>
    <definedName name="wrn.P854._.ADDENDUM._4_1_3_1" hidden="1">{#N/A,#N/A,FALSE,"mgtsum.XLS";#N/A,#N/A,FALSE,"CAPONE";#N/A,#N/A,FALSE,"CAPTWO";#N/A,#N/A,FALSE,"CAPTHREE"}</definedName>
    <definedName name="wrn.P854._.ADDENDUM._4_1_3_2" hidden="1">{#N/A,#N/A,FALSE,"mgtsum.XLS";#N/A,#N/A,FALSE,"CAPONE";#N/A,#N/A,FALSE,"CAPTWO";#N/A,#N/A,FALSE,"CAPTHREE"}</definedName>
    <definedName name="wrn.P854._.ADDENDUM._4_1_3_3" hidden="1">{#N/A,#N/A,FALSE,"mgtsum.XLS";#N/A,#N/A,FALSE,"CAPONE";#N/A,#N/A,FALSE,"CAPTWO";#N/A,#N/A,FALSE,"CAPTHREE"}</definedName>
    <definedName name="wrn.P854._.ADDENDUM._4_1_3_4" hidden="1">{#N/A,#N/A,FALSE,"mgtsum.XLS";#N/A,#N/A,FALSE,"CAPONE";#N/A,#N/A,FALSE,"CAPTWO";#N/A,#N/A,FALSE,"CAPTHREE"}</definedName>
    <definedName name="wrn.P854._.ADDENDUM._4_1_3_5" hidden="1">{#N/A,#N/A,FALSE,"mgtsum.XLS";#N/A,#N/A,FALSE,"CAPONE";#N/A,#N/A,FALSE,"CAPTWO";#N/A,#N/A,FALSE,"CAPTHREE"}</definedName>
    <definedName name="wrn.P854._.ADDENDUM._4_1_4" hidden="1">{#N/A,#N/A,FALSE,"mgtsum.XLS";#N/A,#N/A,FALSE,"CAPONE";#N/A,#N/A,FALSE,"CAPTWO";#N/A,#N/A,FALSE,"CAPTHREE"}</definedName>
    <definedName name="wrn.P854._.ADDENDUM._4_1_5" hidden="1">{#N/A,#N/A,FALSE,"mgtsum.XLS";#N/A,#N/A,FALSE,"CAPONE";#N/A,#N/A,FALSE,"CAPTWO";#N/A,#N/A,FALSE,"CAPTHREE"}</definedName>
    <definedName name="wrn.P854._.ADDENDUM._4_2" hidden="1">{#N/A,#N/A,FALSE,"mgtsum.XLS";#N/A,#N/A,FALSE,"CAPONE";#N/A,#N/A,FALSE,"CAPTWO";#N/A,#N/A,FALSE,"CAPTHREE"}</definedName>
    <definedName name="wrn.P854._.ADDENDUM._4_2_1" hidden="1">{#N/A,#N/A,FALSE,"mgtsum.XLS";#N/A,#N/A,FALSE,"CAPONE";#N/A,#N/A,FALSE,"CAPTWO";#N/A,#N/A,FALSE,"CAPTHREE"}</definedName>
    <definedName name="wrn.P854._.ADDENDUM._4_2_2" hidden="1">{#N/A,#N/A,FALSE,"mgtsum.XLS";#N/A,#N/A,FALSE,"CAPONE";#N/A,#N/A,FALSE,"CAPTWO";#N/A,#N/A,FALSE,"CAPTHREE"}</definedName>
    <definedName name="wrn.P854._.ADDENDUM._4_2_3" hidden="1">{#N/A,#N/A,FALSE,"mgtsum.XLS";#N/A,#N/A,FALSE,"CAPONE";#N/A,#N/A,FALSE,"CAPTWO";#N/A,#N/A,FALSE,"CAPTHREE"}</definedName>
    <definedName name="wrn.P854._.ADDENDUM._4_2_4" hidden="1">{#N/A,#N/A,FALSE,"mgtsum.XLS";#N/A,#N/A,FALSE,"CAPONE";#N/A,#N/A,FALSE,"CAPTWO";#N/A,#N/A,FALSE,"CAPTHREE"}</definedName>
    <definedName name="wrn.P854._.ADDENDUM._4_2_5" hidden="1">{#N/A,#N/A,FALSE,"mgtsum.XLS";#N/A,#N/A,FALSE,"CAPONE";#N/A,#N/A,FALSE,"CAPTWO";#N/A,#N/A,FALSE,"CAPTHREE"}</definedName>
    <definedName name="wrn.P854._.ADDENDUM._4_3" hidden="1">{#N/A,#N/A,FALSE,"mgtsum.XLS";#N/A,#N/A,FALSE,"CAPONE";#N/A,#N/A,FALSE,"CAPTWO";#N/A,#N/A,FALSE,"CAPTHREE"}</definedName>
    <definedName name="wrn.P854._.ADDENDUM._4_3_1" hidden="1">{#N/A,#N/A,FALSE,"mgtsum.XLS";#N/A,#N/A,FALSE,"CAPONE";#N/A,#N/A,FALSE,"CAPTWO";#N/A,#N/A,FALSE,"CAPTHREE"}</definedName>
    <definedName name="wrn.P854._.ADDENDUM._4_3_2" hidden="1">{#N/A,#N/A,FALSE,"mgtsum.XLS";#N/A,#N/A,FALSE,"CAPONE";#N/A,#N/A,FALSE,"CAPTWO";#N/A,#N/A,FALSE,"CAPTHREE"}</definedName>
    <definedName name="wrn.P854._.ADDENDUM._4_3_3" hidden="1">{#N/A,#N/A,FALSE,"mgtsum.XLS";#N/A,#N/A,FALSE,"CAPONE";#N/A,#N/A,FALSE,"CAPTWO";#N/A,#N/A,FALSE,"CAPTHREE"}</definedName>
    <definedName name="wrn.P854._.ADDENDUM._4_3_4" hidden="1">{#N/A,#N/A,FALSE,"mgtsum.XLS";#N/A,#N/A,FALSE,"CAPONE";#N/A,#N/A,FALSE,"CAPTWO";#N/A,#N/A,FALSE,"CAPTHREE"}</definedName>
    <definedName name="wrn.P854._.ADDENDUM._4_3_5" hidden="1">{#N/A,#N/A,FALSE,"mgtsum.XLS";#N/A,#N/A,FALSE,"CAPONE";#N/A,#N/A,FALSE,"CAPTWO";#N/A,#N/A,FALSE,"CAPTHREE"}</definedName>
    <definedName name="wrn.P854._.ADDENDUM._4_4" hidden="1">{#N/A,#N/A,FALSE,"mgtsum.XLS";#N/A,#N/A,FALSE,"CAPONE";#N/A,#N/A,FALSE,"CAPTWO";#N/A,#N/A,FALSE,"CAPTHREE"}</definedName>
    <definedName name="wrn.P854._.ADDENDUM._4_5" hidden="1">{#N/A,#N/A,FALSE,"mgtsum.XLS";#N/A,#N/A,FALSE,"CAPONE";#N/A,#N/A,FALSE,"CAPTWO";#N/A,#N/A,FALSE,"CAPTHREE"}</definedName>
    <definedName name="wrn.P854._.ADDENDUM._5" hidden="1">{#N/A,#N/A,FALSE,"mgtsum.XLS";#N/A,#N/A,FALSE,"CAPONE";#N/A,#N/A,FALSE,"CAPTWO";#N/A,#N/A,FALSE,"CAPTHREE"}</definedName>
    <definedName name="wrn.P854._.ADDENDUM._5_1" hidden="1">{#N/A,#N/A,FALSE,"mgtsum.XLS";#N/A,#N/A,FALSE,"CAPONE";#N/A,#N/A,FALSE,"CAPTWO";#N/A,#N/A,FALSE,"CAPTHREE"}</definedName>
    <definedName name="wrn.P854._.ADDENDUM._5_1_1" hidden="1">{#N/A,#N/A,FALSE,"mgtsum.XLS";#N/A,#N/A,FALSE,"CAPONE";#N/A,#N/A,FALSE,"CAPTWO";#N/A,#N/A,FALSE,"CAPTHREE"}</definedName>
    <definedName name="wrn.P854._.ADDENDUM._5_1_2" hidden="1">{#N/A,#N/A,FALSE,"mgtsum.XLS";#N/A,#N/A,FALSE,"CAPONE";#N/A,#N/A,FALSE,"CAPTWO";#N/A,#N/A,FALSE,"CAPTHREE"}</definedName>
    <definedName name="wrn.P854._.ADDENDUM._5_1_3" hidden="1">{#N/A,#N/A,FALSE,"mgtsum.XLS";#N/A,#N/A,FALSE,"CAPONE";#N/A,#N/A,FALSE,"CAPTWO";#N/A,#N/A,FALSE,"CAPTHREE"}</definedName>
    <definedName name="wrn.P854._.ADDENDUM._5_1_4" hidden="1">{#N/A,#N/A,FALSE,"mgtsum.XLS";#N/A,#N/A,FALSE,"CAPONE";#N/A,#N/A,FALSE,"CAPTWO";#N/A,#N/A,FALSE,"CAPTHREE"}</definedName>
    <definedName name="wrn.P854._.ADDENDUM._5_1_5" hidden="1">{#N/A,#N/A,FALSE,"mgtsum.XLS";#N/A,#N/A,FALSE,"CAPONE";#N/A,#N/A,FALSE,"CAPTWO";#N/A,#N/A,FALSE,"CAPTHREE"}</definedName>
    <definedName name="wrn.P854._.ADDENDUM._5_2" hidden="1">{#N/A,#N/A,FALSE,"mgtsum.XLS";#N/A,#N/A,FALSE,"CAPONE";#N/A,#N/A,FALSE,"CAPTWO";#N/A,#N/A,FALSE,"CAPTHREE"}</definedName>
    <definedName name="wrn.P854._.ADDENDUM._5_2_1" hidden="1">{#N/A,#N/A,FALSE,"mgtsum.XLS";#N/A,#N/A,FALSE,"CAPONE";#N/A,#N/A,FALSE,"CAPTWO";#N/A,#N/A,FALSE,"CAPTHREE"}</definedName>
    <definedName name="wrn.P854._.ADDENDUM._5_2_2" hidden="1">{#N/A,#N/A,FALSE,"mgtsum.XLS";#N/A,#N/A,FALSE,"CAPONE";#N/A,#N/A,FALSE,"CAPTWO";#N/A,#N/A,FALSE,"CAPTHREE"}</definedName>
    <definedName name="wrn.P854._.ADDENDUM._5_2_3" hidden="1">{#N/A,#N/A,FALSE,"mgtsum.XLS";#N/A,#N/A,FALSE,"CAPONE";#N/A,#N/A,FALSE,"CAPTWO";#N/A,#N/A,FALSE,"CAPTHREE"}</definedName>
    <definedName name="wrn.P854._.ADDENDUM._5_2_4" hidden="1">{#N/A,#N/A,FALSE,"mgtsum.XLS";#N/A,#N/A,FALSE,"CAPONE";#N/A,#N/A,FALSE,"CAPTWO";#N/A,#N/A,FALSE,"CAPTHREE"}</definedName>
    <definedName name="wrn.P854._.ADDENDUM._5_2_5" hidden="1">{#N/A,#N/A,FALSE,"mgtsum.XLS";#N/A,#N/A,FALSE,"CAPONE";#N/A,#N/A,FALSE,"CAPTWO";#N/A,#N/A,FALSE,"CAPTHREE"}</definedName>
    <definedName name="wrn.P854._.ADDENDUM._5_3" hidden="1">{#N/A,#N/A,FALSE,"mgtsum.XLS";#N/A,#N/A,FALSE,"CAPONE";#N/A,#N/A,FALSE,"CAPTWO";#N/A,#N/A,FALSE,"CAPTHREE"}</definedName>
    <definedName name="wrn.P854._.ADDENDUM._5_4" hidden="1">{#N/A,#N/A,FALSE,"mgtsum.XLS";#N/A,#N/A,FALSE,"CAPONE";#N/A,#N/A,FALSE,"CAPTWO";#N/A,#N/A,FALSE,"CAPTHREE"}</definedName>
    <definedName name="wrn.P854._.ADDENDUM._5_5" hidden="1">{#N/A,#N/A,FALSE,"mgtsum.XLS";#N/A,#N/A,FALSE,"CAPONE";#N/A,#N/A,FALSE,"CAPTWO";#N/A,#N/A,FALSE,"CAPTHREE"}</definedName>
    <definedName name="wrn.p854._.addendum2" localSheetId="1" hidden="1">{#N/A,#N/A,FALSE,"mgtsum.XLS";#N/A,#N/A,FALSE,"CAPONE";#N/A,#N/A,FALSE,"CAPTWO";#N/A,#N/A,FALSE,"CAPTHREE"}</definedName>
    <definedName name="wrn.p854._.addendum2" hidden="1">{#N/A,#N/A,FALSE,"mgtsum.XLS";#N/A,#N/A,FALSE,"CAPONE";#N/A,#N/A,FALSE,"CAPTWO";#N/A,#N/A,FALSE,"CAPTHREE"}</definedName>
    <definedName name="wrn.p854._.addendum2_1" hidden="1">{#N/A,#N/A,FALSE,"mgtsum.XLS";#N/A,#N/A,FALSE,"CAPONE";#N/A,#N/A,FALSE,"CAPTWO";#N/A,#N/A,FALSE,"CAPTHREE"}</definedName>
    <definedName name="wrn.p854._.addendum2_1_1" hidden="1">{#N/A,#N/A,FALSE,"mgtsum.XLS";#N/A,#N/A,FALSE,"CAPONE";#N/A,#N/A,FALSE,"CAPTWO";#N/A,#N/A,FALSE,"CAPTHREE"}</definedName>
    <definedName name="wrn.p854._.addendum2_1_1_1" hidden="1">{#N/A,#N/A,FALSE,"mgtsum.XLS";#N/A,#N/A,FALSE,"CAPONE";#N/A,#N/A,FALSE,"CAPTWO";#N/A,#N/A,FALSE,"CAPTHREE"}</definedName>
    <definedName name="wrn.p854._.addendum2_1_1_1_1" hidden="1">{#N/A,#N/A,FALSE,"mgtsum.XLS";#N/A,#N/A,FALSE,"CAPONE";#N/A,#N/A,FALSE,"CAPTWO";#N/A,#N/A,FALSE,"CAPTHREE"}</definedName>
    <definedName name="wrn.p854._.addendum2_1_1_1_2" hidden="1">{#N/A,#N/A,FALSE,"mgtsum.XLS";#N/A,#N/A,FALSE,"CAPONE";#N/A,#N/A,FALSE,"CAPTWO";#N/A,#N/A,FALSE,"CAPTHREE"}</definedName>
    <definedName name="wrn.p854._.addendum2_1_1_1_3" hidden="1">{#N/A,#N/A,FALSE,"mgtsum.XLS";#N/A,#N/A,FALSE,"CAPONE";#N/A,#N/A,FALSE,"CAPTWO";#N/A,#N/A,FALSE,"CAPTHREE"}</definedName>
    <definedName name="wrn.p854._.addendum2_1_1_1_4" hidden="1">{#N/A,#N/A,FALSE,"mgtsum.XLS";#N/A,#N/A,FALSE,"CAPONE";#N/A,#N/A,FALSE,"CAPTWO";#N/A,#N/A,FALSE,"CAPTHREE"}</definedName>
    <definedName name="wrn.p854._.addendum2_1_1_1_5" hidden="1">{#N/A,#N/A,FALSE,"mgtsum.XLS";#N/A,#N/A,FALSE,"CAPONE";#N/A,#N/A,FALSE,"CAPTWO";#N/A,#N/A,FALSE,"CAPTHREE"}</definedName>
    <definedName name="wrn.p854._.addendum2_1_1_2" hidden="1">{#N/A,#N/A,FALSE,"mgtsum.XLS";#N/A,#N/A,FALSE,"CAPONE";#N/A,#N/A,FALSE,"CAPTWO";#N/A,#N/A,FALSE,"CAPTHREE"}</definedName>
    <definedName name="wrn.p854._.addendum2_1_1_2_1" hidden="1">{#N/A,#N/A,FALSE,"mgtsum.XLS";#N/A,#N/A,FALSE,"CAPONE";#N/A,#N/A,FALSE,"CAPTWO";#N/A,#N/A,FALSE,"CAPTHREE"}</definedName>
    <definedName name="wrn.p854._.addendum2_1_1_2_2" hidden="1">{#N/A,#N/A,FALSE,"mgtsum.XLS";#N/A,#N/A,FALSE,"CAPONE";#N/A,#N/A,FALSE,"CAPTWO";#N/A,#N/A,FALSE,"CAPTHREE"}</definedName>
    <definedName name="wrn.p854._.addendum2_1_1_2_3" hidden="1">{#N/A,#N/A,FALSE,"mgtsum.XLS";#N/A,#N/A,FALSE,"CAPONE";#N/A,#N/A,FALSE,"CAPTWO";#N/A,#N/A,FALSE,"CAPTHREE"}</definedName>
    <definedName name="wrn.p854._.addendum2_1_1_2_4" hidden="1">{#N/A,#N/A,FALSE,"mgtsum.XLS";#N/A,#N/A,FALSE,"CAPONE";#N/A,#N/A,FALSE,"CAPTWO";#N/A,#N/A,FALSE,"CAPTHREE"}</definedName>
    <definedName name="wrn.p854._.addendum2_1_1_2_5" hidden="1">{#N/A,#N/A,FALSE,"mgtsum.XLS";#N/A,#N/A,FALSE,"CAPONE";#N/A,#N/A,FALSE,"CAPTWO";#N/A,#N/A,FALSE,"CAPTHREE"}</definedName>
    <definedName name="wrn.p854._.addendum2_1_1_3" hidden="1">{#N/A,#N/A,FALSE,"mgtsum.XLS";#N/A,#N/A,FALSE,"CAPONE";#N/A,#N/A,FALSE,"CAPTWO";#N/A,#N/A,FALSE,"CAPTHREE"}</definedName>
    <definedName name="wrn.p854._.addendum2_1_1_3_1" hidden="1">{#N/A,#N/A,FALSE,"mgtsum.XLS";#N/A,#N/A,FALSE,"CAPONE";#N/A,#N/A,FALSE,"CAPTWO";#N/A,#N/A,FALSE,"CAPTHREE"}</definedName>
    <definedName name="wrn.p854._.addendum2_1_1_3_2" hidden="1">{#N/A,#N/A,FALSE,"mgtsum.XLS";#N/A,#N/A,FALSE,"CAPONE";#N/A,#N/A,FALSE,"CAPTWO";#N/A,#N/A,FALSE,"CAPTHREE"}</definedName>
    <definedName name="wrn.p854._.addendum2_1_1_3_3" hidden="1">{#N/A,#N/A,FALSE,"mgtsum.XLS";#N/A,#N/A,FALSE,"CAPONE";#N/A,#N/A,FALSE,"CAPTWO";#N/A,#N/A,FALSE,"CAPTHREE"}</definedName>
    <definedName name="wrn.p854._.addendum2_1_1_3_4" hidden="1">{#N/A,#N/A,FALSE,"mgtsum.XLS";#N/A,#N/A,FALSE,"CAPONE";#N/A,#N/A,FALSE,"CAPTWO";#N/A,#N/A,FALSE,"CAPTHREE"}</definedName>
    <definedName name="wrn.p854._.addendum2_1_1_3_5" hidden="1">{#N/A,#N/A,FALSE,"mgtsum.XLS";#N/A,#N/A,FALSE,"CAPONE";#N/A,#N/A,FALSE,"CAPTWO";#N/A,#N/A,FALSE,"CAPTHREE"}</definedName>
    <definedName name="wrn.p854._.addendum2_1_1_4" hidden="1">{#N/A,#N/A,FALSE,"mgtsum.XLS";#N/A,#N/A,FALSE,"CAPONE";#N/A,#N/A,FALSE,"CAPTWO";#N/A,#N/A,FALSE,"CAPTHREE"}</definedName>
    <definedName name="wrn.p854._.addendum2_1_1_5" hidden="1">{#N/A,#N/A,FALSE,"mgtsum.XLS";#N/A,#N/A,FALSE,"CAPONE";#N/A,#N/A,FALSE,"CAPTWO";#N/A,#N/A,FALSE,"CAPTHREE"}</definedName>
    <definedName name="wrn.p854._.addendum2_1_2" hidden="1">{#N/A,#N/A,FALSE,"mgtsum.XLS";#N/A,#N/A,FALSE,"CAPONE";#N/A,#N/A,FALSE,"CAPTWO";#N/A,#N/A,FALSE,"CAPTHREE"}</definedName>
    <definedName name="wrn.p854._.addendum2_1_2_1" hidden="1">{#N/A,#N/A,FALSE,"mgtsum.XLS";#N/A,#N/A,FALSE,"CAPONE";#N/A,#N/A,FALSE,"CAPTWO";#N/A,#N/A,FALSE,"CAPTHREE"}</definedName>
    <definedName name="wrn.p854._.addendum2_1_2_1_1" hidden="1">{#N/A,#N/A,FALSE,"mgtsum.XLS";#N/A,#N/A,FALSE,"CAPONE";#N/A,#N/A,FALSE,"CAPTWO";#N/A,#N/A,FALSE,"CAPTHREE"}</definedName>
    <definedName name="wrn.p854._.addendum2_1_2_1_2" hidden="1">{#N/A,#N/A,FALSE,"mgtsum.XLS";#N/A,#N/A,FALSE,"CAPONE";#N/A,#N/A,FALSE,"CAPTWO";#N/A,#N/A,FALSE,"CAPTHREE"}</definedName>
    <definedName name="wrn.p854._.addendum2_1_2_1_3" hidden="1">{#N/A,#N/A,FALSE,"mgtsum.XLS";#N/A,#N/A,FALSE,"CAPONE";#N/A,#N/A,FALSE,"CAPTWO";#N/A,#N/A,FALSE,"CAPTHREE"}</definedName>
    <definedName name="wrn.p854._.addendum2_1_2_1_4" hidden="1">{#N/A,#N/A,FALSE,"mgtsum.XLS";#N/A,#N/A,FALSE,"CAPONE";#N/A,#N/A,FALSE,"CAPTWO";#N/A,#N/A,FALSE,"CAPTHREE"}</definedName>
    <definedName name="wrn.p854._.addendum2_1_2_1_5" hidden="1">{#N/A,#N/A,FALSE,"mgtsum.XLS";#N/A,#N/A,FALSE,"CAPONE";#N/A,#N/A,FALSE,"CAPTWO";#N/A,#N/A,FALSE,"CAPTHREE"}</definedName>
    <definedName name="wrn.p854._.addendum2_1_2_2" hidden="1">{#N/A,#N/A,FALSE,"mgtsum.XLS";#N/A,#N/A,FALSE,"CAPONE";#N/A,#N/A,FALSE,"CAPTWO";#N/A,#N/A,FALSE,"CAPTHREE"}</definedName>
    <definedName name="wrn.p854._.addendum2_1_2_2_1" hidden="1">{#N/A,#N/A,FALSE,"mgtsum.XLS";#N/A,#N/A,FALSE,"CAPONE";#N/A,#N/A,FALSE,"CAPTWO";#N/A,#N/A,FALSE,"CAPTHREE"}</definedName>
    <definedName name="wrn.p854._.addendum2_1_2_2_2" hidden="1">{#N/A,#N/A,FALSE,"mgtsum.XLS";#N/A,#N/A,FALSE,"CAPONE";#N/A,#N/A,FALSE,"CAPTWO";#N/A,#N/A,FALSE,"CAPTHREE"}</definedName>
    <definedName name="wrn.p854._.addendum2_1_2_2_3" hidden="1">{#N/A,#N/A,FALSE,"mgtsum.XLS";#N/A,#N/A,FALSE,"CAPONE";#N/A,#N/A,FALSE,"CAPTWO";#N/A,#N/A,FALSE,"CAPTHREE"}</definedName>
    <definedName name="wrn.p854._.addendum2_1_2_2_4" hidden="1">{#N/A,#N/A,FALSE,"mgtsum.XLS";#N/A,#N/A,FALSE,"CAPONE";#N/A,#N/A,FALSE,"CAPTWO";#N/A,#N/A,FALSE,"CAPTHREE"}</definedName>
    <definedName name="wrn.p854._.addendum2_1_2_2_5" hidden="1">{#N/A,#N/A,FALSE,"mgtsum.XLS";#N/A,#N/A,FALSE,"CAPONE";#N/A,#N/A,FALSE,"CAPTWO";#N/A,#N/A,FALSE,"CAPTHREE"}</definedName>
    <definedName name="wrn.p854._.addendum2_1_2_3" hidden="1">{#N/A,#N/A,FALSE,"mgtsum.XLS";#N/A,#N/A,FALSE,"CAPONE";#N/A,#N/A,FALSE,"CAPTWO";#N/A,#N/A,FALSE,"CAPTHREE"}</definedName>
    <definedName name="wrn.p854._.addendum2_1_2_4" hidden="1">{#N/A,#N/A,FALSE,"mgtsum.XLS";#N/A,#N/A,FALSE,"CAPONE";#N/A,#N/A,FALSE,"CAPTWO";#N/A,#N/A,FALSE,"CAPTHREE"}</definedName>
    <definedName name="wrn.p854._.addendum2_1_2_5" hidden="1">{#N/A,#N/A,FALSE,"mgtsum.XLS";#N/A,#N/A,FALSE,"CAPONE";#N/A,#N/A,FALSE,"CAPTWO";#N/A,#N/A,FALSE,"CAPTHREE"}</definedName>
    <definedName name="wrn.p854._.addendum2_1_3" hidden="1">{#N/A,#N/A,FALSE,"mgtsum.XLS";#N/A,#N/A,FALSE,"CAPONE";#N/A,#N/A,FALSE,"CAPTWO";#N/A,#N/A,FALSE,"CAPTHREE"}</definedName>
    <definedName name="wrn.p854._.addendum2_1_3_1" hidden="1">{#N/A,#N/A,FALSE,"mgtsum.XLS";#N/A,#N/A,FALSE,"CAPONE";#N/A,#N/A,FALSE,"CAPTWO";#N/A,#N/A,FALSE,"CAPTHREE"}</definedName>
    <definedName name="wrn.p854._.addendum2_1_3_1_1" hidden="1">{#N/A,#N/A,FALSE,"mgtsum.XLS";#N/A,#N/A,FALSE,"CAPONE";#N/A,#N/A,FALSE,"CAPTWO";#N/A,#N/A,FALSE,"CAPTHREE"}</definedName>
    <definedName name="wrn.p854._.addendum2_1_3_1_2" hidden="1">{#N/A,#N/A,FALSE,"mgtsum.XLS";#N/A,#N/A,FALSE,"CAPONE";#N/A,#N/A,FALSE,"CAPTWO";#N/A,#N/A,FALSE,"CAPTHREE"}</definedName>
    <definedName name="wrn.p854._.addendum2_1_3_1_3" hidden="1">{#N/A,#N/A,FALSE,"mgtsum.XLS";#N/A,#N/A,FALSE,"CAPONE";#N/A,#N/A,FALSE,"CAPTWO";#N/A,#N/A,FALSE,"CAPTHREE"}</definedName>
    <definedName name="wrn.p854._.addendum2_1_3_1_4" hidden="1">{#N/A,#N/A,FALSE,"mgtsum.XLS";#N/A,#N/A,FALSE,"CAPONE";#N/A,#N/A,FALSE,"CAPTWO";#N/A,#N/A,FALSE,"CAPTHREE"}</definedName>
    <definedName name="wrn.p854._.addendum2_1_3_1_5" hidden="1">{#N/A,#N/A,FALSE,"mgtsum.XLS";#N/A,#N/A,FALSE,"CAPONE";#N/A,#N/A,FALSE,"CAPTWO";#N/A,#N/A,FALSE,"CAPTHREE"}</definedName>
    <definedName name="wrn.p854._.addendum2_1_3_2" hidden="1">{#N/A,#N/A,FALSE,"mgtsum.XLS";#N/A,#N/A,FALSE,"CAPONE";#N/A,#N/A,FALSE,"CAPTWO";#N/A,#N/A,FALSE,"CAPTHREE"}</definedName>
    <definedName name="wrn.p854._.addendum2_1_3_2_1" hidden="1">{#N/A,#N/A,FALSE,"mgtsum.XLS";#N/A,#N/A,FALSE,"CAPONE";#N/A,#N/A,FALSE,"CAPTWO";#N/A,#N/A,FALSE,"CAPTHREE"}</definedName>
    <definedName name="wrn.p854._.addendum2_1_3_2_2" hidden="1">{#N/A,#N/A,FALSE,"mgtsum.XLS";#N/A,#N/A,FALSE,"CAPONE";#N/A,#N/A,FALSE,"CAPTWO";#N/A,#N/A,FALSE,"CAPTHREE"}</definedName>
    <definedName name="wrn.p854._.addendum2_1_3_2_3" hidden="1">{#N/A,#N/A,FALSE,"mgtsum.XLS";#N/A,#N/A,FALSE,"CAPONE";#N/A,#N/A,FALSE,"CAPTWO";#N/A,#N/A,FALSE,"CAPTHREE"}</definedName>
    <definedName name="wrn.p854._.addendum2_1_3_2_4" hidden="1">{#N/A,#N/A,FALSE,"mgtsum.XLS";#N/A,#N/A,FALSE,"CAPONE";#N/A,#N/A,FALSE,"CAPTWO";#N/A,#N/A,FALSE,"CAPTHREE"}</definedName>
    <definedName name="wrn.p854._.addendum2_1_3_2_5" hidden="1">{#N/A,#N/A,FALSE,"mgtsum.XLS";#N/A,#N/A,FALSE,"CAPONE";#N/A,#N/A,FALSE,"CAPTWO";#N/A,#N/A,FALSE,"CAPTHREE"}</definedName>
    <definedName name="wrn.p854._.addendum2_1_3_3" hidden="1">{#N/A,#N/A,FALSE,"mgtsum.XLS";#N/A,#N/A,FALSE,"CAPONE";#N/A,#N/A,FALSE,"CAPTWO";#N/A,#N/A,FALSE,"CAPTHREE"}</definedName>
    <definedName name="wrn.p854._.addendum2_1_3_4" hidden="1">{#N/A,#N/A,FALSE,"mgtsum.XLS";#N/A,#N/A,FALSE,"CAPONE";#N/A,#N/A,FALSE,"CAPTWO";#N/A,#N/A,FALSE,"CAPTHREE"}</definedName>
    <definedName name="wrn.p854._.addendum2_1_3_5" hidden="1">{#N/A,#N/A,FALSE,"mgtsum.XLS";#N/A,#N/A,FALSE,"CAPONE";#N/A,#N/A,FALSE,"CAPTWO";#N/A,#N/A,FALSE,"CAPTHREE"}</definedName>
    <definedName name="wrn.p854._.addendum2_1_4" hidden="1">{#N/A,#N/A,FALSE,"mgtsum.XLS";#N/A,#N/A,FALSE,"CAPONE";#N/A,#N/A,FALSE,"CAPTWO";#N/A,#N/A,FALSE,"CAPTHREE"}</definedName>
    <definedName name="wrn.p854._.addendum2_1_4_1" hidden="1">{#N/A,#N/A,FALSE,"mgtsum.XLS";#N/A,#N/A,FALSE,"CAPONE";#N/A,#N/A,FALSE,"CAPTWO";#N/A,#N/A,FALSE,"CAPTHREE"}</definedName>
    <definedName name="wrn.p854._.addendum2_1_4_1_1" hidden="1">{#N/A,#N/A,FALSE,"mgtsum.XLS";#N/A,#N/A,FALSE,"CAPONE";#N/A,#N/A,FALSE,"CAPTWO";#N/A,#N/A,FALSE,"CAPTHREE"}</definedName>
    <definedName name="wrn.p854._.addendum2_1_4_1_2" hidden="1">{#N/A,#N/A,FALSE,"mgtsum.XLS";#N/A,#N/A,FALSE,"CAPONE";#N/A,#N/A,FALSE,"CAPTWO";#N/A,#N/A,FALSE,"CAPTHREE"}</definedName>
    <definedName name="wrn.p854._.addendum2_1_4_1_3" hidden="1">{#N/A,#N/A,FALSE,"mgtsum.XLS";#N/A,#N/A,FALSE,"CAPONE";#N/A,#N/A,FALSE,"CAPTWO";#N/A,#N/A,FALSE,"CAPTHREE"}</definedName>
    <definedName name="wrn.p854._.addendum2_1_4_1_4" hidden="1">{#N/A,#N/A,FALSE,"mgtsum.XLS";#N/A,#N/A,FALSE,"CAPONE";#N/A,#N/A,FALSE,"CAPTWO";#N/A,#N/A,FALSE,"CAPTHREE"}</definedName>
    <definedName name="wrn.p854._.addendum2_1_4_1_5" hidden="1">{#N/A,#N/A,FALSE,"mgtsum.XLS";#N/A,#N/A,FALSE,"CAPONE";#N/A,#N/A,FALSE,"CAPTWO";#N/A,#N/A,FALSE,"CAPTHREE"}</definedName>
    <definedName name="wrn.p854._.addendum2_1_4_2" hidden="1">{#N/A,#N/A,FALSE,"mgtsum.XLS";#N/A,#N/A,FALSE,"CAPONE";#N/A,#N/A,FALSE,"CAPTWO";#N/A,#N/A,FALSE,"CAPTHREE"}</definedName>
    <definedName name="wrn.p854._.addendum2_1_4_2_1" hidden="1">{#N/A,#N/A,FALSE,"mgtsum.XLS";#N/A,#N/A,FALSE,"CAPONE";#N/A,#N/A,FALSE,"CAPTWO";#N/A,#N/A,FALSE,"CAPTHREE"}</definedName>
    <definedName name="wrn.p854._.addendum2_1_4_2_2" hidden="1">{#N/A,#N/A,FALSE,"mgtsum.XLS";#N/A,#N/A,FALSE,"CAPONE";#N/A,#N/A,FALSE,"CAPTWO";#N/A,#N/A,FALSE,"CAPTHREE"}</definedName>
    <definedName name="wrn.p854._.addendum2_1_4_2_3" hidden="1">{#N/A,#N/A,FALSE,"mgtsum.XLS";#N/A,#N/A,FALSE,"CAPONE";#N/A,#N/A,FALSE,"CAPTWO";#N/A,#N/A,FALSE,"CAPTHREE"}</definedName>
    <definedName name="wrn.p854._.addendum2_1_4_2_4" hidden="1">{#N/A,#N/A,FALSE,"mgtsum.XLS";#N/A,#N/A,FALSE,"CAPONE";#N/A,#N/A,FALSE,"CAPTWO";#N/A,#N/A,FALSE,"CAPTHREE"}</definedName>
    <definedName name="wrn.p854._.addendum2_1_4_2_5" hidden="1">{#N/A,#N/A,FALSE,"mgtsum.XLS";#N/A,#N/A,FALSE,"CAPONE";#N/A,#N/A,FALSE,"CAPTWO";#N/A,#N/A,FALSE,"CAPTHREE"}</definedName>
    <definedName name="wrn.p854._.addendum2_1_4_3" hidden="1">{#N/A,#N/A,FALSE,"mgtsum.XLS";#N/A,#N/A,FALSE,"CAPONE";#N/A,#N/A,FALSE,"CAPTWO";#N/A,#N/A,FALSE,"CAPTHREE"}</definedName>
    <definedName name="wrn.p854._.addendum2_1_4_4" hidden="1">{#N/A,#N/A,FALSE,"mgtsum.XLS";#N/A,#N/A,FALSE,"CAPONE";#N/A,#N/A,FALSE,"CAPTWO";#N/A,#N/A,FALSE,"CAPTHREE"}</definedName>
    <definedName name="wrn.p854._.addendum2_1_4_5" hidden="1">{#N/A,#N/A,FALSE,"mgtsum.XLS";#N/A,#N/A,FALSE,"CAPONE";#N/A,#N/A,FALSE,"CAPTWO";#N/A,#N/A,FALSE,"CAPTHREE"}</definedName>
    <definedName name="wrn.p854._.addendum2_1_5" hidden="1">{#N/A,#N/A,FALSE,"mgtsum.XLS";#N/A,#N/A,FALSE,"CAPONE";#N/A,#N/A,FALSE,"CAPTWO";#N/A,#N/A,FALSE,"CAPTHREE"}</definedName>
    <definedName name="wrn.p854._.addendum2_1_5_1" hidden="1">{#N/A,#N/A,FALSE,"mgtsum.XLS";#N/A,#N/A,FALSE,"CAPONE";#N/A,#N/A,FALSE,"CAPTWO";#N/A,#N/A,FALSE,"CAPTHREE"}</definedName>
    <definedName name="wrn.p854._.addendum2_1_5_1_1" hidden="1">{#N/A,#N/A,FALSE,"mgtsum.XLS";#N/A,#N/A,FALSE,"CAPONE";#N/A,#N/A,FALSE,"CAPTWO";#N/A,#N/A,FALSE,"CAPTHREE"}</definedName>
    <definedName name="wrn.p854._.addendum2_1_5_1_2" hidden="1">{#N/A,#N/A,FALSE,"mgtsum.XLS";#N/A,#N/A,FALSE,"CAPONE";#N/A,#N/A,FALSE,"CAPTWO";#N/A,#N/A,FALSE,"CAPTHREE"}</definedName>
    <definedName name="wrn.p854._.addendum2_1_5_1_3" hidden="1">{#N/A,#N/A,FALSE,"mgtsum.XLS";#N/A,#N/A,FALSE,"CAPONE";#N/A,#N/A,FALSE,"CAPTWO";#N/A,#N/A,FALSE,"CAPTHREE"}</definedName>
    <definedName name="wrn.p854._.addendum2_1_5_1_4" hidden="1">{#N/A,#N/A,FALSE,"mgtsum.XLS";#N/A,#N/A,FALSE,"CAPONE";#N/A,#N/A,FALSE,"CAPTWO";#N/A,#N/A,FALSE,"CAPTHREE"}</definedName>
    <definedName name="wrn.p854._.addendum2_1_5_1_5" hidden="1">{#N/A,#N/A,FALSE,"mgtsum.XLS";#N/A,#N/A,FALSE,"CAPONE";#N/A,#N/A,FALSE,"CAPTWO";#N/A,#N/A,FALSE,"CAPTHREE"}</definedName>
    <definedName name="wrn.p854._.addendum2_1_5_2" hidden="1">{#N/A,#N/A,FALSE,"mgtsum.XLS";#N/A,#N/A,FALSE,"CAPONE";#N/A,#N/A,FALSE,"CAPTWO";#N/A,#N/A,FALSE,"CAPTHREE"}</definedName>
    <definedName name="wrn.p854._.addendum2_1_5_2_1" hidden="1">{#N/A,#N/A,FALSE,"mgtsum.XLS";#N/A,#N/A,FALSE,"CAPONE";#N/A,#N/A,FALSE,"CAPTWO";#N/A,#N/A,FALSE,"CAPTHREE"}</definedName>
    <definedName name="wrn.p854._.addendum2_1_5_2_2" hidden="1">{#N/A,#N/A,FALSE,"mgtsum.XLS";#N/A,#N/A,FALSE,"CAPONE";#N/A,#N/A,FALSE,"CAPTWO";#N/A,#N/A,FALSE,"CAPTHREE"}</definedName>
    <definedName name="wrn.p854._.addendum2_1_5_2_3" hidden="1">{#N/A,#N/A,FALSE,"mgtsum.XLS";#N/A,#N/A,FALSE,"CAPONE";#N/A,#N/A,FALSE,"CAPTWO";#N/A,#N/A,FALSE,"CAPTHREE"}</definedName>
    <definedName name="wrn.p854._.addendum2_1_5_2_4" hidden="1">{#N/A,#N/A,FALSE,"mgtsum.XLS";#N/A,#N/A,FALSE,"CAPONE";#N/A,#N/A,FALSE,"CAPTWO";#N/A,#N/A,FALSE,"CAPTHREE"}</definedName>
    <definedName name="wrn.p854._.addendum2_1_5_2_5" hidden="1">{#N/A,#N/A,FALSE,"mgtsum.XLS";#N/A,#N/A,FALSE,"CAPONE";#N/A,#N/A,FALSE,"CAPTWO";#N/A,#N/A,FALSE,"CAPTHREE"}</definedName>
    <definedName name="wrn.p854._.addendum2_1_5_3" hidden="1">{#N/A,#N/A,FALSE,"mgtsum.XLS";#N/A,#N/A,FALSE,"CAPONE";#N/A,#N/A,FALSE,"CAPTWO";#N/A,#N/A,FALSE,"CAPTHREE"}</definedName>
    <definedName name="wrn.p854._.addendum2_1_5_4" hidden="1">{#N/A,#N/A,FALSE,"mgtsum.XLS";#N/A,#N/A,FALSE,"CAPONE";#N/A,#N/A,FALSE,"CAPTWO";#N/A,#N/A,FALSE,"CAPTHREE"}</definedName>
    <definedName name="wrn.p854._.addendum2_1_5_5" hidden="1">{#N/A,#N/A,FALSE,"mgtsum.XLS";#N/A,#N/A,FALSE,"CAPONE";#N/A,#N/A,FALSE,"CAPTWO";#N/A,#N/A,FALSE,"CAPTHREE"}</definedName>
    <definedName name="wrn.p854._.addendum2_2" hidden="1">{#N/A,#N/A,FALSE,"mgtsum.XLS";#N/A,#N/A,FALSE,"CAPONE";#N/A,#N/A,FALSE,"CAPTWO";#N/A,#N/A,FALSE,"CAPTHREE"}</definedName>
    <definedName name="wrn.p854._.addendum2_2_1" hidden="1">{#N/A,#N/A,FALSE,"mgtsum.XLS";#N/A,#N/A,FALSE,"CAPONE";#N/A,#N/A,FALSE,"CAPTWO";#N/A,#N/A,FALSE,"CAPTHREE"}</definedName>
    <definedName name="wrn.p854._.addendum2_2_1_1" hidden="1">{#N/A,#N/A,FALSE,"mgtsum.XLS";#N/A,#N/A,FALSE,"CAPONE";#N/A,#N/A,FALSE,"CAPTWO";#N/A,#N/A,FALSE,"CAPTHREE"}</definedName>
    <definedName name="wrn.p854._.addendum2_2_1_1_1" hidden="1">{#N/A,#N/A,FALSE,"mgtsum.XLS";#N/A,#N/A,FALSE,"CAPONE";#N/A,#N/A,FALSE,"CAPTWO";#N/A,#N/A,FALSE,"CAPTHREE"}</definedName>
    <definedName name="wrn.p854._.addendum2_2_1_1_2" hidden="1">{#N/A,#N/A,FALSE,"mgtsum.XLS";#N/A,#N/A,FALSE,"CAPONE";#N/A,#N/A,FALSE,"CAPTWO";#N/A,#N/A,FALSE,"CAPTHREE"}</definedName>
    <definedName name="wrn.p854._.addendum2_2_1_1_3" hidden="1">{#N/A,#N/A,FALSE,"mgtsum.XLS";#N/A,#N/A,FALSE,"CAPONE";#N/A,#N/A,FALSE,"CAPTWO";#N/A,#N/A,FALSE,"CAPTHREE"}</definedName>
    <definedName name="wrn.p854._.addendum2_2_1_1_4" hidden="1">{#N/A,#N/A,FALSE,"mgtsum.XLS";#N/A,#N/A,FALSE,"CAPONE";#N/A,#N/A,FALSE,"CAPTWO";#N/A,#N/A,FALSE,"CAPTHREE"}</definedName>
    <definedName name="wrn.p854._.addendum2_2_1_1_5" hidden="1">{#N/A,#N/A,FALSE,"mgtsum.XLS";#N/A,#N/A,FALSE,"CAPONE";#N/A,#N/A,FALSE,"CAPTWO";#N/A,#N/A,FALSE,"CAPTHREE"}</definedName>
    <definedName name="wrn.p854._.addendum2_2_1_2" hidden="1">{#N/A,#N/A,FALSE,"mgtsum.XLS";#N/A,#N/A,FALSE,"CAPONE";#N/A,#N/A,FALSE,"CAPTWO";#N/A,#N/A,FALSE,"CAPTHREE"}</definedName>
    <definedName name="wrn.p854._.addendum2_2_1_2_1" hidden="1">{#N/A,#N/A,FALSE,"mgtsum.XLS";#N/A,#N/A,FALSE,"CAPONE";#N/A,#N/A,FALSE,"CAPTWO";#N/A,#N/A,FALSE,"CAPTHREE"}</definedName>
    <definedName name="wrn.p854._.addendum2_2_1_2_2" hidden="1">{#N/A,#N/A,FALSE,"mgtsum.XLS";#N/A,#N/A,FALSE,"CAPONE";#N/A,#N/A,FALSE,"CAPTWO";#N/A,#N/A,FALSE,"CAPTHREE"}</definedName>
    <definedName name="wrn.p854._.addendum2_2_1_2_3" hidden="1">{#N/A,#N/A,FALSE,"mgtsum.XLS";#N/A,#N/A,FALSE,"CAPONE";#N/A,#N/A,FALSE,"CAPTWO";#N/A,#N/A,FALSE,"CAPTHREE"}</definedName>
    <definedName name="wrn.p854._.addendum2_2_1_2_4" hidden="1">{#N/A,#N/A,FALSE,"mgtsum.XLS";#N/A,#N/A,FALSE,"CAPONE";#N/A,#N/A,FALSE,"CAPTWO";#N/A,#N/A,FALSE,"CAPTHREE"}</definedName>
    <definedName name="wrn.p854._.addendum2_2_1_2_5" hidden="1">{#N/A,#N/A,FALSE,"mgtsum.XLS";#N/A,#N/A,FALSE,"CAPONE";#N/A,#N/A,FALSE,"CAPTWO";#N/A,#N/A,FALSE,"CAPTHREE"}</definedName>
    <definedName name="wrn.p854._.addendum2_2_1_3" hidden="1">{#N/A,#N/A,FALSE,"mgtsum.XLS";#N/A,#N/A,FALSE,"CAPONE";#N/A,#N/A,FALSE,"CAPTWO";#N/A,#N/A,FALSE,"CAPTHREE"}</definedName>
    <definedName name="wrn.p854._.addendum2_2_1_3_1" hidden="1">{#N/A,#N/A,FALSE,"mgtsum.XLS";#N/A,#N/A,FALSE,"CAPONE";#N/A,#N/A,FALSE,"CAPTWO";#N/A,#N/A,FALSE,"CAPTHREE"}</definedName>
    <definedName name="wrn.p854._.addendum2_2_1_3_2" hidden="1">{#N/A,#N/A,FALSE,"mgtsum.XLS";#N/A,#N/A,FALSE,"CAPONE";#N/A,#N/A,FALSE,"CAPTWO";#N/A,#N/A,FALSE,"CAPTHREE"}</definedName>
    <definedName name="wrn.p854._.addendum2_2_1_3_3" hidden="1">{#N/A,#N/A,FALSE,"mgtsum.XLS";#N/A,#N/A,FALSE,"CAPONE";#N/A,#N/A,FALSE,"CAPTWO";#N/A,#N/A,FALSE,"CAPTHREE"}</definedName>
    <definedName name="wrn.p854._.addendum2_2_1_3_4" hidden="1">{#N/A,#N/A,FALSE,"mgtsum.XLS";#N/A,#N/A,FALSE,"CAPONE";#N/A,#N/A,FALSE,"CAPTWO";#N/A,#N/A,FALSE,"CAPTHREE"}</definedName>
    <definedName name="wrn.p854._.addendum2_2_1_3_5" hidden="1">{#N/A,#N/A,FALSE,"mgtsum.XLS";#N/A,#N/A,FALSE,"CAPONE";#N/A,#N/A,FALSE,"CAPTWO";#N/A,#N/A,FALSE,"CAPTHREE"}</definedName>
    <definedName name="wrn.p854._.addendum2_2_1_4" hidden="1">{#N/A,#N/A,FALSE,"mgtsum.XLS";#N/A,#N/A,FALSE,"CAPONE";#N/A,#N/A,FALSE,"CAPTWO";#N/A,#N/A,FALSE,"CAPTHREE"}</definedName>
    <definedName name="wrn.p854._.addendum2_2_1_5" hidden="1">{#N/A,#N/A,FALSE,"mgtsum.XLS";#N/A,#N/A,FALSE,"CAPONE";#N/A,#N/A,FALSE,"CAPTWO";#N/A,#N/A,FALSE,"CAPTHREE"}</definedName>
    <definedName name="wrn.p854._.addendum2_2_2" hidden="1">{#N/A,#N/A,FALSE,"mgtsum.XLS";#N/A,#N/A,FALSE,"CAPONE";#N/A,#N/A,FALSE,"CAPTWO";#N/A,#N/A,FALSE,"CAPTHREE"}</definedName>
    <definedName name="wrn.p854._.addendum2_2_2_1" hidden="1">{#N/A,#N/A,FALSE,"mgtsum.XLS";#N/A,#N/A,FALSE,"CAPONE";#N/A,#N/A,FALSE,"CAPTWO";#N/A,#N/A,FALSE,"CAPTHREE"}</definedName>
    <definedName name="wrn.p854._.addendum2_2_2_1_1" hidden="1">{#N/A,#N/A,FALSE,"mgtsum.XLS";#N/A,#N/A,FALSE,"CAPONE";#N/A,#N/A,FALSE,"CAPTWO";#N/A,#N/A,FALSE,"CAPTHREE"}</definedName>
    <definedName name="wrn.p854._.addendum2_2_2_1_2" hidden="1">{#N/A,#N/A,FALSE,"mgtsum.XLS";#N/A,#N/A,FALSE,"CAPONE";#N/A,#N/A,FALSE,"CAPTWO";#N/A,#N/A,FALSE,"CAPTHREE"}</definedName>
    <definedName name="wrn.p854._.addendum2_2_2_1_3" hidden="1">{#N/A,#N/A,FALSE,"mgtsum.XLS";#N/A,#N/A,FALSE,"CAPONE";#N/A,#N/A,FALSE,"CAPTWO";#N/A,#N/A,FALSE,"CAPTHREE"}</definedName>
    <definedName name="wrn.p854._.addendum2_2_2_1_4" hidden="1">{#N/A,#N/A,FALSE,"mgtsum.XLS";#N/A,#N/A,FALSE,"CAPONE";#N/A,#N/A,FALSE,"CAPTWO";#N/A,#N/A,FALSE,"CAPTHREE"}</definedName>
    <definedName name="wrn.p854._.addendum2_2_2_1_5" hidden="1">{#N/A,#N/A,FALSE,"mgtsum.XLS";#N/A,#N/A,FALSE,"CAPONE";#N/A,#N/A,FALSE,"CAPTWO";#N/A,#N/A,FALSE,"CAPTHREE"}</definedName>
    <definedName name="wrn.p854._.addendum2_2_2_2" hidden="1">{#N/A,#N/A,FALSE,"mgtsum.XLS";#N/A,#N/A,FALSE,"CAPONE";#N/A,#N/A,FALSE,"CAPTWO";#N/A,#N/A,FALSE,"CAPTHREE"}</definedName>
    <definedName name="wrn.p854._.addendum2_2_2_2_1" hidden="1">{#N/A,#N/A,FALSE,"mgtsum.XLS";#N/A,#N/A,FALSE,"CAPONE";#N/A,#N/A,FALSE,"CAPTWO";#N/A,#N/A,FALSE,"CAPTHREE"}</definedName>
    <definedName name="wrn.p854._.addendum2_2_2_2_2" hidden="1">{#N/A,#N/A,FALSE,"mgtsum.XLS";#N/A,#N/A,FALSE,"CAPONE";#N/A,#N/A,FALSE,"CAPTWO";#N/A,#N/A,FALSE,"CAPTHREE"}</definedName>
    <definedName name="wrn.p854._.addendum2_2_2_2_3" hidden="1">{#N/A,#N/A,FALSE,"mgtsum.XLS";#N/A,#N/A,FALSE,"CAPONE";#N/A,#N/A,FALSE,"CAPTWO";#N/A,#N/A,FALSE,"CAPTHREE"}</definedName>
    <definedName name="wrn.p854._.addendum2_2_2_2_4" hidden="1">{#N/A,#N/A,FALSE,"mgtsum.XLS";#N/A,#N/A,FALSE,"CAPONE";#N/A,#N/A,FALSE,"CAPTWO";#N/A,#N/A,FALSE,"CAPTHREE"}</definedName>
    <definedName name="wrn.p854._.addendum2_2_2_2_5" hidden="1">{#N/A,#N/A,FALSE,"mgtsum.XLS";#N/A,#N/A,FALSE,"CAPONE";#N/A,#N/A,FALSE,"CAPTWO";#N/A,#N/A,FALSE,"CAPTHREE"}</definedName>
    <definedName name="wrn.p854._.addendum2_2_2_3" hidden="1">{#N/A,#N/A,FALSE,"mgtsum.XLS";#N/A,#N/A,FALSE,"CAPONE";#N/A,#N/A,FALSE,"CAPTWO";#N/A,#N/A,FALSE,"CAPTHREE"}</definedName>
    <definedName name="wrn.p854._.addendum2_2_2_4" hidden="1">{#N/A,#N/A,FALSE,"mgtsum.XLS";#N/A,#N/A,FALSE,"CAPONE";#N/A,#N/A,FALSE,"CAPTWO";#N/A,#N/A,FALSE,"CAPTHREE"}</definedName>
    <definedName name="wrn.p854._.addendum2_2_2_5" hidden="1">{#N/A,#N/A,FALSE,"mgtsum.XLS";#N/A,#N/A,FALSE,"CAPONE";#N/A,#N/A,FALSE,"CAPTWO";#N/A,#N/A,FALSE,"CAPTHREE"}</definedName>
    <definedName name="wrn.p854._.addendum2_2_3" hidden="1">{#N/A,#N/A,FALSE,"mgtsum.XLS";#N/A,#N/A,FALSE,"CAPONE";#N/A,#N/A,FALSE,"CAPTWO";#N/A,#N/A,FALSE,"CAPTHREE"}</definedName>
    <definedName name="wrn.p854._.addendum2_2_3_1" hidden="1">{#N/A,#N/A,FALSE,"mgtsum.XLS";#N/A,#N/A,FALSE,"CAPONE";#N/A,#N/A,FALSE,"CAPTWO";#N/A,#N/A,FALSE,"CAPTHREE"}</definedName>
    <definedName name="wrn.p854._.addendum2_2_3_1_1" hidden="1">{#N/A,#N/A,FALSE,"mgtsum.XLS";#N/A,#N/A,FALSE,"CAPONE";#N/A,#N/A,FALSE,"CAPTWO";#N/A,#N/A,FALSE,"CAPTHREE"}</definedName>
    <definedName name="wrn.p854._.addendum2_2_3_1_2" hidden="1">{#N/A,#N/A,FALSE,"mgtsum.XLS";#N/A,#N/A,FALSE,"CAPONE";#N/A,#N/A,FALSE,"CAPTWO";#N/A,#N/A,FALSE,"CAPTHREE"}</definedName>
    <definedName name="wrn.p854._.addendum2_2_3_1_3" hidden="1">{#N/A,#N/A,FALSE,"mgtsum.XLS";#N/A,#N/A,FALSE,"CAPONE";#N/A,#N/A,FALSE,"CAPTWO";#N/A,#N/A,FALSE,"CAPTHREE"}</definedName>
    <definedName name="wrn.p854._.addendum2_2_3_1_4" hidden="1">{#N/A,#N/A,FALSE,"mgtsum.XLS";#N/A,#N/A,FALSE,"CAPONE";#N/A,#N/A,FALSE,"CAPTWO";#N/A,#N/A,FALSE,"CAPTHREE"}</definedName>
    <definedName name="wrn.p854._.addendum2_2_3_1_5" hidden="1">{#N/A,#N/A,FALSE,"mgtsum.XLS";#N/A,#N/A,FALSE,"CAPONE";#N/A,#N/A,FALSE,"CAPTWO";#N/A,#N/A,FALSE,"CAPTHREE"}</definedName>
    <definedName name="wrn.p854._.addendum2_2_3_2" hidden="1">{#N/A,#N/A,FALSE,"mgtsum.XLS";#N/A,#N/A,FALSE,"CAPONE";#N/A,#N/A,FALSE,"CAPTWO";#N/A,#N/A,FALSE,"CAPTHREE"}</definedName>
    <definedName name="wrn.p854._.addendum2_2_3_2_1" hidden="1">{#N/A,#N/A,FALSE,"mgtsum.XLS";#N/A,#N/A,FALSE,"CAPONE";#N/A,#N/A,FALSE,"CAPTWO";#N/A,#N/A,FALSE,"CAPTHREE"}</definedName>
    <definedName name="wrn.p854._.addendum2_2_3_2_2" hidden="1">{#N/A,#N/A,FALSE,"mgtsum.XLS";#N/A,#N/A,FALSE,"CAPONE";#N/A,#N/A,FALSE,"CAPTWO";#N/A,#N/A,FALSE,"CAPTHREE"}</definedName>
    <definedName name="wrn.p854._.addendum2_2_3_2_3" hidden="1">{#N/A,#N/A,FALSE,"mgtsum.XLS";#N/A,#N/A,FALSE,"CAPONE";#N/A,#N/A,FALSE,"CAPTWO";#N/A,#N/A,FALSE,"CAPTHREE"}</definedName>
    <definedName name="wrn.p854._.addendum2_2_3_2_4" hidden="1">{#N/A,#N/A,FALSE,"mgtsum.XLS";#N/A,#N/A,FALSE,"CAPONE";#N/A,#N/A,FALSE,"CAPTWO";#N/A,#N/A,FALSE,"CAPTHREE"}</definedName>
    <definedName name="wrn.p854._.addendum2_2_3_2_5" hidden="1">{#N/A,#N/A,FALSE,"mgtsum.XLS";#N/A,#N/A,FALSE,"CAPONE";#N/A,#N/A,FALSE,"CAPTWO";#N/A,#N/A,FALSE,"CAPTHREE"}</definedName>
    <definedName name="wrn.p854._.addendum2_2_3_3" hidden="1">{#N/A,#N/A,FALSE,"mgtsum.XLS";#N/A,#N/A,FALSE,"CAPONE";#N/A,#N/A,FALSE,"CAPTWO";#N/A,#N/A,FALSE,"CAPTHREE"}</definedName>
    <definedName name="wrn.p854._.addendum2_2_3_4" hidden="1">{#N/A,#N/A,FALSE,"mgtsum.XLS";#N/A,#N/A,FALSE,"CAPONE";#N/A,#N/A,FALSE,"CAPTWO";#N/A,#N/A,FALSE,"CAPTHREE"}</definedName>
    <definedName name="wrn.p854._.addendum2_2_3_5" hidden="1">{#N/A,#N/A,FALSE,"mgtsum.XLS";#N/A,#N/A,FALSE,"CAPONE";#N/A,#N/A,FALSE,"CAPTWO";#N/A,#N/A,FALSE,"CAPTHREE"}</definedName>
    <definedName name="wrn.p854._.addendum2_2_4" hidden="1">{#N/A,#N/A,FALSE,"mgtsum.XLS";#N/A,#N/A,FALSE,"CAPONE";#N/A,#N/A,FALSE,"CAPTWO";#N/A,#N/A,FALSE,"CAPTHREE"}</definedName>
    <definedName name="wrn.p854._.addendum2_2_4_1" hidden="1">{#N/A,#N/A,FALSE,"mgtsum.XLS";#N/A,#N/A,FALSE,"CAPONE";#N/A,#N/A,FALSE,"CAPTWO";#N/A,#N/A,FALSE,"CAPTHREE"}</definedName>
    <definedName name="wrn.p854._.addendum2_2_4_1_1" hidden="1">{#N/A,#N/A,FALSE,"mgtsum.XLS";#N/A,#N/A,FALSE,"CAPONE";#N/A,#N/A,FALSE,"CAPTWO";#N/A,#N/A,FALSE,"CAPTHREE"}</definedName>
    <definedName name="wrn.p854._.addendum2_2_4_1_2" hidden="1">{#N/A,#N/A,FALSE,"mgtsum.XLS";#N/A,#N/A,FALSE,"CAPONE";#N/A,#N/A,FALSE,"CAPTWO";#N/A,#N/A,FALSE,"CAPTHREE"}</definedName>
    <definedName name="wrn.p854._.addendum2_2_4_1_3" hidden="1">{#N/A,#N/A,FALSE,"mgtsum.XLS";#N/A,#N/A,FALSE,"CAPONE";#N/A,#N/A,FALSE,"CAPTWO";#N/A,#N/A,FALSE,"CAPTHREE"}</definedName>
    <definedName name="wrn.p854._.addendum2_2_4_1_4" hidden="1">{#N/A,#N/A,FALSE,"mgtsum.XLS";#N/A,#N/A,FALSE,"CAPONE";#N/A,#N/A,FALSE,"CAPTWO";#N/A,#N/A,FALSE,"CAPTHREE"}</definedName>
    <definedName name="wrn.p854._.addendum2_2_4_1_5" hidden="1">{#N/A,#N/A,FALSE,"mgtsum.XLS";#N/A,#N/A,FALSE,"CAPONE";#N/A,#N/A,FALSE,"CAPTWO";#N/A,#N/A,FALSE,"CAPTHREE"}</definedName>
    <definedName name="wrn.p854._.addendum2_2_4_2" hidden="1">{#N/A,#N/A,FALSE,"mgtsum.XLS";#N/A,#N/A,FALSE,"CAPONE";#N/A,#N/A,FALSE,"CAPTWO";#N/A,#N/A,FALSE,"CAPTHREE"}</definedName>
    <definedName name="wrn.p854._.addendum2_2_4_2_1" hidden="1">{#N/A,#N/A,FALSE,"mgtsum.XLS";#N/A,#N/A,FALSE,"CAPONE";#N/A,#N/A,FALSE,"CAPTWO";#N/A,#N/A,FALSE,"CAPTHREE"}</definedName>
    <definedName name="wrn.p854._.addendum2_2_4_2_2" hidden="1">{#N/A,#N/A,FALSE,"mgtsum.XLS";#N/A,#N/A,FALSE,"CAPONE";#N/A,#N/A,FALSE,"CAPTWO";#N/A,#N/A,FALSE,"CAPTHREE"}</definedName>
    <definedName name="wrn.p854._.addendum2_2_4_2_3" hidden="1">{#N/A,#N/A,FALSE,"mgtsum.XLS";#N/A,#N/A,FALSE,"CAPONE";#N/A,#N/A,FALSE,"CAPTWO";#N/A,#N/A,FALSE,"CAPTHREE"}</definedName>
    <definedName name="wrn.p854._.addendum2_2_4_2_4" hidden="1">{#N/A,#N/A,FALSE,"mgtsum.XLS";#N/A,#N/A,FALSE,"CAPONE";#N/A,#N/A,FALSE,"CAPTWO";#N/A,#N/A,FALSE,"CAPTHREE"}</definedName>
    <definedName name="wrn.p854._.addendum2_2_4_2_5" hidden="1">{#N/A,#N/A,FALSE,"mgtsum.XLS";#N/A,#N/A,FALSE,"CAPONE";#N/A,#N/A,FALSE,"CAPTWO";#N/A,#N/A,FALSE,"CAPTHREE"}</definedName>
    <definedName name="wrn.p854._.addendum2_2_4_3" hidden="1">{#N/A,#N/A,FALSE,"mgtsum.XLS";#N/A,#N/A,FALSE,"CAPONE";#N/A,#N/A,FALSE,"CAPTWO";#N/A,#N/A,FALSE,"CAPTHREE"}</definedName>
    <definedName name="wrn.p854._.addendum2_2_4_4" hidden="1">{#N/A,#N/A,FALSE,"mgtsum.XLS";#N/A,#N/A,FALSE,"CAPONE";#N/A,#N/A,FALSE,"CAPTWO";#N/A,#N/A,FALSE,"CAPTHREE"}</definedName>
    <definedName name="wrn.p854._.addendum2_2_4_5" hidden="1">{#N/A,#N/A,FALSE,"mgtsum.XLS";#N/A,#N/A,FALSE,"CAPONE";#N/A,#N/A,FALSE,"CAPTWO";#N/A,#N/A,FALSE,"CAPTHREE"}</definedName>
    <definedName name="wrn.p854._.addendum2_2_5" hidden="1">{#N/A,#N/A,FALSE,"mgtsum.XLS";#N/A,#N/A,FALSE,"CAPONE";#N/A,#N/A,FALSE,"CAPTWO";#N/A,#N/A,FALSE,"CAPTHREE"}</definedName>
    <definedName name="wrn.p854._.addendum2_2_5_1" hidden="1">{#N/A,#N/A,FALSE,"mgtsum.XLS";#N/A,#N/A,FALSE,"CAPONE";#N/A,#N/A,FALSE,"CAPTWO";#N/A,#N/A,FALSE,"CAPTHREE"}</definedName>
    <definedName name="wrn.p854._.addendum2_2_5_2" hidden="1">{#N/A,#N/A,FALSE,"mgtsum.XLS";#N/A,#N/A,FALSE,"CAPONE";#N/A,#N/A,FALSE,"CAPTWO";#N/A,#N/A,FALSE,"CAPTHREE"}</definedName>
    <definedName name="wrn.p854._.addendum2_2_5_3" hidden="1">{#N/A,#N/A,FALSE,"mgtsum.XLS";#N/A,#N/A,FALSE,"CAPONE";#N/A,#N/A,FALSE,"CAPTWO";#N/A,#N/A,FALSE,"CAPTHREE"}</definedName>
    <definedName name="wrn.p854._.addendum2_2_5_4" hidden="1">{#N/A,#N/A,FALSE,"mgtsum.XLS";#N/A,#N/A,FALSE,"CAPONE";#N/A,#N/A,FALSE,"CAPTWO";#N/A,#N/A,FALSE,"CAPTHREE"}</definedName>
    <definedName name="wrn.p854._.addendum2_2_5_5" hidden="1">{#N/A,#N/A,FALSE,"mgtsum.XLS";#N/A,#N/A,FALSE,"CAPONE";#N/A,#N/A,FALSE,"CAPTWO";#N/A,#N/A,FALSE,"CAPTHREE"}</definedName>
    <definedName name="wrn.p854._.addendum2_3" hidden="1">{#N/A,#N/A,FALSE,"mgtsum.XLS";#N/A,#N/A,FALSE,"CAPONE";#N/A,#N/A,FALSE,"CAPTWO";#N/A,#N/A,FALSE,"CAPTHREE"}</definedName>
    <definedName name="wrn.p854._.addendum2_3_1" hidden="1">{#N/A,#N/A,FALSE,"mgtsum.XLS";#N/A,#N/A,FALSE,"CAPONE";#N/A,#N/A,FALSE,"CAPTWO";#N/A,#N/A,FALSE,"CAPTHREE"}</definedName>
    <definedName name="wrn.p854._.addendum2_3_1_1" hidden="1">{#N/A,#N/A,FALSE,"mgtsum.XLS";#N/A,#N/A,FALSE,"CAPONE";#N/A,#N/A,FALSE,"CAPTWO";#N/A,#N/A,FALSE,"CAPTHREE"}</definedName>
    <definedName name="wrn.p854._.addendum2_3_1_1_1" hidden="1">{#N/A,#N/A,FALSE,"mgtsum.XLS";#N/A,#N/A,FALSE,"CAPONE";#N/A,#N/A,FALSE,"CAPTWO";#N/A,#N/A,FALSE,"CAPTHREE"}</definedName>
    <definedName name="wrn.p854._.addendum2_3_1_1_2" hidden="1">{#N/A,#N/A,FALSE,"mgtsum.XLS";#N/A,#N/A,FALSE,"CAPONE";#N/A,#N/A,FALSE,"CAPTWO";#N/A,#N/A,FALSE,"CAPTHREE"}</definedName>
    <definedName name="wrn.p854._.addendum2_3_1_1_3" hidden="1">{#N/A,#N/A,FALSE,"mgtsum.XLS";#N/A,#N/A,FALSE,"CAPONE";#N/A,#N/A,FALSE,"CAPTWO";#N/A,#N/A,FALSE,"CAPTHREE"}</definedName>
    <definedName name="wrn.p854._.addendum2_3_1_1_4" hidden="1">{#N/A,#N/A,FALSE,"mgtsum.XLS";#N/A,#N/A,FALSE,"CAPONE";#N/A,#N/A,FALSE,"CAPTWO";#N/A,#N/A,FALSE,"CAPTHREE"}</definedName>
    <definedName name="wrn.p854._.addendum2_3_1_1_5" hidden="1">{#N/A,#N/A,FALSE,"mgtsum.XLS";#N/A,#N/A,FALSE,"CAPONE";#N/A,#N/A,FALSE,"CAPTWO";#N/A,#N/A,FALSE,"CAPTHREE"}</definedName>
    <definedName name="wrn.p854._.addendum2_3_1_2" hidden="1">{#N/A,#N/A,FALSE,"mgtsum.XLS";#N/A,#N/A,FALSE,"CAPONE";#N/A,#N/A,FALSE,"CAPTWO";#N/A,#N/A,FALSE,"CAPTHREE"}</definedName>
    <definedName name="wrn.p854._.addendum2_3_1_2_1" hidden="1">{#N/A,#N/A,FALSE,"mgtsum.XLS";#N/A,#N/A,FALSE,"CAPONE";#N/A,#N/A,FALSE,"CAPTWO";#N/A,#N/A,FALSE,"CAPTHREE"}</definedName>
    <definedName name="wrn.p854._.addendum2_3_1_2_2" hidden="1">{#N/A,#N/A,FALSE,"mgtsum.XLS";#N/A,#N/A,FALSE,"CAPONE";#N/A,#N/A,FALSE,"CAPTWO";#N/A,#N/A,FALSE,"CAPTHREE"}</definedName>
    <definedName name="wrn.p854._.addendum2_3_1_2_3" hidden="1">{#N/A,#N/A,FALSE,"mgtsum.XLS";#N/A,#N/A,FALSE,"CAPONE";#N/A,#N/A,FALSE,"CAPTWO";#N/A,#N/A,FALSE,"CAPTHREE"}</definedName>
    <definedName name="wrn.p854._.addendum2_3_1_2_4" hidden="1">{#N/A,#N/A,FALSE,"mgtsum.XLS";#N/A,#N/A,FALSE,"CAPONE";#N/A,#N/A,FALSE,"CAPTWO";#N/A,#N/A,FALSE,"CAPTHREE"}</definedName>
    <definedName name="wrn.p854._.addendum2_3_1_2_5" hidden="1">{#N/A,#N/A,FALSE,"mgtsum.XLS";#N/A,#N/A,FALSE,"CAPONE";#N/A,#N/A,FALSE,"CAPTWO";#N/A,#N/A,FALSE,"CAPTHREE"}</definedName>
    <definedName name="wrn.p854._.addendum2_3_1_3" hidden="1">{#N/A,#N/A,FALSE,"mgtsum.XLS";#N/A,#N/A,FALSE,"CAPONE";#N/A,#N/A,FALSE,"CAPTWO";#N/A,#N/A,FALSE,"CAPTHREE"}</definedName>
    <definedName name="wrn.p854._.addendum2_3_1_3_1" hidden="1">{#N/A,#N/A,FALSE,"mgtsum.XLS";#N/A,#N/A,FALSE,"CAPONE";#N/A,#N/A,FALSE,"CAPTWO";#N/A,#N/A,FALSE,"CAPTHREE"}</definedName>
    <definedName name="wrn.p854._.addendum2_3_1_3_2" hidden="1">{#N/A,#N/A,FALSE,"mgtsum.XLS";#N/A,#N/A,FALSE,"CAPONE";#N/A,#N/A,FALSE,"CAPTWO";#N/A,#N/A,FALSE,"CAPTHREE"}</definedName>
    <definedName name="wrn.p854._.addendum2_3_1_3_3" hidden="1">{#N/A,#N/A,FALSE,"mgtsum.XLS";#N/A,#N/A,FALSE,"CAPONE";#N/A,#N/A,FALSE,"CAPTWO";#N/A,#N/A,FALSE,"CAPTHREE"}</definedName>
    <definedName name="wrn.p854._.addendum2_3_1_3_4" hidden="1">{#N/A,#N/A,FALSE,"mgtsum.XLS";#N/A,#N/A,FALSE,"CAPONE";#N/A,#N/A,FALSE,"CAPTWO";#N/A,#N/A,FALSE,"CAPTHREE"}</definedName>
    <definedName name="wrn.p854._.addendum2_3_1_3_5" hidden="1">{#N/A,#N/A,FALSE,"mgtsum.XLS";#N/A,#N/A,FALSE,"CAPONE";#N/A,#N/A,FALSE,"CAPTWO";#N/A,#N/A,FALSE,"CAPTHREE"}</definedName>
    <definedName name="wrn.p854._.addendum2_3_1_4" hidden="1">{#N/A,#N/A,FALSE,"mgtsum.XLS";#N/A,#N/A,FALSE,"CAPONE";#N/A,#N/A,FALSE,"CAPTWO";#N/A,#N/A,FALSE,"CAPTHREE"}</definedName>
    <definedName name="wrn.p854._.addendum2_3_1_5" hidden="1">{#N/A,#N/A,FALSE,"mgtsum.XLS";#N/A,#N/A,FALSE,"CAPONE";#N/A,#N/A,FALSE,"CAPTWO";#N/A,#N/A,FALSE,"CAPTHREE"}</definedName>
    <definedName name="wrn.p854._.addendum2_3_2" hidden="1">{#N/A,#N/A,FALSE,"mgtsum.XLS";#N/A,#N/A,FALSE,"CAPONE";#N/A,#N/A,FALSE,"CAPTWO";#N/A,#N/A,FALSE,"CAPTHREE"}</definedName>
    <definedName name="wrn.p854._.addendum2_3_2_1" hidden="1">{#N/A,#N/A,FALSE,"mgtsum.XLS";#N/A,#N/A,FALSE,"CAPONE";#N/A,#N/A,FALSE,"CAPTWO";#N/A,#N/A,FALSE,"CAPTHREE"}</definedName>
    <definedName name="wrn.p854._.addendum2_3_2_1_1" hidden="1">{#N/A,#N/A,FALSE,"mgtsum.XLS";#N/A,#N/A,FALSE,"CAPONE";#N/A,#N/A,FALSE,"CAPTWO";#N/A,#N/A,FALSE,"CAPTHREE"}</definedName>
    <definedName name="wrn.p854._.addendum2_3_2_1_2" hidden="1">{#N/A,#N/A,FALSE,"mgtsum.XLS";#N/A,#N/A,FALSE,"CAPONE";#N/A,#N/A,FALSE,"CAPTWO";#N/A,#N/A,FALSE,"CAPTHREE"}</definedName>
    <definedName name="wrn.p854._.addendum2_3_2_1_3" hidden="1">{#N/A,#N/A,FALSE,"mgtsum.XLS";#N/A,#N/A,FALSE,"CAPONE";#N/A,#N/A,FALSE,"CAPTWO";#N/A,#N/A,FALSE,"CAPTHREE"}</definedName>
    <definedName name="wrn.p854._.addendum2_3_2_1_4" hidden="1">{#N/A,#N/A,FALSE,"mgtsum.XLS";#N/A,#N/A,FALSE,"CAPONE";#N/A,#N/A,FALSE,"CAPTWO";#N/A,#N/A,FALSE,"CAPTHREE"}</definedName>
    <definedName name="wrn.p854._.addendum2_3_2_1_5" hidden="1">{#N/A,#N/A,FALSE,"mgtsum.XLS";#N/A,#N/A,FALSE,"CAPONE";#N/A,#N/A,FALSE,"CAPTWO";#N/A,#N/A,FALSE,"CAPTHREE"}</definedName>
    <definedName name="wrn.p854._.addendum2_3_2_2" hidden="1">{#N/A,#N/A,FALSE,"mgtsum.XLS";#N/A,#N/A,FALSE,"CAPONE";#N/A,#N/A,FALSE,"CAPTWO";#N/A,#N/A,FALSE,"CAPTHREE"}</definedName>
    <definedName name="wrn.p854._.addendum2_3_2_2_1" hidden="1">{#N/A,#N/A,FALSE,"mgtsum.XLS";#N/A,#N/A,FALSE,"CAPONE";#N/A,#N/A,FALSE,"CAPTWO";#N/A,#N/A,FALSE,"CAPTHREE"}</definedName>
    <definedName name="wrn.p854._.addendum2_3_2_2_2" hidden="1">{#N/A,#N/A,FALSE,"mgtsum.XLS";#N/A,#N/A,FALSE,"CAPONE";#N/A,#N/A,FALSE,"CAPTWO";#N/A,#N/A,FALSE,"CAPTHREE"}</definedName>
    <definedName name="wrn.p854._.addendum2_3_2_2_3" hidden="1">{#N/A,#N/A,FALSE,"mgtsum.XLS";#N/A,#N/A,FALSE,"CAPONE";#N/A,#N/A,FALSE,"CAPTWO";#N/A,#N/A,FALSE,"CAPTHREE"}</definedName>
    <definedName name="wrn.p854._.addendum2_3_2_2_4" hidden="1">{#N/A,#N/A,FALSE,"mgtsum.XLS";#N/A,#N/A,FALSE,"CAPONE";#N/A,#N/A,FALSE,"CAPTWO";#N/A,#N/A,FALSE,"CAPTHREE"}</definedName>
    <definedName name="wrn.p854._.addendum2_3_2_2_5" hidden="1">{#N/A,#N/A,FALSE,"mgtsum.XLS";#N/A,#N/A,FALSE,"CAPONE";#N/A,#N/A,FALSE,"CAPTWO";#N/A,#N/A,FALSE,"CAPTHREE"}</definedName>
    <definedName name="wrn.p854._.addendum2_3_2_3" hidden="1">{#N/A,#N/A,FALSE,"mgtsum.XLS";#N/A,#N/A,FALSE,"CAPONE";#N/A,#N/A,FALSE,"CAPTWO";#N/A,#N/A,FALSE,"CAPTHREE"}</definedName>
    <definedName name="wrn.p854._.addendum2_3_2_4" hidden="1">{#N/A,#N/A,FALSE,"mgtsum.XLS";#N/A,#N/A,FALSE,"CAPONE";#N/A,#N/A,FALSE,"CAPTWO";#N/A,#N/A,FALSE,"CAPTHREE"}</definedName>
    <definedName name="wrn.p854._.addendum2_3_2_5" hidden="1">{#N/A,#N/A,FALSE,"mgtsum.XLS";#N/A,#N/A,FALSE,"CAPONE";#N/A,#N/A,FALSE,"CAPTWO";#N/A,#N/A,FALSE,"CAPTHREE"}</definedName>
    <definedName name="wrn.p854._.addendum2_3_3" hidden="1">{#N/A,#N/A,FALSE,"mgtsum.XLS";#N/A,#N/A,FALSE,"CAPONE";#N/A,#N/A,FALSE,"CAPTWO";#N/A,#N/A,FALSE,"CAPTHREE"}</definedName>
    <definedName name="wrn.p854._.addendum2_3_3_1" hidden="1">{#N/A,#N/A,FALSE,"mgtsum.XLS";#N/A,#N/A,FALSE,"CAPONE";#N/A,#N/A,FALSE,"CAPTWO";#N/A,#N/A,FALSE,"CAPTHREE"}</definedName>
    <definedName name="wrn.p854._.addendum2_3_3_1_1" hidden="1">{#N/A,#N/A,FALSE,"mgtsum.XLS";#N/A,#N/A,FALSE,"CAPONE";#N/A,#N/A,FALSE,"CAPTWO";#N/A,#N/A,FALSE,"CAPTHREE"}</definedName>
    <definedName name="wrn.p854._.addendum2_3_3_1_2" hidden="1">{#N/A,#N/A,FALSE,"mgtsum.XLS";#N/A,#N/A,FALSE,"CAPONE";#N/A,#N/A,FALSE,"CAPTWO";#N/A,#N/A,FALSE,"CAPTHREE"}</definedName>
    <definedName name="wrn.p854._.addendum2_3_3_1_3" hidden="1">{#N/A,#N/A,FALSE,"mgtsum.XLS";#N/A,#N/A,FALSE,"CAPONE";#N/A,#N/A,FALSE,"CAPTWO";#N/A,#N/A,FALSE,"CAPTHREE"}</definedName>
    <definedName name="wrn.p854._.addendum2_3_3_1_4" hidden="1">{#N/A,#N/A,FALSE,"mgtsum.XLS";#N/A,#N/A,FALSE,"CAPONE";#N/A,#N/A,FALSE,"CAPTWO";#N/A,#N/A,FALSE,"CAPTHREE"}</definedName>
    <definedName name="wrn.p854._.addendum2_3_3_1_5" hidden="1">{#N/A,#N/A,FALSE,"mgtsum.XLS";#N/A,#N/A,FALSE,"CAPONE";#N/A,#N/A,FALSE,"CAPTWO";#N/A,#N/A,FALSE,"CAPTHREE"}</definedName>
    <definedName name="wrn.p854._.addendum2_3_3_2" hidden="1">{#N/A,#N/A,FALSE,"mgtsum.XLS";#N/A,#N/A,FALSE,"CAPONE";#N/A,#N/A,FALSE,"CAPTWO";#N/A,#N/A,FALSE,"CAPTHREE"}</definedName>
    <definedName name="wrn.p854._.addendum2_3_3_2_1" hidden="1">{#N/A,#N/A,FALSE,"mgtsum.XLS";#N/A,#N/A,FALSE,"CAPONE";#N/A,#N/A,FALSE,"CAPTWO";#N/A,#N/A,FALSE,"CAPTHREE"}</definedName>
    <definedName name="wrn.p854._.addendum2_3_3_2_2" hidden="1">{#N/A,#N/A,FALSE,"mgtsum.XLS";#N/A,#N/A,FALSE,"CAPONE";#N/A,#N/A,FALSE,"CAPTWO";#N/A,#N/A,FALSE,"CAPTHREE"}</definedName>
    <definedName name="wrn.p854._.addendum2_3_3_2_3" hidden="1">{#N/A,#N/A,FALSE,"mgtsum.XLS";#N/A,#N/A,FALSE,"CAPONE";#N/A,#N/A,FALSE,"CAPTWO";#N/A,#N/A,FALSE,"CAPTHREE"}</definedName>
    <definedName name="wrn.p854._.addendum2_3_3_2_4" hidden="1">{#N/A,#N/A,FALSE,"mgtsum.XLS";#N/A,#N/A,FALSE,"CAPONE";#N/A,#N/A,FALSE,"CAPTWO";#N/A,#N/A,FALSE,"CAPTHREE"}</definedName>
    <definedName name="wrn.p854._.addendum2_3_3_2_5" hidden="1">{#N/A,#N/A,FALSE,"mgtsum.XLS";#N/A,#N/A,FALSE,"CAPONE";#N/A,#N/A,FALSE,"CAPTWO";#N/A,#N/A,FALSE,"CAPTHREE"}</definedName>
    <definedName name="wrn.p854._.addendum2_3_3_3" hidden="1">{#N/A,#N/A,FALSE,"mgtsum.XLS";#N/A,#N/A,FALSE,"CAPONE";#N/A,#N/A,FALSE,"CAPTWO";#N/A,#N/A,FALSE,"CAPTHREE"}</definedName>
    <definedName name="wrn.p854._.addendum2_3_3_4" hidden="1">{#N/A,#N/A,FALSE,"mgtsum.XLS";#N/A,#N/A,FALSE,"CAPONE";#N/A,#N/A,FALSE,"CAPTWO";#N/A,#N/A,FALSE,"CAPTHREE"}</definedName>
    <definedName name="wrn.p854._.addendum2_3_3_5" hidden="1">{#N/A,#N/A,FALSE,"mgtsum.XLS";#N/A,#N/A,FALSE,"CAPONE";#N/A,#N/A,FALSE,"CAPTWO";#N/A,#N/A,FALSE,"CAPTHREE"}</definedName>
    <definedName name="wrn.p854._.addendum2_3_4" hidden="1">{#N/A,#N/A,FALSE,"mgtsum.XLS";#N/A,#N/A,FALSE,"CAPONE";#N/A,#N/A,FALSE,"CAPTWO";#N/A,#N/A,FALSE,"CAPTHREE"}</definedName>
    <definedName name="wrn.p854._.addendum2_3_4_1" hidden="1">{#N/A,#N/A,FALSE,"mgtsum.XLS";#N/A,#N/A,FALSE,"CAPONE";#N/A,#N/A,FALSE,"CAPTWO";#N/A,#N/A,FALSE,"CAPTHREE"}</definedName>
    <definedName name="wrn.p854._.addendum2_3_4_1_1" hidden="1">{#N/A,#N/A,FALSE,"mgtsum.XLS";#N/A,#N/A,FALSE,"CAPONE";#N/A,#N/A,FALSE,"CAPTWO";#N/A,#N/A,FALSE,"CAPTHREE"}</definedName>
    <definedName name="wrn.p854._.addendum2_3_4_1_2" hidden="1">{#N/A,#N/A,FALSE,"mgtsum.XLS";#N/A,#N/A,FALSE,"CAPONE";#N/A,#N/A,FALSE,"CAPTWO";#N/A,#N/A,FALSE,"CAPTHREE"}</definedName>
    <definedName name="wrn.p854._.addendum2_3_4_1_3" hidden="1">{#N/A,#N/A,FALSE,"mgtsum.XLS";#N/A,#N/A,FALSE,"CAPONE";#N/A,#N/A,FALSE,"CAPTWO";#N/A,#N/A,FALSE,"CAPTHREE"}</definedName>
    <definedName name="wrn.p854._.addendum2_3_4_1_4" hidden="1">{#N/A,#N/A,FALSE,"mgtsum.XLS";#N/A,#N/A,FALSE,"CAPONE";#N/A,#N/A,FALSE,"CAPTWO";#N/A,#N/A,FALSE,"CAPTHREE"}</definedName>
    <definedName name="wrn.p854._.addendum2_3_4_1_5" hidden="1">{#N/A,#N/A,FALSE,"mgtsum.XLS";#N/A,#N/A,FALSE,"CAPONE";#N/A,#N/A,FALSE,"CAPTWO";#N/A,#N/A,FALSE,"CAPTHREE"}</definedName>
    <definedName name="wrn.p854._.addendum2_3_4_2" hidden="1">{#N/A,#N/A,FALSE,"mgtsum.XLS";#N/A,#N/A,FALSE,"CAPONE";#N/A,#N/A,FALSE,"CAPTWO";#N/A,#N/A,FALSE,"CAPTHREE"}</definedName>
    <definedName name="wrn.p854._.addendum2_3_4_2_1" hidden="1">{#N/A,#N/A,FALSE,"mgtsum.XLS";#N/A,#N/A,FALSE,"CAPONE";#N/A,#N/A,FALSE,"CAPTWO";#N/A,#N/A,FALSE,"CAPTHREE"}</definedName>
    <definedName name="wrn.p854._.addendum2_3_4_2_2" hidden="1">{#N/A,#N/A,FALSE,"mgtsum.XLS";#N/A,#N/A,FALSE,"CAPONE";#N/A,#N/A,FALSE,"CAPTWO";#N/A,#N/A,FALSE,"CAPTHREE"}</definedName>
    <definedName name="wrn.p854._.addendum2_3_4_2_3" hidden="1">{#N/A,#N/A,FALSE,"mgtsum.XLS";#N/A,#N/A,FALSE,"CAPONE";#N/A,#N/A,FALSE,"CAPTWO";#N/A,#N/A,FALSE,"CAPTHREE"}</definedName>
    <definedName name="wrn.p854._.addendum2_3_4_2_4" hidden="1">{#N/A,#N/A,FALSE,"mgtsum.XLS";#N/A,#N/A,FALSE,"CAPONE";#N/A,#N/A,FALSE,"CAPTWO";#N/A,#N/A,FALSE,"CAPTHREE"}</definedName>
    <definedName name="wrn.p854._.addendum2_3_4_2_5" hidden="1">{#N/A,#N/A,FALSE,"mgtsum.XLS";#N/A,#N/A,FALSE,"CAPONE";#N/A,#N/A,FALSE,"CAPTWO";#N/A,#N/A,FALSE,"CAPTHREE"}</definedName>
    <definedName name="wrn.p854._.addendum2_3_4_3" hidden="1">{#N/A,#N/A,FALSE,"mgtsum.XLS";#N/A,#N/A,FALSE,"CAPONE";#N/A,#N/A,FALSE,"CAPTWO";#N/A,#N/A,FALSE,"CAPTHREE"}</definedName>
    <definedName name="wrn.p854._.addendum2_3_4_4" hidden="1">{#N/A,#N/A,FALSE,"mgtsum.XLS";#N/A,#N/A,FALSE,"CAPONE";#N/A,#N/A,FALSE,"CAPTWO";#N/A,#N/A,FALSE,"CAPTHREE"}</definedName>
    <definedName name="wrn.p854._.addendum2_3_4_5" hidden="1">{#N/A,#N/A,FALSE,"mgtsum.XLS";#N/A,#N/A,FALSE,"CAPONE";#N/A,#N/A,FALSE,"CAPTWO";#N/A,#N/A,FALSE,"CAPTHREE"}</definedName>
    <definedName name="wrn.p854._.addendum2_3_5" hidden="1">{#N/A,#N/A,FALSE,"mgtsum.XLS";#N/A,#N/A,FALSE,"CAPONE";#N/A,#N/A,FALSE,"CAPTWO";#N/A,#N/A,FALSE,"CAPTHREE"}</definedName>
    <definedName name="wrn.p854._.addendum2_3_5_1" hidden="1">{#N/A,#N/A,FALSE,"mgtsum.XLS";#N/A,#N/A,FALSE,"CAPONE";#N/A,#N/A,FALSE,"CAPTWO";#N/A,#N/A,FALSE,"CAPTHREE"}</definedName>
    <definedName name="wrn.p854._.addendum2_3_5_2" hidden="1">{#N/A,#N/A,FALSE,"mgtsum.XLS";#N/A,#N/A,FALSE,"CAPONE";#N/A,#N/A,FALSE,"CAPTWO";#N/A,#N/A,FALSE,"CAPTHREE"}</definedName>
    <definedName name="wrn.p854._.addendum2_3_5_3" hidden="1">{#N/A,#N/A,FALSE,"mgtsum.XLS";#N/A,#N/A,FALSE,"CAPONE";#N/A,#N/A,FALSE,"CAPTWO";#N/A,#N/A,FALSE,"CAPTHREE"}</definedName>
    <definedName name="wrn.p854._.addendum2_3_5_4" hidden="1">{#N/A,#N/A,FALSE,"mgtsum.XLS";#N/A,#N/A,FALSE,"CAPONE";#N/A,#N/A,FALSE,"CAPTWO";#N/A,#N/A,FALSE,"CAPTHREE"}</definedName>
    <definedName name="wrn.p854._.addendum2_3_5_5" hidden="1">{#N/A,#N/A,FALSE,"mgtsum.XLS";#N/A,#N/A,FALSE,"CAPONE";#N/A,#N/A,FALSE,"CAPTWO";#N/A,#N/A,FALSE,"CAPTHREE"}</definedName>
    <definedName name="wrn.p854._.addendum2_4" hidden="1">{#N/A,#N/A,FALSE,"mgtsum.XLS";#N/A,#N/A,FALSE,"CAPONE";#N/A,#N/A,FALSE,"CAPTWO";#N/A,#N/A,FALSE,"CAPTHREE"}</definedName>
    <definedName name="wrn.p854._.addendum2_4_1" hidden="1">{#N/A,#N/A,FALSE,"mgtsum.XLS";#N/A,#N/A,FALSE,"CAPONE";#N/A,#N/A,FALSE,"CAPTWO";#N/A,#N/A,FALSE,"CAPTHREE"}</definedName>
    <definedName name="wrn.p854._.addendum2_4_1_1" hidden="1">{#N/A,#N/A,FALSE,"mgtsum.XLS";#N/A,#N/A,FALSE,"CAPONE";#N/A,#N/A,FALSE,"CAPTWO";#N/A,#N/A,FALSE,"CAPTHREE"}</definedName>
    <definedName name="wrn.p854._.addendum2_4_1_1_1" hidden="1">{#N/A,#N/A,FALSE,"mgtsum.XLS";#N/A,#N/A,FALSE,"CAPONE";#N/A,#N/A,FALSE,"CAPTWO";#N/A,#N/A,FALSE,"CAPTHREE"}</definedName>
    <definedName name="wrn.p854._.addendum2_4_1_1_2" hidden="1">{#N/A,#N/A,FALSE,"mgtsum.XLS";#N/A,#N/A,FALSE,"CAPONE";#N/A,#N/A,FALSE,"CAPTWO";#N/A,#N/A,FALSE,"CAPTHREE"}</definedName>
    <definedName name="wrn.p854._.addendum2_4_1_1_3" hidden="1">{#N/A,#N/A,FALSE,"mgtsum.XLS";#N/A,#N/A,FALSE,"CAPONE";#N/A,#N/A,FALSE,"CAPTWO";#N/A,#N/A,FALSE,"CAPTHREE"}</definedName>
    <definedName name="wrn.p854._.addendum2_4_1_1_4" hidden="1">{#N/A,#N/A,FALSE,"mgtsum.XLS";#N/A,#N/A,FALSE,"CAPONE";#N/A,#N/A,FALSE,"CAPTWO";#N/A,#N/A,FALSE,"CAPTHREE"}</definedName>
    <definedName name="wrn.p854._.addendum2_4_1_1_5" hidden="1">{#N/A,#N/A,FALSE,"mgtsum.XLS";#N/A,#N/A,FALSE,"CAPONE";#N/A,#N/A,FALSE,"CAPTWO";#N/A,#N/A,FALSE,"CAPTHREE"}</definedName>
    <definedName name="wrn.p854._.addendum2_4_1_2" hidden="1">{#N/A,#N/A,FALSE,"mgtsum.XLS";#N/A,#N/A,FALSE,"CAPONE";#N/A,#N/A,FALSE,"CAPTWO";#N/A,#N/A,FALSE,"CAPTHREE"}</definedName>
    <definedName name="wrn.p854._.addendum2_4_1_2_1" hidden="1">{#N/A,#N/A,FALSE,"mgtsum.XLS";#N/A,#N/A,FALSE,"CAPONE";#N/A,#N/A,FALSE,"CAPTWO";#N/A,#N/A,FALSE,"CAPTHREE"}</definedName>
    <definedName name="wrn.p854._.addendum2_4_1_2_2" hidden="1">{#N/A,#N/A,FALSE,"mgtsum.XLS";#N/A,#N/A,FALSE,"CAPONE";#N/A,#N/A,FALSE,"CAPTWO";#N/A,#N/A,FALSE,"CAPTHREE"}</definedName>
    <definedName name="wrn.p854._.addendum2_4_1_2_3" hidden="1">{#N/A,#N/A,FALSE,"mgtsum.XLS";#N/A,#N/A,FALSE,"CAPONE";#N/A,#N/A,FALSE,"CAPTWO";#N/A,#N/A,FALSE,"CAPTHREE"}</definedName>
    <definedName name="wrn.p854._.addendum2_4_1_2_4" hidden="1">{#N/A,#N/A,FALSE,"mgtsum.XLS";#N/A,#N/A,FALSE,"CAPONE";#N/A,#N/A,FALSE,"CAPTWO";#N/A,#N/A,FALSE,"CAPTHREE"}</definedName>
    <definedName name="wrn.p854._.addendum2_4_1_2_5" hidden="1">{#N/A,#N/A,FALSE,"mgtsum.XLS";#N/A,#N/A,FALSE,"CAPONE";#N/A,#N/A,FALSE,"CAPTWO";#N/A,#N/A,FALSE,"CAPTHREE"}</definedName>
    <definedName name="wrn.p854._.addendum2_4_1_3" hidden="1">{#N/A,#N/A,FALSE,"mgtsum.XLS";#N/A,#N/A,FALSE,"CAPONE";#N/A,#N/A,FALSE,"CAPTWO";#N/A,#N/A,FALSE,"CAPTHREE"}</definedName>
    <definedName name="wrn.p854._.addendum2_4_1_3_1" hidden="1">{#N/A,#N/A,FALSE,"mgtsum.XLS";#N/A,#N/A,FALSE,"CAPONE";#N/A,#N/A,FALSE,"CAPTWO";#N/A,#N/A,FALSE,"CAPTHREE"}</definedName>
    <definedName name="wrn.p854._.addendum2_4_1_3_2" hidden="1">{#N/A,#N/A,FALSE,"mgtsum.XLS";#N/A,#N/A,FALSE,"CAPONE";#N/A,#N/A,FALSE,"CAPTWO";#N/A,#N/A,FALSE,"CAPTHREE"}</definedName>
    <definedName name="wrn.p854._.addendum2_4_1_3_3" hidden="1">{#N/A,#N/A,FALSE,"mgtsum.XLS";#N/A,#N/A,FALSE,"CAPONE";#N/A,#N/A,FALSE,"CAPTWO";#N/A,#N/A,FALSE,"CAPTHREE"}</definedName>
    <definedName name="wrn.p854._.addendum2_4_1_3_4" hidden="1">{#N/A,#N/A,FALSE,"mgtsum.XLS";#N/A,#N/A,FALSE,"CAPONE";#N/A,#N/A,FALSE,"CAPTWO";#N/A,#N/A,FALSE,"CAPTHREE"}</definedName>
    <definedName name="wrn.p854._.addendum2_4_1_3_5" hidden="1">{#N/A,#N/A,FALSE,"mgtsum.XLS";#N/A,#N/A,FALSE,"CAPONE";#N/A,#N/A,FALSE,"CAPTWO";#N/A,#N/A,FALSE,"CAPTHREE"}</definedName>
    <definedName name="wrn.p854._.addendum2_4_1_4" hidden="1">{#N/A,#N/A,FALSE,"mgtsum.XLS";#N/A,#N/A,FALSE,"CAPONE";#N/A,#N/A,FALSE,"CAPTWO";#N/A,#N/A,FALSE,"CAPTHREE"}</definedName>
    <definedName name="wrn.p854._.addendum2_4_1_5" hidden="1">{#N/A,#N/A,FALSE,"mgtsum.XLS";#N/A,#N/A,FALSE,"CAPONE";#N/A,#N/A,FALSE,"CAPTWO";#N/A,#N/A,FALSE,"CAPTHREE"}</definedName>
    <definedName name="wrn.p854._.addendum2_4_2" hidden="1">{#N/A,#N/A,FALSE,"mgtsum.XLS";#N/A,#N/A,FALSE,"CAPONE";#N/A,#N/A,FALSE,"CAPTWO";#N/A,#N/A,FALSE,"CAPTHREE"}</definedName>
    <definedName name="wrn.p854._.addendum2_4_2_1" hidden="1">{#N/A,#N/A,FALSE,"mgtsum.XLS";#N/A,#N/A,FALSE,"CAPONE";#N/A,#N/A,FALSE,"CAPTWO";#N/A,#N/A,FALSE,"CAPTHREE"}</definedName>
    <definedName name="wrn.p854._.addendum2_4_2_2" hidden="1">{#N/A,#N/A,FALSE,"mgtsum.XLS";#N/A,#N/A,FALSE,"CAPONE";#N/A,#N/A,FALSE,"CAPTWO";#N/A,#N/A,FALSE,"CAPTHREE"}</definedName>
    <definedName name="wrn.p854._.addendum2_4_2_3" hidden="1">{#N/A,#N/A,FALSE,"mgtsum.XLS";#N/A,#N/A,FALSE,"CAPONE";#N/A,#N/A,FALSE,"CAPTWO";#N/A,#N/A,FALSE,"CAPTHREE"}</definedName>
    <definedName name="wrn.p854._.addendum2_4_2_4" hidden="1">{#N/A,#N/A,FALSE,"mgtsum.XLS";#N/A,#N/A,FALSE,"CAPONE";#N/A,#N/A,FALSE,"CAPTWO";#N/A,#N/A,FALSE,"CAPTHREE"}</definedName>
    <definedName name="wrn.p854._.addendum2_4_2_5" hidden="1">{#N/A,#N/A,FALSE,"mgtsum.XLS";#N/A,#N/A,FALSE,"CAPONE";#N/A,#N/A,FALSE,"CAPTWO";#N/A,#N/A,FALSE,"CAPTHREE"}</definedName>
    <definedName name="wrn.p854._.addendum2_4_3" hidden="1">{#N/A,#N/A,FALSE,"mgtsum.XLS";#N/A,#N/A,FALSE,"CAPONE";#N/A,#N/A,FALSE,"CAPTWO";#N/A,#N/A,FALSE,"CAPTHREE"}</definedName>
    <definedName name="wrn.p854._.addendum2_4_3_1" hidden="1">{#N/A,#N/A,FALSE,"mgtsum.XLS";#N/A,#N/A,FALSE,"CAPONE";#N/A,#N/A,FALSE,"CAPTWO";#N/A,#N/A,FALSE,"CAPTHREE"}</definedName>
    <definedName name="wrn.p854._.addendum2_4_3_2" hidden="1">{#N/A,#N/A,FALSE,"mgtsum.XLS";#N/A,#N/A,FALSE,"CAPONE";#N/A,#N/A,FALSE,"CAPTWO";#N/A,#N/A,FALSE,"CAPTHREE"}</definedName>
    <definedName name="wrn.p854._.addendum2_4_3_3" hidden="1">{#N/A,#N/A,FALSE,"mgtsum.XLS";#N/A,#N/A,FALSE,"CAPONE";#N/A,#N/A,FALSE,"CAPTWO";#N/A,#N/A,FALSE,"CAPTHREE"}</definedName>
    <definedName name="wrn.p854._.addendum2_4_3_4" hidden="1">{#N/A,#N/A,FALSE,"mgtsum.XLS";#N/A,#N/A,FALSE,"CAPONE";#N/A,#N/A,FALSE,"CAPTWO";#N/A,#N/A,FALSE,"CAPTHREE"}</definedName>
    <definedName name="wrn.p854._.addendum2_4_3_5" hidden="1">{#N/A,#N/A,FALSE,"mgtsum.XLS";#N/A,#N/A,FALSE,"CAPONE";#N/A,#N/A,FALSE,"CAPTWO";#N/A,#N/A,FALSE,"CAPTHREE"}</definedName>
    <definedName name="wrn.p854._.addendum2_4_4" hidden="1">{#N/A,#N/A,FALSE,"mgtsum.XLS";#N/A,#N/A,FALSE,"CAPONE";#N/A,#N/A,FALSE,"CAPTWO";#N/A,#N/A,FALSE,"CAPTHREE"}</definedName>
    <definedName name="wrn.p854._.addendum2_4_5" hidden="1">{#N/A,#N/A,FALSE,"mgtsum.XLS";#N/A,#N/A,FALSE,"CAPONE";#N/A,#N/A,FALSE,"CAPTWO";#N/A,#N/A,FALSE,"CAPTHREE"}</definedName>
    <definedName name="wrn.p854._.addendum2_5" hidden="1">{#N/A,#N/A,FALSE,"mgtsum.XLS";#N/A,#N/A,FALSE,"CAPONE";#N/A,#N/A,FALSE,"CAPTWO";#N/A,#N/A,FALSE,"CAPTHREE"}</definedName>
    <definedName name="wrn.p854._.addendum2_5_1" hidden="1">{#N/A,#N/A,FALSE,"mgtsum.XLS";#N/A,#N/A,FALSE,"CAPONE";#N/A,#N/A,FALSE,"CAPTWO";#N/A,#N/A,FALSE,"CAPTHREE"}</definedName>
    <definedName name="wrn.p854._.addendum2_5_1_1" hidden="1">{#N/A,#N/A,FALSE,"mgtsum.XLS";#N/A,#N/A,FALSE,"CAPONE";#N/A,#N/A,FALSE,"CAPTWO";#N/A,#N/A,FALSE,"CAPTHREE"}</definedName>
    <definedName name="wrn.p854._.addendum2_5_1_2" hidden="1">{#N/A,#N/A,FALSE,"mgtsum.XLS";#N/A,#N/A,FALSE,"CAPONE";#N/A,#N/A,FALSE,"CAPTWO";#N/A,#N/A,FALSE,"CAPTHREE"}</definedName>
    <definedName name="wrn.p854._.addendum2_5_1_3" hidden="1">{#N/A,#N/A,FALSE,"mgtsum.XLS";#N/A,#N/A,FALSE,"CAPONE";#N/A,#N/A,FALSE,"CAPTWO";#N/A,#N/A,FALSE,"CAPTHREE"}</definedName>
    <definedName name="wrn.p854._.addendum2_5_1_4" hidden="1">{#N/A,#N/A,FALSE,"mgtsum.XLS";#N/A,#N/A,FALSE,"CAPONE";#N/A,#N/A,FALSE,"CAPTWO";#N/A,#N/A,FALSE,"CAPTHREE"}</definedName>
    <definedName name="wrn.p854._.addendum2_5_1_5" hidden="1">{#N/A,#N/A,FALSE,"mgtsum.XLS";#N/A,#N/A,FALSE,"CAPONE";#N/A,#N/A,FALSE,"CAPTWO";#N/A,#N/A,FALSE,"CAPTHREE"}</definedName>
    <definedName name="wrn.p854._.addendum2_5_2" hidden="1">{#N/A,#N/A,FALSE,"mgtsum.XLS";#N/A,#N/A,FALSE,"CAPONE";#N/A,#N/A,FALSE,"CAPTWO";#N/A,#N/A,FALSE,"CAPTHREE"}</definedName>
    <definedName name="wrn.p854._.addendum2_5_2_1" hidden="1">{#N/A,#N/A,FALSE,"mgtsum.XLS";#N/A,#N/A,FALSE,"CAPONE";#N/A,#N/A,FALSE,"CAPTWO";#N/A,#N/A,FALSE,"CAPTHREE"}</definedName>
    <definedName name="wrn.p854._.addendum2_5_2_2" hidden="1">{#N/A,#N/A,FALSE,"mgtsum.XLS";#N/A,#N/A,FALSE,"CAPONE";#N/A,#N/A,FALSE,"CAPTWO";#N/A,#N/A,FALSE,"CAPTHREE"}</definedName>
    <definedName name="wrn.p854._.addendum2_5_2_3" hidden="1">{#N/A,#N/A,FALSE,"mgtsum.XLS";#N/A,#N/A,FALSE,"CAPONE";#N/A,#N/A,FALSE,"CAPTWO";#N/A,#N/A,FALSE,"CAPTHREE"}</definedName>
    <definedName name="wrn.p854._.addendum2_5_2_4" hidden="1">{#N/A,#N/A,FALSE,"mgtsum.XLS";#N/A,#N/A,FALSE,"CAPONE";#N/A,#N/A,FALSE,"CAPTWO";#N/A,#N/A,FALSE,"CAPTHREE"}</definedName>
    <definedName name="wrn.p854._.addendum2_5_2_5" hidden="1">{#N/A,#N/A,FALSE,"mgtsum.XLS";#N/A,#N/A,FALSE,"CAPONE";#N/A,#N/A,FALSE,"CAPTWO";#N/A,#N/A,FALSE,"CAPTHREE"}</definedName>
    <definedName name="wrn.p854._.addendum2_5_3" hidden="1">{#N/A,#N/A,FALSE,"mgtsum.XLS";#N/A,#N/A,FALSE,"CAPONE";#N/A,#N/A,FALSE,"CAPTWO";#N/A,#N/A,FALSE,"CAPTHREE"}</definedName>
    <definedName name="wrn.p854._.addendum2_5_4" hidden="1">{#N/A,#N/A,FALSE,"mgtsum.XLS";#N/A,#N/A,FALSE,"CAPONE";#N/A,#N/A,FALSE,"CAPTWO";#N/A,#N/A,FALSE,"CAPTHREE"}</definedName>
    <definedName name="wrn.p854._.addendum2_5_5" hidden="1">{#N/A,#N/A,FALSE,"mgtsum.XLS";#N/A,#N/A,FALSE,"CAPONE";#N/A,#N/A,FALSE,"CAPTWO";#N/A,#N/A,FALSE,"CAPTHREE"}</definedName>
    <definedName name="wrn.p854._.addendum3" localSheetId="1" hidden="1">{#N/A,#N/A,FALSE,"mgtsum.XLS";#N/A,#N/A,FALSE,"CAPONE";#N/A,#N/A,FALSE,"CAPTWO";#N/A,#N/A,FALSE,"CAPTHREE"}</definedName>
    <definedName name="wrn.p854._.addendum3" hidden="1">{#N/A,#N/A,FALSE,"mgtsum.XLS";#N/A,#N/A,FALSE,"CAPONE";#N/A,#N/A,FALSE,"CAPTWO";#N/A,#N/A,FALSE,"CAPTHREE"}</definedName>
    <definedName name="wrn.p854._.addendum3_1" hidden="1">{#N/A,#N/A,FALSE,"mgtsum.XLS";#N/A,#N/A,FALSE,"CAPONE";#N/A,#N/A,FALSE,"CAPTWO";#N/A,#N/A,FALSE,"CAPTHREE"}</definedName>
    <definedName name="wrn.p854._.addendum3_1_1" hidden="1">{#N/A,#N/A,FALSE,"mgtsum.XLS";#N/A,#N/A,FALSE,"CAPONE";#N/A,#N/A,FALSE,"CAPTWO";#N/A,#N/A,FALSE,"CAPTHREE"}</definedName>
    <definedName name="wrn.p854._.addendum3_1_1_1" hidden="1">{#N/A,#N/A,FALSE,"mgtsum.XLS";#N/A,#N/A,FALSE,"CAPONE";#N/A,#N/A,FALSE,"CAPTWO";#N/A,#N/A,FALSE,"CAPTHREE"}</definedName>
    <definedName name="wrn.p854._.addendum3_1_1_1_1" hidden="1">{#N/A,#N/A,FALSE,"mgtsum.XLS";#N/A,#N/A,FALSE,"CAPONE";#N/A,#N/A,FALSE,"CAPTWO";#N/A,#N/A,FALSE,"CAPTHREE"}</definedName>
    <definedName name="wrn.p854._.addendum3_1_1_1_2" hidden="1">{#N/A,#N/A,FALSE,"mgtsum.XLS";#N/A,#N/A,FALSE,"CAPONE";#N/A,#N/A,FALSE,"CAPTWO";#N/A,#N/A,FALSE,"CAPTHREE"}</definedName>
    <definedName name="wrn.p854._.addendum3_1_1_1_3" hidden="1">{#N/A,#N/A,FALSE,"mgtsum.XLS";#N/A,#N/A,FALSE,"CAPONE";#N/A,#N/A,FALSE,"CAPTWO";#N/A,#N/A,FALSE,"CAPTHREE"}</definedName>
    <definedName name="wrn.p854._.addendum3_1_1_1_4" hidden="1">{#N/A,#N/A,FALSE,"mgtsum.XLS";#N/A,#N/A,FALSE,"CAPONE";#N/A,#N/A,FALSE,"CAPTWO";#N/A,#N/A,FALSE,"CAPTHREE"}</definedName>
    <definedName name="wrn.p854._.addendum3_1_1_1_5" hidden="1">{#N/A,#N/A,FALSE,"mgtsum.XLS";#N/A,#N/A,FALSE,"CAPONE";#N/A,#N/A,FALSE,"CAPTWO";#N/A,#N/A,FALSE,"CAPTHREE"}</definedName>
    <definedName name="wrn.p854._.addendum3_1_1_2" hidden="1">{#N/A,#N/A,FALSE,"mgtsum.XLS";#N/A,#N/A,FALSE,"CAPONE";#N/A,#N/A,FALSE,"CAPTWO";#N/A,#N/A,FALSE,"CAPTHREE"}</definedName>
    <definedName name="wrn.p854._.addendum3_1_1_2_1" hidden="1">{#N/A,#N/A,FALSE,"mgtsum.XLS";#N/A,#N/A,FALSE,"CAPONE";#N/A,#N/A,FALSE,"CAPTWO";#N/A,#N/A,FALSE,"CAPTHREE"}</definedName>
    <definedName name="wrn.p854._.addendum3_1_1_2_2" hidden="1">{#N/A,#N/A,FALSE,"mgtsum.XLS";#N/A,#N/A,FALSE,"CAPONE";#N/A,#N/A,FALSE,"CAPTWO";#N/A,#N/A,FALSE,"CAPTHREE"}</definedName>
    <definedName name="wrn.p854._.addendum3_1_1_2_3" hidden="1">{#N/A,#N/A,FALSE,"mgtsum.XLS";#N/A,#N/A,FALSE,"CAPONE";#N/A,#N/A,FALSE,"CAPTWO";#N/A,#N/A,FALSE,"CAPTHREE"}</definedName>
    <definedName name="wrn.p854._.addendum3_1_1_2_4" hidden="1">{#N/A,#N/A,FALSE,"mgtsum.XLS";#N/A,#N/A,FALSE,"CAPONE";#N/A,#N/A,FALSE,"CAPTWO";#N/A,#N/A,FALSE,"CAPTHREE"}</definedName>
    <definedName name="wrn.p854._.addendum3_1_1_2_5" hidden="1">{#N/A,#N/A,FALSE,"mgtsum.XLS";#N/A,#N/A,FALSE,"CAPONE";#N/A,#N/A,FALSE,"CAPTWO";#N/A,#N/A,FALSE,"CAPTHREE"}</definedName>
    <definedName name="wrn.p854._.addendum3_1_1_3" hidden="1">{#N/A,#N/A,FALSE,"mgtsum.XLS";#N/A,#N/A,FALSE,"CAPONE";#N/A,#N/A,FALSE,"CAPTWO";#N/A,#N/A,FALSE,"CAPTHREE"}</definedName>
    <definedName name="wrn.p854._.addendum3_1_1_3_1" hidden="1">{#N/A,#N/A,FALSE,"mgtsum.XLS";#N/A,#N/A,FALSE,"CAPONE";#N/A,#N/A,FALSE,"CAPTWO";#N/A,#N/A,FALSE,"CAPTHREE"}</definedName>
    <definedName name="wrn.p854._.addendum3_1_1_3_2" hidden="1">{#N/A,#N/A,FALSE,"mgtsum.XLS";#N/A,#N/A,FALSE,"CAPONE";#N/A,#N/A,FALSE,"CAPTWO";#N/A,#N/A,FALSE,"CAPTHREE"}</definedName>
    <definedName name="wrn.p854._.addendum3_1_1_3_3" hidden="1">{#N/A,#N/A,FALSE,"mgtsum.XLS";#N/A,#N/A,FALSE,"CAPONE";#N/A,#N/A,FALSE,"CAPTWO";#N/A,#N/A,FALSE,"CAPTHREE"}</definedName>
    <definedName name="wrn.p854._.addendum3_1_1_3_4" hidden="1">{#N/A,#N/A,FALSE,"mgtsum.XLS";#N/A,#N/A,FALSE,"CAPONE";#N/A,#N/A,FALSE,"CAPTWO";#N/A,#N/A,FALSE,"CAPTHREE"}</definedName>
    <definedName name="wrn.p854._.addendum3_1_1_3_5" hidden="1">{#N/A,#N/A,FALSE,"mgtsum.XLS";#N/A,#N/A,FALSE,"CAPONE";#N/A,#N/A,FALSE,"CAPTWO";#N/A,#N/A,FALSE,"CAPTHREE"}</definedName>
    <definedName name="wrn.p854._.addendum3_1_1_4" hidden="1">{#N/A,#N/A,FALSE,"mgtsum.XLS";#N/A,#N/A,FALSE,"CAPONE";#N/A,#N/A,FALSE,"CAPTWO";#N/A,#N/A,FALSE,"CAPTHREE"}</definedName>
    <definedName name="wrn.p854._.addendum3_1_1_5" hidden="1">{#N/A,#N/A,FALSE,"mgtsum.XLS";#N/A,#N/A,FALSE,"CAPONE";#N/A,#N/A,FALSE,"CAPTWO";#N/A,#N/A,FALSE,"CAPTHREE"}</definedName>
    <definedName name="wrn.p854._.addendum3_1_2" hidden="1">{#N/A,#N/A,FALSE,"mgtsum.XLS";#N/A,#N/A,FALSE,"CAPONE";#N/A,#N/A,FALSE,"CAPTWO";#N/A,#N/A,FALSE,"CAPTHREE"}</definedName>
    <definedName name="wrn.p854._.addendum3_1_2_1" hidden="1">{#N/A,#N/A,FALSE,"mgtsum.XLS";#N/A,#N/A,FALSE,"CAPONE";#N/A,#N/A,FALSE,"CAPTWO";#N/A,#N/A,FALSE,"CAPTHREE"}</definedName>
    <definedName name="wrn.p854._.addendum3_1_2_1_1" hidden="1">{#N/A,#N/A,FALSE,"mgtsum.XLS";#N/A,#N/A,FALSE,"CAPONE";#N/A,#N/A,FALSE,"CAPTWO";#N/A,#N/A,FALSE,"CAPTHREE"}</definedName>
    <definedName name="wrn.p854._.addendum3_1_2_1_2" hidden="1">{#N/A,#N/A,FALSE,"mgtsum.XLS";#N/A,#N/A,FALSE,"CAPONE";#N/A,#N/A,FALSE,"CAPTWO";#N/A,#N/A,FALSE,"CAPTHREE"}</definedName>
    <definedName name="wrn.p854._.addendum3_1_2_1_3" hidden="1">{#N/A,#N/A,FALSE,"mgtsum.XLS";#N/A,#N/A,FALSE,"CAPONE";#N/A,#N/A,FALSE,"CAPTWO";#N/A,#N/A,FALSE,"CAPTHREE"}</definedName>
    <definedName name="wrn.p854._.addendum3_1_2_1_4" hidden="1">{#N/A,#N/A,FALSE,"mgtsum.XLS";#N/A,#N/A,FALSE,"CAPONE";#N/A,#N/A,FALSE,"CAPTWO";#N/A,#N/A,FALSE,"CAPTHREE"}</definedName>
    <definedName name="wrn.p854._.addendum3_1_2_1_5" hidden="1">{#N/A,#N/A,FALSE,"mgtsum.XLS";#N/A,#N/A,FALSE,"CAPONE";#N/A,#N/A,FALSE,"CAPTWO";#N/A,#N/A,FALSE,"CAPTHREE"}</definedName>
    <definedName name="wrn.p854._.addendum3_1_2_2" hidden="1">{#N/A,#N/A,FALSE,"mgtsum.XLS";#N/A,#N/A,FALSE,"CAPONE";#N/A,#N/A,FALSE,"CAPTWO";#N/A,#N/A,FALSE,"CAPTHREE"}</definedName>
    <definedName name="wrn.p854._.addendum3_1_2_2_1" hidden="1">{#N/A,#N/A,FALSE,"mgtsum.XLS";#N/A,#N/A,FALSE,"CAPONE";#N/A,#N/A,FALSE,"CAPTWO";#N/A,#N/A,FALSE,"CAPTHREE"}</definedName>
    <definedName name="wrn.p854._.addendum3_1_2_2_2" hidden="1">{#N/A,#N/A,FALSE,"mgtsum.XLS";#N/A,#N/A,FALSE,"CAPONE";#N/A,#N/A,FALSE,"CAPTWO";#N/A,#N/A,FALSE,"CAPTHREE"}</definedName>
    <definedName name="wrn.p854._.addendum3_1_2_2_3" hidden="1">{#N/A,#N/A,FALSE,"mgtsum.XLS";#N/A,#N/A,FALSE,"CAPONE";#N/A,#N/A,FALSE,"CAPTWO";#N/A,#N/A,FALSE,"CAPTHREE"}</definedName>
    <definedName name="wrn.p854._.addendum3_1_2_2_4" hidden="1">{#N/A,#N/A,FALSE,"mgtsum.XLS";#N/A,#N/A,FALSE,"CAPONE";#N/A,#N/A,FALSE,"CAPTWO";#N/A,#N/A,FALSE,"CAPTHREE"}</definedName>
    <definedName name="wrn.p854._.addendum3_1_2_2_5" hidden="1">{#N/A,#N/A,FALSE,"mgtsum.XLS";#N/A,#N/A,FALSE,"CAPONE";#N/A,#N/A,FALSE,"CAPTWO";#N/A,#N/A,FALSE,"CAPTHREE"}</definedName>
    <definedName name="wrn.p854._.addendum3_1_2_3" hidden="1">{#N/A,#N/A,FALSE,"mgtsum.XLS";#N/A,#N/A,FALSE,"CAPONE";#N/A,#N/A,FALSE,"CAPTWO";#N/A,#N/A,FALSE,"CAPTHREE"}</definedName>
    <definedName name="wrn.p854._.addendum3_1_2_4" hidden="1">{#N/A,#N/A,FALSE,"mgtsum.XLS";#N/A,#N/A,FALSE,"CAPONE";#N/A,#N/A,FALSE,"CAPTWO";#N/A,#N/A,FALSE,"CAPTHREE"}</definedName>
    <definedName name="wrn.p854._.addendum3_1_2_5" hidden="1">{#N/A,#N/A,FALSE,"mgtsum.XLS";#N/A,#N/A,FALSE,"CAPONE";#N/A,#N/A,FALSE,"CAPTWO";#N/A,#N/A,FALSE,"CAPTHREE"}</definedName>
    <definedName name="wrn.p854._.addendum3_1_3" hidden="1">{#N/A,#N/A,FALSE,"mgtsum.XLS";#N/A,#N/A,FALSE,"CAPONE";#N/A,#N/A,FALSE,"CAPTWO";#N/A,#N/A,FALSE,"CAPTHREE"}</definedName>
    <definedName name="wrn.p854._.addendum3_1_3_1" hidden="1">{#N/A,#N/A,FALSE,"mgtsum.XLS";#N/A,#N/A,FALSE,"CAPONE";#N/A,#N/A,FALSE,"CAPTWO";#N/A,#N/A,FALSE,"CAPTHREE"}</definedName>
    <definedName name="wrn.p854._.addendum3_1_3_1_1" hidden="1">{#N/A,#N/A,FALSE,"mgtsum.XLS";#N/A,#N/A,FALSE,"CAPONE";#N/A,#N/A,FALSE,"CAPTWO";#N/A,#N/A,FALSE,"CAPTHREE"}</definedName>
    <definedName name="wrn.p854._.addendum3_1_3_1_2" hidden="1">{#N/A,#N/A,FALSE,"mgtsum.XLS";#N/A,#N/A,FALSE,"CAPONE";#N/A,#N/A,FALSE,"CAPTWO";#N/A,#N/A,FALSE,"CAPTHREE"}</definedName>
    <definedName name="wrn.p854._.addendum3_1_3_1_3" hidden="1">{#N/A,#N/A,FALSE,"mgtsum.XLS";#N/A,#N/A,FALSE,"CAPONE";#N/A,#N/A,FALSE,"CAPTWO";#N/A,#N/A,FALSE,"CAPTHREE"}</definedName>
    <definedName name="wrn.p854._.addendum3_1_3_1_4" hidden="1">{#N/A,#N/A,FALSE,"mgtsum.XLS";#N/A,#N/A,FALSE,"CAPONE";#N/A,#N/A,FALSE,"CAPTWO";#N/A,#N/A,FALSE,"CAPTHREE"}</definedName>
    <definedName name="wrn.p854._.addendum3_1_3_1_5" hidden="1">{#N/A,#N/A,FALSE,"mgtsum.XLS";#N/A,#N/A,FALSE,"CAPONE";#N/A,#N/A,FALSE,"CAPTWO";#N/A,#N/A,FALSE,"CAPTHREE"}</definedName>
    <definedName name="wrn.p854._.addendum3_1_3_2" hidden="1">{#N/A,#N/A,FALSE,"mgtsum.XLS";#N/A,#N/A,FALSE,"CAPONE";#N/A,#N/A,FALSE,"CAPTWO";#N/A,#N/A,FALSE,"CAPTHREE"}</definedName>
    <definedName name="wrn.p854._.addendum3_1_3_2_1" hidden="1">{#N/A,#N/A,FALSE,"mgtsum.XLS";#N/A,#N/A,FALSE,"CAPONE";#N/A,#N/A,FALSE,"CAPTWO";#N/A,#N/A,FALSE,"CAPTHREE"}</definedName>
    <definedName name="wrn.p854._.addendum3_1_3_2_2" hidden="1">{#N/A,#N/A,FALSE,"mgtsum.XLS";#N/A,#N/A,FALSE,"CAPONE";#N/A,#N/A,FALSE,"CAPTWO";#N/A,#N/A,FALSE,"CAPTHREE"}</definedName>
    <definedName name="wrn.p854._.addendum3_1_3_2_3" hidden="1">{#N/A,#N/A,FALSE,"mgtsum.XLS";#N/A,#N/A,FALSE,"CAPONE";#N/A,#N/A,FALSE,"CAPTWO";#N/A,#N/A,FALSE,"CAPTHREE"}</definedName>
    <definedName name="wrn.p854._.addendum3_1_3_2_4" hidden="1">{#N/A,#N/A,FALSE,"mgtsum.XLS";#N/A,#N/A,FALSE,"CAPONE";#N/A,#N/A,FALSE,"CAPTWO";#N/A,#N/A,FALSE,"CAPTHREE"}</definedName>
    <definedName name="wrn.p854._.addendum3_1_3_2_5" hidden="1">{#N/A,#N/A,FALSE,"mgtsum.XLS";#N/A,#N/A,FALSE,"CAPONE";#N/A,#N/A,FALSE,"CAPTWO";#N/A,#N/A,FALSE,"CAPTHREE"}</definedName>
    <definedName name="wrn.p854._.addendum3_1_3_3" hidden="1">{#N/A,#N/A,FALSE,"mgtsum.XLS";#N/A,#N/A,FALSE,"CAPONE";#N/A,#N/A,FALSE,"CAPTWO";#N/A,#N/A,FALSE,"CAPTHREE"}</definedName>
    <definedName name="wrn.p854._.addendum3_1_3_4" hidden="1">{#N/A,#N/A,FALSE,"mgtsum.XLS";#N/A,#N/A,FALSE,"CAPONE";#N/A,#N/A,FALSE,"CAPTWO";#N/A,#N/A,FALSE,"CAPTHREE"}</definedName>
    <definedName name="wrn.p854._.addendum3_1_3_5" hidden="1">{#N/A,#N/A,FALSE,"mgtsum.XLS";#N/A,#N/A,FALSE,"CAPONE";#N/A,#N/A,FALSE,"CAPTWO";#N/A,#N/A,FALSE,"CAPTHREE"}</definedName>
    <definedName name="wrn.p854._.addendum3_1_4" hidden="1">{#N/A,#N/A,FALSE,"mgtsum.XLS";#N/A,#N/A,FALSE,"CAPONE";#N/A,#N/A,FALSE,"CAPTWO";#N/A,#N/A,FALSE,"CAPTHREE"}</definedName>
    <definedName name="wrn.p854._.addendum3_1_4_1" hidden="1">{#N/A,#N/A,FALSE,"mgtsum.XLS";#N/A,#N/A,FALSE,"CAPONE";#N/A,#N/A,FALSE,"CAPTWO";#N/A,#N/A,FALSE,"CAPTHREE"}</definedName>
    <definedName name="wrn.p854._.addendum3_1_4_1_1" hidden="1">{#N/A,#N/A,FALSE,"mgtsum.XLS";#N/A,#N/A,FALSE,"CAPONE";#N/A,#N/A,FALSE,"CAPTWO";#N/A,#N/A,FALSE,"CAPTHREE"}</definedName>
    <definedName name="wrn.p854._.addendum3_1_4_1_2" hidden="1">{#N/A,#N/A,FALSE,"mgtsum.XLS";#N/A,#N/A,FALSE,"CAPONE";#N/A,#N/A,FALSE,"CAPTWO";#N/A,#N/A,FALSE,"CAPTHREE"}</definedName>
    <definedName name="wrn.p854._.addendum3_1_4_1_3" hidden="1">{#N/A,#N/A,FALSE,"mgtsum.XLS";#N/A,#N/A,FALSE,"CAPONE";#N/A,#N/A,FALSE,"CAPTWO";#N/A,#N/A,FALSE,"CAPTHREE"}</definedName>
    <definedName name="wrn.p854._.addendum3_1_4_1_4" hidden="1">{#N/A,#N/A,FALSE,"mgtsum.XLS";#N/A,#N/A,FALSE,"CAPONE";#N/A,#N/A,FALSE,"CAPTWO";#N/A,#N/A,FALSE,"CAPTHREE"}</definedName>
    <definedName name="wrn.p854._.addendum3_1_4_1_5" hidden="1">{#N/A,#N/A,FALSE,"mgtsum.XLS";#N/A,#N/A,FALSE,"CAPONE";#N/A,#N/A,FALSE,"CAPTWO";#N/A,#N/A,FALSE,"CAPTHREE"}</definedName>
    <definedName name="wrn.p854._.addendum3_1_4_2" hidden="1">{#N/A,#N/A,FALSE,"mgtsum.XLS";#N/A,#N/A,FALSE,"CAPONE";#N/A,#N/A,FALSE,"CAPTWO";#N/A,#N/A,FALSE,"CAPTHREE"}</definedName>
    <definedName name="wrn.p854._.addendum3_1_4_2_1" hidden="1">{#N/A,#N/A,FALSE,"mgtsum.XLS";#N/A,#N/A,FALSE,"CAPONE";#N/A,#N/A,FALSE,"CAPTWO";#N/A,#N/A,FALSE,"CAPTHREE"}</definedName>
    <definedName name="wrn.p854._.addendum3_1_4_2_2" hidden="1">{#N/A,#N/A,FALSE,"mgtsum.XLS";#N/A,#N/A,FALSE,"CAPONE";#N/A,#N/A,FALSE,"CAPTWO";#N/A,#N/A,FALSE,"CAPTHREE"}</definedName>
    <definedName name="wrn.p854._.addendum3_1_4_2_3" hidden="1">{#N/A,#N/A,FALSE,"mgtsum.XLS";#N/A,#N/A,FALSE,"CAPONE";#N/A,#N/A,FALSE,"CAPTWO";#N/A,#N/A,FALSE,"CAPTHREE"}</definedName>
    <definedName name="wrn.p854._.addendum3_1_4_2_4" hidden="1">{#N/A,#N/A,FALSE,"mgtsum.XLS";#N/A,#N/A,FALSE,"CAPONE";#N/A,#N/A,FALSE,"CAPTWO";#N/A,#N/A,FALSE,"CAPTHREE"}</definedName>
    <definedName name="wrn.p854._.addendum3_1_4_2_5" hidden="1">{#N/A,#N/A,FALSE,"mgtsum.XLS";#N/A,#N/A,FALSE,"CAPONE";#N/A,#N/A,FALSE,"CAPTWO";#N/A,#N/A,FALSE,"CAPTHREE"}</definedName>
    <definedName name="wrn.p854._.addendum3_1_4_3" hidden="1">{#N/A,#N/A,FALSE,"mgtsum.XLS";#N/A,#N/A,FALSE,"CAPONE";#N/A,#N/A,FALSE,"CAPTWO";#N/A,#N/A,FALSE,"CAPTHREE"}</definedName>
    <definedName name="wrn.p854._.addendum3_1_4_4" hidden="1">{#N/A,#N/A,FALSE,"mgtsum.XLS";#N/A,#N/A,FALSE,"CAPONE";#N/A,#N/A,FALSE,"CAPTWO";#N/A,#N/A,FALSE,"CAPTHREE"}</definedName>
    <definedName name="wrn.p854._.addendum3_1_4_5" hidden="1">{#N/A,#N/A,FALSE,"mgtsum.XLS";#N/A,#N/A,FALSE,"CAPONE";#N/A,#N/A,FALSE,"CAPTWO";#N/A,#N/A,FALSE,"CAPTHREE"}</definedName>
    <definedName name="wrn.p854._.addendum3_1_5" hidden="1">{#N/A,#N/A,FALSE,"mgtsum.XLS";#N/A,#N/A,FALSE,"CAPONE";#N/A,#N/A,FALSE,"CAPTWO";#N/A,#N/A,FALSE,"CAPTHREE"}</definedName>
    <definedName name="wrn.p854._.addendum3_1_5_1" hidden="1">{#N/A,#N/A,FALSE,"mgtsum.XLS";#N/A,#N/A,FALSE,"CAPONE";#N/A,#N/A,FALSE,"CAPTWO";#N/A,#N/A,FALSE,"CAPTHREE"}</definedName>
    <definedName name="wrn.p854._.addendum3_1_5_1_1" hidden="1">{#N/A,#N/A,FALSE,"mgtsum.XLS";#N/A,#N/A,FALSE,"CAPONE";#N/A,#N/A,FALSE,"CAPTWO";#N/A,#N/A,FALSE,"CAPTHREE"}</definedName>
    <definedName name="wrn.p854._.addendum3_1_5_1_2" hidden="1">{#N/A,#N/A,FALSE,"mgtsum.XLS";#N/A,#N/A,FALSE,"CAPONE";#N/A,#N/A,FALSE,"CAPTWO";#N/A,#N/A,FALSE,"CAPTHREE"}</definedName>
    <definedName name="wrn.p854._.addendum3_1_5_1_3" hidden="1">{#N/A,#N/A,FALSE,"mgtsum.XLS";#N/A,#N/A,FALSE,"CAPONE";#N/A,#N/A,FALSE,"CAPTWO";#N/A,#N/A,FALSE,"CAPTHREE"}</definedName>
    <definedName name="wrn.p854._.addendum3_1_5_1_4" hidden="1">{#N/A,#N/A,FALSE,"mgtsum.XLS";#N/A,#N/A,FALSE,"CAPONE";#N/A,#N/A,FALSE,"CAPTWO";#N/A,#N/A,FALSE,"CAPTHREE"}</definedName>
    <definedName name="wrn.p854._.addendum3_1_5_1_5" hidden="1">{#N/A,#N/A,FALSE,"mgtsum.XLS";#N/A,#N/A,FALSE,"CAPONE";#N/A,#N/A,FALSE,"CAPTWO";#N/A,#N/A,FALSE,"CAPTHREE"}</definedName>
    <definedName name="wrn.p854._.addendum3_1_5_2" hidden="1">{#N/A,#N/A,FALSE,"mgtsum.XLS";#N/A,#N/A,FALSE,"CAPONE";#N/A,#N/A,FALSE,"CAPTWO";#N/A,#N/A,FALSE,"CAPTHREE"}</definedName>
    <definedName name="wrn.p854._.addendum3_1_5_2_1" hidden="1">{#N/A,#N/A,FALSE,"mgtsum.XLS";#N/A,#N/A,FALSE,"CAPONE";#N/A,#N/A,FALSE,"CAPTWO";#N/A,#N/A,FALSE,"CAPTHREE"}</definedName>
    <definedName name="wrn.p854._.addendum3_1_5_2_2" hidden="1">{#N/A,#N/A,FALSE,"mgtsum.XLS";#N/A,#N/A,FALSE,"CAPONE";#N/A,#N/A,FALSE,"CAPTWO";#N/A,#N/A,FALSE,"CAPTHREE"}</definedName>
    <definedName name="wrn.p854._.addendum3_1_5_2_3" hidden="1">{#N/A,#N/A,FALSE,"mgtsum.XLS";#N/A,#N/A,FALSE,"CAPONE";#N/A,#N/A,FALSE,"CAPTWO";#N/A,#N/A,FALSE,"CAPTHREE"}</definedName>
    <definedName name="wrn.p854._.addendum3_1_5_2_4" hidden="1">{#N/A,#N/A,FALSE,"mgtsum.XLS";#N/A,#N/A,FALSE,"CAPONE";#N/A,#N/A,FALSE,"CAPTWO";#N/A,#N/A,FALSE,"CAPTHREE"}</definedName>
    <definedName name="wrn.p854._.addendum3_1_5_2_5" hidden="1">{#N/A,#N/A,FALSE,"mgtsum.XLS";#N/A,#N/A,FALSE,"CAPONE";#N/A,#N/A,FALSE,"CAPTWO";#N/A,#N/A,FALSE,"CAPTHREE"}</definedName>
    <definedName name="wrn.p854._.addendum3_1_5_3" hidden="1">{#N/A,#N/A,FALSE,"mgtsum.XLS";#N/A,#N/A,FALSE,"CAPONE";#N/A,#N/A,FALSE,"CAPTWO";#N/A,#N/A,FALSE,"CAPTHREE"}</definedName>
    <definedName name="wrn.p854._.addendum3_1_5_4" hidden="1">{#N/A,#N/A,FALSE,"mgtsum.XLS";#N/A,#N/A,FALSE,"CAPONE";#N/A,#N/A,FALSE,"CAPTWO";#N/A,#N/A,FALSE,"CAPTHREE"}</definedName>
    <definedName name="wrn.p854._.addendum3_1_5_5" hidden="1">{#N/A,#N/A,FALSE,"mgtsum.XLS";#N/A,#N/A,FALSE,"CAPONE";#N/A,#N/A,FALSE,"CAPTWO";#N/A,#N/A,FALSE,"CAPTHREE"}</definedName>
    <definedName name="wrn.p854._.addendum3_2" hidden="1">{#N/A,#N/A,FALSE,"mgtsum.XLS";#N/A,#N/A,FALSE,"CAPONE";#N/A,#N/A,FALSE,"CAPTWO";#N/A,#N/A,FALSE,"CAPTHREE"}</definedName>
    <definedName name="wrn.p854._.addendum3_2_1" hidden="1">{#N/A,#N/A,FALSE,"mgtsum.XLS";#N/A,#N/A,FALSE,"CAPONE";#N/A,#N/A,FALSE,"CAPTWO";#N/A,#N/A,FALSE,"CAPTHREE"}</definedName>
    <definedName name="wrn.p854._.addendum3_2_1_1" hidden="1">{#N/A,#N/A,FALSE,"mgtsum.XLS";#N/A,#N/A,FALSE,"CAPONE";#N/A,#N/A,FALSE,"CAPTWO";#N/A,#N/A,FALSE,"CAPTHREE"}</definedName>
    <definedName name="wrn.p854._.addendum3_2_1_1_1" hidden="1">{#N/A,#N/A,FALSE,"mgtsum.XLS";#N/A,#N/A,FALSE,"CAPONE";#N/A,#N/A,FALSE,"CAPTWO";#N/A,#N/A,FALSE,"CAPTHREE"}</definedName>
    <definedName name="wrn.p854._.addendum3_2_1_1_2" hidden="1">{#N/A,#N/A,FALSE,"mgtsum.XLS";#N/A,#N/A,FALSE,"CAPONE";#N/A,#N/A,FALSE,"CAPTWO";#N/A,#N/A,FALSE,"CAPTHREE"}</definedName>
    <definedName name="wrn.p854._.addendum3_2_1_1_3" hidden="1">{#N/A,#N/A,FALSE,"mgtsum.XLS";#N/A,#N/A,FALSE,"CAPONE";#N/A,#N/A,FALSE,"CAPTWO";#N/A,#N/A,FALSE,"CAPTHREE"}</definedName>
    <definedName name="wrn.p854._.addendum3_2_1_1_4" hidden="1">{#N/A,#N/A,FALSE,"mgtsum.XLS";#N/A,#N/A,FALSE,"CAPONE";#N/A,#N/A,FALSE,"CAPTWO";#N/A,#N/A,FALSE,"CAPTHREE"}</definedName>
    <definedName name="wrn.p854._.addendum3_2_1_1_5" hidden="1">{#N/A,#N/A,FALSE,"mgtsum.XLS";#N/A,#N/A,FALSE,"CAPONE";#N/A,#N/A,FALSE,"CAPTWO";#N/A,#N/A,FALSE,"CAPTHREE"}</definedName>
    <definedName name="wrn.p854._.addendum3_2_1_2" hidden="1">{#N/A,#N/A,FALSE,"mgtsum.XLS";#N/A,#N/A,FALSE,"CAPONE";#N/A,#N/A,FALSE,"CAPTWO";#N/A,#N/A,FALSE,"CAPTHREE"}</definedName>
    <definedName name="wrn.p854._.addendum3_2_1_2_1" hidden="1">{#N/A,#N/A,FALSE,"mgtsum.XLS";#N/A,#N/A,FALSE,"CAPONE";#N/A,#N/A,FALSE,"CAPTWO";#N/A,#N/A,FALSE,"CAPTHREE"}</definedName>
    <definedName name="wrn.p854._.addendum3_2_1_2_2" hidden="1">{#N/A,#N/A,FALSE,"mgtsum.XLS";#N/A,#N/A,FALSE,"CAPONE";#N/A,#N/A,FALSE,"CAPTWO";#N/A,#N/A,FALSE,"CAPTHREE"}</definedName>
    <definedName name="wrn.p854._.addendum3_2_1_2_3" hidden="1">{#N/A,#N/A,FALSE,"mgtsum.XLS";#N/A,#N/A,FALSE,"CAPONE";#N/A,#N/A,FALSE,"CAPTWO";#N/A,#N/A,FALSE,"CAPTHREE"}</definedName>
    <definedName name="wrn.p854._.addendum3_2_1_2_4" hidden="1">{#N/A,#N/A,FALSE,"mgtsum.XLS";#N/A,#N/A,FALSE,"CAPONE";#N/A,#N/A,FALSE,"CAPTWO";#N/A,#N/A,FALSE,"CAPTHREE"}</definedName>
    <definedName name="wrn.p854._.addendum3_2_1_2_5" hidden="1">{#N/A,#N/A,FALSE,"mgtsum.XLS";#N/A,#N/A,FALSE,"CAPONE";#N/A,#N/A,FALSE,"CAPTWO";#N/A,#N/A,FALSE,"CAPTHREE"}</definedName>
    <definedName name="wrn.p854._.addendum3_2_1_3" hidden="1">{#N/A,#N/A,FALSE,"mgtsum.XLS";#N/A,#N/A,FALSE,"CAPONE";#N/A,#N/A,FALSE,"CAPTWO";#N/A,#N/A,FALSE,"CAPTHREE"}</definedName>
    <definedName name="wrn.p854._.addendum3_2_1_3_1" hidden="1">{#N/A,#N/A,FALSE,"mgtsum.XLS";#N/A,#N/A,FALSE,"CAPONE";#N/A,#N/A,FALSE,"CAPTWO";#N/A,#N/A,FALSE,"CAPTHREE"}</definedName>
    <definedName name="wrn.p854._.addendum3_2_1_3_2" hidden="1">{#N/A,#N/A,FALSE,"mgtsum.XLS";#N/A,#N/A,FALSE,"CAPONE";#N/A,#N/A,FALSE,"CAPTWO";#N/A,#N/A,FALSE,"CAPTHREE"}</definedName>
    <definedName name="wrn.p854._.addendum3_2_1_3_3" hidden="1">{#N/A,#N/A,FALSE,"mgtsum.XLS";#N/A,#N/A,FALSE,"CAPONE";#N/A,#N/A,FALSE,"CAPTWO";#N/A,#N/A,FALSE,"CAPTHREE"}</definedName>
    <definedName name="wrn.p854._.addendum3_2_1_3_4" hidden="1">{#N/A,#N/A,FALSE,"mgtsum.XLS";#N/A,#N/A,FALSE,"CAPONE";#N/A,#N/A,FALSE,"CAPTWO";#N/A,#N/A,FALSE,"CAPTHREE"}</definedName>
    <definedName name="wrn.p854._.addendum3_2_1_3_5" hidden="1">{#N/A,#N/A,FALSE,"mgtsum.XLS";#N/A,#N/A,FALSE,"CAPONE";#N/A,#N/A,FALSE,"CAPTWO";#N/A,#N/A,FALSE,"CAPTHREE"}</definedName>
    <definedName name="wrn.p854._.addendum3_2_1_4" hidden="1">{#N/A,#N/A,FALSE,"mgtsum.XLS";#N/A,#N/A,FALSE,"CAPONE";#N/A,#N/A,FALSE,"CAPTWO";#N/A,#N/A,FALSE,"CAPTHREE"}</definedName>
    <definedName name="wrn.p854._.addendum3_2_1_5" hidden="1">{#N/A,#N/A,FALSE,"mgtsum.XLS";#N/A,#N/A,FALSE,"CAPONE";#N/A,#N/A,FALSE,"CAPTWO";#N/A,#N/A,FALSE,"CAPTHREE"}</definedName>
    <definedName name="wrn.p854._.addendum3_2_2" hidden="1">{#N/A,#N/A,FALSE,"mgtsum.XLS";#N/A,#N/A,FALSE,"CAPONE";#N/A,#N/A,FALSE,"CAPTWO";#N/A,#N/A,FALSE,"CAPTHREE"}</definedName>
    <definedName name="wrn.p854._.addendum3_2_2_1" hidden="1">{#N/A,#N/A,FALSE,"mgtsum.XLS";#N/A,#N/A,FALSE,"CAPONE";#N/A,#N/A,FALSE,"CAPTWO";#N/A,#N/A,FALSE,"CAPTHREE"}</definedName>
    <definedName name="wrn.p854._.addendum3_2_2_1_1" hidden="1">{#N/A,#N/A,FALSE,"mgtsum.XLS";#N/A,#N/A,FALSE,"CAPONE";#N/A,#N/A,FALSE,"CAPTWO";#N/A,#N/A,FALSE,"CAPTHREE"}</definedName>
    <definedName name="wrn.p854._.addendum3_2_2_1_2" hidden="1">{#N/A,#N/A,FALSE,"mgtsum.XLS";#N/A,#N/A,FALSE,"CAPONE";#N/A,#N/A,FALSE,"CAPTWO";#N/A,#N/A,FALSE,"CAPTHREE"}</definedName>
    <definedName name="wrn.p854._.addendum3_2_2_1_3" hidden="1">{#N/A,#N/A,FALSE,"mgtsum.XLS";#N/A,#N/A,FALSE,"CAPONE";#N/A,#N/A,FALSE,"CAPTWO";#N/A,#N/A,FALSE,"CAPTHREE"}</definedName>
    <definedName name="wrn.p854._.addendum3_2_2_1_4" hidden="1">{#N/A,#N/A,FALSE,"mgtsum.XLS";#N/A,#N/A,FALSE,"CAPONE";#N/A,#N/A,FALSE,"CAPTWO";#N/A,#N/A,FALSE,"CAPTHREE"}</definedName>
    <definedName name="wrn.p854._.addendum3_2_2_1_5" hidden="1">{#N/A,#N/A,FALSE,"mgtsum.XLS";#N/A,#N/A,FALSE,"CAPONE";#N/A,#N/A,FALSE,"CAPTWO";#N/A,#N/A,FALSE,"CAPTHREE"}</definedName>
    <definedName name="wrn.p854._.addendum3_2_2_2" hidden="1">{#N/A,#N/A,FALSE,"mgtsum.XLS";#N/A,#N/A,FALSE,"CAPONE";#N/A,#N/A,FALSE,"CAPTWO";#N/A,#N/A,FALSE,"CAPTHREE"}</definedName>
    <definedName name="wrn.p854._.addendum3_2_2_2_1" hidden="1">{#N/A,#N/A,FALSE,"mgtsum.XLS";#N/A,#N/A,FALSE,"CAPONE";#N/A,#N/A,FALSE,"CAPTWO";#N/A,#N/A,FALSE,"CAPTHREE"}</definedName>
    <definedName name="wrn.p854._.addendum3_2_2_2_2" hidden="1">{#N/A,#N/A,FALSE,"mgtsum.XLS";#N/A,#N/A,FALSE,"CAPONE";#N/A,#N/A,FALSE,"CAPTWO";#N/A,#N/A,FALSE,"CAPTHREE"}</definedName>
    <definedName name="wrn.p854._.addendum3_2_2_2_3" hidden="1">{#N/A,#N/A,FALSE,"mgtsum.XLS";#N/A,#N/A,FALSE,"CAPONE";#N/A,#N/A,FALSE,"CAPTWO";#N/A,#N/A,FALSE,"CAPTHREE"}</definedName>
    <definedName name="wrn.p854._.addendum3_2_2_2_4" hidden="1">{#N/A,#N/A,FALSE,"mgtsum.XLS";#N/A,#N/A,FALSE,"CAPONE";#N/A,#N/A,FALSE,"CAPTWO";#N/A,#N/A,FALSE,"CAPTHREE"}</definedName>
    <definedName name="wrn.p854._.addendum3_2_2_2_5" hidden="1">{#N/A,#N/A,FALSE,"mgtsum.XLS";#N/A,#N/A,FALSE,"CAPONE";#N/A,#N/A,FALSE,"CAPTWO";#N/A,#N/A,FALSE,"CAPTHREE"}</definedName>
    <definedName name="wrn.p854._.addendum3_2_2_3" hidden="1">{#N/A,#N/A,FALSE,"mgtsum.XLS";#N/A,#N/A,FALSE,"CAPONE";#N/A,#N/A,FALSE,"CAPTWO";#N/A,#N/A,FALSE,"CAPTHREE"}</definedName>
    <definedName name="wrn.p854._.addendum3_2_2_4" hidden="1">{#N/A,#N/A,FALSE,"mgtsum.XLS";#N/A,#N/A,FALSE,"CAPONE";#N/A,#N/A,FALSE,"CAPTWO";#N/A,#N/A,FALSE,"CAPTHREE"}</definedName>
    <definedName name="wrn.p854._.addendum3_2_2_5" hidden="1">{#N/A,#N/A,FALSE,"mgtsum.XLS";#N/A,#N/A,FALSE,"CAPONE";#N/A,#N/A,FALSE,"CAPTWO";#N/A,#N/A,FALSE,"CAPTHREE"}</definedName>
    <definedName name="wrn.p854._.addendum3_2_3" hidden="1">{#N/A,#N/A,FALSE,"mgtsum.XLS";#N/A,#N/A,FALSE,"CAPONE";#N/A,#N/A,FALSE,"CAPTWO";#N/A,#N/A,FALSE,"CAPTHREE"}</definedName>
    <definedName name="wrn.p854._.addendum3_2_3_1" hidden="1">{#N/A,#N/A,FALSE,"mgtsum.XLS";#N/A,#N/A,FALSE,"CAPONE";#N/A,#N/A,FALSE,"CAPTWO";#N/A,#N/A,FALSE,"CAPTHREE"}</definedName>
    <definedName name="wrn.p854._.addendum3_2_3_1_1" hidden="1">{#N/A,#N/A,FALSE,"mgtsum.XLS";#N/A,#N/A,FALSE,"CAPONE";#N/A,#N/A,FALSE,"CAPTWO";#N/A,#N/A,FALSE,"CAPTHREE"}</definedName>
    <definedName name="wrn.p854._.addendum3_2_3_1_2" hidden="1">{#N/A,#N/A,FALSE,"mgtsum.XLS";#N/A,#N/A,FALSE,"CAPONE";#N/A,#N/A,FALSE,"CAPTWO";#N/A,#N/A,FALSE,"CAPTHREE"}</definedName>
    <definedName name="wrn.p854._.addendum3_2_3_1_3" hidden="1">{#N/A,#N/A,FALSE,"mgtsum.XLS";#N/A,#N/A,FALSE,"CAPONE";#N/A,#N/A,FALSE,"CAPTWO";#N/A,#N/A,FALSE,"CAPTHREE"}</definedName>
    <definedName name="wrn.p854._.addendum3_2_3_1_4" hidden="1">{#N/A,#N/A,FALSE,"mgtsum.XLS";#N/A,#N/A,FALSE,"CAPONE";#N/A,#N/A,FALSE,"CAPTWO";#N/A,#N/A,FALSE,"CAPTHREE"}</definedName>
    <definedName name="wrn.p854._.addendum3_2_3_1_5" hidden="1">{#N/A,#N/A,FALSE,"mgtsum.XLS";#N/A,#N/A,FALSE,"CAPONE";#N/A,#N/A,FALSE,"CAPTWO";#N/A,#N/A,FALSE,"CAPTHREE"}</definedName>
    <definedName name="wrn.p854._.addendum3_2_3_2" hidden="1">{#N/A,#N/A,FALSE,"mgtsum.XLS";#N/A,#N/A,FALSE,"CAPONE";#N/A,#N/A,FALSE,"CAPTWO";#N/A,#N/A,FALSE,"CAPTHREE"}</definedName>
    <definedName name="wrn.p854._.addendum3_2_3_2_1" hidden="1">{#N/A,#N/A,FALSE,"mgtsum.XLS";#N/A,#N/A,FALSE,"CAPONE";#N/A,#N/A,FALSE,"CAPTWO";#N/A,#N/A,FALSE,"CAPTHREE"}</definedName>
    <definedName name="wrn.p854._.addendum3_2_3_2_2" hidden="1">{#N/A,#N/A,FALSE,"mgtsum.XLS";#N/A,#N/A,FALSE,"CAPONE";#N/A,#N/A,FALSE,"CAPTWO";#N/A,#N/A,FALSE,"CAPTHREE"}</definedName>
    <definedName name="wrn.p854._.addendum3_2_3_2_3" hidden="1">{#N/A,#N/A,FALSE,"mgtsum.XLS";#N/A,#N/A,FALSE,"CAPONE";#N/A,#N/A,FALSE,"CAPTWO";#N/A,#N/A,FALSE,"CAPTHREE"}</definedName>
    <definedName name="wrn.p854._.addendum3_2_3_2_4" hidden="1">{#N/A,#N/A,FALSE,"mgtsum.XLS";#N/A,#N/A,FALSE,"CAPONE";#N/A,#N/A,FALSE,"CAPTWO";#N/A,#N/A,FALSE,"CAPTHREE"}</definedName>
    <definedName name="wrn.p854._.addendum3_2_3_2_5" hidden="1">{#N/A,#N/A,FALSE,"mgtsum.XLS";#N/A,#N/A,FALSE,"CAPONE";#N/A,#N/A,FALSE,"CAPTWO";#N/A,#N/A,FALSE,"CAPTHREE"}</definedName>
    <definedName name="wrn.p854._.addendum3_2_3_3" hidden="1">{#N/A,#N/A,FALSE,"mgtsum.XLS";#N/A,#N/A,FALSE,"CAPONE";#N/A,#N/A,FALSE,"CAPTWO";#N/A,#N/A,FALSE,"CAPTHREE"}</definedName>
    <definedName name="wrn.p854._.addendum3_2_3_4" hidden="1">{#N/A,#N/A,FALSE,"mgtsum.XLS";#N/A,#N/A,FALSE,"CAPONE";#N/A,#N/A,FALSE,"CAPTWO";#N/A,#N/A,FALSE,"CAPTHREE"}</definedName>
    <definedName name="wrn.p854._.addendum3_2_3_5" hidden="1">{#N/A,#N/A,FALSE,"mgtsum.XLS";#N/A,#N/A,FALSE,"CAPONE";#N/A,#N/A,FALSE,"CAPTWO";#N/A,#N/A,FALSE,"CAPTHREE"}</definedName>
    <definedName name="wrn.p854._.addendum3_2_4" hidden="1">{#N/A,#N/A,FALSE,"mgtsum.XLS";#N/A,#N/A,FALSE,"CAPONE";#N/A,#N/A,FALSE,"CAPTWO";#N/A,#N/A,FALSE,"CAPTHREE"}</definedName>
    <definedName name="wrn.p854._.addendum3_2_4_1" hidden="1">{#N/A,#N/A,FALSE,"mgtsum.XLS";#N/A,#N/A,FALSE,"CAPONE";#N/A,#N/A,FALSE,"CAPTWO";#N/A,#N/A,FALSE,"CAPTHREE"}</definedName>
    <definedName name="wrn.p854._.addendum3_2_4_1_1" hidden="1">{#N/A,#N/A,FALSE,"mgtsum.XLS";#N/A,#N/A,FALSE,"CAPONE";#N/A,#N/A,FALSE,"CAPTWO";#N/A,#N/A,FALSE,"CAPTHREE"}</definedName>
    <definedName name="wrn.p854._.addendum3_2_4_1_2" hidden="1">{#N/A,#N/A,FALSE,"mgtsum.XLS";#N/A,#N/A,FALSE,"CAPONE";#N/A,#N/A,FALSE,"CAPTWO";#N/A,#N/A,FALSE,"CAPTHREE"}</definedName>
    <definedName name="wrn.p854._.addendum3_2_4_1_3" hidden="1">{#N/A,#N/A,FALSE,"mgtsum.XLS";#N/A,#N/A,FALSE,"CAPONE";#N/A,#N/A,FALSE,"CAPTWO";#N/A,#N/A,FALSE,"CAPTHREE"}</definedName>
    <definedName name="wrn.p854._.addendum3_2_4_1_4" hidden="1">{#N/A,#N/A,FALSE,"mgtsum.XLS";#N/A,#N/A,FALSE,"CAPONE";#N/A,#N/A,FALSE,"CAPTWO";#N/A,#N/A,FALSE,"CAPTHREE"}</definedName>
    <definedName name="wrn.p854._.addendum3_2_4_1_5" hidden="1">{#N/A,#N/A,FALSE,"mgtsum.XLS";#N/A,#N/A,FALSE,"CAPONE";#N/A,#N/A,FALSE,"CAPTWO";#N/A,#N/A,FALSE,"CAPTHREE"}</definedName>
    <definedName name="wrn.p854._.addendum3_2_4_2" hidden="1">{#N/A,#N/A,FALSE,"mgtsum.XLS";#N/A,#N/A,FALSE,"CAPONE";#N/A,#N/A,FALSE,"CAPTWO";#N/A,#N/A,FALSE,"CAPTHREE"}</definedName>
    <definedName name="wrn.p854._.addendum3_2_4_2_1" hidden="1">{#N/A,#N/A,FALSE,"mgtsum.XLS";#N/A,#N/A,FALSE,"CAPONE";#N/A,#N/A,FALSE,"CAPTWO";#N/A,#N/A,FALSE,"CAPTHREE"}</definedName>
    <definedName name="wrn.p854._.addendum3_2_4_2_2" hidden="1">{#N/A,#N/A,FALSE,"mgtsum.XLS";#N/A,#N/A,FALSE,"CAPONE";#N/A,#N/A,FALSE,"CAPTWO";#N/A,#N/A,FALSE,"CAPTHREE"}</definedName>
    <definedName name="wrn.p854._.addendum3_2_4_2_3" hidden="1">{#N/A,#N/A,FALSE,"mgtsum.XLS";#N/A,#N/A,FALSE,"CAPONE";#N/A,#N/A,FALSE,"CAPTWO";#N/A,#N/A,FALSE,"CAPTHREE"}</definedName>
    <definedName name="wrn.p854._.addendum3_2_4_2_4" hidden="1">{#N/A,#N/A,FALSE,"mgtsum.XLS";#N/A,#N/A,FALSE,"CAPONE";#N/A,#N/A,FALSE,"CAPTWO";#N/A,#N/A,FALSE,"CAPTHREE"}</definedName>
    <definedName name="wrn.p854._.addendum3_2_4_2_5" hidden="1">{#N/A,#N/A,FALSE,"mgtsum.XLS";#N/A,#N/A,FALSE,"CAPONE";#N/A,#N/A,FALSE,"CAPTWO";#N/A,#N/A,FALSE,"CAPTHREE"}</definedName>
    <definedName name="wrn.p854._.addendum3_2_4_3" hidden="1">{#N/A,#N/A,FALSE,"mgtsum.XLS";#N/A,#N/A,FALSE,"CAPONE";#N/A,#N/A,FALSE,"CAPTWO";#N/A,#N/A,FALSE,"CAPTHREE"}</definedName>
    <definedName name="wrn.p854._.addendum3_2_4_4" hidden="1">{#N/A,#N/A,FALSE,"mgtsum.XLS";#N/A,#N/A,FALSE,"CAPONE";#N/A,#N/A,FALSE,"CAPTWO";#N/A,#N/A,FALSE,"CAPTHREE"}</definedName>
    <definedName name="wrn.p854._.addendum3_2_4_5" hidden="1">{#N/A,#N/A,FALSE,"mgtsum.XLS";#N/A,#N/A,FALSE,"CAPONE";#N/A,#N/A,FALSE,"CAPTWO";#N/A,#N/A,FALSE,"CAPTHREE"}</definedName>
    <definedName name="wrn.p854._.addendum3_2_5" hidden="1">{#N/A,#N/A,FALSE,"mgtsum.XLS";#N/A,#N/A,FALSE,"CAPONE";#N/A,#N/A,FALSE,"CAPTWO";#N/A,#N/A,FALSE,"CAPTHREE"}</definedName>
    <definedName name="wrn.p854._.addendum3_2_5_1" hidden="1">{#N/A,#N/A,FALSE,"mgtsum.XLS";#N/A,#N/A,FALSE,"CAPONE";#N/A,#N/A,FALSE,"CAPTWO";#N/A,#N/A,FALSE,"CAPTHREE"}</definedName>
    <definedName name="wrn.p854._.addendum3_2_5_2" hidden="1">{#N/A,#N/A,FALSE,"mgtsum.XLS";#N/A,#N/A,FALSE,"CAPONE";#N/A,#N/A,FALSE,"CAPTWO";#N/A,#N/A,FALSE,"CAPTHREE"}</definedName>
    <definedName name="wrn.p854._.addendum3_2_5_3" hidden="1">{#N/A,#N/A,FALSE,"mgtsum.XLS";#N/A,#N/A,FALSE,"CAPONE";#N/A,#N/A,FALSE,"CAPTWO";#N/A,#N/A,FALSE,"CAPTHREE"}</definedName>
    <definedName name="wrn.p854._.addendum3_2_5_4" hidden="1">{#N/A,#N/A,FALSE,"mgtsum.XLS";#N/A,#N/A,FALSE,"CAPONE";#N/A,#N/A,FALSE,"CAPTWO";#N/A,#N/A,FALSE,"CAPTHREE"}</definedName>
    <definedName name="wrn.p854._.addendum3_2_5_5" hidden="1">{#N/A,#N/A,FALSE,"mgtsum.XLS";#N/A,#N/A,FALSE,"CAPONE";#N/A,#N/A,FALSE,"CAPTWO";#N/A,#N/A,FALSE,"CAPTHREE"}</definedName>
    <definedName name="wrn.p854._.addendum3_3" hidden="1">{#N/A,#N/A,FALSE,"mgtsum.XLS";#N/A,#N/A,FALSE,"CAPONE";#N/A,#N/A,FALSE,"CAPTWO";#N/A,#N/A,FALSE,"CAPTHREE"}</definedName>
    <definedName name="wrn.p854._.addendum3_3_1" hidden="1">{#N/A,#N/A,FALSE,"mgtsum.XLS";#N/A,#N/A,FALSE,"CAPONE";#N/A,#N/A,FALSE,"CAPTWO";#N/A,#N/A,FALSE,"CAPTHREE"}</definedName>
    <definedName name="wrn.p854._.addendum3_3_1_1" hidden="1">{#N/A,#N/A,FALSE,"mgtsum.XLS";#N/A,#N/A,FALSE,"CAPONE";#N/A,#N/A,FALSE,"CAPTWO";#N/A,#N/A,FALSE,"CAPTHREE"}</definedName>
    <definedName name="wrn.p854._.addendum3_3_1_1_1" hidden="1">{#N/A,#N/A,FALSE,"mgtsum.XLS";#N/A,#N/A,FALSE,"CAPONE";#N/A,#N/A,FALSE,"CAPTWO";#N/A,#N/A,FALSE,"CAPTHREE"}</definedName>
    <definedName name="wrn.p854._.addendum3_3_1_1_2" hidden="1">{#N/A,#N/A,FALSE,"mgtsum.XLS";#N/A,#N/A,FALSE,"CAPONE";#N/A,#N/A,FALSE,"CAPTWO";#N/A,#N/A,FALSE,"CAPTHREE"}</definedName>
    <definedName name="wrn.p854._.addendum3_3_1_1_3" hidden="1">{#N/A,#N/A,FALSE,"mgtsum.XLS";#N/A,#N/A,FALSE,"CAPONE";#N/A,#N/A,FALSE,"CAPTWO";#N/A,#N/A,FALSE,"CAPTHREE"}</definedName>
    <definedName name="wrn.p854._.addendum3_3_1_1_4" hidden="1">{#N/A,#N/A,FALSE,"mgtsum.XLS";#N/A,#N/A,FALSE,"CAPONE";#N/A,#N/A,FALSE,"CAPTWO";#N/A,#N/A,FALSE,"CAPTHREE"}</definedName>
    <definedName name="wrn.p854._.addendum3_3_1_1_5" hidden="1">{#N/A,#N/A,FALSE,"mgtsum.XLS";#N/A,#N/A,FALSE,"CAPONE";#N/A,#N/A,FALSE,"CAPTWO";#N/A,#N/A,FALSE,"CAPTHREE"}</definedName>
    <definedName name="wrn.p854._.addendum3_3_1_2" hidden="1">{#N/A,#N/A,FALSE,"mgtsum.XLS";#N/A,#N/A,FALSE,"CAPONE";#N/A,#N/A,FALSE,"CAPTWO";#N/A,#N/A,FALSE,"CAPTHREE"}</definedName>
    <definedName name="wrn.p854._.addendum3_3_1_2_1" hidden="1">{#N/A,#N/A,FALSE,"mgtsum.XLS";#N/A,#N/A,FALSE,"CAPONE";#N/A,#N/A,FALSE,"CAPTWO";#N/A,#N/A,FALSE,"CAPTHREE"}</definedName>
    <definedName name="wrn.p854._.addendum3_3_1_2_2" hidden="1">{#N/A,#N/A,FALSE,"mgtsum.XLS";#N/A,#N/A,FALSE,"CAPONE";#N/A,#N/A,FALSE,"CAPTWO";#N/A,#N/A,FALSE,"CAPTHREE"}</definedName>
    <definedName name="wrn.p854._.addendum3_3_1_2_3" hidden="1">{#N/A,#N/A,FALSE,"mgtsum.XLS";#N/A,#N/A,FALSE,"CAPONE";#N/A,#N/A,FALSE,"CAPTWO";#N/A,#N/A,FALSE,"CAPTHREE"}</definedName>
    <definedName name="wrn.p854._.addendum3_3_1_2_4" hidden="1">{#N/A,#N/A,FALSE,"mgtsum.XLS";#N/A,#N/A,FALSE,"CAPONE";#N/A,#N/A,FALSE,"CAPTWO";#N/A,#N/A,FALSE,"CAPTHREE"}</definedName>
    <definedName name="wrn.p854._.addendum3_3_1_2_5" hidden="1">{#N/A,#N/A,FALSE,"mgtsum.XLS";#N/A,#N/A,FALSE,"CAPONE";#N/A,#N/A,FALSE,"CAPTWO";#N/A,#N/A,FALSE,"CAPTHREE"}</definedName>
    <definedName name="wrn.p854._.addendum3_3_1_3" hidden="1">{#N/A,#N/A,FALSE,"mgtsum.XLS";#N/A,#N/A,FALSE,"CAPONE";#N/A,#N/A,FALSE,"CAPTWO";#N/A,#N/A,FALSE,"CAPTHREE"}</definedName>
    <definedName name="wrn.p854._.addendum3_3_1_3_1" hidden="1">{#N/A,#N/A,FALSE,"mgtsum.XLS";#N/A,#N/A,FALSE,"CAPONE";#N/A,#N/A,FALSE,"CAPTWO";#N/A,#N/A,FALSE,"CAPTHREE"}</definedName>
    <definedName name="wrn.p854._.addendum3_3_1_3_2" hidden="1">{#N/A,#N/A,FALSE,"mgtsum.XLS";#N/A,#N/A,FALSE,"CAPONE";#N/A,#N/A,FALSE,"CAPTWO";#N/A,#N/A,FALSE,"CAPTHREE"}</definedName>
    <definedName name="wrn.p854._.addendum3_3_1_3_3" hidden="1">{#N/A,#N/A,FALSE,"mgtsum.XLS";#N/A,#N/A,FALSE,"CAPONE";#N/A,#N/A,FALSE,"CAPTWO";#N/A,#N/A,FALSE,"CAPTHREE"}</definedName>
    <definedName name="wrn.p854._.addendum3_3_1_3_4" hidden="1">{#N/A,#N/A,FALSE,"mgtsum.XLS";#N/A,#N/A,FALSE,"CAPONE";#N/A,#N/A,FALSE,"CAPTWO";#N/A,#N/A,FALSE,"CAPTHREE"}</definedName>
    <definedName name="wrn.p854._.addendum3_3_1_3_5" hidden="1">{#N/A,#N/A,FALSE,"mgtsum.XLS";#N/A,#N/A,FALSE,"CAPONE";#N/A,#N/A,FALSE,"CAPTWO";#N/A,#N/A,FALSE,"CAPTHREE"}</definedName>
    <definedName name="wrn.p854._.addendum3_3_1_4" hidden="1">{#N/A,#N/A,FALSE,"mgtsum.XLS";#N/A,#N/A,FALSE,"CAPONE";#N/A,#N/A,FALSE,"CAPTWO";#N/A,#N/A,FALSE,"CAPTHREE"}</definedName>
    <definedName name="wrn.p854._.addendum3_3_1_5" hidden="1">{#N/A,#N/A,FALSE,"mgtsum.XLS";#N/A,#N/A,FALSE,"CAPONE";#N/A,#N/A,FALSE,"CAPTWO";#N/A,#N/A,FALSE,"CAPTHREE"}</definedName>
    <definedName name="wrn.p854._.addendum3_3_2" hidden="1">{#N/A,#N/A,FALSE,"mgtsum.XLS";#N/A,#N/A,FALSE,"CAPONE";#N/A,#N/A,FALSE,"CAPTWO";#N/A,#N/A,FALSE,"CAPTHREE"}</definedName>
    <definedName name="wrn.p854._.addendum3_3_2_1" hidden="1">{#N/A,#N/A,FALSE,"mgtsum.XLS";#N/A,#N/A,FALSE,"CAPONE";#N/A,#N/A,FALSE,"CAPTWO";#N/A,#N/A,FALSE,"CAPTHREE"}</definedName>
    <definedName name="wrn.p854._.addendum3_3_2_1_1" hidden="1">{#N/A,#N/A,FALSE,"mgtsum.XLS";#N/A,#N/A,FALSE,"CAPONE";#N/A,#N/A,FALSE,"CAPTWO";#N/A,#N/A,FALSE,"CAPTHREE"}</definedName>
    <definedName name="wrn.p854._.addendum3_3_2_1_2" hidden="1">{#N/A,#N/A,FALSE,"mgtsum.XLS";#N/A,#N/A,FALSE,"CAPONE";#N/A,#N/A,FALSE,"CAPTWO";#N/A,#N/A,FALSE,"CAPTHREE"}</definedName>
    <definedName name="wrn.p854._.addendum3_3_2_1_3" hidden="1">{#N/A,#N/A,FALSE,"mgtsum.XLS";#N/A,#N/A,FALSE,"CAPONE";#N/A,#N/A,FALSE,"CAPTWO";#N/A,#N/A,FALSE,"CAPTHREE"}</definedName>
    <definedName name="wrn.p854._.addendum3_3_2_1_4" hidden="1">{#N/A,#N/A,FALSE,"mgtsum.XLS";#N/A,#N/A,FALSE,"CAPONE";#N/A,#N/A,FALSE,"CAPTWO";#N/A,#N/A,FALSE,"CAPTHREE"}</definedName>
    <definedName name="wrn.p854._.addendum3_3_2_1_5" hidden="1">{#N/A,#N/A,FALSE,"mgtsum.XLS";#N/A,#N/A,FALSE,"CAPONE";#N/A,#N/A,FALSE,"CAPTWO";#N/A,#N/A,FALSE,"CAPTHREE"}</definedName>
    <definedName name="wrn.p854._.addendum3_3_2_2" hidden="1">{#N/A,#N/A,FALSE,"mgtsum.XLS";#N/A,#N/A,FALSE,"CAPONE";#N/A,#N/A,FALSE,"CAPTWO";#N/A,#N/A,FALSE,"CAPTHREE"}</definedName>
    <definedName name="wrn.p854._.addendum3_3_2_2_1" hidden="1">{#N/A,#N/A,FALSE,"mgtsum.XLS";#N/A,#N/A,FALSE,"CAPONE";#N/A,#N/A,FALSE,"CAPTWO";#N/A,#N/A,FALSE,"CAPTHREE"}</definedName>
    <definedName name="wrn.p854._.addendum3_3_2_2_2" hidden="1">{#N/A,#N/A,FALSE,"mgtsum.XLS";#N/A,#N/A,FALSE,"CAPONE";#N/A,#N/A,FALSE,"CAPTWO";#N/A,#N/A,FALSE,"CAPTHREE"}</definedName>
    <definedName name="wrn.p854._.addendum3_3_2_2_3" hidden="1">{#N/A,#N/A,FALSE,"mgtsum.XLS";#N/A,#N/A,FALSE,"CAPONE";#N/A,#N/A,FALSE,"CAPTWO";#N/A,#N/A,FALSE,"CAPTHREE"}</definedName>
    <definedName name="wrn.p854._.addendum3_3_2_2_4" hidden="1">{#N/A,#N/A,FALSE,"mgtsum.XLS";#N/A,#N/A,FALSE,"CAPONE";#N/A,#N/A,FALSE,"CAPTWO";#N/A,#N/A,FALSE,"CAPTHREE"}</definedName>
    <definedName name="wrn.p854._.addendum3_3_2_2_5" hidden="1">{#N/A,#N/A,FALSE,"mgtsum.XLS";#N/A,#N/A,FALSE,"CAPONE";#N/A,#N/A,FALSE,"CAPTWO";#N/A,#N/A,FALSE,"CAPTHREE"}</definedName>
    <definedName name="wrn.p854._.addendum3_3_2_3" hidden="1">{#N/A,#N/A,FALSE,"mgtsum.XLS";#N/A,#N/A,FALSE,"CAPONE";#N/A,#N/A,FALSE,"CAPTWO";#N/A,#N/A,FALSE,"CAPTHREE"}</definedName>
    <definedName name="wrn.p854._.addendum3_3_2_4" hidden="1">{#N/A,#N/A,FALSE,"mgtsum.XLS";#N/A,#N/A,FALSE,"CAPONE";#N/A,#N/A,FALSE,"CAPTWO";#N/A,#N/A,FALSE,"CAPTHREE"}</definedName>
    <definedName name="wrn.p854._.addendum3_3_2_5" hidden="1">{#N/A,#N/A,FALSE,"mgtsum.XLS";#N/A,#N/A,FALSE,"CAPONE";#N/A,#N/A,FALSE,"CAPTWO";#N/A,#N/A,FALSE,"CAPTHREE"}</definedName>
    <definedName name="wrn.p854._.addendum3_3_3" hidden="1">{#N/A,#N/A,FALSE,"mgtsum.XLS";#N/A,#N/A,FALSE,"CAPONE";#N/A,#N/A,FALSE,"CAPTWO";#N/A,#N/A,FALSE,"CAPTHREE"}</definedName>
    <definedName name="wrn.p854._.addendum3_3_3_1" hidden="1">{#N/A,#N/A,FALSE,"mgtsum.XLS";#N/A,#N/A,FALSE,"CAPONE";#N/A,#N/A,FALSE,"CAPTWO";#N/A,#N/A,FALSE,"CAPTHREE"}</definedName>
    <definedName name="wrn.p854._.addendum3_3_3_1_1" hidden="1">{#N/A,#N/A,FALSE,"mgtsum.XLS";#N/A,#N/A,FALSE,"CAPONE";#N/A,#N/A,FALSE,"CAPTWO";#N/A,#N/A,FALSE,"CAPTHREE"}</definedName>
    <definedName name="wrn.p854._.addendum3_3_3_1_2" hidden="1">{#N/A,#N/A,FALSE,"mgtsum.XLS";#N/A,#N/A,FALSE,"CAPONE";#N/A,#N/A,FALSE,"CAPTWO";#N/A,#N/A,FALSE,"CAPTHREE"}</definedName>
    <definedName name="wrn.p854._.addendum3_3_3_1_3" hidden="1">{#N/A,#N/A,FALSE,"mgtsum.XLS";#N/A,#N/A,FALSE,"CAPONE";#N/A,#N/A,FALSE,"CAPTWO";#N/A,#N/A,FALSE,"CAPTHREE"}</definedName>
    <definedName name="wrn.p854._.addendum3_3_3_1_4" hidden="1">{#N/A,#N/A,FALSE,"mgtsum.XLS";#N/A,#N/A,FALSE,"CAPONE";#N/A,#N/A,FALSE,"CAPTWO";#N/A,#N/A,FALSE,"CAPTHREE"}</definedName>
    <definedName name="wrn.p854._.addendum3_3_3_1_5" hidden="1">{#N/A,#N/A,FALSE,"mgtsum.XLS";#N/A,#N/A,FALSE,"CAPONE";#N/A,#N/A,FALSE,"CAPTWO";#N/A,#N/A,FALSE,"CAPTHREE"}</definedName>
    <definedName name="wrn.p854._.addendum3_3_3_2" hidden="1">{#N/A,#N/A,FALSE,"mgtsum.XLS";#N/A,#N/A,FALSE,"CAPONE";#N/A,#N/A,FALSE,"CAPTWO";#N/A,#N/A,FALSE,"CAPTHREE"}</definedName>
    <definedName name="wrn.p854._.addendum3_3_3_2_1" hidden="1">{#N/A,#N/A,FALSE,"mgtsum.XLS";#N/A,#N/A,FALSE,"CAPONE";#N/A,#N/A,FALSE,"CAPTWO";#N/A,#N/A,FALSE,"CAPTHREE"}</definedName>
    <definedName name="wrn.p854._.addendum3_3_3_2_2" hidden="1">{#N/A,#N/A,FALSE,"mgtsum.XLS";#N/A,#N/A,FALSE,"CAPONE";#N/A,#N/A,FALSE,"CAPTWO";#N/A,#N/A,FALSE,"CAPTHREE"}</definedName>
    <definedName name="wrn.p854._.addendum3_3_3_2_3" hidden="1">{#N/A,#N/A,FALSE,"mgtsum.XLS";#N/A,#N/A,FALSE,"CAPONE";#N/A,#N/A,FALSE,"CAPTWO";#N/A,#N/A,FALSE,"CAPTHREE"}</definedName>
    <definedName name="wrn.p854._.addendum3_3_3_2_4" hidden="1">{#N/A,#N/A,FALSE,"mgtsum.XLS";#N/A,#N/A,FALSE,"CAPONE";#N/A,#N/A,FALSE,"CAPTWO";#N/A,#N/A,FALSE,"CAPTHREE"}</definedName>
    <definedName name="wrn.p854._.addendum3_3_3_2_5" hidden="1">{#N/A,#N/A,FALSE,"mgtsum.XLS";#N/A,#N/A,FALSE,"CAPONE";#N/A,#N/A,FALSE,"CAPTWO";#N/A,#N/A,FALSE,"CAPTHREE"}</definedName>
    <definedName name="wrn.p854._.addendum3_3_3_3" hidden="1">{#N/A,#N/A,FALSE,"mgtsum.XLS";#N/A,#N/A,FALSE,"CAPONE";#N/A,#N/A,FALSE,"CAPTWO";#N/A,#N/A,FALSE,"CAPTHREE"}</definedName>
    <definedName name="wrn.p854._.addendum3_3_3_4" hidden="1">{#N/A,#N/A,FALSE,"mgtsum.XLS";#N/A,#N/A,FALSE,"CAPONE";#N/A,#N/A,FALSE,"CAPTWO";#N/A,#N/A,FALSE,"CAPTHREE"}</definedName>
    <definedName name="wrn.p854._.addendum3_3_3_5" hidden="1">{#N/A,#N/A,FALSE,"mgtsum.XLS";#N/A,#N/A,FALSE,"CAPONE";#N/A,#N/A,FALSE,"CAPTWO";#N/A,#N/A,FALSE,"CAPTHREE"}</definedName>
    <definedName name="wrn.p854._.addendum3_3_4" hidden="1">{#N/A,#N/A,FALSE,"mgtsum.XLS";#N/A,#N/A,FALSE,"CAPONE";#N/A,#N/A,FALSE,"CAPTWO";#N/A,#N/A,FALSE,"CAPTHREE"}</definedName>
    <definedName name="wrn.p854._.addendum3_3_4_1" hidden="1">{#N/A,#N/A,FALSE,"mgtsum.XLS";#N/A,#N/A,FALSE,"CAPONE";#N/A,#N/A,FALSE,"CAPTWO";#N/A,#N/A,FALSE,"CAPTHREE"}</definedName>
    <definedName name="wrn.p854._.addendum3_3_4_1_1" hidden="1">{#N/A,#N/A,FALSE,"mgtsum.XLS";#N/A,#N/A,FALSE,"CAPONE";#N/A,#N/A,FALSE,"CAPTWO";#N/A,#N/A,FALSE,"CAPTHREE"}</definedName>
    <definedName name="wrn.p854._.addendum3_3_4_1_2" hidden="1">{#N/A,#N/A,FALSE,"mgtsum.XLS";#N/A,#N/A,FALSE,"CAPONE";#N/A,#N/A,FALSE,"CAPTWO";#N/A,#N/A,FALSE,"CAPTHREE"}</definedName>
    <definedName name="wrn.p854._.addendum3_3_4_1_3" hidden="1">{#N/A,#N/A,FALSE,"mgtsum.XLS";#N/A,#N/A,FALSE,"CAPONE";#N/A,#N/A,FALSE,"CAPTWO";#N/A,#N/A,FALSE,"CAPTHREE"}</definedName>
    <definedName name="wrn.p854._.addendum3_3_4_1_4" hidden="1">{#N/A,#N/A,FALSE,"mgtsum.XLS";#N/A,#N/A,FALSE,"CAPONE";#N/A,#N/A,FALSE,"CAPTWO";#N/A,#N/A,FALSE,"CAPTHREE"}</definedName>
    <definedName name="wrn.p854._.addendum3_3_4_1_5" hidden="1">{#N/A,#N/A,FALSE,"mgtsum.XLS";#N/A,#N/A,FALSE,"CAPONE";#N/A,#N/A,FALSE,"CAPTWO";#N/A,#N/A,FALSE,"CAPTHREE"}</definedName>
    <definedName name="wrn.p854._.addendum3_3_4_2" hidden="1">{#N/A,#N/A,FALSE,"mgtsum.XLS";#N/A,#N/A,FALSE,"CAPONE";#N/A,#N/A,FALSE,"CAPTWO";#N/A,#N/A,FALSE,"CAPTHREE"}</definedName>
    <definedName name="wrn.p854._.addendum3_3_4_2_1" hidden="1">{#N/A,#N/A,FALSE,"mgtsum.XLS";#N/A,#N/A,FALSE,"CAPONE";#N/A,#N/A,FALSE,"CAPTWO";#N/A,#N/A,FALSE,"CAPTHREE"}</definedName>
    <definedName name="wrn.p854._.addendum3_3_4_2_2" hidden="1">{#N/A,#N/A,FALSE,"mgtsum.XLS";#N/A,#N/A,FALSE,"CAPONE";#N/A,#N/A,FALSE,"CAPTWO";#N/A,#N/A,FALSE,"CAPTHREE"}</definedName>
    <definedName name="wrn.p854._.addendum3_3_4_2_3" hidden="1">{#N/A,#N/A,FALSE,"mgtsum.XLS";#N/A,#N/A,FALSE,"CAPONE";#N/A,#N/A,FALSE,"CAPTWO";#N/A,#N/A,FALSE,"CAPTHREE"}</definedName>
    <definedName name="wrn.p854._.addendum3_3_4_2_4" hidden="1">{#N/A,#N/A,FALSE,"mgtsum.XLS";#N/A,#N/A,FALSE,"CAPONE";#N/A,#N/A,FALSE,"CAPTWO";#N/A,#N/A,FALSE,"CAPTHREE"}</definedName>
    <definedName name="wrn.p854._.addendum3_3_4_2_5" hidden="1">{#N/A,#N/A,FALSE,"mgtsum.XLS";#N/A,#N/A,FALSE,"CAPONE";#N/A,#N/A,FALSE,"CAPTWO";#N/A,#N/A,FALSE,"CAPTHREE"}</definedName>
    <definedName name="wrn.p854._.addendum3_3_4_3" hidden="1">{#N/A,#N/A,FALSE,"mgtsum.XLS";#N/A,#N/A,FALSE,"CAPONE";#N/A,#N/A,FALSE,"CAPTWO";#N/A,#N/A,FALSE,"CAPTHREE"}</definedName>
    <definedName name="wrn.p854._.addendum3_3_4_4" hidden="1">{#N/A,#N/A,FALSE,"mgtsum.XLS";#N/A,#N/A,FALSE,"CAPONE";#N/A,#N/A,FALSE,"CAPTWO";#N/A,#N/A,FALSE,"CAPTHREE"}</definedName>
    <definedName name="wrn.p854._.addendum3_3_4_5" hidden="1">{#N/A,#N/A,FALSE,"mgtsum.XLS";#N/A,#N/A,FALSE,"CAPONE";#N/A,#N/A,FALSE,"CAPTWO";#N/A,#N/A,FALSE,"CAPTHREE"}</definedName>
    <definedName name="wrn.p854._.addendum3_3_5" hidden="1">{#N/A,#N/A,FALSE,"mgtsum.XLS";#N/A,#N/A,FALSE,"CAPONE";#N/A,#N/A,FALSE,"CAPTWO";#N/A,#N/A,FALSE,"CAPTHREE"}</definedName>
    <definedName name="wrn.p854._.addendum3_3_5_1" hidden="1">{#N/A,#N/A,FALSE,"mgtsum.XLS";#N/A,#N/A,FALSE,"CAPONE";#N/A,#N/A,FALSE,"CAPTWO";#N/A,#N/A,FALSE,"CAPTHREE"}</definedName>
    <definedName name="wrn.p854._.addendum3_3_5_2" hidden="1">{#N/A,#N/A,FALSE,"mgtsum.XLS";#N/A,#N/A,FALSE,"CAPONE";#N/A,#N/A,FALSE,"CAPTWO";#N/A,#N/A,FALSE,"CAPTHREE"}</definedName>
    <definedName name="wrn.p854._.addendum3_3_5_3" hidden="1">{#N/A,#N/A,FALSE,"mgtsum.XLS";#N/A,#N/A,FALSE,"CAPONE";#N/A,#N/A,FALSE,"CAPTWO";#N/A,#N/A,FALSE,"CAPTHREE"}</definedName>
    <definedName name="wrn.p854._.addendum3_3_5_4" hidden="1">{#N/A,#N/A,FALSE,"mgtsum.XLS";#N/A,#N/A,FALSE,"CAPONE";#N/A,#N/A,FALSE,"CAPTWO";#N/A,#N/A,FALSE,"CAPTHREE"}</definedName>
    <definedName name="wrn.p854._.addendum3_3_5_5" hidden="1">{#N/A,#N/A,FALSE,"mgtsum.XLS";#N/A,#N/A,FALSE,"CAPONE";#N/A,#N/A,FALSE,"CAPTWO";#N/A,#N/A,FALSE,"CAPTHREE"}</definedName>
    <definedName name="wrn.p854._.addendum3_4" hidden="1">{#N/A,#N/A,FALSE,"mgtsum.XLS";#N/A,#N/A,FALSE,"CAPONE";#N/A,#N/A,FALSE,"CAPTWO";#N/A,#N/A,FALSE,"CAPTHREE"}</definedName>
    <definedName name="wrn.p854._.addendum3_4_1" hidden="1">{#N/A,#N/A,FALSE,"mgtsum.XLS";#N/A,#N/A,FALSE,"CAPONE";#N/A,#N/A,FALSE,"CAPTWO";#N/A,#N/A,FALSE,"CAPTHREE"}</definedName>
    <definedName name="wrn.p854._.addendum3_4_1_1" hidden="1">{#N/A,#N/A,FALSE,"mgtsum.XLS";#N/A,#N/A,FALSE,"CAPONE";#N/A,#N/A,FALSE,"CAPTWO";#N/A,#N/A,FALSE,"CAPTHREE"}</definedName>
    <definedName name="wrn.p854._.addendum3_4_1_1_1" hidden="1">{#N/A,#N/A,FALSE,"mgtsum.XLS";#N/A,#N/A,FALSE,"CAPONE";#N/A,#N/A,FALSE,"CAPTWO";#N/A,#N/A,FALSE,"CAPTHREE"}</definedName>
    <definedName name="wrn.p854._.addendum3_4_1_1_2" hidden="1">{#N/A,#N/A,FALSE,"mgtsum.XLS";#N/A,#N/A,FALSE,"CAPONE";#N/A,#N/A,FALSE,"CAPTWO";#N/A,#N/A,FALSE,"CAPTHREE"}</definedName>
    <definedName name="wrn.p854._.addendum3_4_1_1_3" hidden="1">{#N/A,#N/A,FALSE,"mgtsum.XLS";#N/A,#N/A,FALSE,"CAPONE";#N/A,#N/A,FALSE,"CAPTWO";#N/A,#N/A,FALSE,"CAPTHREE"}</definedName>
    <definedName name="wrn.p854._.addendum3_4_1_1_4" hidden="1">{#N/A,#N/A,FALSE,"mgtsum.XLS";#N/A,#N/A,FALSE,"CAPONE";#N/A,#N/A,FALSE,"CAPTWO";#N/A,#N/A,FALSE,"CAPTHREE"}</definedName>
    <definedName name="wrn.p854._.addendum3_4_1_1_5" hidden="1">{#N/A,#N/A,FALSE,"mgtsum.XLS";#N/A,#N/A,FALSE,"CAPONE";#N/A,#N/A,FALSE,"CAPTWO";#N/A,#N/A,FALSE,"CAPTHREE"}</definedName>
    <definedName name="wrn.p854._.addendum3_4_1_2" hidden="1">{#N/A,#N/A,FALSE,"mgtsum.XLS";#N/A,#N/A,FALSE,"CAPONE";#N/A,#N/A,FALSE,"CAPTWO";#N/A,#N/A,FALSE,"CAPTHREE"}</definedName>
    <definedName name="wrn.p854._.addendum3_4_1_2_1" hidden="1">{#N/A,#N/A,FALSE,"mgtsum.XLS";#N/A,#N/A,FALSE,"CAPONE";#N/A,#N/A,FALSE,"CAPTWO";#N/A,#N/A,FALSE,"CAPTHREE"}</definedName>
    <definedName name="wrn.p854._.addendum3_4_1_2_2" hidden="1">{#N/A,#N/A,FALSE,"mgtsum.XLS";#N/A,#N/A,FALSE,"CAPONE";#N/A,#N/A,FALSE,"CAPTWO";#N/A,#N/A,FALSE,"CAPTHREE"}</definedName>
    <definedName name="wrn.p854._.addendum3_4_1_2_3" hidden="1">{#N/A,#N/A,FALSE,"mgtsum.XLS";#N/A,#N/A,FALSE,"CAPONE";#N/A,#N/A,FALSE,"CAPTWO";#N/A,#N/A,FALSE,"CAPTHREE"}</definedName>
    <definedName name="wrn.p854._.addendum3_4_1_2_4" hidden="1">{#N/A,#N/A,FALSE,"mgtsum.XLS";#N/A,#N/A,FALSE,"CAPONE";#N/A,#N/A,FALSE,"CAPTWO";#N/A,#N/A,FALSE,"CAPTHREE"}</definedName>
    <definedName name="wrn.p854._.addendum3_4_1_2_5" hidden="1">{#N/A,#N/A,FALSE,"mgtsum.XLS";#N/A,#N/A,FALSE,"CAPONE";#N/A,#N/A,FALSE,"CAPTWO";#N/A,#N/A,FALSE,"CAPTHREE"}</definedName>
    <definedName name="wrn.p854._.addendum3_4_1_3" hidden="1">{#N/A,#N/A,FALSE,"mgtsum.XLS";#N/A,#N/A,FALSE,"CAPONE";#N/A,#N/A,FALSE,"CAPTWO";#N/A,#N/A,FALSE,"CAPTHREE"}</definedName>
    <definedName name="wrn.p854._.addendum3_4_1_3_1" hidden="1">{#N/A,#N/A,FALSE,"mgtsum.XLS";#N/A,#N/A,FALSE,"CAPONE";#N/A,#N/A,FALSE,"CAPTWO";#N/A,#N/A,FALSE,"CAPTHREE"}</definedName>
    <definedName name="wrn.p854._.addendum3_4_1_3_2" hidden="1">{#N/A,#N/A,FALSE,"mgtsum.XLS";#N/A,#N/A,FALSE,"CAPONE";#N/A,#N/A,FALSE,"CAPTWO";#N/A,#N/A,FALSE,"CAPTHREE"}</definedName>
    <definedName name="wrn.p854._.addendum3_4_1_3_3" hidden="1">{#N/A,#N/A,FALSE,"mgtsum.XLS";#N/A,#N/A,FALSE,"CAPONE";#N/A,#N/A,FALSE,"CAPTWO";#N/A,#N/A,FALSE,"CAPTHREE"}</definedName>
    <definedName name="wrn.p854._.addendum3_4_1_3_4" hidden="1">{#N/A,#N/A,FALSE,"mgtsum.XLS";#N/A,#N/A,FALSE,"CAPONE";#N/A,#N/A,FALSE,"CAPTWO";#N/A,#N/A,FALSE,"CAPTHREE"}</definedName>
    <definedName name="wrn.p854._.addendum3_4_1_3_5" hidden="1">{#N/A,#N/A,FALSE,"mgtsum.XLS";#N/A,#N/A,FALSE,"CAPONE";#N/A,#N/A,FALSE,"CAPTWO";#N/A,#N/A,FALSE,"CAPTHREE"}</definedName>
    <definedName name="wrn.p854._.addendum3_4_1_4" hidden="1">{#N/A,#N/A,FALSE,"mgtsum.XLS";#N/A,#N/A,FALSE,"CAPONE";#N/A,#N/A,FALSE,"CAPTWO";#N/A,#N/A,FALSE,"CAPTHREE"}</definedName>
    <definedName name="wrn.p854._.addendum3_4_1_5" hidden="1">{#N/A,#N/A,FALSE,"mgtsum.XLS";#N/A,#N/A,FALSE,"CAPONE";#N/A,#N/A,FALSE,"CAPTWO";#N/A,#N/A,FALSE,"CAPTHREE"}</definedName>
    <definedName name="wrn.p854._.addendum3_4_2" hidden="1">{#N/A,#N/A,FALSE,"mgtsum.XLS";#N/A,#N/A,FALSE,"CAPONE";#N/A,#N/A,FALSE,"CAPTWO";#N/A,#N/A,FALSE,"CAPTHREE"}</definedName>
    <definedName name="wrn.p854._.addendum3_4_2_1" hidden="1">{#N/A,#N/A,FALSE,"mgtsum.XLS";#N/A,#N/A,FALSE,"CAPONE";#N/A,#N/A,FALSE,"CAPTWO";#N/A,#N/A,FALSE,"CAPTHREE"}</definedName>
    <definedName name="wrn.p854._.addendum3_4_2_2" hidden="1">{#N/A,#N/A,FALSE,"mgtsum.XLS";#N/A,#N/A,FALSE,"CAPONE";#N/A,#N/A,FALSE,"CAPTWO";#N/A,#N/A,FALSE,"CAPTHREE"}</definedName>
    <definedName name="wrn.p854._.addendum3_4_2_3" hidden="1">{#N/A,#N/A,FALSE,"mgtsum.XLS";#N/A,#N/A,FALSE,"CAPONE";#N/A,#N/A,FALSE,"CAPTWO";#N/A,#N/A,FALSE,"CAPTHREE"}</definedName>
    <definedName name="wrn.p854._.addendum3_4_2_4" hidden="1">{#N/A,#N/A,FALSE,"mgtsum.XLS";#N/A,#N/A,FALSE,"CAPONE";#N/A,#N/A,FALSE,"CAPTWO";#N/A,#N/A,FALSE,"CAPTHREE"}</definedName>
    <definedName name="wrn.p854._.addendum3_4_2_5" hidden="1">{#N/A,#N/A,FALSE,"mgtsum.XLS";#N/A,#N/A,FALSE,"CAPONE";#N/A,#N/A,FALSE,"CAPTWO";#N/A,#N/A,FALSE,"CAPTHREE"}</definedName>
    <definedName name="wrn.p854._.addendum3_4_3" hidden="1">{#N/A,#N/A,FALSE,"mgtsum.XLS";#N/A,#N/A,FALSE,"CAPONE";#N/A,#N/A,FALSE,"CAPTWO";#N/A,#N/A,FALSE,"CAPTHREE"}</definedName>
    <definedName name="wrn.p854._.addendum3_4_3_1" hidden="1">{#N/A,#N/A,FALSE,"mgtsum.XLS";#N/A,#N/A,FALSE,"CAPONE";#N/A,#N/A,FALSE,"CAPTWO";#N/A,#N/A,FALSE,"CAPTHREE"}</definedName>
    <definedName name="wrn.p854._.addendum3_4_3_2" hidden="1">{#N/A,#N/A,FALSE,"mgtsum.XLS";#N/A,#N/A,FALSE,"CAPONE";#N/A,#N/A,FALSE,"CAPTWO";#N/A,#N/A,FALSE,"CAPTHREE"}</definedName>
    <definedName name="wrn.p854._.addendum3_4_3_3" hidden="1">{#N/A,#N/A,FALSE,"mgtsum.XLS";#N/A,#N/A,FALSE,"CAPONE";#N/A,#N/A,FALSE,"CAPTWO";#N/A,#N/A,FALSE,"CAPTHREE"}</definedName>
    <definedName name="wrn.p854._.addendum3_4_3_4" hidden="1">{#N/A,#N/A,FALSE,"mgtsum.XLS";#N/A,#N/A,FALSE,"CAPONE";#N/A,#N/A,FALSE,"CAPTWO";#N/A,#N/A,FALSE,"CAPTHREE"}</definedName>
    <definedName name="wrn.p854._.addendum3_4_3_5" hidden="1">{#N/A,#N/A,FALSE,"mgtsum.XLS";#N/A,#N/A,FALSE,"CAPONE";#N/A,#N/A,FALSE,"CAPTWO";#N/A,#N/A,FALSE,"CAPTHREE"}</definedName>
    <definedName name="wrn.p854._.addendum3_4_4" hidden="1">{#N/A,#N/A,FALSE,"mgtsum.XLS";#N/A,#N/A,FALSE,"CAPONE";#N/A,#N/A,FALSE,"CAPTWO";#N/A,#N/A,FALSE,"CAPTHREE"}</definedName>
    <definedName name="wrn.p854._.addendum3_4_5" hidden="1">{#N/A,#N/A,FALSE,"mgtsum.XLS";#N/A,#N/A,FALSE,"CAPONE";#N/A,#N/A,FALSE,"CAPTWO";#N/A,#N/A,FALSE,"CAPTHREE"}</definedName>
    <definedName name="wrn.p854._.addendum3_5" hidden="1">{#N/A,#N/A,FALSE,"mgtsum.XLS";#N/A,#N/A,FALSE,"CAPONE";#N/A,#N/A,FALSE,"CAPTWO";#N/A,#N/A,FALSE,"CAPTHREE"}</definedName>
    <definedName name="wrn.p854._.addendum3_5_1" hidden="1">{#N/A,#N/A,FALSE,"mgtsum.XLS";#N/A,#N/A,FALSE,"CAPONE";#N/A,#N/A,FALSE,"CAPTWO";#N/A,#N/A,FALSE,"CAPTHREE"}</definedName>
    <definedName name="wrn.p854._.addendum3_5_1_1" hidden="1">{#N/A,#N/A,FALSE,"mgtsum.XLS";#N/A,#N/A,FALSE,"CAPONE";#N/A,#N/A,FALSE,"CAPTWO";#N/A,#N/A,FALSE,"CAPTHREE"}</definedName>
    <definedName name="wrn.p854._.addendum3_5_1_2" hidden="1">{#N/A,#N/A,FALSE,"mgtsum.XLS";#N/A,#N/A,FALSE,"CAPONE";#N/A,#N/A,FALSE,"CAPTWO";#N/A,#N/A,FALSE,"CAPTHREE"}</definedName>
    <definedName name="wrn.p854._.addendum3_5_1_3" hidden="1">{#N/A,#N/A,FALSE,"mgtsum.XLS";#N/A,#N/A,FALSE,"CAPONE";#N/A,#N/A,FALSE,"CAPTWO";#N/A,#N/A,FALSE,"CAPTHREE"}</definedName>
    <definedName name="wrn.p854._.addendum3_5_1_4" hidden="1">{#N/A,#N/A,FALSE,"mgtsum.XLS";#N/A,#N/A,FALSE,"CAPONE";#N/A,#N/A,FALSE,"CAPTWO";#N/A,#N/A,FALSE,"CAPTHREE"}</definedName>
    <definedName name="wrn.p854._.addendum3_5_1_5" hidden="1">{#N/A,#N/A,FALSE,"mgtsum.XLS";#N/A,#N/A,FALSE,"CAPONE";#N/A,#N/A,FALSE,"CAPTWO";#N/A,#N/A,FALSE,"CAPTHREE"}</definedName>
    <definedName name="wrn.p854._.addendum3_5_2" hidden="1">{#N/A,#N/A,FALSE,"mgtsum.XLS";#N/A,#N/A,FALSE,"CAPONE";#N/A,#N/A,FALSE,"CAPTWO";#N/A,#N/A,FALSE,"CAPTHREE"}</definedName>
    <definedName name="wrn.p854._.addendum3_5_2_1" hidden="1">{#N/A,#N/A,FALSE,"mgtsum.XLS";#N/A,#N/A,FALSE,"CAPONE";#N/A,#N/A,FALSE,"CAPTWO";#N/A,#N/A,FALSE,"CAPTHREE"}</definedName>
    <definedName name="wrn.p854._.addendum3_5_2_2" hidden="1">{#N/A,#N/A,FALSE,"mgtsum.XLS";#N/A,#N/A,FALSE,"CAPONE";#N/A,#N/A,FALSE,"CAPTWO";#N/A,#N/A,FALSE,"CAPTHREE"}</definedName>
    <definedName name="wrn.p854._.addendum3_5_2_3" hidden="1">{#N/A,#N/A,FALSE,"mgtsum.XLS";#N/A,#N/A,FALSE,"CAPONE";#N/A,#N/A,FALSE,"CAPTWO";#N/A,#N/A,FALSE,"CAPTHREE"}</definedName>
    <definedName name="wrn.p854._.addendum3_5_2_4" hidden="1">{#N/A,#N/A,FALSE,"mgtsum.XLS";#N/A,#N/A,FALSE,"CAPONE";#N/A,#N/A,FALSE,"CAPTWO";#N/A,#N/A,FALSE,"CAPTHREE"}</definedName>
    <definedName name="wrn.p854._.addendum3_5_2_5" hidden="1">{#N/A,#N/A,FALSE,"mgtsum.XLS";#N/A,#N/A,FALSE,"CAPONE";#N/A,#N/A,FALSE,"CAPTWO";#N/A,#N/A,FALSE,"CAPTHREE"}</definedName>
    <definedName name="wrn.p854._.addendum3_5_3" hidden="1">{#N/A,#N/A,FALSE,"mgtsum.XLS";#N/A,#N/A,FALSE,"CAPONE";#N/A,#N/A,FALSE,"CAPTWO";#N/A,#N/A,FALSE,"CAPTHREE"}</definedName>
    <definedName name="wrn.p854._.addendum3_5_4" hidden="1">{#N/A,#N/A,FALSE,"mgtsum.XLS";#N/A,#N/A,FALSE,"CAPONE";#N/A,#N/A,FALSE,"CAPTWO";#N/A,#N/A,FALSE,"CAPTHREE"}</definedName>
    <definedName name="wrn.p854._.addendum3_5_5" hidden="1">{#N/A,#N/A,FALSE,"mgtsum.XLS";#N/A,#N/A,FALSE,"CAPONE";#N/A,#N/A,FALSE,"CAPTWO";#N/A,#N/A,FALSE,"CAPTHREE"}</definedName>
    <definedName name="wrn.Package." hidden="1">{"proc_tot_nums",#N/A,TRUE,"Act Numbers";"summary_proc",#N/A,TRUE,"Blank1";"PlanProc",#N/A,TRUE,"PlanProc";"process graphs",#N/A,TRUE,"graphs&amp;data";"proj_nums",#N/A,TRUE,"Act Numbers";"Internal_Proj",#N/A,TRUE,"Internal Proj.";#N/A,#N/A,TRUE,"Plan ProjProg";"project graphs",#N/A,TRUE,"graphs&amp;data";"mtm_proc",#N/A,TRUE,"MTM Proc";"MTM_proj",#N/A,TRUE,"MTM Proj"}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 hidden="1">{"20 Years",#N/A,FALSE,"P&amp;Ls";"2001",#N/A,FALSE,"P&amp;Ls"}</definedName>
    <definedName name="wrn.PL.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rn.PLANNING." hidden="1">{"PLANNING",#N/A,FALSE,"A"}</definedName>
    <definedName name="wrn.planning.1" hidden="1">{"PLANNING",#N/A,FALSE,"A"}</definedName>
    <definedName name="wrn.PLNCS." hidden="1">{#N/A,#N/A,FALSE,"NCS INC SCOT";#N/A,#N/A,FALSE,"NCS";#N/A,#N/A,FALSE,"74 NCS";#N/A,#N/A,FALSE,"75 NCS";#N/A,#N/A,FALSE,"76 NCS "}</definedName>
    <definedName name="wrn.plstatement." localSheetId="1" hidden="1">{#N/A,#N/A,FALSE,"Profit &amp; Loss statement"}</definedName>
    <definedName name="wrn.plstatement." hidden="1">{#N/A,#N/A,FALSE,"Profit &amp; Loss statement"}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elimSummary." hidden="1">{"Prelim_Summary",#N/A,FALSE,"Summary"}</definedName>
    <definedName name="wrn.Present." localSheetId="1" hidden="1">{"Present",#N/A,FALSE,"Assump";"Present",#N/A,FALSE,"Calc";"Present",#N/A,FALSE,"Cover"}</definedName>
    <definedName name="wrn.Present." hidden="1">{"Present",#N/A,FALSE,"Assump";"Present",#N/A,FALSE,"Calc";"Present",#N/A,FALSE,"Cover"}</definedName>
    <definedName name="wrn.Present._1" hidden="1">{"Present",#N/A,FALSE,"Assump";"Present",#N/A,FALSE,"Calc";"Present",#N/A,FALSE,"Cover"}</definedName>
    <definedName name="wrn.Present._1_1" hidden="1">{"Present",#N/A,FALSE,"Assump";"Present",#N/A,FALSE,"Calc";"Present",#N/A,FALSE,"Cover"}</definedName>
    <definedName name="wrn.Present._1_1_1" hidden="1">{"Present",#N/A,FALSE,"Assump";"Present",#N/A,FALSE,"Calc";"Present",#N/A,FALSE,"Cover"}</definedName>
    <definedName name="wrn.Present._1_1_1_1" hidden="1">{"Present",#N/A,FALSE,"Assump";"Present",#N/A,FALSE,"Calc";"Present",#N/A,FALSE,"Cover"}</definedName>
    <definedName name="wrn.Present._1_1_1_2" hidden="1">{"Present",#N/A,FALSE,"Assump";"Present",#N/A,FALSE,"Calc";"Present",#N/A,FALSE,"Cover"}</definedName>
    <definedName name="wrn.Present._1_1_1_3" hidden="1">{"Present",#N/A,FALSE,"Assump";"Present",#N/A,FALSE,"Calc";"Present",#N/A,FALSE,"Cover"}</definedName>
    <definedName name="wrn.Present._1_1_1_4" hidden="1">{"Present",#N/A,FALSE,"Assump";"Present",#N/A,FALSE,"Calc";"Present",#N/A,FALSE,"Cover"}</definedName>
    <definedName name="wrn.Present._1_1_1_5" hidden="1">{"Present",#N/A,FALSE,"Assump";"Present",#N/A,FALSE,"Calc";"Present",#N/A,FALSE,"Cover"}</definedName>
    <definedName name="wrn.Present._1_1_2" hidden="1">{"Present",#N/A,FALSE,"Assump";"Present",#N/A,FALSE,"Calc";"Present",#N/A,FALSE,"Cover"}</definedName>
    <definedName name="wrn.Present._1_1_2_1" hidden="1">{"Present",#N/A,FALSE,"Assump";"Present",#N/A,FALSE,"Calc";"Present",#N/A,FALSE,"Cover"}</definedName>
    <definedName name="wrn.Present._1_1_2_2" hidden="1">{"Present",#N/A,FALSE,"Assump";"Present",#N/A,FALSE,"Calc";"Present",#N/A,FALSE,"Cover"}</definedName>
    <definedName name="wrn.Present._1_1_2_3" hidden="1">{"Present",#N/A,FALSE,"Assump";"Present",#N/A,FALSE,"Calc";"Present",#N/A,FALSE,"Cover"}</definedName>
    <definedName name="wrn.Present._1_1_2_4" hidden="1">{"Present",#N/A,FALSE,"Assump";"Present",#N/A,FALSE,"Calc";"Present",#N/A,FALSE,"Cover"}</definedName>
    <definedName name="wrn.Present._1_1_2_5" hidden="1">{"Present",#N/A,FALSE,"Assump";"Present",#N/A,FALSE,"Calc";"Present",#N/A,FALSE,"Cover"}</definedName>
    <definedName name="wrn.Present._1_1_3" hidden="1">{"Present",#N/A,FALSE,"Assump";"Present",#N/A,FALSE,"Calc";"Present",#N/A,FALSE,"Cover"}</definedName>
    <definedName name="wrn.Present._1_1_3_1" hidden="1">{"Present",#N/A,FALSE,"Assump";"Present",#N/A,FALSE,"Calc";"Present",#N/A,FALSE,"Cover"}</definedName>
    <definedName name="wrn.Present._1_1_3_2" hidden="1">{"Present",#N/A,FALSE,"Assump";"Present",#N/A,FALSE,"Calc";"Present",#N/A,FALSE,"Cover"}</definedName>
    <definedName name="wrn.Present._1_1_3_3" hidden="1">{"Present",#N/A,FALSE,"Assump";"Present",#N/A,FALSE,"Calc";"Present",#N/A,FALSE,"Cover"}</definedName>
    <definedName name="wrn.Present._1_1_3_4" hidden="1">{"Present",#N/A,FALSE,"Assump";"Present",#N/A,FALSE,"Calc";"Present",#N/A,FALSE,"Cover"}</definedName>
    <definedName name="wrn.Present._1_1_3_5" hidden="1">{"Present",#N/A,FALSE,"Assump";"Present",#N/A,FALSE,"Calc";"Present",#N/A,FALSE,"Cover"}</definedName>
    <definedName name="wrn.Present._1_1_4" hidden="1">{"Present",#N/A,FALSE,"Assump";"Present",#N/A,FALSE,"Calc";"Present",#N/A,FALSE,"Cover"}</definedName>
    <definedName name="wrn.Present._1_1_5" hidden="1">{"Present",#N/A,FALSE,"Assump";"Present",#N/A,FALSE,"Calc";"Present",#N/A,FALSE,"Cover"}</definedName>
    <definedName name="wrn.Present._1_2" hidden="1">{"Present",#N/A,FALSE,"Assump";"Present",#N/A,FALSE,"Calc";"Present",#N/A,FALSE,"Cover"}</definedName>
    <definedName name="wrn.Present._1_2_1" hidden="1">{"Present",#N/A,FALSE,"Assump";"Present",#N/A,FALSE,"Calc";"Present",#N/A,FALSE,"Cover"}</definedName>
    <definedName name="wrn.Present._1_2_1_1" hidden="1">{"Present",#N/A,FALSE,"Assump";"Present",#N/A,FALSE,"Calc";"Present",#N/A,FALSE,"Cover"}</definedName>
    <definedName name="wrn.Present._1_2_1_2" hidden="1">{"Present",#N/A,FALSE,"Assump";"Present",#N/A,FALSE,"Calc";"Present",#N/A,FALSE,"Cover"}</definedName>
    <definedName name="wrn.Present._1_2_1_3" hidden="1">{"Present",#N/A,FALSE,"Assump";"Present",#N/A,FALSE,"Calc";"Present",#N/A,FALSE,"Cover"}</definedName>
    <definedName name="wrn.Present._1_2_1_4" hidden="1">{"Present",#N/A,FALSE,"Assump";"Present",#N/A,FALSE,"Calc";"Present",#N/A,FALSE,"Cover"}</definedName>
    <definedName name="wrn.Present._1_2_1_5" hidden="1">{"Present",#N/A,FALSE,"Assump";"Present",#N/A,FALSE,"Calc";"Present",#N/A,FALSE,"Cover"}</definedName>
    <definedName name="wrn.Present._1_2_2" hidden="1">{"Present",#N/A,FALSE,"Assump";"Present",#N/A,FALSE,"Calc";"Present",#N/A,FALSE,"Cover"}</definedName>
    <definedName name="wrn.Present._1_2_2_1" hidden="1">{"Present",#N/A,FALSE,"Assump";"Present",#N/A,FALSE,"Calc";"Present",#N/A,FALSE,"Cover"}</definedName>
    <definedName name="wrn.Present._1_2_2_2" hidden="1">{"Present",#N/A,FALSE,"Assump";"Present",#N/A,FALSE,"Calc";"Present",#N/A,FALSE,"Cover"}</definedName>
    <definedName name="wrn.Present._1_2_2_3" hidden="1">{"Present",#N/A,FALSE,"Assump";"Present",#N/A,FALSE,"Calc";"Present",#N/A,FALSE,"Cover"}</definedName>
    <definedName name="wrn.Present._1_2_2_4" hidden="1">{"Present",#N/A,FALSE,"Assump";"Present",#N/A,FALSE,"Calc";"Present",#N/A,FALSE,"Cover"}</definedName>
    <definedName name="wrn.Present._1_2_2_5" hidden="1">{"Present",#N/A,FALSE,"Assump";"Present",#N/A,FALSE,"Calc";"Present",#N/A,FALSE,"Cover"}</definedName>
    <definedName name="wrn.Present._1_2_3" hidden="1">{"Present",#N/A,FALSE,"Assump";"Present",#N/A,FALSE,"Calc";"Present",#N/A,FALSE,"Cover"}</definedName>
    <definedName name="wrn.Present._1_2_4" hidden="1">{"Present",#N/A,FALSE,"Assump";"Present",#N/A,FALSE,"Calc";"Present",#N/A,FALSE,"Cover"}</definedName>
    <definedName name="wrn.Present._1_2_5" hidden="1">{"Present",#N/A,FALSE,"Assump";"Present",#N/A,FALSE,"Calc";"Present",#N/A,FALSE,"Cover"}</definedName>
    <definedName name="wrn.Present._1_3" hidden="1">{"Present",#N/A,FALSE,"Assump";"Present",#N/A,FALSE,"Calc";"Present",#N/A,FALSE,"Cover"}</definedName>
    <definedName name="wrn.Present._1_3_1" hidden="1">{"Present",#N/A,FALSE,"Assump";"Present",#N/A,FALSE,"Calc";"Present",#N/A,FALSE,"Cover"}</definedName>
    <definedName name="wrn.Present._1_3_1_1" hidden="1">{"Present",#N/A,FALSE,"Assump";"Present",#N/A,FALSE,"Calc";"Present",#N/A,FALSE,"Cover"}</definedName>
    <definedName name="wrn.Present._1_3_1_2" hidden="1">{"Present",#N/A,FALSE,"Assump";"Present",#N/A,FALSE,"Calc";"Present",#N/A,FALSE,"Cover"}</definedName>
    <definedName name="wrn.Present._1_3_1_3" hidden="1">{"Present",#N/A,FALSE,"Assump";"Present",#N/A,FALSE,"Calc";"Present",#N/A,FALSE,"Cover"}</definedName>
    <definedName name="wrn.Present._1_3_1_4" hidden="1">{"Present",#N/A,FALSE,"Assump";"Present",#N/A,FALSE,"Calc";"Present",#N/A,FALSE,"Cover"}</definedName>
    <definedName name="wrn.Present._1_3_1_5" hidden="1">{"Present",#N/A,FALSE,"Assump";"Present",#N/A,FALSE,"Calc";"Present",#N/A,FALSE,"Cover"}</definedName>
    <definedName name="wrn.Present._1_3_2" hidden="1">{"Present",#N/A,FALSE,"Assump";"Present",#N/A,FALSE,"Calc";"Present",#N/A,FALSE,"Cover"}</definedName>
    <definedName name="wrn.Present._1_3_2_1" hidden="1">{"Present",#N/A,FALSE,"Assump";"Present",#N/A,FALSE,"Calc";"Present",#N/A,FALSE,"Cover"}</definedName>
    <definedName name="wrn.Present._1_3_2_2" hidden="1">{"Present",#N/A,FALSE,"Assump";"Present",#N/A,FALSE,"Calc";"Present",#N/A,FALSE,"Cover"}</definedName>
    <definedName name="wrn.Present._1_3_2_3" hidden="1">{"Present",#N/A,FALSE,"Assump";"Present",#N/A,FALSE,"Calc";"Present",#N/A,FALSE,"Cover"}</definedName>
    <definedName name="wrn.Present._1_3_2_4" hidden="1">{"Present",#N/A,FALSE,"Assump";"Present",#N/A,FALSE,"Calc";"Present",#N/A,FALSE,"Cover"}</definedName>
    <definedName name="wrn.Present._1_3_2_5" hidden="1">{"Present",#N/A,FALSE,"Assump";"Present",#N/A,FALSE,"Calc";"Present",#N/A,FALSE,"Cover"}</definedName>
    <definedName name="wrn.Present._1_3_3" hidden="1">{"Present",#N/A,FALSE,"Assump";"Present",#N/A,FALSE,"Calc";"Present",#N/A,FALSE,"Cover"}</definedName>
    <definedName name="wrn.Present._1_3_4" hidden="1">{"Present",#N/A,FALSE,"Assump";"Present",#N/A,FALSE,"Calc";"Present",#N/A,FALSE,"Cover"}</definedName>
    <definedName name="wrn.Present._1_3_5" hidden="1">{"Present",#N/A,FALSE,"Assump";"Present",#N/A,FALSE,"Calc";"Present",#N/A,FALSE,"Cover"}</definedName>
    <definedName name="wrn.Present._1_4" hidden="1">{"Present",#N/A,FALSE,"Assump";"Present",#N/A,FALSE,"Calc";"Present",#N/A,FALSE,"Cover"}</definedName>
    <definedName name="wrn.Present._1_4_1" hidden="1">{"Present",#N/A,FALSE,"Assump";"Present",#N/A,FALSE,"Calc";"Present",#N/A,FALSE,"Cover"}</definedName>
    <definedName name="wrn.Present._1_4_1_1" hidden="1">{"Present",#N/A,FALSE,"Assump";"Present",#N/A,FALSE,"Calc";"Present",#N/A,FALSE,"Cover"}</definedName>
    <definedName name="wrn.Present._1_4_1_2" hidden="1">{"Present",#N/A,FALSE,"Assump";"Present",#N/A,FALSE,"Calc";"Present",#N/A,FALSE,"Cover"}</definedName>
    <definedName name="wrn.Present._1_4_1_3" hidden="1">{"Present",#N/A,FALSE,"Assump";"Present",#N/A,FALSE,"Calc";"Present",#N/A,FALSE,"Cover"}</definedName>
    <definedName name="wrn.Present._1_4_1_4" hidden="1">{"Present",#N/A,FALSE,"Assump";"Present",#N/A,FALSE,"Calc";"Present",#N/A,FALSE,"Cover"}</definedName>
    <definedName name="wrn.Present._1_4_1_5" hidden="1">{"Present",#N/A,FALSE,"Assump";"Present",#N/A,FALSE,"Calc";"Present",#N/A,FALSE,"Cover"}</definedName>
    <definedName name="wrn.Present._1_4_2" hidden="1">{"Present",#N/A,FALSE,"Assump";"Present",#N/A,FALSE,"Calc";"Present",#N/A,FALSE,"Cover"}</definedName>
    <definedName name="wrn.Present._1_4_2_1" hidden="1">{"Present",#N/A,FALSE,"Assump";"Present",#N/A,FALSE,"Calc";"Present",#N/A,FALSE,"Cover"}</definedName>
    <definedName name="wrn.Present._1_4_2_2" hidden="1">{"Present",#N/A,FALSE,"Assump";"Present",#N/A,FALSE,"Calc";"Present",#N/A,FALSE,"Cover"}</definedName>
    <definedName name="wrn.Present._1_4_2_3" hidden="1">{"Present",#N/A,FALSE,"Assump";"Present",#N/A,FALSE,"Calc";"Present",#N/A,FALSE,"Cover"}</definedName>
    <definedName name="wrn.Present._1_4_2_4" hidden="1">{"Present",#N/A,FALSE,"Assump";"Present",#N/A,FALSE,"Calc";"Present",#N/A,FALSE,"Cover"}</definedName>
    <definedName name="wrn.Present._1_4_2_5" hidden="1">{"Present",#N/A,FALSE,"Assump";"Present",#N/A,FALSE,"Calc";"Present",#N/A,FALSE,"Cover"}</definedName>
    <definedName name="wrn.Present._1_4_3" hidden="1">{"Present",#N/A,FALSE,"Assump";"Present",#N/A,FALSE,"Calc";"Present",#N/A,FALSE,"Cover"}</definedName>
    <definedName name="wrn.Present._1_4_4" hidden="1">{"Present",#N/A,FALSE,"Assump";"Present",#N/A,FALSE,"Calc";"Present",#N/A,FALSE,"Cover"}</definedName>
    <definedName name="wrn.Present._1_4_5" hidden="1">{"Present",#N/A,FALSE,"Assump";"Present",#N/A,FALSE,"Calc";"Present",#N/A,FALSE,"Cover"}</definedName>
    <definedName name="wrn.Present._1_5" hidden="1">{"Present",#N/A,FALSE,"Assump";"Present",#N/A,FALSE,"Calc";"Present",#N/A,FALSE,"Cover"}</definedName>
    <definedName name="wrn.Present._1_5_1" hidden="1">{"Present",#N/A,FALSE,"Assump";"Present",#N/A,FALSE,"Calc";"Present",#N/A,FALSE,"Cover"}</definedName>
    <definedName name="wrn.Present._1_5_1_1" hidden="1">{"Present",#N/A,FALSE,"Assump";"Present",#N/A,FALSE,"Calc";"Present",#N/A,FALSE,"Cover"}</definedName>
    <definedName name="wrn.Present._1_5_1_2" hidden="1">{"Present",#N/A,FALSE,"Assump";"Present",#N/A,FALSE,"Calc";"Present",#N/A,FALSE,"Cover"}</definedName>
    <definedName name="wrn.Present._1_5_1_3" hidden="1">{"Present",#N/A,FALSE,"Assump";"Present",#N/A,FALSE,"Calc";"Present",#N/A,FALSE,"Cover"}</definedName>
    <definedName name="wrn.Present._1_5_1_4" hidden="1">{"Present",#N/A,FALSE,"Assump";"Present",#N/A,FALSE,"Calc";"Present",#N/A,FALSE,"Cover"}</definedName>
    <definedName name="wrn.Present._1_5_1_5" hidden="1">{"Present",#N/A,FALSE,"Assump";"Present",#N/A,FALSE,"Calc";"Present",#N/A,FALSE,"Cover"}</definedName>
    <definedName name="wrn.Present._1_5_2" hidden="1">{"Present",#N/A,FALSE,"Assump";"Present",#N/A,FALSE,"Calc";"Present",#N/A,FALSE,"Cover"}</definedName>
    <definedName name="wrn.Present._1_5_2_1" hidden="1">{"Present",#N/A,FALSE,"Assump";"Present",#N/A,FALSE,"Calc";"Present",#N/A,FALSE,"Cover"}</definedName>
    <definedName name="wrn.Present._1_5_2_2" hidden="1">{"Present",#N/A,FALSE,"Assump";"Present",#N/A,FALSE,"Calc";"Present",#N/A,FALSE,"Cover"}</definedName>
    <definedName name="wrn.Present._1_5_2_3" hidden="1">{"Present",#N/A,FALSE,"Assump";"Present",#N/A,FALSE,"Calc";"Present",#N/A,FALSE,"Cover"}</definedName>
    <definedName name="wrn.Present._1_5_2_4" hidden="1">{"Present",#N/A,FALSE,"Assump";"Present",#N/A,FALSE,"Calc";"Present",#N/A,FALSE,"Cover"}</definedName>
    <definedName name="wrn.Present._1_5_2_5" hidden="1">{"Present",#N/A,FALSE,"Assump";"Present",#N/A,FALSE,"Calc";"Present",#N/A,FALSE,"Cover"}</definedName>
    <definedName name="wrn.Present._1_5_3" hidden="1">{"Present",#N/A,FALSE,"Assump";"Present",#N/A,FALSE,"Calc";"Present",#N/A,FALSE,"Cover"}</definedName>
    <definedName name="wrn.Present._1_5_4" hidden="1">{"Present",#N/A,FALSE,"Assump";"Present",#N/A,FALSE,"Calc";"Present",#N/A,FALSE,"Cover"}</definedName>
    <definedName name="wrn.Present._1_5_5" hidden="1">{"Present",#N/A,FALSE,"Assump";"Present",#N/A,FALSE,"Calc";"Present",#N/A,FALSE,"Cover"}</definedName>
    <definedName name="wrn.Present._2" hidden="1">{"Present",#N/A,FALSE,"Assump";"Present",#N/A,FALSE,"Calc";"Present",#N/A,FALSE,"Cover"}</definedName>
    <definedName name="wrn.Present._2_1" hidden="1">{"Present",#N/A,FALSE,"Assump";"Present",#N/A,FALSE,"Calc";"Present",#N/A,FALSE,"Cover"}</definedName>
    <definedName name="wrn.Present._2_1_1" hidden="1">{"Present",#N/A,FALSE,"Assump";"Present",#N/A,FALSE,"Calc";"Present",#N/A,FALSE,"Cover"}</definedName>
    <definedName name="wrn.Present._2_1_1_1" hidden="1">{"Present",#N/A,FALSE,"Assump";"Present",#N/A,FALSE,"Calc";"Present",#N/A,FALSE,"Cover"}</definedName>
    <definedName name="wrn.Present._2_1_1_2" hidden="1">{"Present",#N/A,FALSE,"Assump";"Present",#N/A,FALSE,"Calc";"Present",#N/A,FALSE,"Cover"}</definedName>
    <definedName name="wrn.Present._2_1_1_3" hidden="1">{"Present",#N/A,FALSE,"Assump";"Present",#N/A,FALSE,"Calc";"Present",#N/A,FALSE,"Cover"}</definedName>
    <definedName name="wrn.Present._2_1_1_4" hidden="1">{"Present",#N/A,FALSE,"Assump";"Present",#N/A,FALSE,"Calc";"Present",#N/A,FALSE,"Cover"}</definedName>
    <definedName name="wrn.Present._2_1_1_5" hidden="1">{"Present",#N/A,FALSE,"Assump";"Present",#N/A,FALSE,"Calc";"Present",#N/A,FALSE,"Cover"}</definedName>
    <definedName name="wrn.Present._2_1_2" hidden="1">{"Present",#N/A,FALSE,"Assump";"Present",#N/A,FALSE,"Calc";"Present",#N/A,FALSE,"Cover"}</definedName>
    <definedName name="wrn.Present._2_1_2_1" hidden="1">{"Present",#N/A,FALSE,"Assump";"Present",#N/A,FALSE,"Calc";"Present",#N/A,FALSE,"Cover"}</definedName>
    <definedName name="wrn.Present._2_1_2_2" hidden="1">{"Present",#N/A,FALSE,"Assump";"Present",#N/A,FALSE,"Calc";"Present",#N/A,FALSE,"Cover"}</definedName>
    <definedName name="wrn.Present._2_1_2_3" hidden="1">{"Present",#N/A,FALSE,"Assump";"Present",#N/A,FALSE,"Calc";"Present",#N/A,FALSE,"Cover"}</definedName>
    <definedName name="wrn.Present._2_1_2_4" hidden="1">{"Present",#N/A,FALSE,"Assump";"Present",#N/A,FALSE,"Calc";"Present",#N/A,FALSE,"Cover"}</definedName>
    <definedName name="wrn.Present._2_1_2_5" hidden="1">{"Present",#N/A,FALSE,"Assump";"Present",#N/A,FALSE,"Calc";"Present",#N/A,FALSE,"Cover"}</definedName>
    <definedName name="wrn.Present._2_1_3" hidden="1">{"Present",#N/A,FALSE,"Assump";"Present",#N/A,FALSE,"Calc";"Present",#N/A,FALSE,"Cover"}</definedName>
    <definedName name="wrn.Present._2_1_3_1" hidden="1">{"Present",#N/A,FALSE,"Assump";"Present",#N/A,FALSE,"Calc";"Present",#N/A,FALSE,"Cover"}</definedName>
    <definedName name="wrn.Present._2_1_3_2" hidden="1">{"Present",#N/A,FALSE,"Assump";"Present",#N/A,FALSE,"Calc";"Present",#N/A,FALSE,"Cover"}</definedName>
    <definedName name="wrn.Present._2_1_3_3" hidden="1">{"Present",#N/A,FALSE,"Assump";"Present",#N/A,FALSE,"Calc";"Present",#N/A,FALSE,"Cover"}</definedName>
    <definedName name="wrn.Present._2_1_3_4" hidden="1">{"Present",#N/A,FALSE,"Assump";"Present",#N/A,FALSE,"Calc";"Present",#N/A,FALSE,"Cover"}</definedName>
    <definedName name="wrn.Present._2_1_3_5" hidden="1">{"Present",#N/A,FALSE,"Assump";"Present",#N/A,FALSE,"Calc";"Present",#N/A,FALSE,"Cover"}</definedName>
    <definedName name="wrn.Present._2_1_4" hidden="1">{"Present",#N/A,FALSE,"Assump";"Present",#N/A,FALSE,"Calc";"Present",#N/A,FALSE,"Cover"}</definedName>
    <definedName name="wrn.Present._2_1_5" hidden="1">{"Present",#N/A,FALSE,"Assump";"Present",#N/A,FALSE,"Calc";"Present",#N/A,FALSE,"Cover"}</definedName>
    <definedName name="wrn.Present._2_2" hidden="1">{"Present",#N/A,FALSE,"Assump";"Present",#N/A,FALSE,"Calc";"Present",#N/A,FALSE,"Cover"}</definedName>
    <definedName name="wrn.Present._2_2_1" hidden="1">{"Present",#N/A,FALSE,"Assump";"Present",#N/A,FALSE,"Calc";"Present",#N/A,FALSE,"Cover"}</definedName>
    <definedName name="wrn.Present._2_2_1_1" hidden="1">{"Present",#N/A,FALSE,"Assump";"Present",#N/A,FALSE,"Calc";"Present",#N/A,FALSE,"Cover"}</definedName>
    <definedName name="wrn.Present._2_2_1_2" hidden="1">{"Present",#N/A,FALSE,"Assump";"Present",#N/A,FALSE,"Calc";"Present",#N/A,FALSE,"Cover"}</definedName>
    <definedName name="wrn.Present._2_2_1_3" hidden="1">{"Present",#N/A,FALSE,"Assump";"Present",#N/A,FALSE,"Calc";"Present",#N/A,FALSE,"Cover"}</definedName>
    <definedName name="wrn.Present._2_2_1_4" hidden="1">{"Present",#N/A,FALSE,"Assump";"Present",#N/A,FALSE,"Calc";"Present",#N/A,FALSE,"Cover"}</definedName>
    <definedName name="wrn.Present._2_2_1_5" hidden="1">{"Present",#N/A,FALSE,"Assump";"Present",#N/A,FALSE,"Calc";"Present",#N/A,FALSE,"Cover"}</definedName>
    <definedName name="wrn.Present._2_2_2" hidden="1">{"Present",#N/A,FALSE,"Assump";"Present",#N/A,FALSE,"Calc";"Present",#N/A,FALSE,"Cover"}</definedName>
    <definedName name="wrn.Present._2_2_2_1" hidden="1">{"Present",#N/A,FALSE,"Assump";"Present",#N/A,FALSE,"Calc";"Present",#N/A,FALSE,"Cover"}</definedName>
    <definedName name="wrn.Present._2_2_2_2" hidden="1">{"Present",#N/A,FALSE,"Assump";"Present",#N/A,FALSE,"Calc";"Present",#N/A,FALSE,"Cover"}</definedName>
    <definedName name="wrn.Present._2_2_2_3" hidden="1">{"Present",#N/A,FALSE,"Assump";"Present",#N/A,FALSE,"Calc";"Present",#N/A,FALSE,"Cover"}</definedName>
    <definedName name="wrn.Present._2_2_2_4" hidden="1">{"Present",#N/A,FALSE,"Assump";"Present",#N/A,FALSE,"Calc";"Present",#N/A,FALSE,"Cover"}</definedName>
    <definedName name="wrn.Present._2_2_2_5" hidden="1">{"Present",#N/A,FALSE,"Assump";"Present",#N/A,FALSE,"Calc";"Present",#N/A,FALSE,"Cover"}</definedName>
    <definedName name="wrn.Present._2_2_3" hidden="1">{"Present",#N/A,FALSE,"Assump";"Present",#N/A,FALSE,"Calc";"Present",#N/A,FALSE,"Cover"}</definedName>
    <definedName name="wrn.Present._2_2_4" hidden="1">{"Present",#N/A,FALSE,"Assump";"Present",#N/A,FALSE,"Calc";"Present",#N/A,FALSE,"Cover"}</definedName>
    <definedName name="wrn.Present._2_2_5" hidden="1">{"Present",#N/A,FALSE,"Assump";"Present",#N/A,FALSE,"Calc";"Present",#N/A,FALSE,"Cover"}</definedName>
    <definedName name="wrn.Present._2_3" hidden="1">{"Present",#N/A,FALSE,"Assump";"Present",#N/A,FALSE,"Calc";"Present",#N/A,FALSE,"Cover"}</definedName>
    <definedName name="wrn.Present._2_3_1" hidden="1">{"Present",#N/A,FALSE,"Assump";"Present",#N/A,FALSE,"Calc";"Present",#N/A,FALSE,"Cover"}</definedName>
    <definedName name="wrn.Present._2_3_1_1" hidden="1">{"Present",#N/A,FALSE,"Assump";"Present",#N/A,FALSE,"Calc";"Present",#N/A,FALSE,"Cover"}</definedName>
    <definedName name="wrn.Present._2_3_1_2" hidden="1">{"Present",#N/A,FALSE,"Assump";"Present",#N/A,FALSE,"Calc";"Present",#N/A,FALSE,"Cover"}</definedName>
    <definedName name="wrn.Present._2_3_1_3" hidden="1">{"Present",#N/A,FALSE,"Assump";"Present",#N/A,FALSE,"Calc";"Present",#N/A,FALSE,"Cover"}</definedName>
    <definedName name="wrn.Present._2_3_1_4" hidden="1">{"Present",#N/A,FALSE,"Assump";"Present",#N/A,FALSE,"Calc";"Present",#N/A,FALSE,"Cover"}</definedName>
    <definedName name="wrn.Present._2_3_1_5" hidden="1">{"Present",#N/A,FALSE,"Assump";"Present",#N/A,FALSE,"Calc";"Present",#N/A,FALSE,"Cover"}</definedName>
    <definedName name="wrn.Present._2_3_2" hidden="1">{"Present",#N/A,FALSE,"Assump";"Present",#N/A,FALSE,"Calc";"Present",#N/A,FALSE,"Cover"}</definedName>
    <definedName name="wrn.Present._2_3_2_1" hidden="1">{"Present",#N/A,FALSE,"Assump";"Present",#N/A,FALSE,"Calc";"Present",#N/A,FALSE,"Cover"}</definedName>
    <definedName name="wrn.Present._2_3_2_2" hidden="1">{"Present",#N/A,FALSE,"Assump";"Present",#N/A,FALSE,"Calc";"Present",#N/A,FALSE,"Cover"}</definedName>
    <definedName name="wrn.Present._2_3_2_3" hidden="1">{"Present",#N/A,FALSE,"Assump";"Present",#N/A,FALSE,"Calc";"Present",#N/A,FALSE,"Cover"}</definedName>
    <definedName name="wrn.Present._2_3_2_4" hidden="1">{"Present",#N/A,FALSE,"Assump";"Present",#N/A,FALSE,"Calc";"Present",#N/A,FALSE,"Cover"}</definedName>
    <definedName name="wrn.Present._2_3_2_5" hidden="1">{"Present",#N/A,FALSE,"Assump";"Present",#N/A,FALSE,"Calc";"Present",#N/A,FALSE,"Cover"}</definedName>
    <definedName name="wrn.Present._2_3_3" hidden="1">{"Present",#N/A,FALSE,"Assump";"Present",#N/A,FALSE,"Calc";"Present",#N/A,FALSE,"Cover"}</definedName>
    <definedName name="wrn.Present._2_3_4" hidden="1">{"Present",#N/A,FALSE,"Assump";"Present",#N/A,FALSE,"Calc";"Present",#N/A,FALSE,"Cover"}</definedName>
    <definedName name="wrn.Present._2_3_5" hidden="1">{"Present",#N/A,FALSE,"Assump";"Present",#N/A,FALSE,"Calc";"Present",#N/A,FALSE,"Cover"}</definedName>
    <definedName name="wrn.Present._2_4" hidden="1">{"Present",#N/A,FALSE,"Assump";"Present",#N/A,FALSE,"Calc";"Present",#N/A,FALSE,"Cover"}</definedName>
    <definedName name="wrn.Present._2_4_1" hidden="1">{"Present",#N/A,FALSE,"Assump";"Present",#N/A,FALSE,"Calc";"Present",#N/A,FALSE,"Cover"}</definedName>
    <definedName name="wrn.Present._2_4_1_1" hidden="1">{"Present",#N/A,FALSE,"Assump";"Present",#N/A,FALSE,"Calc";"Present",#N/A,FALSE,"Cover"}</definedName>
    <definedName name="wrn.Present._2_4_1_2" hidden="1">{"Present",#N/A,FALSE,"Assump";"Present",#N/A,FALSE,"Calc";"Present",#N/A,FALSE,"Cover"}</definedName>
    <definedName name="wrn.Present._2_4_1_3" hidden="1">{"Present",#N/A,FALSE,"Assump";"Present",#N/A,FALSE,"Calc";"Present",#N/A,FALSE,"Cover"}</definedName>
    <definedName name="wrn.Present._2_4_1_4" hidden="1">{"Present",#N/A,FALSE,"Assump";"Present",#N/A,FALSE,"Calc";"Present",#N/A,FALSE,"Cover"}</definedName>
    <definedName name="wrn.Present._2_4_1_5" hidden="1">{"Present",#N/A,FALSE,"Assump";"Present",#N/A,FALSE,"Calc";"Present",#N/A,FALSE,"Cover"}</definedName>
    <definedName name="wrn.Present._2_4_2" hidden="1">{"Present",#N/A,FALSE,"Assump";"Present",#N/A,FALSE,"Calc";"Present",#N/A,FALSE,"Cover"}</definedName>
    <definedName name="wrn.Present._2_4_2_1" hidden="1">{"Present",#N/A,FALSE,"Assump";"Present",#N/A,FALSE,"Calc";"Present",#N/A,FALSE,"Cover"}</definedName>
    <definedName name="wrn.Present._2_4_2_2" hidden="1">{"Present",#N/A,FALSE,"Assump";"Present",#N/A,FALSE,"Calc";"Present",#N/A,FALSE,"Cover"}</definedName>
    <definedName name="wrn.Present._2_4_2_3" hidden="1">{"Present",#N/A,FALSE,"Assump";"Present",#N/A,FALSE,"Calc";"Present",#N/A,FALSE,"Cover"}</definedName>
    <definedName name="wrn.Present._2_4_2_4" hidden="1">{"Present",#N/A,FALSE,"Assump";"Present",#N/A,FALSE,"Calc";"Present",#N/A,FALSE,"Cover"}</definedName>
    <definedName name="wrn.Present._2_4_2_5" hidden="1">{"Present",#N/A,FALSE,"Assump";"Present",#N/A,FALSE,"Calc";"Present",#N/A,FALSE,"Cover"}</definedName>
    <definedName name="wrn.Present._2_4_3" hidden="1">{"Present",#N/A,FALSE,"Assump";"Present",#N/A,FALSE,"Calc";"Present",#N/A,FALSE,"Cover"}</definedName>
    <definedName name="wrn.Present._2_4_4" hidden="1">{"Present",#N/A,FALSE,"Assump";"Present",#N/A,FALSE,"Calc";"Present",#N/A,FALSE,"Cover"}</definedName>
    <definedName name="wrn.Present._2_4_5" hidden="1">{"Present",#N/A,FALSE,"Assump";"Present",#N/A,FALSE,"Calc";"Present",#N/A,FALSE,"Cover"}</definedName>
    <definedName name="wrn.Present._2_5" hidden="1">{"Present",#N/A,FALSE,"Assump";"Present",#N/A,FALSE,"Calc";"Present",#N/A,FALSE,"Cover"}</definedName>
    <definedName name="wrn.Present._2_5_1" hidden="1">{"Present",#N/A,FALSE,"Assump";"Present",#N/A,FALSE,"Calc";"Present",#N/A,FALSE,"Cover"}</definedName>
    <definedName name="wrn.Present._2_5_2" hidden="1">{"Present",#N/A,FALSE,"Assump";"Present",#N/A,FALSE,"Calc";"Present",#N/A,FALSE,"Cover"}</definedName>
    <definedName name="wrn.Present._2_5_3" hidden="1">{"Present",#N/A,FALSE,"Assump";"Present",#N/A,FALSE,"Calc";"Present",#N/A,FALSE,"Cover"}</definedName>
    <definedName name="wrn.Present._2_5_4" hidden="1">{"Present",#N/A,FALSE,"Assump";"Present",#N/A,FALSE,"Calc";"Present",#N/A,FALSE,"Cover"}</definedName>
    <definedName name="wrn.Present._2_5_5" hidden="1">{"Present",#N/A,FALSE,"Assump";"Present",#N/A,FALSE,"Calc";"Present",#N/A,FALSE,"Cover"}</definedName>
    <definedName name="wrn.Present._3" hidden="1">{"Present",#N/A,FALSE,"Assump";"Present",#N/A,FALSE,"Calc";"Present",#N/A,FALSE,"Cover"}</definedName>
    <definedName name="wrn.Present._3_1" hidden="1">{"Present",#N/A,FALSE,"Assump";"Present",#N/A,FALSE,"Calc";"Present",#N/A,FALSE,"Cover"}</definedName>
    <definedName name="wrn.Present._3_1_1" hidden="1">{"Present",#N/A,FALSE,"Assump";"Present",#N/A,FALSE,"Calc";"Present",#N/A,FALSE,"Cover"}</definedName>
    <definedName name="wrn.Present._3_1_1_1" hidden="1">{"Present",#N/A,FALSE,"Assump";"Present",#N/A,FALSE,"Calc";"Present",#N/A,FALSE,"Cover"}</definedName>
    <definedName name="wrn.Present._3_1_1_2" hidden="1">{"Present",#N/A,FALSE,"Assump";"Present",#N/A,FALSE,"Calc";"Present",#N/A,FALSE,"Cover"}</definedName>
    <definedName name="wrn.Present._3_1_1_3" hidden="1">{"Present",#N/A,FALSE,"Assump";"Present",#N/A,FALSE,"Calc";"Present",#N/A,FALSE,"Cover"}</definedName>
    <definedName name="wrn.Present._3_1_1_4" hidden="1">{"Present",#N/A,FALSE,"Assump";"Present",#N/A,FALSE,"Calc";"Present",#N/A,FALSE,"Cover"}</definedName>
    <definedName name="wrn.Present._3_1_1_5" hidden="1">{"Present",#N/A,FALSE,"Assump";"Present",#N/A,FALSE,"Calc";"Present",#N/A,FALSE,"Cover"}</definedName>
    <definedName name="wrn.Present._3_1_2" hidden="1">{"Present",#N/A,FALSE,"Assump";"Present",#N/A,FALSE,"Calc";"Present",#N/A,FALSE,"Cover"}</definedName>
    <definedName name="wrn.Present._3_1_2_1" hidden="1">{"Present",#N/A,FALSE,"Assump";"Present",#N/A,FALSE,"Calc";"Present",#N/A,FALSE,"Cover"}</definedName>
    <definedName name="wrn.Present._3_1_2_2" hidden="1">{"Present",#N/A,FALSE,"Assump";"Present",#N/A,FALSE,"Calc";"Present",#N/A,FALSE,"Cover"}</definedName>
    <definedName name="wrn.Present._3_1_2_3" hidden="1">{"Present",#N/A,FALSE,"Assump";"Present",#N/A,FALSE,"Calc";"Present",#N/A,FALSE,"Cover"}</definedName>
    <definedName name="wrn.Present._3_1_2_4" hidden="1">{"Present",#N/A,FALSE,"Assump";"Present",#N/A,FALSE,"Calc";"Present",#N/A,FALSE,"Cover"}</definedName>
    <definedName name="wrn.Present._3_1_2_5" hidden="1">{"Present",#N/A,FALSE,"Assump";"Present",#N/A,FALSE,"Calc";"Present",#N/A,FALSE,"Cover"}</definedName>
    <definedName name="wrn.Present._3_1_3" hidden="1">{"Present",#N/A,FALSE,"Assump";"Present",#N/A,FALSE,"Calc";"Present",#N/A,FALSE,"Cover"}</definedName>
    <definedName name="wrn.Present._3_1_3_1" hidden="1">{"Present",#N/A,FALSE,"Assump";"Present",#N/A,FALSE,"Calc";"Present",#N/A,FALSE,"Cover"}</definedName>
    <definedName name="wrn.Present._3_1_3_2" hidden="1">{"Present",#N/A,FALSE,"Assump";"Present",#N/A,FALSE,"Calc";"Present",#N/A,FALSE,"Cover"}</definedName>
    <definedName name="wrn.Present._3_1_3_3" hidden="1">{"Present",#N/A,FALSE,"Assump";"Present",#N/A,FALSE,"Calc";"Present",#N/A,FALSE,"Cover"}</definedName>
    <definedName name="wrn.Present._3_1_3_4" hidden="1">{"Present",#N/A,FALSE,"Assump";"Present",#N/A,FALSE,"Calc";"Present",#N/A,FALSE,"Cover"}</definedName>
    <definedName name="wrn.Present._3_1_3_5" hidden="1">{"Present",#N/A,FALSE,"Assump";"Present",#N/A,FALSE,"Calc";"Present",#N/A,FALSE,"Cover"}</definedName>
    <definedName name="wrn.Present._3_1_4" hidden="1">{"Present",#N/A,FALSE,"Assump";"Present",#N/A,FALSE,"Calc";"Present",#N/A,FALSE,"Cover"}</definedName>
    <definedName name="wrn.Present._3_1_5" hidden="1">{"Present",#N/A,FALSE,"Assump";"Present",#N/A,FALSE,"Calc";"Present",#N/A,FALSE,"Cover"}</definedName>
    <definedName name="wrn.Present._3_2" hidden="1">{"Present",#N/A,FALSE,"Assump";"Present",#N/A,FALSE,"Calc";"Present",#N/A,FALSE,"Cover"}</definedName>
    <definedName name="wrn.Present._3_2_1" hidden="1">{"Present",#N/A,FALSE,"Assump";"Present",#N/A,FALSE,"Calc";"Present",#N/A,FALSE,"Cover"}</definedName>
    <definedName name="wrn.Present._3_2_1_1" hidden="1">{"Present",#N/A,FALSE,"Assump";"Present",#N/A,FALSE,"Calc";"Present",#N/A,FALSE,"Cover"}</definedName>
    <definedName name="wrn.Present._3_2_1_2" hidden="1">{"Present",#N/A,FALSE,"Assump";"Present",#N/A,FALSE,"Calc";"Present",#N/A,FALSE,"Cover"}</definedName>
    <definedName name="wrn.Present._3_2_1_3" hidden="1">{"Present",#N/A,FALSE,"Assump";"Present",#N/A,FALSE,"Calc";"Present",#N/A,FALSE,"Cover"}</definedName>
    <definedName name="wrn.Present._3_2_1_4" hidden="1">{"Present",#N/A,FALSE,"Assump";"Present",#N/A,FALSE,"Calc";"Present",#N/A,FALSE,"Cover"}</definedName>
    <definedName name="wrn.Present._3_2_1_5" hidden="1">{"Present",#N/A,FALSE,"Assump";"Present",#N/A,FALSE,"Calc";"Present",#N/A,FALSE,"Cover"}</definedName>
    <definedName name="wrn.Present._3_2_2" hidden="1">{"Present",#N/A,FALSE,"Assump";"Present",#N/A,FALSE,"Calc";"Present",#N/A,FALSE,"Cover"}</definedName>
    <definedName name="wrn.Present._3_2_2_1" hidden="1">{"Present",#N/A,FALSE,"Assump";"Present",#N/A,FALSE,"Calc";"Present",#N/A,FALSE,"Cover"}</definedName>
    <definedName name="wrn.Present._3_2_2_2" hidden="1">{"Present",#N/A,FALSE,"Assump";"Present",#N/A,FALSE,"Calc";"Present",#N/A,FALSE,"Cover"}</definedName>
    <definedName name="wrn.Present._3_2_2_3" hidden="1">{"Present",#N/A,FALSE,"Assump";"Present",#N/A,FALSE,"Calc";"Present",#N/A,FALSE,"Cover"}</definedName>
    <definedName name="wrn.Present._3_2_2_4" hidden="1">{"Present",#N/A,FALSE,"Assump";"Present",#N/A,FALSE,"Calc";"Present",#N/A,FALSE,"Cover"}</definedName>
    <definedName name="wrn.Present._3_2_2_5" hidden="1">{"Present",#N/A,FALSE,"Assump";"Present",#N/A,FALSE,"Calc";"Present",#N/A,FALSE,"Cover"}</definedName>
    <definedName name="wrn.Present._3_2_3" hidden="1">{"Present",#N/A,FALSE,"Assump";"Present",#N/A,FALSE,"Calc";"Present",#N/A,FALSE,"Cover"}</definedName>
    <definedName name="wrn.Present._3_2_4" hidden="1">{"Present",#N/A,FALSE,"Assump";"Present",#N/A,FALSE,"Calc";"Present",#N/A,FALSE,"Cover"}</definedName>
    <definedName name="wrn.Present._3_2_5" hidden="1">{"Present",#N/A,FALSE,"Assump";"Present",#N/A,FALSE,"Calc";"Present",#N/A,FALSE,"Cover"}</definedName>
    <definedName name="wrn.Present._3_3" hidden="1">{"Present",#N/A,FALSE,"Assump";"Present",#N/A,FALSE,"Calc";"Present",#N/A,FALSE,"Cover"}</definedName>
    <definedName name="wrn.Present._3_3_1" hidden="1">{"Present",#N/A,FALSE,"Assump";"Present",#N/A,FALSE,"Calc";"Present",#N/A,FALSE,"Cover"}</definedName>
    <definedName name="wrn.Present._3_3_1_1" hidden="1">{"Present",#N/A,FALSE,"Assump";"Present",#N/A,FALSE,"Calc";"Present",#N/A,FALSE,"Cover"}</definedName>
    <definedName name="wrn.Present._3_3_1_2" hidden="1">{"Present",#N/A,FALSE,"Assump";"Present",#N/A,FALSE,"Calc";"Present",#N/A,FALSE,"Cover"}</definedName>
    <definedName name="wrn.Present._3_3_1_3" hidden="1">{"Present",#N/A,FALSE,"Assump";"Present",#N/A,FALSE,"Calc";"Present",#N/A,FALSE,"Cover"}</definedName>
    <definedName name="wrn.Present._3_3_1_4" hidden="1">{"Present",#N/A,FALSE,"Assump";"Present",#N/A,FALSE,"Calc";"Present",#N/A,FALSE,"Cover"}</definedName>
    <definedName name="wrn.Present._3_3_1_5" hidden="1">{"Present",#N/A,FALSE,"Assump";"Present",#N/A,FALSE,"Calc";"Present",#N/A,FALSE,"Cover"}</definedName>
    <definedName name="wrn.Present._3_3_2" hidden="1">{"Present",#N/A,FALSE,"Assump";"Present",#N/A,FALSE,"Calc";"Present",#N/A,FALSE,"Cover"}</definedName>
    <definedName name="wrn.Present._3_3_2_1" hidden="1">{"Present",#N/A,FALSE,"Assump";"Present",#N/A,FALSE,"Calc";"Present",#N/A,FALSE,"Cover"}</definedName>
    <definedName name="wrn.Present._3_3_2_2" hidden="1">{"Present",#N/A,FALSE,"Assump";"Present",#N/A,FALSE,"Calc";"Present",#N/A,FALSE,"Cover"}</definedName>
    <definedName name="wrn.Present._3_3_2_3" hidden="1">{"Present",#N/A,FALSE,"Assump";"Present",#N/A,FALSE,"Calc";"Present",#N/A,FALSE,"Cover"}</definedName>
    <definedName name="wrn.Present._3_3_2_4" hidden="1">{"Present",#N/A,FALSE,"Assump";"Present",#N/A,FALSE,"Calc";"Present",#N/A,FALSE,"Cover"}</definedName>
    <definedName name="wrn.Present._3_3_2_5" hidden="1">{"Present",#N/A,FALSE,"Assump";"Present",#N/A,FALSE,"Calc";"Present",#N/A,FALSE,"Cover"}</definedName>
    <definedName name="wrn.Present._3_3_3" hidden="1">{"Present",#N/A,FALSE,"Assump";"Present",#N/A,FALSE,"Calc";"Present",#N/A,FALSE,"Cover"}</definedName>
    <definedName name="wrn.Present._3_3_4" hidden="1">{"Present",#N/A,FALSE,"Assump";"Present",#N/A,FALSE,"Calc";"Present",#N/A,FALSE,"Cover"}</definedName>
    <definedName name="wrn.Present._3_3_5" hidden="1">{"Present",#N/A,FALSE,"Assump";"Present",#N/A,FALSE,"Calc";"Present",#N/A,FALSE,"Cover"}</definedName>
    <definedName name="wrn.Present._3_4" hidden="1">{"Present",#N/A,FALSE,"Assump";"Present",#N/A,FALSE,"Calc";"Present",#N/A,FALSE,"Cover"}</definedName>
    <definedName name="wrn.Present._3_4_1" hidden="1">{"Present",#N/A,FALSE,"Assump";"Present",#N/A,FALSE,"Calc";"Present",#N/A,FALSE,"Cover"}</definedName>
    <definedName name="wrn.Present._3_4_1_1" hidden="1">{"Present",#N/A,FALSE,"Assump";"Present",#N/A,FALSE,"Calc";"Present",#N/A,FALSE,"Cover"}</definedName>
    <definedName name="wrn.Present._3_4_1_2" hidden="1">{"Present",#N/A,FALSE,"Assump";"Present",#N/A,FALSE,"Calc";"Present",#N/A,FALSE,"Cover"}</definedName>
    <definedName name="wrn.Present._3_4_1_3" hidden="1">{"Present",#N/A,FALSE,"Assump";"Present",#N/A,FALSE,"Calc";"Present",#N/A,FALSE,"Cover"}</definedName>
    <definedName name="wrn.Present._3_4_1_4" hidden="1">{"Present",#N/A,FALSE,"Assump";"Present",#N/A,FALSE,"Calc";"Present",#N/A,FALSE,"Cover"}</definedName>
    <definedName name="wrn.Present._3_4_1_5" hidden="1">{"Present",#N/A,FALSE,"Assump";"Present",#N/A,FALSE,"Calc";"Present",#N/A,FALSE,"Cover"}</definedName>
    <definedName name="wrn.Present._3_4_2" hidden="1">{"Present",#N/A,FALSE,"Assump";"Present",#N/A,FALSE,"Calc";"Present",#N/A,FALSE,"Cover"}</definedName>
    <definedName name="wrn.Present._3_4_2_1" hidden="1">{"Present",#N/A,FALSE,"Assump";"Present",#N/A,FALSE,"Calc";"Present",#N/A,FALSE,"Cover"}</definedName>
    <definedName name="wrn.Present._3_4_2_2" hidden="1">{"Present",#N/A,FALSE,"Assump";"Present",#N/A,FALSE,"Calc";"Present",#N/A,FALSE,"Cover"}</definedName>
    <definedName name="wrn.Present._3_4_2_3" hidden="1">{"Present",#N/A,FALSE,"Assump";"Present",#N/A,FALSE,"Calc";"Present",#N/A,FALSE,"Cover"}</definedName>
    <definedName name="wrn.Present._3_4_2_4" hidden="1">{"Present",#N/A,FALSE,"Assump";"Present",#N/A,FALSE,"Calc";"Present",#N/A,FALSE,"Cover"}</definedName>
    <definedName name="wrn.Present._3_4_2_5" hidden="1">{"Present",#N/A,FALSE,"Assump";"Present",#N/A,FALSE,"Calc";"Present",#N/A,FALSE,"Cover"}</definedName>
    <definedName name="wrn.Present._3_4_3" hidden="1">{"Present",#N/A,FALSE,"Assump";"Present",#N/A,FALSE,"Calc";"Present",#N/A,FALSE,"Cover"}</definedName>
    <definedName name="wrn.Present._3_4_4" hidden="1">{"Present",#N/A,FALSE,"Assump";"Present",#N/A,FALSE,"Calc";"Present",#N/A,FALSE,"Cover"}</definedName>
    <definedName name="wrn.Present._3_4_5" hidden="1">{"Present",#N/A,FALSE,"Assump";"Present",#N/A,FALSE,"Calc";"Present",#N/A,FALSE,"Cover"}</definedName>
    <definedName name="wrn.Present._3_5" hidden="1">{"Present",#N/A,FALSE,"Assump";"Present",#N/A,FALSE,"Calc";"Present",#N/A,FALSE,"Cover"}</definedName>
    <definedName name="wrn.Present._3_5_1" hidden="1">{"Present",#N/A,FALSE,"Assump";"Present",#N/A,FALSE,"Calc";"Present",#N/A,FALSE,"Cover"}</definedName>
    <definedName name="wrn.Present._3_5_2" hidden="1">{"Present",#N/A,FALSE,"Assump";"Present",#N/A,FALSE,"Calc";"Present",#N/A,FALSE,"Cover"}</definedName>
    <definedName name="wrn.Present._3_5_3" hidden="1">{"Present",#N/A,FALSE,"Assump";"Present",#N/A,FALSE,"Calc";"Present",#N/A,FALSE,"Cover"}</definedName>
    <definedName name="wrn.Present._3_5_4" hidden="1">{"Present",#N/A,FALSE,"Assump";"Present",#N/A,FALSE,"Calc";"Present",#N/A,FALSE,"Cover"}</definedName>
    <definedName name="wrn.Present._3_5_5" hidden="1">{"Present",#N/A,FALSE,"Assump";"Present",#N/A,FALSE,"Calc";"Present",#N/A,FALSE,"Cover"}</definedName>
    <definedName name="wrn.Present._4" hidden="1">{"Present",#N/A,FALSE,"Assump";"Present",#N/A,FALSE,"Calc";"Present",#N/A,FALSE,"Cover"}</definedName>
    <definedName name="wrn.Present._4_1" hidden="1">{"Present",#N/A,FALSE,"Assump";"Present",#N/A,FALSE,"Calc";"Present",#N/A,FALSE,"Cover"}</definedName>
    <definedName name="wrn.Present._4_1_1" hidden="1">{"Present",#N/A,FALSE,"Assump";"Present",#N/A,FALSE,"Calc";"Present",#N/A,FALSE,"Cover"}</definedName>
    <definedName name="wrn.Present._4_1_1_1" hidden="1">{"Present",#N/A,FALSE,"Assump";"Present",#N/A,FALSE,"Calc";"Present",#N/A,FALSE,"Cover"}</definedName>
    <definedName name="wrn.Present._4_1_1_2" hidden="1">{"Present",#N/A,FALSE,"Assump";"Present",#N/A,FALSE,"Calc";"Present",#N/A,FALSE,"Cover"}</definedName>
    <definedName name="wrn.Present._4_1_1_3" hidden="1">{"Present",#N/A,FALSE,"Assump";"Present",#N/A,FALSE,"Calc";"Present",#N/A,FALSE,"Cover"}</definedName>
    <definedName name="wrn.Present._4_1_1_4" hidden="1">{"Present",#N/A,FALSE,"Assump";"Present",#N/A,FALSE,"Calc";"Present",#N/A,FALSE,"Cover"}</definedName>
    <definedName name="wrn.Present._4_1_1_5" hidden="1">{"Present",#N/A,FALSE,"Assump";"Present",#N/A,FALSE,"Calc";"Present",#N/A,FALSE,"Cover"}</definedName>
    <definedName name="wrn.Present._4_1_2" hidden="1">{"Present",#N/A,FALSE,"Assump";"Present",#N/A,FALSE,"Calc";"Present",#N/A,FALSE,"Cover"}</definedName>
    <definedName name="wrn.Present._4_1_2_1" hidden="1">{"Present",#N/A,FALSE,"Assump";"Present",#N/A,FALSE,"Calc";"Present",#N/A,FALSE,"Cover"}</definedName>
    <definedName name="wrn.Present._4_1_2_2" hidden="1">{"Present",#N/A,FALSE,"Assump";"Present",#N/A,FALSE,"Calc";"Present",#N/A,FALSE,"Cover"}</definedName>
    <definedName name="wrn.Present._4_1_2_3" hidden="1">{"Present",#N/A,FALSE,"Assump";"Present",#N/A,FALSE,"Calc";"Present",#N/A,FALSE,"Cover"}</definedName>
    <definedName name="wrn.Present._4_1_2_4" hidden="1">{"Present",#N/A,FALSE,"Assump";"Present",#N/A,FALSE,"Calc";"Present",#N/A,FALSE,"Cover"}</definedName>
    <definedName name="wrn.Present._4_1_2_5" hidden="1">{"Present",#N/A,FALSE,"Assump";"Present",#N/A,FALSE,"Calc";"Present",#N/A,FALSE,"Cover"}</definedName>
    <definedName name="wrn.Present._4_1_3" hidden="1">{"Present",#N/A,FALSE,"Assump";"Present",#N/A,FALSE,"Calc";"Present",#N/A,FALSE,"Cover"}</definedName>
    <definedName name="wrn.Present._4_1_3_1" hidden="1">{"Present",#N/A,FALSE,"Assump";"Present",#N/A,FALSE,"Calc";"Present",#N/A,FALSE,"Cover"}</definedName>
    <definedName name="wrn.Present._4_1_3_2" hidden="1">{"Present",#N/A,FALSE,"Assump";"Present",#N/A,FALSE,"Calc";"Present",#N/A,FALSE,"Cover"}</definedName>
    <definedName name="wrn.Present._4_1_3_3" hidden="1">{"Present",#N/A,FALSE,"Assump";"Present",#N/A,FALSE,"Calc";"Present",#N/A,FALSE,"Cover"}</definedName>
    <definedName name="wrn.Present._4_1_3_4" hidden="1">{"Present",#N/A,FALSE,"Assump";"Present",#N/A,FALSE,"Calc";"Present",#N/A,FALSE,"Cover"}</definedName>
    <definedName name="wrn.Present._4_1_3_5" hidden="1">{"Present",#N/A,FALSE,"Assump";"Present",#N/A,FALSE,"Calc";"Present",#N/A,FALSE,"Cover"}</definedName>
    <definedName name="wrn.Present._4_1_4" hidden="1">{"Present",#N/A,FALSE,"Assump";"Present",#N/A,FALSE,"Calc";"Present",#N/A,FALSE,"Cover"}</definedName>
    <definedName name="wrn.Present._4_1_5" hidden="1">{"Present",#N/A,FALSE,"Assump";"Present",#N/A,FALSE,"Calc";"Present",#N/A,FALSE,"Cover"}</definedName>
    <definedName name="wrn.Present._4_2" hidden="1">{"Present",#N/A,FALSE,"Assump";"Present",#N/A,FALSE,"Calc";"Present",#N/A,FALSE,"Cover"}</definedName>
    <definedName name="wrn.Present._4_2_1" hidden="1">{"Present",#N/A,FALSE,"Assump";"Present",#N/A,FALSE,"Calc";"Present",#N/A,FALSE,"Cover"}</definedName>
    <definedName name="wrn.Present._4_2_2" hidden="1">{"Present",#N/A,FALSE,"Assump";"Present",#N/A,FALSE,"Calc";"Present",#N/A,FALSE,"Cover"}</definedName>
    <definedName name="wrn.Present._4_2_3" hidden="1">{"Present",#N/A,FALSE,"Assump";"Present",#N/A,FALSE,"Calc";"Present",#N/A,FALSE,"Cover"}</definedName>
    <definedName name="wrn.Present._4_2_4" hidden="1">{"Present",#N/A,FALSE,"Assump";"Present",#N/A,FALSE,"Calc";"Present",#N/A,FALSE,"Cover"}</definedName>
    <definedName name="wrn.Present._4_2_5" hidden="1">{"Present",#N/A,FALSE,"Assump";"Present",#N/A,FALSE,"Calc";"Present",#N/A,FALSE,"Cover"}</definedName>
    <definedName name="wrn.Present._4_3" hidden="1">{"Present",#N/A,FALSE,"Assump";"Present",#N/A,FALSE,"Calc";"Present",#N/A,FALSE,"Cover"}</definedName>
    <definedName name="wrn.Present._4_3_1" hidden="1">{"Present",#N/A,FALSE,"Assump";"Present",#N/A,FALSE,"Calc";"Present",#N/A,FALSE,"Cover"}</definedName>
    <definedName name="wrn.Present._4_3_2" hidden="1">{"Present",#N/A,FALSE,"Assump";"Present",#N/A,FALSE,"Calc";"Present",#N/A,FALSE,"Cover"}</definedName>
    <definedName name="wrn.Present._4_3_3" hidden="1">{"Present",#N/A,FALSE,"Assump";"Present",#N/A,FALSE,"Calc";"Present",#N/A,FALSE,"Cover"}</definedName>
    <definedName name="wrn.Present._4_3_4" hidden="1">{"Present",#N/A,FALSE,"Assump";"Present",#N/A,FALSE,"Calc";"Present",#N/A,FALSE,"Cover"}</definedName>
    <definedName name="wrn.Present._4_3_5" hidden="1">{"Present",#N/A,FALSE,"Assump";"Present",#N/A,FALSE,"Calc";"Present",#N/A,FALSE,"Cover"}</definedName>
    <definedName name="wrn.Present._4_4" hidden="1">{"Present",#N/A,FALSE,"Assump";"Present",#N/A,FALSE,"Calc";"Present",#N/A,FALSE,"Cover"}</definedName>
    <definedName name="wrn.Present._4_5" hidden="1">{"Present",#N/A,FALSE,"Assump";"Present",#N/A,FALSE,"Calc";"Present",#N/A,FALSE,"Cover"}</definedName>
    <definedName name="wrn.Present._5" hidden="1">{"Present",#N/A,FALSE,"Assump";"Present",#N/A,FALSE,"Calc";"Present",#N/A,FALSE,"Cover"}</definedName>
    <definedName name="wrn.Present._5_1" hidden="1">{"Present",#N/A,FALSE,"Assump";"Present",#N/A,FALSE,"Calc";"Present",#N/A,FALSE,"Cover"}</definedName>
    <definedName name="wrn.Present._5_1_1" hidden="1">{"Present",#N/A,FALSE,"Assump";"Present",#N/A,FALSE,"Calc";"Present",#N/A,FALSE,"Cover"}</definedName>
    <definedName name="wrn.Present._5_1_2" hidden="1">{"Present",#N/A,FALSE,"Assump";"Present",#N/A,FALSE,"Calc";"Present",#N/A,FALSE,"Cover"}</definedName>
    <definedName name="wrn.Present._5_1_3" hidden="1">{"Present",#N/A,FALSE,"Assump";"Present",#N/A,FALSE,"Calc";"Present",#N/A,FALSE,"Cover"}</definedName>
    <definedName name="wrn.Present._5_1_4" hidden="1">{"Present",#N/A,FALSE,"Assump";"Present",#N/A,FALSE,"Calc";"Present",#N/A,FALSE,"Cover"}</definedName>
    <definedName name="wrn.Present._5_1_5" hidden="1">{"Present",#N/A,FALSE,"Assump";"Present",#N/A,FALSE,"Calc";"Present",#N/A,FALSE,"Cover"}</definedName>
    <definedName name="wrn.Present._5_2" hidden="1">{"Present",#N/A,FALSE,"Assump";"Present",#N/A,FALSE,"Calc";"Present",#N/A,FALSE,"Cover"}</definedName>
    <definedName name="wrn.Present._5_2_1" hidden="1">{"Present",#N/A,FALSE,"Assump";"Present",#N/A,FALSE,"Calc";"Present",#N/A,FALSE,"Cover"}</definedName>
    <definedName name="wrn.Present._5_2_2" hidden="1">{"Present",#N/A,FALSE,"Assump";"Present",#N/A,FALSE,"Calc";"Present",#N/A,FALSE,"Cover"}</definedName>
    <definedName name="wrn.Present._5_2_3" hidden="1">{"Present",#N/A,FALSE,"Assump";"Present",#N/A,FALSE,"Calc";"Present",#N/A,FALSE,"Cover"}</definedName>
    <definedName name="wrn.Present._5_2_4" hidden="1">{"Present",#N/A,FALSE,"Assump";"Present",#N/A,FALSE,"Calc";"Present",#N/A,FALSE,"Cover"}</definedName>
    <definedName name="wrn.Present._5_2_5" hidden="1">{"Present",#N/A,FALSE,"Assump";"Present",#N/A,FALSE,"Calc";"Present",#N/A,FALSE,"Cover"}</definedName>
    <definedName name="wrn.Present._5_3" hidden="1">{"Present",#N/A,FALSE,"Assump";"Present",#N/A,FALSE,"Calc";"Present",#N/A,FALSE,"Cover"}</definedName>
    <definedName name="wrn.Present._5_4" hidden="1">{"Present",#N/A,FALSE,"Assump";"Present",#N/A,FALSE,"Calc";"Present",#N/A,FALSE,"Cover"}</definedName>
    <definedName name="wrn.Present._5_5" hidden="1">{"Present",#N/A,FALSE,"Assump";"Present",#N/A,FALSE,"Calc";"Present",#N/A,FALSE,"Cover"}</definedName>
    <definedName name="wrn.Present.2" localSheetId="1" hidden="1">{"Present",#N/A,FALSE,"Assump";"Present",#N/A,FALSE,"Calc";"Present",#N/A,FALSE,"Cover"}</definedName>
    <definedName name="wrn.Present.2" hidden="1">{"Present",#N/A,FALSE,"Assump";"Present",#N/A,FALSE,"Calc";"Present",#N/A,FALSE,"Cover"}</definedName>
    <definedName name="wrn.Present.2_1" hidden="1">{"Present",#N/A,FALSE,"Assump";"Present",#N/A,FALSE,"Calc";"Present",#N/A,FALSE,"Cover"}</definedName>
    <definedName name="wrn.Present.2_1_1" hidden="1">{"Present",#N/A,FALSE,"Assump";"Present",#N/A,FALSE,"Calc";"Present",#N/A,FALSE,"Cover"}</definedName>
    <definedName name="wrn.Present.2_1_1_1" hidden="1">{"Present",#N/A,FALSE,"Assump";"Present",#N/A,FALSE,"Calc";"Present",#N/A,FALSE,"Cover"}</definedName>
    <definedName name="wrn.Present.2_1_1_1_1" hidden="1">{"Present",#N/A,FALSE,"Assump";"Present",#N/A,FALSE,"Calc";"Present",#N/A,FALSE,"Cover"}</definedName>
    <definedName name="wrn.Present.2_1_1_1_2" hidden="1">{"Present",#N/A,FALSE,"Assump";"Present",#N/A,FALSE,"Calc";"Present",#N/A,FALSE,"Cover"}</definedName>
    <definedName name="wrn.Present.2_1_1_1_3" hidden="1">{"Present",#N/A,FALSE,"Assump";"Present",#N/A,FALSE,"Calc";"Present",#N/A,FALSE,"Cover"}</definedName>
    <definedName name="wrn.Present.2_1_1_1_4" hidden="1">{"Present",#N/A,FALSE,"Assump";"Present",#N/A,FALSE,"Calc";"Present",#N/A,FALSE,"Cover"}</definedName>
    <definedName name="wrn.Present.2_1_1_1_5" hidden="1">{"Present",#N/A,FALSE,"Assump";"Present",#N/A,FALSE,"Calc";"Present",#N/A,FALSE,"Cover"}</definedName>
    <definedName name="wrn.Present.2_1_1_2" hidden="1">{"Present",#N/A,FALSE,"Assump";"Present",#N/A,FALSE,"Calc";"Present",#N/A,FALSE,"Cover"}</definedName>
    <definedName name="wrn.Present.2_1_1_2_1" hidden="1">{"Present",#N/A,FALSE,"Assump";"Present",#N/A,FALSE,"Calc";"Present",#N/A,FALSE,"Cover"}</definedName>
    <definedName name="wrn.Present.2_1_1_2_2" hidden="1">{"Present",#N/A,FALSE,"Assump";"Present",#N/A,FALSE,"Calc";"Present",#N/A,FALSE,"Cover"}</definedName>
    <definedName name="wrn.Present.2_1_1_2_3" hidden="1">{"Present",#N/A,FALSE,"Assump";"Present",#N/A,FALSE,"Calc";"Present",#N/A,FALSE,"Cover"}</definedName>
    <definedName name="wrn.Present.2_1_1_2_4" hidden="1">{"Present",#N/A,FALSE,"Assump";"Present",#N/A,FALSE,"Calc";"Present",#N/A,FALSE,"Cover"}</definedName>
    <definedName name="wrn.Present.2_1_1_2_5" hidden="1">{"Present",#N/A,FALSE,"Assump";"Present",#N/A,FALSE,"Calc";"Present",#N/A,FALSE,"Cover"}</definedName>
    <definedName name="wrn.Present.2_1_1_3" hidden="1">{"Present",#N/A,FALSE,"Assump";"Present",#N/A,FALSE,"Calc";"Present",#N/A,FALSE,"Cover"}</definedName>
    <definedName name="wrn.Present.2_1_1_3_1" hidden="1">{"Present",#N/A,FALSE,"Assump";"Present",#N/A,FALSE,"Calc";"Present",#N/A,FALSE,"Cover"}</definedName>
    <definedName name="wrn.Present.2_1_1_3_2" hidden="1">{"Present",#N/A,FALSE,"Assump";"Present",#N/A,FALSE,"Calc";"Present",#N/A,FALSE,"Cover"}</definedName>
    <definedName name="wrn.Present.2_1_1_3_3" hidden="1">{"Present",#N/A,FALSE,"Assump";"Present",#N/A,FALSE,"Calc";"Present",#N/A,FALSE,"Cover"}</definedName>
    <definedName name="wrn.Present.2_1_1_3_4" hidden="1">{"Present",#N/A,FALSE,"Assump";"Present",#N/A,FALSE,"Calc";"Present",#N/A,FALSE,"Cover"}</definedName>
    <definedName name="wrn.Present.2_1_1_3_5" hidden="1">{"Present",#N/A,FALSE,"Assump";"Present",#N/A,FALSE,"Calc";"Present",#N/A,FALSE,"Cover"}</definedName>
    <definedName name="wrn.Present.2_1_1_4" hidden="1">{"Present",#N/A,FALSE,"Assump";"Present",#N/A,FALSE,"Calc";"Present",#N/A,FALSE,"Cover"}</definedName>
    <definedName name="wrn.Present.2_1_1_5" hidden="1">{"Present",#N/A,FALSE,"Assump";"Present",#N/A,FALSE,"Calc";"Present",#N/A,FALSE,"Cover"}</definedName>
    <definedName name="wrn.Present.2_1_2" hidden="1">{"Present",#N/A,FALSE,"Assump";"Present",#N/A,FALSE,"Calc";"Present",#N/A,FALSE,"Cover"}</definedName>
    <definedName name="wrn.Present.2_1_2_1" hidden="1">{"Present",#N/A,FALSE,"Assump";"Present",#N/A,FALSE,"Calc";"Present",#N/A,FALSE,"Cover"}</definedName>
    <definedName name="wrn.Present.2_1_2_1_1" hidden="1">{"Present",#N/A,FALSE,"Assump";"Present",#N/A,FALSE,"Calc";"Present",#N/A,FALSE,"Cover"}</definedName>
    <definedName name="wrn.Present.2_1_2_1_2" hidden="1">{"Present",#N/A,FALSE,"Assump";"Present",#N/A,FALSE,"Calc";"Present",#N/A,FALSE,"Cover"}</definedName>
    <definedName name="wrn.Present.2_1_2_1_3" hidden="1">{"Present",#N/A,FALSE,"Assump";"Present",#N/A,FALSE,"Calc";"Present",#N/A,FALSE,"Cover"}</definedName>
    <definedName name="wrn.Present.2_1_2_1_4" hidden="1">{"Present",#N/A,FALSE,"Assump";"Present",#N/A,FALSE,"Calc";"Present",#N/A,FALSE,"Cover"}</definedName>
    <definedName name="wrn.Present.2_1_2_1_5" hidden="1">{"Present",#N/A,FALSE,"Assump";"Present",#N/A,FALSE,"Calc";"Present",#N/A,FALSE,"Cover"}</definedName>
    <definedName name="wrn.Present.2_1_2_2" hidden="1">{"Present",#N/A,FALSE,"Assump";"Present",#N/A,FALSE,"Calc";"Present",#N/A,FALSE,"Cover"}</definedName>
    <definedName name="wrn.Present.2_1_2_2_1" hidden="1">{"Present",#N/A,FALSE,"Assump";"Present",#N/A,FALSE,"Calc";"Present",#N/A,FALSE,"Cover"}</definedName>
    <definedName name="wrn.Present.2_1_2_2_2" hidden="1">{"Present",#N/A,FALSE,"Assump";"Present",#N/A,FALSE,"Calc";"Present",#N/A,FALSE,"Cover"}</definedName>
    <definedName name="wrn.Present.2_1_2_2_3" hidden="1">{"Present",#N/A,FALSE,"Assump";"Present",#N/A,FALSE,"Calc";"Present",#N/A,FALSE,"Cover"}</definedName>
    <definedName name="wrn.Present.2_1_2_2_4" hidden="1">{"Present",#N/A,FALSE,"Assump";"Present",#N/A,FALSE,"Calc";"Present",#N/A,FALSE,"Cover"}</definedName>
    <definedName name="wrn.Present.2_1_2_2_5" hidden="1">{"Present",#N/A,FALSE,"Assump";"Present",#N/A,FALSE,"Calc";"Present",#N/A,FALSE,"Cover"}</definedName>
    <definedName name="wrn.Present.2_1_2_3" hidden="1">{"Present",#N/A,FALSE,"Assump";"Present",#N/A,FALSE,"Calc";"Present",#N/A,FALSE,"Cover"}</definedName>
    <definedName name="wrn.Present.2_1_2_4" hidden="1">{"Present",#N/A,FALSE,"Assump";"Present",#N/A,FALSE,"Calc";"Present",#N/A,FALSE,"Cover"}</definedName>
    <definedName name="wrn.Present.2_1_2_5" hidden="1">{"Present",#N/A,FALSE,"Assump";"Present",#N/A,FALSE,"Calc";"Present",#N/A,FALSE,"Cover"}</definedName>
    <definedName name="wrn.Present.2_1_3" hidden="1">{"Present",#N/A,FALSE,"Assump";"Present",#N/A,FALSE,"Calc";"Present",#N/A,FALSE,"Cover"}</definedName>
    <definedName name="wrn.Present.2_1_3_1" hidden="1">{"Present",#N/A,FALSE,"Assump";"Present",#N/A,FALSE,"Calc";"Present",#N/A,FALSE,"Cover"}</definedName>
    <definedName name="wrn.Present.2_1_3_1_1" hidden="1">{"Present",#N/A,FALSE,"Assump";"Present",#N/A,FALSE,"Calc";"Present",#N/A,FALSE,"Cover"}</definedName>
    <definedName name="wrn.Present.2_1_3_1_2" hidden="1">{"Present",#N/A,FALSE,"Assump";"Present",#N/A,FALSE,"Calc";"Present",#N/A,FALSE,"Cover"}</definedName>
    <definedName name="wrn.Present.2_1_3_1_3" hidden="1">{"Present",#N/A,FALSE,"Assump";"Present",#N/A,FALSE,"Calc";"Present",#N/A,FALSE,"Cover"}</definedName>
    <definedName name="wrn.Present.2_1_3_1_4" hidden="1">{"Present",#N/A,FALSE,"Assump";"Present",#N/A,FALSE,"Calc";"Present",#N/A,FALSE,"Cover"}</definedName>
    <definedName name="wrn.Present.2_1_3_1_5" hidden="1">{"Present",#N/A,FALSE,"Assump";"Present",#N/A,FALSE,"Calc";"Present",#N/A,FALSE,"Cover"}</definedName>
    <definedName name="wrn.Present.2_1_3_2" hidden="1">{"Present",#N/A,FALSE,"Assump";"Present",#N/A,FALSE,"Calc";"Present",#N/A,FALSE,"Cover"}</definedName>
    <definedName name="wrn.Present.2_1_3_2_1" hidden="1">{"Present",#N/A,FALSE,"Assump";"Present",#N/A,FALSE,"Calc";"Present",#N/A,FALSE,"Cover"}</definedName>
    <definedName name="wrn.Present.2_1_3_2_2" hidden="1">{"Present",#N/A,FALSE,"Assump";"Present",#N/A,FALSE,"Calc";"Present",#N/A,FALSE,"Cover"}</definedName>
    <definedName name="wrn.Present.2_1_3_2_3" hidden="1">{"Present",#N/A,FALSE,"Assump";"Present",#N/A,FALSE,"Calc";"Present",#N/A,FALSE,"Cover"}</definedName>
    <definedName name="wrn.Present.2_1_3_2_4" hidden="1">{"Present",#N/A,FALSE,"Assump";"Present",#N/A,FALSE,"Calc";"Present",#N/A,FALSE,"Cover"}</definedName>
    <definedName name="wrn.Present.2_1_3_2_5" hidden="1">{"Present",#N/A,FALSE,"Assump";"Present",#N/A,FALSE,"Calc";"Present",#N/A,FALSE,"Cover"}</definedName>
    <definedName name="wrn.Present.2_1_3_3" hidden="1">{"Present",#N/A,FALSE,"Assump";"Present",#N/A,FALSE,"Calc";"Present",#N/A,FALSE,"Cover"}</definedName>
    <definedName name="wrn.Present.2_1_3_4" hidden="1">{"Present",#N/A,FALSE,"Assump";"Present",#N/A,FALSE,"Calc";"Present",#N/A,FALSE,"Cover"}</definedName>
    <definedName name="wrn.Present.2_1_3_5" hidden="1">{"Present",#N/A,FALSE,"Assump";"Present",#N/A,FALSE,"Calc";"Present",#N/A,FALSE,"Cover"}</definedName>
    <definedName name="wrn.Present.2_1_4" hidden="1">{"Present",#N/A,FALSE,"Assump";"Present",#N/A,FALSE,"Calc";"Present",#N/A,FALSE,"Cover"}</definedName>
    <definedName name="wrn.Present.2_1_4_1" hidden="1">{"Present",#N/A,FALSE,"Assump";"Present",#N/A,FALSE,"Calc";"Present",#N/A,FALSE,"Cover"}</definedName>
    <definedName name="wrn.Present.2_1_4_1_1" hidden="1">{"Present",#N/A,FALSE,"Assump";"Present",#N/A,FALSE,"Calc";"Present",#N/A,FALSE,"Cover"}</definedName>
    <definedName name="wrn.Present.2_1_4_1_2" hidden="1">{"Present",#N/A,FALSE,"Assump";"Present",#N/A,FALSE,"Calc";"Present",#N/A,FALSE,"Cover"}</definedName>
    <definedName name="wrn.Present.2_1_4_1_3" hidden="1">{"Present",#N/A,FALSE,"Assump";"Present",#N/A,FALSE,"Calc";"Present",#N/A,FALSE,"Cover"}</definedName>
    <definedName name="wrn.Present.2_1_4_1_4" hidden="1">{"Present",#N/A,FALSE,"Assump";"Present",#N/A,FALSE,"Calc";"Present",#N/A,FALSE,"Cover"}</definedName>
    <definedName name="wrn.Present.2_1_4_1_5" hidden="1">{"Present",#N/A,FALSE,"Assump";"Present",#N/A,FALSE,"Calc";"Present",#N/A,FALSE,"Cover"}</definedName>
    <definedName name="wrn.Present.2_1_4_2" hidden="1">{"Present",#N/A,FALSE,"Assump";"Present",#N/A,FALSE,"Calc";"Present",#N/A,FALSE,"Cover"}</definedName>
    <definedName name="wrn.Present.2_1_4_2_1" hidden="1">{"Present",#N/A,FALSE,"Assump";"Present",#N/A,FALSE,"Calc";"Present",#N/A,FALSE,"Cover"}</definedName>
    <definedName name="wrn.Present.2_1_4_2_2" hidden="1">{"Present",#N/A,FALSE,"Assump";"Present",#N/A,FALSE,"Calc";"Present",#N/A,FALSE,"Cover"}</definedName>
    <definedName name="wrn.Present.2_1_4_2_3" hidden="1">{"Present",#N/A,FALSE,"Assump";"Present",#N/A,FALSE,"Calc";"Present",#N/A,FALSE,"Cover"}</definedName>
    <definedName name="wrn.Present.2_1_4_2_4" hidden="1">{"Present",#N/A,FALSE,"Assump";"Present",#N/A,FALSE,"Calc";"Present",#N/A,FALSE,"Cover"}</definedName>
    <definedName name="wrn.Present.2_1_4_2_5" hidden="1">{"Present",#N/A,FALSE,"Assump";"Present",#N/A,FALSE,"Calc";"Present",#N/A,FALSE,"Cover"}</definedName>
    <definedName name="wrn.Present.2_1_4_3" hidden="1">{"Present",#N/A,FALSE,"Assump";"Present",#N/A,FALSE,"Calc";"Present",#N/A,FALSE,"Cover"}</definedName>
    <definedName name="wrn.Present.2_1_4_4" hidden="1">{"Present",#N/A,FALSE,"Assump";"Present",#N/A,FALSE,"Calc";"Present",#N/A,FALSE,"Cover"}</definedName>
    <definedName name="wrn.Present.2_1_4_5" hidden="1">{"Present",#N/A,FALSE,"Assump";"Present",#N/A,FALSE,"Calc";"Present",#N/A,FALSE,"Cover"}</definedName>
    <definedName name="wrn.Present.2_1_5" hidden="1">{"Present",#N/A,FALSE,"Assump";"Present",#N/A,FALSE,"Calc";"Present",#N/A,FALSE,"Cover"}</definedName>
    <definedName name="wrn.Present.2_1_5_1" hidden="1">{"Present",#N/A,FALSE,"Assump";"Present",#N/A,FALSE,"Calc";"Present",#N/A,FALSE,"Cover"}</definedName>
    <definedName name="wrn.Present.2_1_5_1_1" hidden="1">{"Present",#N/A,FALSE,"Assump";"Present",#N/A,FALSE,"Calc";"Present",#N/A,FALSE,"Cover"}</definedName>
    <definedName name="wrn.Present.2_1_5_1_2" hidden="1">{"Present",#N/A,FALSE,"Assump";"Present",#N/A,FALSE,"Calc";"Present",#N/A,FALSE,"Cover"}</definedName>
    <definedName name="wrn.Present.2_1_5_1_3" hidden="1">{"Present",#N/A,FALSE,"Assump";"Present",#N/A,FALSE,"Calc";"Present",#N/A,FALSE,"Cover"}</definedName>
    <definedName name="wrn.Present.2_1_5_1_4" hidden="1">{"Present",#N/A,FALSE,"Assump";"Present",#N/A,FALSE,"Calc";"Present",#N/A,FALSE,"Cover"}</definedName>
    <definedName name="wrn.Present.2_1_5_1_5" hidden="1">{"Present",#N/A,FALSE,"Assump";"Present",#N/A,FALSE,"Calc";"Present",#N/A,FALSE,"Cover"}</definedName>
    <definedName name="wrn.Present.2_1_5_2" hidden="1">{"Present",#N/A,FALSE,"Assump";"Present",#N/A,FALSE,"Calc";"Present",#N/A,FALSE,"Cover"}</definedName>
    <definedName name="wrn.Present.2_1_5_2_1" hidden="1">{"Present",#N/A,FALSE,"Assump";"Present",#N/A,FALSE,"Calc";"Present",#N/A,FALSE,"Cover"}</definedName>
    <definedName name="wrn.Present.2_1_5_2_2" hidden="1">{"Present",#N/A,FALSE,"Assump";"Present",#N/A,FALSE,"Calc";"Present",#N/A,FALSE,"Cover"}</definedName>
    <definedName name="wrn.Present.2_1_5_2_3" hidden="1">{"Present",#N/A,FALSE,"Assump";"Present",#N/A,FALSE,"Calc";"Present",#N/A,FALSE,"Cover"}</definedName>
    <definedName name="wrn.Present.2_1_5_2_4" hidden="1">{"Present",#N/A,FALSE,"Assump";"Present",#N/A,FALSE,"Calc";"Present",#N/A,FALSE,"Cover"}</definedName>
    <definedName name="wrn.Present.2_1_5_2_5" hidden="1">{"Present",#N/A,FALSE,"Assump";"Present",#N/A,FALSE,"Calc";"Present",#N/A,FALSE,"Cover"}</definedName>
    <definedName name="wrn.Present.2_1_5_3" hidden="1">{"Present",#N/A,FALSE,"Assump";"Present",#N/A,FALSE,"Calc";"Present",#N/A,FALSE,"Cover"}</definedName>
    <definedName name="wrn.Present.2_1_5_4" hidden="1">{"Present",#N/A,FALSE,"Assump";"Present",#N/A,FALSE,"Calc";"Present",#N/A,FALSE,"Cover"}</definedName>
    <definedName name="wrn.Present.2_1_5_5" hidden="1">{"Present",#N/A,FALSE,"Assump";"Present",#N/A,FALSE,"Calc";"Present",#N/A,FALSE,"Cover"}</definedName>
    <definedName name="wrn.Present.2_2" hidden="1">{"Present",#N/A,FALSE,"Assump";"Present",#N/A,FALSE,"Calc";"Present",#N/A,FALSE,"Cover"}</definedName>
    <definedName name="wrn.Present.2_2_1" hidden="1">{"Present",#N/A,FALSE,"Assump";"Present",#N/A,FALSE,"Calc";"Present",#N/A,FALSE,"Cover"}</definedName>
    <definedName name="wrn.Present.2_2_1_1" hidden="1">{"Present",#N/A,FALSE,"Assump";"Present",#N/A,FALSE,"Calc";"Present",#N/A,FALSE,"Cover"}</definedName>
    <definedName name="wrn.Present.2_2_1_1_1" hidden="1">{"Present",#N/A,FALSE,"Assump";"Present",#N/A,FALSE,"Calc";"Present",#N/A,FALSE,"Cover"}</definedName>
    <definedName name="wrn.Present.2_2_1_1_2" hidden="1">{"Present",#N/A,FALSE,"Assump";"Present",#N/A,FALSE,"Calc";"Present",#N/A,FALSE,"Cover"}</definedName>
    <definedName name="wrn.Present.2_2_1_1_3" hidden="1">{"Present",#N/A,FALSE,"Assump";"Present",#N/A,FALSE,"Calc";"Present",#N/A,FALSE,"Cover"}</definedName>
    <definedName name="wrn.Present.2_2_1_1_4" hidden="1">{"Present",#N/A,FALSE,"Assump";"Present",#N/A,FALSE,"Calc";"Present",#N/A,FALSE,"Cover"}</definedName>
    <definedName name="wrn.Present.2_2_1_1_5" hidden="1">{"Present",#N/A,FALSE,"Assump";"Present",#N/A,FALSE,"Calc";"Present",#N/A,FALSE,"Cover"}</definedName>
    <definedName name="wrn.Present.2_2_1_2" hidden="1">{"Present",#N/A,FALSE,"Assump";"Present",#N/A,FALSE,"Calc";"Present",#N/A,FALSE,"Cover"}</definedName>
    <definedName name="wrn.Present.2_2_1_2_1" hidden="1">{"Present",#N/A,FALSE,"Assump";"Present",#N/A,FALSE,"Calc";"Present",#N/A,FALSE,"Cover"}</definedName>
    <definedName name="wrn.Present.2_2_1_2_2" hidden="1">{"Present",#N/A,FALSE,"Assump";"Present",#N/A,FALSE,"Calc";"Present",#N/A,FALSE,"Cover"}</definedName>
    <definedName name="wrn.Present.2_2_1_2_3" hidden="1">{"Present",#N/A,FALSE,"Assump";"Present",#N/A,FALSE,"Calc";"Present",#N/A,FALSE,"Cover"}</definedName>
    <definedName name="wrn.Present.2_2_1_2_4" hidden="1">{"Present",#N/A,FALSE,"Assump";"Present",#N/A,FALSE,"Calc";"Present",#N/A,FALSE,"Cover"}</definedName>
    <definedName name="wrn.Present.2_2_1_2_5" hidden="1">{"Present",#N/A,FALSE,"Assump";"Present",#N/A,FALSE,"Calc";"Present",#N/A,FALSE,"Cover"}</definedName>
    <definedName name="wrn.Present.2_2_1_3" hidden="1">{"Present",#N/A,FALSE,"Assump";"Present",#N/A,FALSE,"Calc";"Present",#N/A,FALSE,"Cover"}</definedName>
    <definedName name="wrn.Present.2_2_1_3_1" hidden="1">{"Present",#N/A,FALSE,"Assump";"Present",#N/A,FALSE,"Calc";"Present",#N/A,FALSE,"Cover"}</definedName>
    <definedName name="wrn.Present.2_2_1_3_2" hidden="1">{"Present",#N/A,FALSE,"Assump";"Present",#N/A,FALSE,"Calc";"Present",#N/A,FALSE,"Cover"}</definedName>
    <definedName name="wrn.Present.2_2_1_3_3" hidden="1">{"Present",#N/A,FALSE,"Assump";"Present",#N/A,FALSE,"Calc";"Present",#N/A,FALSE,"Cover"}</definedName>
    <definedName name="wrn.Present.2_2_1_3_4" hidden="1">{"Present",#N/A,FALSE,"Assump";"Present",#N/A,FALSE,"Calc";"Present",#N/A,FALSE,"Cover"}</definedName>
    <definedName name="wrn.Present.2_2_1_3_5" hidden="1">{"Present",#N/A,FALSE,"Assump";"Present",#N/A,FALSE,"Calc";"Present",#N/A,FALSE,"Cover"}</definedName>
    <definedName name="wrn.Present.2_2_1_4" hidden="1">{"Present",#N/A,FALSE,"Assump";"Present",#N/A,FALSE,"Calc";"Present",#N/A,FALSE,"Cover"}</definedName>
    <definedName name="wrn.Present.2_2_1_5" hidden="1">{"Present",#N/A,FALSE,"Assump";"Present",#N/A,FALSE,"Calc";"Present",#N/A,FALSE,"Cover"}</definedName>
    <definedName name="wrn.Present.2_2_2" hidden="1">{"Present",#N/A,FALSE,"Assump";"Present",#N/A,FALSE,"Calc";"Present",#N/A,FALSE,"Cover"}</definedName>
    <definedName name="wrn.Present.2_2_2_1" hidden="1">{"Present",#N/A,FALSE,"Assump";"Present",#N/A,FALSE,"Calc";"Present",#N/A,FALSE,"Cover"}</definedName>
    <definedName name="wrn.Present.2_2_2_1_1" hidden="1">{"Present",#N/A,FALSE,"Assump";"Present",#N/A,FALSE,"Calc";"Present",#N/A,FALSE,"Cover"}</definedName>
    <definedName name="wrn.Present.2_2_2_1_2" hidden="1">{"Present",#N/A,FALSE,"Assump";"Present",#N/A,FALSE,"Calc";"Present",#N/A,FALSE,"Cover"}</definedName>
    <definedName name="wrn.Present.2_2_2_1_3" hidden="1">{"Present",#N/A,FALSE,"Assump";"Present",#N/A,FALSE,"Calc";"Present",#N/A,FALSE,"Cover"}</definedName>
    <definedName name="wrn.Present.2_2_2_1_4" hidden="1">{"Present",#N/A,FALSE,"Assump";"Present",#N/A,FALSE,"Calc";"Present",#N/A,FALSE,"Cover"}</definedName>
    <definedName name="wrn.Present.2_2_2_1_5" hidden="1">{"Present",#N/A,FALSE,"Assump";"Present",#N/A,FALSE,"Calc";"Present",#N/A,FALSE,"Cover"}</definedName>
    <definedName name="wrn.Present.2_2_2_2" hidden="1">{"Present",#N/A,FALSE,"Assump";"Present",#N/A,FALSE,"Calc";"Present",#N/A,FALSE,"Cover"}</definedName>
    <definedName name="wrn.Present.2_2_2_2_1" hidden="1">{"Present",#N/A,FALSE,"Assump";"Present",#N/A,FALSE,"Calc";"Present",#N/A,FALSE,"Cover"}</definedName>
    <definedName name="wrn.Present.2_2_2_2_2" hidden="1">{"Present",#N/A,FALSE,"Assump";"Present",#N/A,FALSE,"Calc";"Present",#N/A,FALSE,"Cover"}</definedName>
    <definedName name="wrn.Present.2_2_2_2_3" hidden="1">{"Present",#N/A,FALSE,"Assump";"Present",#N/A,FALSE,"Calc";"Present",#N/A,FALSE,"Cover"}</definedName>
    <definedName name="wrn.Present.2_2_2_2_4" hidden="1">{"Present",#N/A,FALSE,"Assump";"Present",#N/A,FALSE,"Calc";"Present",#N/A,FALSE,"Cover"}</definedName>
    <definedName name="wrn.Present.2_2_2_2_5" hidden="1">{"Present",#N/A,FALSE,"Assump";"Present",#N/A,FALSE,"Calc";"Present",#N/A,FALSE,"Cover"}</definedName>
    <definedName name="wrn.Present.2_2_2_3" hidden="1">{"Present",#N/A,FALSE,"Assump";"Present",#N/A,FALSE,"Calc";"Present",#N/A,FALSE,"Cover"}</definedName>
    <definedName name="wrn.Present.2_2_2_4" hidden="1">{"Present",#N/A,FALSE,"Assump";"Present",#N/A,FALSE,"Calc";"Present",#N/A,FALSE,"Cover"}</definedName>
    <definedName name="wrn.Present.2_2_2_5" hidden="1">{"Present",#N/A,FALSE,"Assump";"Present",#N/A,FALSE,"Calc";"Present",#N/A,FALSE,"Cover"}</definedName>
    <definedName name="wrn.Present.2_2_3" hidden="1">{"Present",#N/A,FALSE,"Assump";"Present",#N/A,FALSE,"Calc";"Present",#N/A,FALSE,"Cover"}</definedName>
    <definedName name="wrn.Present.2_2_3_1" hidden="1">{"Present",#N/A,FALSE,"Assump";"Present",#N/A,FALSE,"Calc";"Present",#N/A,FALSE,"Cover"}</definedName>
    <definedName name="wrn.Present.2_2_3_1_1" hidden="1">{"Present",#N/A,FALSE,"Assump";"Present",#N/A,FALSE,"Calc";"Present",#N/A,FALSE,"Cover"}</definedName>
    <definedName name="wrn.Present.2_2_3_1_2" hidden="1">{"Present",#N/A,FALSE,"Assump";"Present",#N/A,FALSE,"Calc";"Present",#N/A,FALSE,"Cover"}</definedName>
    <definedName name="wrn.Present.2_2_3_1_3" hidden="1">{"Present",#N/A,FALSE,"Assump";"Present",#N/A,FALSE,"Calc";"Present",#N/A,FALSE,"Cover"}</definedName>
    <definedName name="wrn.Present.2_2_3_1_4" hidden="1">{"Present",#N/A,FALSE,"Assump";"Present",#N/A,FALSE,"Calc";"Present",#N/A,FALSE,"Cover"}</definedName>
    <definedName name="wrn.Present.2_2_3_1_5" hidden="1">{"Present",#N/A,FALSE,"Assump";"Present",#N/A,FALSE,"Calc";"Present",#N/A,FALSE,"Cover"}</definedName>
    <definedName name="wrn.Present.2_2_3_2" hidden="1">{"Present",#N/A,FALSE,"Assump";"Present",#N/A,FALSE,"Calc";"Present",#N/A,FALSE,"Cover"}</definedName>
    <definedName name="wrn.Present.2_2_3_2_1" hidden="1">{"Present",#N/A,FALSE,"Assump";"Present",#N/A,FALSE,"Calc";"Present",#N/A,FALSE,"Cover"}</definedName>
    <definedName name="wrn.Present.2_2_3_2_2" hidden="1">{"Present",#N/A,FALSE,"Assump";"Present",#N/A,FALSE,"Calc";"Present",#N/A,FALSE,"Cover"}</definedName>
    <definedName name="wrn.Present.2_2_3_2_3" hidden="1">{"Present",#N/A,FALSE,"Assump";"Present",#N/A,FALSE,"Calc";"Present",#N/A,FALSE,"Cover"}</definedName>
    <definedName name="wrn.Present.2_2_3_2_4" hidden="1">{"Present",#N/A,FALSE,"Assump";"Present",#N/A,FALSE,"Calc";"Present",#N/A,FALSE,"Cover"}</definedName>
    <definedName name="wrn.Present.2_2_3_2_5" hidden="1">{"Present",#N/A,FALSE,"Assump";"Present",#N/A,FALSE,"Calc";"Present",#N/A,FALSE,"Cover"}</definedName>
    <definedName name="wrn.Present.2_2_3_3" hidden="1">{"Present",#N/A,FALSE,"Assump";"Present",#N/A,FALSE,"Calc";"Present",#N/A,FALSE,"Cover"}</definedName>
    <definedName name="wrn.Present.2_2_3_4" hidden="1">{"Present",#N/A,FALSE,"Assump";"Present",#N/A,FALSE,"Calc";"Present",#N/A,FALSE,"Cover"}</definedName>
    <definedName name="wrn.Present.2_2_3_5" hidden="1">{"Present",#N/A,FALSE,"Assump";"Present",#N/A,FALSE,"Calc";"Present",#N/A,FALSE,"Cover"}</definedName>
    <definedName name="wrn.Present.2_2_4" hidden="1">{"Present",#N/A,FALSE,"Assump";"Present",#N/A,FALSE,"Calc";"Present",#N/A,FALSE,"Cover"}</definedName>
    <definedName name="wrn.Present.2_2_4_1" hidden="1">{"Present",#N/A,FALSE,"Assump";"Present",#N/A,FALSE,"Calc";"Present",#N/A,FALSE,"Cover"}</definedName>
    <definedName name="wrn.Present.2_2_4_1_1" hidden="1">{"Present",#N/A,FALSE,"Assump";"Present",#N/A,FALSE,"Calc";"Present",#N/A,FALSE,"Cover"}</definedName>
    <definedName name="wrn.Present.2_2_4_1_2" hidden="1">{"Present",#N/A,FALSE,"Assump";"Present",#N/A,FALSE,"Calc";"Present",#N/A,FALSE,"Cover"}</definedName>
    <definedName name="wrn.Present.2_2_4_1_3" hidden="1">{"Present",#N/A,FALSE,"Assump";"Present",#N/A,FALSE,"Calc";"Present",#N/A,FALSE,"Cover"}</definedName>
    <definedName name="wrn.Present.2_2_4_1_4" hidden="1">{"Present",#N/A,FALSE,"Assump";"Present",#N/A,FALSE,"Calc";"Present",#N/A,FALSE,"Cover"}</definedName>
    <definedName name="wrn.Present.2_2_4_1_5" hidden="1">{"Present",#N/A,FALSE,"Assump";"Present",#N/A,FALSE,"Calc";"Present",#N/A,FALSE,"Cover"}</definedName>
    <definedName name="wrn.Present.2_2_4_2" hidden="1">{"Present",#N/A,FALSE,"Assump";"Present",#N/A,FALSE,"Calc";"Present",#N/A,FALSE,"Cover"}</definedName>
    <definedName name="wrn.Present.2_2_4_2_1" hidden="1">{"Present",#N/A,FALSE,"Assump";"Present",#N/A,FALSE,"Calc";"Present",#N/A,FALSE,"Cover"}</definedName>
    <definedName name="wrn.Present.2_2_4_2_2" hidden="1">{"Present",#N/A,FALSE,"Assump";"Present",#N/A,FALSE,"Calc";"Present",#N/A,FALSE,"Cover"}</definedName>
    <definedName name="wrn.Present.2_2_4_2_3" hidden="1">{"Present",#N/A,FALSE,"Assump";"Present",#N/A,FALSE,"Calc";"Present",#N/A,FALSE,"Cover"}</definedName>
    <definedName name="wrn.Present.2_2_4_2_4" hidden="1">{"Present",#N/A,FALSE,"Assump";"Present",#N/A,FALSE,"Calc";"Present",#N/A,FALSE,"Cover"}</definedName>
    <definedName name="wrn.Present.2_2_4_2_5" hidden="1">{"Present",#N/A,FALSE,"Assump";"Present",#N/A,FALSE,"Calc";"Present",#N/A,FALSE,"Cover"}</definedName>
    <definedName name="wrn.Present.2_2_4_3" hidden="1">{"Present",#N/A,FALSE,"Assump";"Present",#N/A,FALSE,"Calc";"Present",#N/A,FALSE,"Cover"}</definedName>
    <definedName name="wrn.Present.2_2_4_4" hidden="1">{"Present",#N/A,FALSE,"Assump";"Present",#N/A,FALSE,"Calc";"Present",#N/A,FALSE,"Cover"}</definedName>
    <definedName name="wrn.Present.2_2_4_5" hidden="1">{"Present",#N/A,FALSE,"Assump";"Present",#N/A,FALSE,"Calc";"Present",#N/A,FALSE,"Cover"}</definedName>
    <definedName name="wrn.Present.2_2_5" hidden="1">{"Present",#N/A,FALSE,"Assump";"Present",#N/A,FALSE,"Calc";"Present",#N/A,FALSE,"Cover"}</definedName>
    <definedName name="wrn.Present.2_2_5_1" hidden="1">{"Present",#N/A,FALSE,"Assump";"Present",#N/A,FALSE,"Calc";"Present",#N/A,FALSE,"Cover"}</definedName>
    <definedName name="wrn.Present.2_2_5_2" hidden="1">{"Present",#N/A,FALSE,"Assump";"Present",#N/A,FALSE,"Calc";"Present",#N/A,FALSE,"Cover"}</definedName>
    <definedName name="wrn.Present.2_2_5_3" hidden="1">{"Present",#N/A,FALSE,"Assump";"Present",#N/A,FALSE,"Calc";"Present",#N/A,FALSE,"Cover"}</definedName>
    <definedName name="wrn.Present.2_2_5_4" hidden="1">{"Present",#N/A,FALSE,"Assump";"Present",#N/A,FALSE,"Calc";"Present",#N/A,FALSE,"Cover"}</definedName>
    <definedName name="wrn.Present.2_2_5_5" hidden="1">{"Present",#N/A,FALSE,"Assump";"Present",#N/A,FALSE,"Calc";"Present",#N/A,FALSE,"Cover"}</definedName>
    <definedName name="wrn.Present.2_3" hidden="1">{"Present",#N/A,FALSE,"Assump";"Present",#N/A,FALSE,"Calc";"Present",#N/A,FALSE,"Cover"}</definedName>
    <definedName name="wrn.Present.2_3_1" hidden="1">{"Present",#N/A,FALSE,"Assump";"Present",#N/A,FALSE,"Calc";"Present",#N/A,FALSE,"Cover"}</definedName>
    <definedName name="wrn.Present.2_3_1_1" hidden="1">{"Present",#N/A,FALSE,"Assump";"Present",#N/A,FALSE,"Calc";"Present",#N/A,FALSE,"Cover"}</definedName>
    <definedName name="wrn.Present.2_3_1_1_1" hidden="1">{"Present",#N/A,FALSE,"Assump";"Present",#N/A,FALSE,"Calc";"Present",#N/A,FALSE,"Cover"}</definedName>
    <definedName name="wrn.Present.2_3_1_1_2" hidden="1">{"Present",#N/A,FALSE,"Assump";"Present",#N/A,FALSE,"Calc";"Present",#N/A,FALSE,"Cover"}</definedName>
    <definedName name="wrn.Present.2_3_1_1_3" hidden="1">{"Present",#N/A,FALSE,"Assump";"Present",#N/A,FALSE,"Calc";"Present",#N/A,FALSE,"Cover"}</definedName>
    <definedName name="wrn.Present.2_3_1_1_4" hidden="1">{"Present",#N/A,FALSE,"Assump";"Present",#N/A,FALSE,"Calc";"Present",#N/A,FALSE,"Cover"}</definedName>
    <definedName name="wrn.Present.2_3_1_1_5" hidden="1">{"Present",#N/A,FALSE,"Assump";"Present",#N/A,FALSE,"Calc";"Present",#N/A,FALSE,"Cover"}</definedName>
    <definedName name="wrn.Present.2_3_1_2" hidden="1">{"Present",#N/A,FALSE,"Assump";"Present",#N/A,FALSE,"Calc";"Present",#N/A,FALSE,"Cover"}</definedName>
    <definedName name="wrn.Present.2_3_1_2_1" hidden="1">{"Present",#N/A,FALSE,"Assump";"Present",#N/A,FALSE,"Calc";"Present",#N/A,FALSE,"Cover"}</definedName>
    <definedName name="wrn.Present.2_3_1_2_2" hidden="1">{"Present",#N/A,FALSE,"Assump";"Present",#N/A,FALSE,"Calc";"Present",#N/A,FALSE,"Cover"}</definedName>
    <definedName name="wrn.Present.2_3_1_2_3" hidden="1">{"Present",#N/A,FALSE,"Assump";"Present",#N/A,FALSE,"Calc";"Present",#N/A,FALSE,"Cover"}</definedName>
    <definedName name="wrn.Present.2_3_1_2_4" hidden="1">{"Present",#N/A,FALSE,"Assump";"Present",#N/A,FALSE,"Calc";"Present",#N/A,FALSE,"Cover"}</definedName>
    <definedName name="wrn.Present.2_3_1_2_5" hidden="1">{"Present",#N/A,FALSE,"Assump";"Present",#N/A,FALSE,"Calc";"Present",#N/A,FALSE,"Cover"}</definedName>
    <definedName name="wrn.Present.2_3_1_3" hidden="1">{"Present",#N/A,FALSE,"Assump";"Present",#N/A,FALSE,"Calc";"Present",#N/A,FALSE,"Cover"}</definedName>
    <definedName name="wrn.Present.2_3_1_3_1" hidden="1">{"Present",#N/A,FALSE,"Assump";"Present",#N/A,FALSE,"Calc";"Present",#N/A,FALSE,"Cover"}</definedName>
    <definedName name="wrn.Present.2_3_1_3_2" hidden="1">{"Present",#N/A,FALSE,"Assump";"Present",#N/A,FALSE,"Calc";"Present",#N/A,FALSE,"Cover"}</definedName>
    <definedName name="wrn.Present.2_3_1_3_3" hidden="1">{"Present",#N/A,FALSE,"Assump";"Present",#N/A,FALSE,"Calc";"Present",#N/A,FALSE,"Cover"}</definedName>
    <definedName name="wrn.Present.2_3_1_3_4" hidden="1">{"Present",#N/A,FALSE,"Assump";"Present",#N/A,FALSE,"Calc";"Present",#N/A,FALSE,"Cover"}</definedName>
    <definedName name="wrn.Present.2_3_1_3_5" hidden="1">{"Present",#N/A,FALSE,"Assump";"Present",#N/A,FALSE,"Calc";"Present",#N/A,FALSE,"Cover"}</definedName>
    <definedName name="wrn.Present.2_3_1_4" hidden="1">{"Present",#N/A,FALSE,"Assump";"Present",#N/A,FALSE,"Calc";"Present",#N/A,FALSE,"Cover"}</definedName>
    <definedName name="wrn.Present.2_3_1_5" hidden="1">{"Present",#N/A,FALSE,"Assump";"Present",#N/A,FALSE,"Calc";"Present",#N/A,FALSE,"Cover"}</definedName>
    <definedName name="wrn.Present.2_3_2" hidden="1">{"Present",#N/A,FALSE,"Assump";"Present",#N/A,FALSE,"Calc";"Present",#N/A,FALSE,"Cover"}</definedName>
    <definedName name="wrn.Present.2_3_2_1" hidden="1">{"Present",#N/A,FALSE,"Assump";"Present",#N/A,FALSE,"Calc";"Present",#N/A,FALSE,"Cover"}</definedName>
    <definedName name="wrn.Present.2_3_2_1_1" hidden="1">{"Present",#N/A,FALSE,"Assump";"Present",#N/A,FALSE,"Calc";"Present",#N/A,FALSE,"Cover"}</definedName>
    <definedName name="wrn.Present.2_3_2_1_2" hidden="1">{"Present",#N/A,FALSE,"Assump";"Present",#N/A,FALSE,"Calc";"Present",#N/A,FALSE,"Cover"}</definedName>
    <definedName name="wrn.Present.2_3_2_1_3" hidden="1">{"Present",#N/A,FALSE,"Assump";"Present",#N/A,FALSE,"Calc";"Present",#N/A,FALSE,"Cover"}</definedName>
    <definedName name="wrn.Present.2_3_2_1_4" hidden="1">{"Present",#N/A,FALSE,"Assump";"Present",#N/A,FALSE,"Calc";"Present",#N/A,FALSE,"Cover"}</definedName>
    <definedName name="wrn.Present.2_3_2_1_5" hidden="1">{"Present",#N/A,FALSE,"Assump";"Present",#N/A,FALSE,"Calc";"Present",#N/A,FALSE,"Cover"}</definedName>
    <definedName name="wrn.Present.2_3_2_2" hidden="1">{"Present",#N/A,FALSE,"Assump";"Present",#N/A,FALSE,"Calc";"Present",#N/A,FALSE,"Cover"}</definedName>
    <definedName name="wrn.Present.2_3_2_2_1" hidden="1">{"Present",#N/A,FALSE,"Assump";"Present",#N/A,FALSE,"Calc";"Present",#N/A,FALSE,"Cover"}</definedName>
    <definedName name="wrn.Present.2_3_2_2_2" hidden="1">{"Present",#N/A,FALSE,"Assump";"Present",#N/A,FALSE,"Calc";"Present",#N/A,FALSE,"Cover"}</definedName>
    <definedName name="wrn.Present.2_3_2_2_3" hidden="1">{"Present",#N/A,FALSE,"Assump";"Present",#N/A,FALSE,"Calc";"Present",#N/A,FALSE,"Cover"}</definedName>
    <definedName name="wrn.Present.2_3_2_2_4" hidden="1">{"Present",#N/A,FALSE,"Assump";"Present",#N/A,FALSE,"Calc";"Present",#N/A,FALSE,"Cover"}</definedName>
    <definedName name="wrn.Present.2_3_2_2_5" hidden="1">{"Present",#N/A,FALSE,"Assump";"Present",#N/A,FALSE,"Calc";"Present",#N/A,FALSE,"Cover"}</definedName>
    <definedName name="wrn.Present.2_3_2_3" hidden="1">{"Present",#N/A,FALSE,"Assump";"Present",#N/A,FALSE,"Calc";"Present",#N/A,FALSE,"Cover"}</definedName>
    <definedName name="wrn.Present.2_3_2_4" hidden="1">{"Present",#N/A,FALSE,"Assump";"Present",#N/A,FALSE,"Calc";"Present",#N/A,FALSE,"Cover"}</definedName>
    <definedName name="wrn.Present.2_3_2_5" hidden="1">{"Present",#N/A,FALSE,"Assump";"Present",#N/A,FALSE,"Calc";"Present",#N/A,FALSE,"Cover"}</definedName>
    <definedName name="wrn.Present.2_3_3" hidden="1">{"Present",#N/A,FALSE,"Assump";"Present",#N/A,FALSE,"Calc";"Present",#N/A,FALSE,"Cover"}</definedName>
    <definedName name="wrn.Present.2_3_3_1" hidden="1">{"Present",#N/A,FALSE,"Assump";"Present",#N/A,FALSE,"Calc";"Present",#N/A,FALSE,"Cover"}</definedName>
    <definedName name="wrn.Present.2_3_3_1_1" hidden="1">{"Present",#N/A,FALSE,"Assump";"Present",#N/A,FALSE,"Calc";"Present",#N/A,FALSE,"Cover"}</definedName>
    <definedName name="wrn.Present.2_3_3_1_2" hidden="1">{"Present",#N/A,FALSE,"Assump";"Present",#N/A,FALSE,"Calc";"Present",#N/A,FALSE,"Cover"}</definedName>
    <definedName name="wrn.Present.2_3_3_1_3" hidden="1">{"Present",#N/A,FALSE,"Assump";"Present",#N/A,FALSE,"Calc";"Present",#N/A,FALSE,"Cover"}</definedName>
    <definedName name="wrn.Present.2_3_3_1_4" hidden="1">{"Present",#N/A,FALSE,"Assump";"Present",#N/A,FALSE,"Calc";"Present",#N/A,FALSE,"Cover"}</definedName>
    <definedName name="wrn.Present.2_3_3_1_5" hidden="1">{"Present",#N/A,FALSE,"Assump";"Present",#N/A,FALSE,"Calc";"Present",#N/A,FALSE,"Cover"}</definedName>
    <definedName name="wrn.Present.2_3_3_2" hidden="1">{"Present",#N/A,FALSE,"Assump";"Present",#N/A,FALSE,"Calc";"Present",#N/A,FALSE,"Cover"}</definedName>
    <definedName name="wrn.Present.2_3_3_2_1" hidden="1">{"Present",#N/A,FALSE,"Assump";"Present",#N/A,FALSE,"Calc";"Present",#N/A,FALSE,"Cover"}</definedName>
    <definedName name="wrn.Present.2_3_3_2_2" hidden="1">{"Present",#N/A,FALSE,"Assump";"Present",#N/A,FALSE,"Calc";"Present",#N/A,FALSE,"Cover"}</definedName>
    <definedName name="wrn.Present.2_3_3_2_3" hidden="1">{"Present",#N/A,FALSE,"Assump";"Present",#N/A,FALSE,"Calc";"Present",#N/A,FALSE,"Cover"}</definedName>
    <definedName name="wrn.Present.2_3_3_2_4" hidden="1">{"Present",#N/A,FALSE,"Assump";"Present",#N/A,FALSE,"Calc";"Present",#N/A,FALSE,"Cover"}</definedName>
    <definedName name="wrn.Present.2_3_3_2_5" hidden="1">{"Present",#N/A,FALSE,"Assump";"Present",#N/A,FALSE,"Calc";"Present",#N/A,FALSE,"Cover"}</definedName>
    <definedName name="wrn.Present.2_3_3_3" hidden="1">{"Present",#N/A,FALSE,"Assump";"Present",#N/A,FALSE,"Calc";"Present",#N/A,FALSE,"Cover"}</definedName>
    <definedName name="wrn.Present.2_3_3_4" hidden="1">{"Present",#N/A,FALSE,"Assump";"Present",#N/A,FALSE,"Calc";"Present",#N/A,FALSE,"Cover"}</definedName>
    <definedName name="wrn.Present.2_3_3_5" hidden="1">{"Present",#N/A,FALSE,"Assump";"Present",#N/A,FALSE,"Calc";"Present",#N/A,FALSE,"Cover"}</definedName>
    <definedName name="wrn.Present.2_3_4" hidden="1">{"Present",#N/A,FALSE,"Assump";"Present",#N/A,FALSE,"Calc";"Present",#N/A,FALSE,"Cover"}</definedName>
    <definedName name="wrn.Present.2_3_4_1" hidden="1">{"Present",#N/A,FALSE,"Assump";"Present",#N/A,FALSE,"Calc";"Present",#N/A,FALSE,"Cover"}</definedName>
    <definedName name="wrn.Present.2_3_4_1_1" hidden="1">{"Present",#N/A,FALSE,"Assump";"Present",#N/A,FALSE,"Calc";"Present",#N/A,FALSE,"Cover"}</definedName>
    <definedName name="wrn.Present.2_3_4_1_2" hidden="1">{"Present",#N/A,FALSE,"Assump";"Present",#N/A,FALSE,"Calc";"Present",#N/A,FALSE,"Cover"}</definedName>
    <definedName name="wrn.Present.2_3_4_1_3" hidden="1">{"Present",#N/A,FALSE,"Assump";"Present",#N/A,FALSE,"Calc";"Present",#N/A,FALSE,"Cover"}</definedName>
    <definedName name="wrn.Present.2_3_4_1_4" hidden="1">{"Present",#N/A,FALSE,"Assump";"Present",#N/A,FALSE,"Calc";"Present",#N/A,FALSE,"Cover"}</definedName>
    <definedName name="wrn.Present.2_3_4_1_5" hidden="1">{"Present",#N/A,FALSE,"Assump";"Present",#N/A,FALSE,"Calc";"Present",#N/A,FALSE,"Cover"}</definedName>
    <definedName name="wrn.Present.2_3_4_2" hidden="1">{"Present",#N/A,FALSE,"Assump";"Present",#N/A,FALSE,"Calc";"Present",#N/A,FALSE,"Cover"}</definedName>
    <definedName name="wrn.Present.2_3_4_2_1" hidden="1">{"Present",#N/A,FALSE,"Assump";"Present",#N/A,FALSE,"Calc";"Present",#N/A,FALSE,"Cover"}</definedName>
    <definedName name="wrn.Present.2_3_4_2_2" hidden="1">{"Present",#N/A,FALSE,"Assump";"Present",#N/A,FALSE,"Calc";"Present",#N/A,FALSE,"Cover"}</definedName>
    <definedName name="wrn.Present.2_3_4_2_3" hidden="1">{"Present",#N/A,FALSE,"Assump";"Present",#N/A,FALSE,"Calc";"Present",#N/A,FALSE,"Cover"}</definedName>
    <definedName name="wrn.Present.2_3_4_2_4" hidden="1">{"Present",#N/A,FALSE,"Assump";"Present",#N/A,FALSE,"Calc";"Present",#N/A,FALSE,"Cover"}</definedName>
    <definedName name="wrn.Present.2_3_4_2_5" hidden="1">{"Present",#N/A,FALSE,"Assump";"Present",#N/A,FALSE,"Calc";"Present",#N/A,FALSE,"Cover"}</definedName>
    <definedName name="wrn.Present.2_3_4_3" hidden="1">{"Present",#N/A,FALSE,"Assump";"Present",#N/A,FALSE,"Calc";"Present",#N/A,FALSE,"Cover"}</definedName>
    <definedName name="wrn.Present.2_3_4_4" hidden="1">{"Present",#N/A,FALSE,"Assump";"Present",#N/A,FALSE,"Calc";"Present",#N/A,FALSE,"Cover"}</definedName>
    <definedName name="wrn.Present.2_3_4_5" hidden="1">{"Present",#N/A,FALSE,"Assump";"Present",#N/A,FALSE,"Calc";"Present",#N/A,FALSE,"Cover"}</definedName>
    <definedName name="wrn.Present.2_3_5" hidden="1">{"Present",#N/A,FALSE,"Assump";"Present",#N/A,FALSE,"Calc";"Present",#N/A,FALSE,"Cover"}</definedName>
    <definedName name="wrn.Present.2_3_5_1" hidden="1">{"Present",#N/A,FALSE,"Assump";"Present",#N/A,FALSE,"Calc";"Present",#N/A,FALSE,"Cover"}</definedName>
    <definedName name="wrn.Present.2_3_5_2" hidden="1">{"Present",#N/A,FALSE,"Assump";"Present",#N/A,FALSE,"Calc";"Present",#N/A,FALSE,"Cover"}</definedName>
    <definedName name="wrn.Present.2_3_5_3" hidden="1">{"Present",#N/A,FALSE,"Assump";"Present",#N/A,FALSE,"Calc";"Present",#N/A,FALSE,"Cover"}</definedName>
    <definedName name="wrn.Present.2_3_5_4" hidden="1">{"Present",#N/A,FALSE,"Assump";"Present",#N/A,FALSE,"Calc";"Present",#N/A,FALSE,"Cover"}</definedName>
    <definedName name="wrn.Present.2_3_5_5" hidden="1">{"Present",#N/A,FALSE,"Assump";"Present",#N/A,FALSE,"Calc";"Present",#N/A,FALSE,"Cover"}</definedName>
    <definedName name="wrn.Present.2_4" hidden="1">{"Present",#N/A,FALSE,"Assump";"Present",#N/A,FALSE,"Calc";"Present",#N/A,FALSE,"Cover"}</definedName>
    <definedName name="wrn.Present.2_4_1" hidden="1">{"Present",#N/A,FALSE,"Assump";"Present",#N/A,FALSE,"Calc";"Present",#N/A,FALSE,"Cover"}</definedName>
    <definedName name="wrn.Present.2_4_1_1" hidden="1">{"Present",#N/A,FALSE,"Assump";"Present",#N/A,FALSE,"Calc";"Present",#N/A,FALSE,"Cover"}</definedName>
    <definedName name="wrn.Present.2_4_1_1_1" hidden="1">{"Present",#N/A,FALSE,"Assump";"Present",#N/A,FALSE,"Calc";"Present",#N/A,FALSE,"Cover"}</definedName>
    <definedName name="wrn.Present.2_4_1_1_2" hidden="1">{"Present",#N/A,FALSE,"Assump";"Present",#N/A,FALSE,"Calc";"Present",#N/A,FALSE,"Cover"}</definedName>
    <definedName name="wrn.Present.2_4_1_1_3" hidden="1">{"Present",#N/A,FALSE,"Assump";"Present",#N/A,FALSE,"Calc";"Present",#N/A,FALSE,"Cover"}</definedName>
    <definedName name="wrn.Present.2_4_1_1_4" hidden="1">{"Present",#N/A,FALSE,"Assump";"Present",#N/A,FALSE,"Calc";"Present",#N/A,FALSE,"Cover"}</definedName>
    <definedName name="wrn.Present.2_4_1_1_5" hidden="1">{"Present",#N/A,FALSE,"Assump";"Present",#N/A,FALSE,"Calc";"Present",#N/A,FALSE,"Cover"}</definedName>
    <definedName name="wrn.Present.2_4_1_2" hidden="1">{"Present",#N/A,FALSE,"Assump";"Present",#N/A,FALSE,"Calc";"Present",#N/A,FALSE,"Cover"}</definedName>
    <definedName name="wrn.Present.2_4_1_2_1" hidden="1">{"Present",#N/A,FALSE,"Assump";"Present",#N/A,FALSE,"Calc";"Present",#N/A,FALSE,"Cover"}</definedName>
    <definedName name="wrn.Present.2_4_1_2_2" hidden="1">{"Present",#N/A,FALSE,"Assump";"Present",#N/A,FALSE,"Calc";"Present",#N/A,FALSE,"Cover"}</definedName>
    <definedName name="wrn.Present.2_4_1_2_3" hidden="1">{"Present",#N/A,FALSE,"Assump";"Present",#N/A,FALSE,"Calc";"Present",#N/A,FALSE,"Cover"}</definedName>
    <definedName name="wrn.Present.2_4_1_2_4" hidden="1">{"Present",#N/A,FALSE,"Assump";"Present",#N/A,FALSE,"Calc";"Present",#N/A,FALSE,"Cover"}</definedName>
    <definedName name="wrn.Present.2_4_1_2_5" hidden="1">{"Present",#N/A,FALSE,"Assump";"Present",#N/A,FALSE,"Calc";"Present",#N/A,FALSE,"Cover"}</definedName>
    <definedName name="wrn.Present.2_4_1_3" hidden="1">{"Present",#N/A,FALSE,"Assump";"Present",#N/A,FALSE,"Calc";"Present",#N/A,FALSE,"Cover"}</definedName>
    <definedName name="wrn.Present.2_4_1_3_1" hidden="1">{"Present",#N/A,FALSE,"Assump";"Present",#N/A,FALSE,"Calc";"Present",#N/A,FALSE,"Cover"}</definedName>
    <definedName name="wrn.Present.2_4_1_3_2" hidden="1">{"Present",#N/A,FALSE,"Assump";"Present",#N/A,FALSE,"Calc";"Present",#N/A,FALSE,"Cover"}</definedName>
    <definedName name="wrn.Present.2_4_1_3_3" hidden="1">{"Present",#N/A,FALSE,"Assump";"Present",#N/A,FALSE,"Calc";"Present",#N/A,FALSE,"Cover"}</definedName>
    <definedName name="wrn.Present.2_4_1_3_4" hidden="1">{"Present",#N/A,FALSE,"Assump";"Present",#N/A,FALSE,"Calc";"Present",#N/A,FALSE,"Cover"}</definedName>
    <definedName name="wrn.Present.2_4_1_3_5" hidden="1">{"Present",#N/A,FALSE,"Assump";"Present",#N/A,FALSE,"Calc";"Present",#N/A,FALSE,"Cover"}</definedName>
    <definedName name="wrn.Present.2_4_1_4" hidden="1">{"Present",#N/A,FALSE,"Assump";"Present",#N/A,FALSE,"Calc";"Present",#N/A,FALSE,"Cover"}</definedName>
    <definedName name="wrn.Present.2_4_1_5" hidden="1">{"Present",#N/A,FALSE,"Assump";"Present",#N/A,FALSE,"Calc";"Present",#N/A,FALSE,"Cover"}</definedName>
    <definedName name="wrn.Present.2_4_2" hidden="1">{"Present",#N/A,FALSE,"Assump";"Present",#N/A,FALSE,"Calc";"Present",#N/A,FALSE,"Cover"}</definedName>
    <definedName name="wrn.Present.2_4_2_1" hidden="1">{"Present",#N/A,FALSE,"Assump";"Present",#N/A,FALSE,"Calc";"Present",#N/A,FALSE,"Cover"}</definedName>
    <definedName name="wrn.Present.2_4_2_2" hidden="1">{"Present",#N/A,FALSE,"Assump";"Present",#N/A,FALSE,"Calc";"Present",#N/A,FALSE,"Cover"}</definedName>
    <definedName name="wrn.Present.2_4_2_3" hidden="1">{"Present",#N/A,FALSE,"Assump";"Present",#N/A,FALSE,"Calc";"Present",#N/A,FALSE,"Cover"}</definedName>
    <definedName name="wrn.Present.2_4_2_4" hidden="1">{"Present",#N/A,FALSE,"Assump";"Present",#N/A,FALSE,"Calc";"Present",#N/A,FALSE,"Cover"}</definedName>
    <definedName name="wrn.Present.2_4_2_5" hidden="1">{"Present",#N/A,FALSE,"Assump";"Present",#N/A,FALSE,"Calc";"Present",#N/A,FALSE,"Cover"}</definedName>
    <definedName name="wrn.Present.2_4_3" hidden="1">{"Present",#N/A,FALSE,"Assump";"Present",#N/A,FALSE,"Calc";"Present",#N/A,FALSE,"Cover"}</definedName>
    <definedName name="wrn.Present.2_4_3_1" hidden="1">{"Present",#N/A,FALSE,"Assump";"Present",#N/A,FALSE,"Calc";"Present",#N/A,FALSE,"Cover"}</definedName>
    <definedName name="wrn.Present.2_4_3_2" hidden="1">{"Present",#N/A,FALSE,"Assump";"Present",#N/A,FALSE,"Calc";"Present",#N/A,FALSE,"Cover"}</definedName>
    <definedName name="wrn.Present.2_4_3_3" hidden="1">{"Present",#N/A,FALSE,"Assump";"Present",#N/A,FALSE,"Calc";"Present",#N/A,FALSE,"Cover"}</definedName>
    <definedName name="wrn.Present.2_4_3_4" hidden="1">{"Present",#N/A,FALSE,"Assump";"Present",#N/A,FALSE,"Calc";"Present",#N/A,FALSE,"Cover"}</definedName>
    <definedName name="wrn.Present.2_4_3_5" hidden="1">{"Present",#N/A,FALSE,"Assump";"Present",#N/A,FALSE,"Calc";"Present",#N/A,FALSE,"Cover"}</definedName>
    <definedName name="wrn.Present.2_4_4" hidden="1">{"Present",#N/A,FALSE,"Assump";"Present",#N/A,FALSE,"Calc";"Present",#N/A,FALSE,"Cover"}</definedName>
    <definedName name="wrn.Present.2_4_5" hidden="1">{"Present",#N/A,FALSE,"Assump";"Present",#N/A,FALSE,"Calc";"Present",#N/A,FALSE,"Cover"}</definedName>
    <definedName name="wrn.Present.2_5" hidden="1">{"Present",#N/A,FALSE,"Assump";"Present",#N/A,FALSE,"Calc";"Present",#N/A,FALSE,"Cover"}</definedName>
    <definedName name="wrn.Present.2_5_1" hidden="1">{"Present",#N/A,FALSE,"Assump";"Present",#N/A,FALSE,"Calc";"Present",#N/A,FALSE,"Cover"}</definedName>
    <definedName name="wrn.Present.2_5_1_1" hidden="1">{"Present",#N/A,FALSE,"Assump";"Present",#N/A,FALSE,"Calc";"Present",#N/A,FALSE,"Cover"}</definedName>
    <definedName name="wrn.Present.2_5_1_2" hidden="1">{"Present",#N/A,FALSE,"Assump";"Present",#N/A,FALSE,"Calc";"Present",#N/A,FALSE,"Cover"}</definedName>
    <definedName name="wrn.Present.2_5_1_3" hidden="1">{"Present",#N/A,FALSE,"Assump";"Present",#N/A,FALSE,"Calc";"Present",#N/A,FALSE,"Cover"}</definedName>
    <definedName name="wrn.Present.2_5_1_4" hidden="1">{"Present",#N/A,FALSE,"Assump";"Present",#N/A,FALSE,"Calc";"Present",#N/A,FALSE,"Cover"}</definedName>
    <definedName name="wrn.Present.2_5_1_5" hidden="1">{"Present",#N/A,FALSE,"Assump";"Present",#N/A,FALSE,"Calc";"Present",#N/A,FALSE,"Cover"}</definedName>
    <definedName name="wrn.Present.2_5_2" hidden="1">{"Present",#N/A,FALSE,"Assump";"Present",#N/A,FALSE,"Calc";"Present",#N/A,FALSE,"Cover"}</definedName>
    <definedName name="wrn.Present.2_5_2_1" hidden="1">{"Present",#N/A,FALSE,"Assump";"Present",#N/A,FALSE,"Calc";"Present",#N/A,FALSE,"Cover"}</definedName>
    <definedName name="wrn.Present.2_5_2_2" hidden="1">{"Present",#N/A,FALSE,"Assump";"Present",#N/A,FALSE,"Calc";"Present",#N/A,FALSE,"Cover"}</definedName>
    <definedName name="wrn.Present.2_5_2_3" hidden="1">{"Present",#N/A,FALSE,"Assump";"Present",#N/A,FALSE,"Calc";"Present",#N/A,FALSE,"Cover"}</definedName>
    <definedName name="wrn.Present.2_5_2_4" hidden="1">{"Present",#N/A,FALSE,"Assump";"Present",#N/A,FALSE,"Calc";"Present",#N/A,FALSE,"Cover"}</definedName>
    <definedName name="wrn.Present.2_5_2_5" hidden="1">{"Present",#N/A,FALSE,"Assump";"Present",#N/A,FALSE,"Calc";"Present",#N/A,FALSE,"Cover"}</definedName>
    <definedName name="wrn.Present.2_5_3" hidden="1">{"Present",#N/A,FALSE,"Assump";"Present",#N/A,FALSE,"Calc";"Present",#N/A,FALSE,"Cover"}</definedName>
    <definedName name="wrn.Present.2_5_4" hidden="1">{"Present",#N/A,FALSE,"Assump";"Present",#N/A,FALSE,"Calc";"Present",#N/A,FALSE,"Cover"}</definedName>
    <definedName name="wrn.Present.2_5_5" hidden="1">{"Present",#N/A,FALSE,"Assump";"Present",#N/A,FALSE,"Calc";"Present",#N/A,FALSE,"Cover"}</definedName>
    <definedName name="wrn.Print." localSheetId="1" hidden="1">{"vi1",#N/A,FALSE,"Financial Statements";"vi2",#N/A,FALSE,"Financial Statements";#N/A,#N/A,FALSE,"DCF"}</definedName>
    <definedName name="wrn.Print." hidden="1">{"vi1",#N/A,FALSE,"Financial Statements";"vi2",#N/A,FALSE,"Financial Statements";#N/A,#N/A,FALSE,"DCF"}</definedName>
    <definedName name="wrn.Print._.Output._.Sheets." hidden="1">{#N/A,#N/A,TRUE,"Data Key Results";#N/A,#N/A,TRUE,"CashFlow";#N/A,#N/A,TRUE,"Waterfall";#N/A,#N/A,TRUE,"ProfitLoss";#N/A,#N/A,TRUE,"Balance Sheet";#N/A,#N/A,TRUE,"Revenues";#N/A,#N/A,TRUE,"Expense";#N/A,#N/A,TRUE,"Capex"}</definedName>
    <definedName name="wrn.Print._Output._.Sheets.1" hidden="1">{#N/A,#N/A,TRUE,"Data Key Results";#N/A,#N/A,TRUE,"CashFlow";#N/A,#N/A,TRUE,"Waterfall";#N/A,#N/A,TRUE,"ProfitLoss";#N/A,#N/A,TRUE,"Balance Sheet";#N/A,#N/A,TRUE,"Revenues";#N/A,#N/A,TRUE,"Expense";#N/A,#N/A,TRUE,"Capex"}</definedName>
    <definedName name="wrn.PrintAll." hidden="1">{#N/A,#N/A,FALSE,"Broker Sheet";#N/A,#N/A,FALSE,"Exec.Summary";#N/A,#N/A,FALSE,"Argus Cash Flow";#N/A,#N/A,FALSE,"SPF";#N/A,#N/A,FALSE,"RentRoll"}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Curr." hidden="1">{#N/A,#N/A,FALSE,"Sheet1";#N/A,#N/A,FALSE,"Sheet2";#N/A,#N/A,FALSE,"Sheet3"}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Process._.Graphs." hidden="1">{"process graphs",#N/A,FALSE,"graphs&amp;data"}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Forecast." hidden="1">{#N/A,#N/A,FALSE,"Cover Page";#N/A,#N/A,FALSE,"Facing Page";#N/A,#N/A,FALSE,"Main Page";#N/A,#N/A,FALSE,"Risk-Adjusted";#N/A,#N/A,FALSE,"Profit Improvement"}</definedName>
    <definedName name="wrn.profit._.forecast1" hidden="1">{#N/A,#N/A,FALSE,"Cover Page";#N/A,#N/A,FALSE,"Facing Page";#N/A,#N/A,FALSE,"Main Page";#N/A,#N/A,FALSE,"Risk-Adjusted";#N/A,#N/A,FALSE,"Profit Improvement"}</definedName>
    <definedName name="wrn.Project._.Graphs." hidden="1">{"project graphs",#N/A,FALSE,"graphs&amp;data"}</definedName>
    <definedName name="wrn.QAPU." hidden="1">{#N/A,#N/A,FALSE,"5YRASSPl - consol'd";#N/A,#N/A,FALSE,"5YRASSPl - hotel";#N/A,#N/A,FALSE,"5YRASSPl - excl htl";#N/A,#N/A,FALSE,"VarReport";#N/A,#N/A,FALSE,"Sensitivity";#N/A,#N/A,FALSE,"House View ";#N/A,#N/A,FALSE,"KPI"}</definedName>
    <definedName name="wrn.Qtrly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RCC.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DProject.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edundant._.Equipment._.Option." hidden="1">{"pumps",#N/A,FALSE,"Option"}</definedName>
    <definedName name="wrn.Relatorio." hidden="1">{#N/A,#N/A,FALSE,"Pressupostos";"Mercado",#N/A,FALSE,"Mercado";"Eunet",#N/A,FALSE,"Mercado";#N/A,#N/A,FALSE,"Balanco";#N/A,#N/A,FALSE,"DR";#N/A,#N/A,FALSE,"Fundo de Maneio";#N/A,#N/A,FALSE,"Cash Flow";#N/A,#N/A,FALSE,"Custo Capital";#N/A,#N/A,FALSE,"Valor";#N/A,#N/A,FALSE,"Mapa Imobilizado"}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.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." hidden="1">{#N/A,#N/A,FALSE,"SCHEDULE"}</definedName>
    <definedName name="wrn.Senior._.Package." hidden="1">{#N/A,#N/A,TRUE,"Operations Summary";#N/A,#N/A,TRUE,"Admin Summary";#N/A,#N/A,TRUE,"Membership Summary";#N/A,#N/A,TRUE,"Income Statement";#N/A,#N/A,TRUE,"Narrative Footnote Summary"}</definedName>
    <definedName name="wrn.Sensitivity." hidden="1">{"Sensitivity","2500/18",FALSE,"Senstivity analysis master"}</definedName>
    <definedName name="wrn.SIHHI." hidden="1">{#N/A,#N/A,FALSE,"1";#N/A,#N/A,FALSE,"sıh_iç_ihz";#N/A,#N/A,FALSE,"sıh_iç_tut";#N/A,#N/A,FALSE,"sıh_iç_er";#N/A,#N/A,FALSE,"ihz. icmal";#N/A,#N/A,FALSE,"inş_iç_ihz";#N/A,#N/A,FALSE,"inş_iç_tut";#N/A,#N/A,FALSE,"inş_iç_er";#N/A,#N/A,FALSE,"elk_iç_ihz";#N/A,#N/A,FALSE,"elk_iç_tut";#N/A,#N/A,FALSE,"elk_iç_er"}</definedName>
    <definedName name="wrn.sihhi_ic." hidden="1">{#N/A,#N/A,FALSE,"sıh_iç_ihz";#N/A,#N/A,FALSE,"sıh_iç_er";#N/A,#N/A,FALSE,"sıh_iç_tut"}</definedName>
    <definedName name="wrn.sirnak._.imalat.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rn.Site._.Report.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L." hidden="1">{#N/A,#N/A,FALSE,"TB"}</definedName>
    <definedName name="WRN.ŞLKDFS" hidden="1">{#N/A,#N/A,FALSE,"kal_iç_ihz";#N/A,#N/A,FALSE,"kal_iç_er";#N/A,#N/A,FALSE,"kal_iç_tut"}</definedName>
    <definedName name="wrn.SLUS." hidden="1">{#N/A,#N/A,FALSE,"TB"}</definedName>
    <definedName name="wrn.Spring." hidden="1">{#N/A,#N/A,FALSE,"Index";"HIDE",#N/A,FALSE,"Income Statement";#N/A,#N/A,FALSE,"BS";#N/A,#N/A,FALSE,"CF";"stprint",#N/A,FALSE,"Segment Totals ";"HIDE",#N/A,FALSE,"HP";"HIDE",#N/A,FALSE,"SBS";"HIDE",#N/A,FALSE,"InsSvcs";"HIDE",#N/A,FALSE,"RSS";"HIDE",#N/A,FALSE,"SCS";"HIDE",#N/A,FALSE,"K_I";"HIDE",#N/A,FALSE,"ENT_SVC";"HIDE",#N/A,FALSE,"CORP"}</definedName>
    <definedName name="wrn.ss." hidden="1">{#N/A,#N/A,FALSE,"MODULE3"}</definedName>
    <definedName name="wrn.ss1." hidden="1">{"ss",#N/A,FALSE,"MODULE3"}</definedName>
    <definedName name="wrn.STAFFS." hidden="1">{#N/A,#N/A,FALSE,"TABLE"}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ments" hidden="1">{"Co1statements",#N/A,FALSE,"Cmpy1";"Co2statement",#N/A,FALSE,"Cmpy2";"co1pm",#N/A,FALSE,"Co1PM";"co2PM",#N/A,FALSE,"Co2PM";"value",#N/A,FALSE,"value";"opco",#N/A,FALSE,"NewSparkle";"adjusts",#N/A,FALSE,"Adjustments"}</definedName>
    <definedName name="wrn.STG._.BLDG._.ENCLOSURE." hidden="1">{"turbine",#N/A,FALSE,"Option"}</definedName>
    <definedName name="wrn.struckgi." hidden="1">{#N/A,#N/A,TRUE,"arnitower";#N/A,#N/A,TRUE,"arnigarage "}</definedName>
    <definedName name="wrn.summ1" hidden="1">{#N/A,#N/A,FALSE,"COVER1.XLS ";#N/A,#N/A,FALSE,"RACT1.XLS";#N/A,#N/A,FALSE,"RACT2.XLS";#N/A,#N/A,FALSE,"ECCMP";#N/A,#N/A,FALSE,"WELDER.XLS"}</definedName>
    <definedName name="wrn.summary." hidden="1">{"SUMMARY",#N/A,FALSE,"C"}</definedName>
    <definedName name="wrn.Summary._.Report.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TB." hidden="1">{#N/A,#N/A,FALSE,"TB"}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st." hidden="1">{"test",#N/A,FALSE,"Dividend"}</definedName>
    <definedName name="wrn.Things." hidden="1">{#N/A,#N/A,FALSE,"Bank Rec Cover Sheet";#N/A,#N/A,FALSE,"Bank Rec Details"}</definedName>
    <definedName name="wrn.Total." hidden="1">{#N/A,#N/A,FALSE,"IS";#N/A,#N/A,FALSE,"BS";#N/A,#N/A,FALSE,"CF";"HIDE",#N/A,FALSE,"HP";"HIDE",#N/A,FALSE,"SBS";"HIDE",#N/A,FALSE,"InsSvcs";"HIDE",#N/A,FALSE,"RSS";"HIDE",#N/A,FALSE,"SCS";"HIDE",#N/A,FALSE,"K_I";"HIDE",#N/A,FALSE,"ENT_SVC";"HIDE",#N/A,FALSE,"CORP"}</definedName>
    <definedName name="wrn.tutanaklar." hidden="1">{#N/A,#N/A,FALSE,"ilan TUT";#N/A,#N/A,FALSE,"ilan";#N/A,#N/A,FALSE,"ÇİMENT";#N/A,#N/A,FALSE,"fatura"}</definedName>
    <definedName name="wrn.util." hidden="1">{#N/A,#N/A,FALSE,"Combined";#N/A,#N/A,FALSE,"Commercial";#N/A,#N/A,FALSE,"Medicaid";#N/A,#N/A,FALSE,"Medicare"}</definedName>
    <definedName name="wrn.VALUATION." localSheetId="1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Warrington._.Widnes._.QS._.Costs." hidden="1">{#N/A,#N/A,TRUE,"Cover";#N/A,#N/A,TRUE,"Conts";#N/A,#N/A,TRUE,"VOS";#N/A,#N/A,TRUE,"Warrington";#N/A,#N/A,TRUE,"Widnes"}</definedName>
    <definedName name="wrn.WHOUSE._.CT." hidden="1">{"WESTINGHOUSE",#N/A,FALSE,"Option"}</definedName>
    <definedName name="wrn.yağmursu_şebeke.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wrn.YAZ1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ICI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earEnd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ŞİLDEFTER." hidden="1">{#N/A,#N/A,FALSE,"YEŞİL KAPAK";#N/A,#N/A,FALSE,"YEŞİL TOPRAK.";#N/A,#N/A,FALSE,"YEŞİL SANAT";#N/A,#N/A,FALSE,"YEŞİL AYASOFYA KÖP.";#N/A,#N/A,FALSE,"YEŞİL AKYAZI";#N/A,#N/A,FALSE,"YEŞİL BEŞİRLİ";#N/A,#N/A,FALSE,"YEŞİL HAVAALAN";#N/A,#N/A,FALSE,"YEŞİL SONDAJ.";#N/A,#N/A,FALSE,"YEŞİL KAMU";#N/A,#N/A,FALSE,"YEŞİL FAROZ 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견적." hidden="1">{#N/A,#N/A,FALSE,"Sheet1";#N/A,#N/A,FALSE,"Sheet2";#N/A,#N/A,FALSE,"TAB96-1"}</definedName>
    <definedName name="wrn.골재소요량." hidden="1">{#N/A,#N/A,FALSE,"골재소요량";#N/A,#N/A,FALSE,"골재소요량"}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육청." hidden="1">{#N/A,#N/A,FALSE,"전력간선"}</definedName>
    <definedName name="wrn.구조2." hidden="1">{#N/A,#N/A,FALSE,"구조2"}</definedName>
    <definedName name="wrn.기성." hidden="1">{#N/A,#N/A,FALSE,"신청통보";#N/A,#N/A,FALSE,"기성확인서";#N/A,#N/A,FALSE,"기성내역서"}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hidden="1">{#N/A,#N/A,FALSE,"결의서";#N/A,#N/A,FALSE,"내역서";#N/A,#N/A,FALSE,"도급예상";#N/A,#N/A,FALSE,"시방서"}</definedName>
    <definedName name="wrn.신용찬." hidden="1">{#N/A,#N/A,TRUE,"토적및재료집계";#N/A,#N/A,TRUE,"토적및재료집계";#N/A,#N/A,TRUE,"단위량"}</definedName>
    <definedName name="wrn.업체별._.견적공사명." hidden="1">{"SJ - 기본 보기",#N/A,FALSE,"공사별 외주견적"}</definedName>
    <definedName name="wrn.연동제." hidden="1">{#N/A,#N/A,TRUE,"총괄"}</definedName>
    <definedName name="wrn.운반시간." hidden="1">{#N/A,#N/A,FALSE,"운반시간"}</definedName>
    <definedName name="wrn.이정표." hidden="1">{#N/A,#N/A,FALSE,"이정표"}</definedName>
    <definedName name="wrn.입적표." hidden="1">{#N/A,#N/A,FALSE,"전체집계표";#N/A,#N/A,FALSE,"안벽30000";#N/A,#N/A,FALSE,"안벽20000";#N/A,#N/A,FALSE,"내호안";#N/A,#N/A,FALSE,"외호안";#N/A,#N/A,FALSE,"준설토A";#N/A,#N/A,FALSE,"준설토B";#N/A,#N/A,FALSE,"적출장"}</definedName>
    <definedName name="wrn.조골재." hidden="1">{#N/A,#N/A,FALSE,"조골재"}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통신지." hidden="1">{#N/A,#N/A,FALSE,"기안지";#N/A,#N/A,FALSE,"통신지"}</definedName>
    <definedName name="wrn.포장1." hidden="1">{#N/A,#N/A,FALSE,"포장1";#N/A,#N/A,FALSE,"포장1"}</definedName>
    <definedName name="wrn.포장2." hidden="1">{#N/A,#N/A,FALSE,"포장2"}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n_1" hidden="1">{#N/A,#N/A,TRUE,"Equipment installation bm"}</definedName>
    <definedName name="wrn_1_1" hidden="1">{#N/A,#N/A,TRUE,"Equipment installation bm"}</definedName>
    <definedName name="wrn_1_1_1" hidden="1">{#N/A,#N/A,TRUE,"Equipment installation bm"}</definedName>
    <definedName name="wrn_1_1_2" hidden="1">{#N/A,#N/A,TRUE,"Equipment installation bm"}</definedName>
    <definedName name="wrn_1_1_3" hidden="1">{#N/A,#N/A,TRUE,"Equipment installation bm"}</definedName>
    <definedName name="wrn_1_1_4" hidden="1">{#N/A,#N/A,TRUE,"Equipment installation bm"}</definedName>
    <definedName name="wrn_1_1_5" hidden="1">{#N/A,#N/A,TRUE,"Equipment installation bm"}</definedName>
    <definedName name="wrn_1_2" hidden="1">{#N/A,#N/A,TRUE,"Equipment installation bm"}</definedName>
    <definedName name="wrn_1_2_1" hidden="1">{#N/A,#N/A,TRUE,"Equipment installation bm"}</definedName>
    <definedName name="wrn_1_2_2" hidden="1">{#N/A,#N/A,TRUE,"Equipment installation bm"}</definedName>
    <definedName name="wrn_1_2_3" hidden="1">{#N/A,#N/A,TRUE,"Equipment installation bm"}</definedName>
    <definedName name="wrn_1_2_4" hidden="1">{#N/A,#N/A,TRUE,"Equipment installation bm"}</definedName>
    <definedName name="wrn_1_2_5" hidden="1">{#N/A,#N/A,TRUE,"Equipment installation bm"}</definedName>
    <definedName name="wrn_1_3" hidden="1">{#N/A,#N/A,TRUE,"Equipment installation bm"}</definedName>
    <definedName name="wrn_1_3_1" hidden="1">{#N/A,#N/A,TRUE,"Equipment installation bm"}</definedName>
    <definedName name="wrn_1_3_2" hidden="1">{#N/A,#N/A,TRUE,"Equipment installation bm"}</definedName>
    <definedName name="wrn_1_3_3" hidden="1">{#N/A,#N/A,TRUE,"Equipment installation bm"}</definedName>
    <definedName name="wrn_1_3_4" hidden="1">{#N/A,#N/A,TRUE,"Equipment installation bm"}</definedName>
    <definedName name="wrn_1_3_5" hidden="1">{#N/A,#N/A,TRUE,"Equipment installation bm"}</definedName>
    <definedName name="wrn_1_4" hidden="1">{#N/A,#N/A,TRUE,"Equipment installation bm"}</definedName>
    <definedName name="wrn_1_4_1" hidden="1">{#N/A,#N/A,TRUE,"Equipment installation bm"}</definedName>
    <definedName name="wrn_1_4_2" hidden="1">{#N/A,#N/A,TRUE,"Equipment installation bm"}</definedName>
    <definedName name="wrn_1_4_3" hidden="1">{#N/A,#N/A,TRUE,"Equipment installation bm"}</definedName>
    <definedName name="wrn_1_4_4" hidden="1">{#N/A,#N/A,TRUE,"Equipment installation bm"}</definedName>
    <definedName name="wrn_1_4_5" hidden="1">{#N/A,#N/A,TRUE,"Equipment installation bm"}</definedName>
    <definedName name="wrn_1_5" hidden="1">{#N/A,#N/A,TRUE,"Equipment installation bm"}</definedName>
    <definedName name="wrn_1_5_1" hidden="1">{#N/A,#N/A,TRUE,"Equipment installation bm"}</definedName>
    <definedName name="wrn_1_5_2" hidden="1">{#N/A,#N/A,TRUE,"Equipment installation bm"}</definedName>
    <definedName name="wrn_1_5_3" hidden="1">{#N/A,#N/A,TRUE,"Equipment installation bm"}</definedName>
    <definedName name="wrn_1_5_4" hidden="1">{#N/A,#N/A,TRUE,"Equipment installation bm"}</definedName>
    <definedName name="wrn_1_5_5" hidden="1">{#N/A,#N/A,TRUE,"Equipment installation bm"}</definedName>
    <definedName name="wrn_2" hidden="1">{#N/A,#N/A,TRUE,"Equipment installation bm"}</definedName>
    <definedName name="wrn_2_1" hidden="1">{#N/A,#N/A,TRUE,"Equipment installation bm"}</definedName>
    <definedName name="wrn_2_1_1" hidden="1">{#N/A,#N/A,TRUE,"Equipment installation bm"}</definedName>
    <definedName name="wrn_2_1_2" hidden="1">{#N/A,#N/A,TRUE,"Equipment installation bm"}</definedName>
    <definedName name="wrn_2_1_3" hidden="1">{#N/A,#N/A,TRUE,"Equipment installation bm"}</definedName>
    <definedName name="wrn_2_1_4" hidden="1">{#N/A,#N/A,TRUE,"Equipment installation bm"}</definedName>
    <definedName name="wrn_2_1_5" hidden="1">{#N/A,#N/A,TRUE,"Equipment installation bm"}</definedName>
    <definedName name="wrn_2_2" hidden="1">{#N/A,#N/A,TRUE,"Equipment installation bm"}</definedName>
    <definedName name="wrn_2_2_1" hidden="1">{#N/A,#N/A,TRUE,"Equipment installation bm"}</definedName>
    <definedName name="wrn_2_2_2" hidden="1">{#N/A,#N/A,TRUE,"Equipment installation bm"}</definedName>
    <definedName name="wrn_2_2_3" hidden="1">{#N/A,#N/A,TRUE,"Equipment installation bm"}</definedName>
    <definedName name="wrn_2_2_4" hidden="1">{#N/A,#N/A,TRUE,"Equipment installation bm"}</definedName>
    <definedName name="wrn_2_2_5" hidden="1">{#N/A,#N/A,TRUE,"Equipment installation bm"}</definedName>
    <definedName name="wrn_2_3" hidden="1">{#N/A,#N/A,TRUE,"Equipment installation bm"}</definedName>
    <definedName name="wrn_2_3_1" hidden="1">{#N/A,#N/A,TRUE,"Equipment installation bm"}</definedName>
    <definedName name="wrn_2_3_2" hidden="1">{#N/A,#N/A,TRUE,"Equipment installation bm"}</definedName>
    <definedName name="wrn_2_3_3" hidden="1">{#N/A,#N/A,TRUE,"Equipment installation bm"}</definedName>
    <definedName name="wrn_2_3_4" hidden="1">{#N/A,#N/A,TRUE,"Equipment installation bm"}</definedName>
    <definedName name="wrn_2_3_5" hidden="1">{#N/A,#N/A,TRUE,"Equipment installation bm"}</definedName>
    <definedName name="wrn_2_4" hidden="1">{#N/A,#N/A,TRUE,"Equipment installation bm"}</definedName>
    <definedName name="wrn_2_4_1" hidden="1">{#N/A,#N/A,TRUE,"Equipment installation bm"}</definedName>
    <definedName name="wrn_2_4_2" hidden="1">{#N/A,#N/A,TRUE,"Equipment installation bm"}</definedName>
    <definedName name="wrn_2_4_3" hidden="1">{#N/A,#N/A,TRUE,"Equipment installation bm"}</definedName>
    <definedName name="wrn_2_4_4" hidden="1">{#N/A,#N/A,TRUE,"Equipment installation bm"}</definedName>
    <definedName name="wrn_2_4_5" hidden="1">{#N/A,#N/A,TRUE,"Equipment installation bm"}</definedName>
    <definedName name="wrn_2_5" hidden="1">{#N/A,#N/A,TRUE,"Equipment installation bm"}</definedName>
    <definedName name="wrn_2_5_1" hidden="1">{#N/A,#N/A,TRUE,"Equipment installation bm"}</definedName>
    <definedName name="wrn_2_5_2" hidden="1">{#N/A,#N/A,TRUE,"Equipment installation bm"}</definedName>
    <definedName name="wrn_2_5_3" hidden="1">{#N/A,#N/A,TRUE,"Equipment installation bm"}</definedName>
    <definedName name="wrn_2_5_4" hidden="1">{#N/A,#N/A,TRUE,"Equipment installation bm"}</definedName>
    <definedName name="wrn_2_5_5" hidden="1">{#N/A,#N/A,TRUE,"Equipment installation bm"}</definedName>
    <definedName name="wrn_3" hidden="1">{#N/A,#N/A,TRUE,"Equipment installation bm"}</definedName>
    <definedName name="wrn_3_1" hidden="1">{#N/A,#N/A,TRUE,"Equipment installation bm"}</definedName>
    <definedName name="wrn_3_1_1" hidden="1">{#N/A,#N/A,TRUE,"Equipment installation bm"}</definedName>
    <definedName name="wrn_3_1_2" hidden="1">{#N/A,#N/A,TRUE,"Equipment installation bm"}</definedName>
    <definedName name="wrn_3_1_3" hidden="1">{#N/A,#N/A,TRUE,"Equipment installation bm"}</definedName>
    <definedName name="wrn_3_1_4" hidden="1">{#N/A,#N/A,TRUE,"Equipment installation bm"}</definedName>
    <definedName name="wrn_3_1_5" hidden="1">{#N/A,#N/A,TRUE,"Equipment installation bm"}</definedName>
    <definedName name="wrn_3_2" hidden="1">{#N/A,#N/A,TRUE,"Equipment installation bm"}</definedName>
    <definedName name="wrn_3_2_1" hidden="1">{#N/A,#N/A,TRUE,"Equipment installation bm"}</definedName>
    <definedName name="wrn_3_2_2" hidden="1">{#N/A,#N/A,TRUE,"Equipment installation bm"}</definedName>
    <definedName name="wrn_3_2_3" hidden="1">{#N/A,#N/A,TRUE,"Equipment installation bm"}</definedName>
    <definedName name="wrn_3_2_4" hidden="1">{#N/A,#N/A,TRUE,"Equipment installation bm"}</definedName>
    <definedName name="wrn_3_2_5" hidden="1">{#N/A,#N/A,TRUE,"Equipment installation bm"}</definedName>
    <definedName name="wrn_3_3" hidden="1">{#N/A,#N/A,TRUE,"Equipment installation bm"}</definedName>
    <definedName name="wrn_3_3_1" hidden="1">{#N/A,#N/A,TRUE,"Equipment installation bm"}</definedName>
    <definedName name="wrn_3_3_2" hidden="1">{#N/A,#N/A,TRUE,"Equipment installation bm"}</definedName>
    <definedName name="wrn_3_3_3" hidden="1">{#N/A,#N/A,TRUE,"Equipment installation bm"}</definedName>
    <definedName name="wrn_3_3_4" hidden="1">{#N/A,#N/A,TRUE,"Equipment installation bm"}</definedName>
    <definedName name="wrn_3_3_5" hidden="1">{#N/A,#N/A,TRUE,"Equipment installation bm"}</definedName>
    <definedName name="wrn_3_4" hidden="1">{#N/A,#N/A,TRUE,"Equipment installation bm"}</definedName>
    <definedName name="wrn_3_4_1" hidden="1">{#N/A,#N/A,TRUE,"Equipment installation bm"}</definedName>
    <definedName name="wrn_3_4_2" hidden="1">{#N/A,#N/A,TRUE,"Equipment installation bm"}</definedName>
    <definedName name="wrn_3_4_3" hidden="1">{#N/A,#N/A,TRUE,"Equipment installation bm"}</definedName>
    <definedName name="wrn_3_4_4" hidden="1">{#N/A,#N/A,TRUE,"Equipment installation bm"}</definedName>
    <definedName name="wrn_3_4_5" hidden="1">{#N/A,#N/A,TRUE,"Equipment installation bm"}</definedName>
    <definedName name="wrn_3_5" hidden="1">{#N/A,#N/A,TRUE,"Equipment installation bm"}</definedName>
    <definedName name="wrn_3_5_1" hidden="1">{#N/A,#N/A,TRUE,"Equipment installation bm"}</definedName>
    <definedName name="wrn_3_5_2" hidden="1">{#N/A,#N/A,TRUE,"Equipment installation bm"}</definedName>
    <definedName name="wrn_3_5_3" hidden="1">{#N/A,#N/A,TRUE,"Equipment installation bm"}</definedName>
    <definedName name="wrn_3_5_4" hidden="1">{#N/A,#N/A,TRUE,"Equipment installation bm"}</definedName>
    <definedName name="wrn_3_5_5" hidden="1">{#N/A,#N/A,TRUE,"Equipment installation bm"}</definedName>
    <definedName name="wrn_4" hidden="1">{#N/A,#N/A,TRUE,"Equipment installation bm"}</definedName>
    <definedName name="wrn_4_1" hidden="1">{#N/A,#N/A,TRUE,"Equipment installation bm"}</definedName>
    <definedName name="wrn_4_1_1" hidden="1">{#N/A,#N/A,TRUE,"Equipment installation bm"}</definedName>
    <definedName name="wrn_4_1_2" hidden="1">{#N/A,#N/A,TRUE,"Equipment installation bm"}</definedName>
    <definedName name="wrn_4_1_3" hidden="1">{#N/A,#N/A,TRUE,"Equipment installation bm"}</definedName>
    <definedName name="wrn_4_1_4" hidden="1">{#N/A,#N/A,TRUE,"Equipment installation bm"}</definedName>
    <definedName name="wrn_4_1_5" hidden="1">{#N/A,#N/A,TRUE,"Equipment installation bm"}</definedName>
    <definedName name="wrn_4_2" hidden="1">{#N/A,#N/A,TRUE,"Equipment installation bm"}</definedName>
    <definedName name="wrn_4_2_1" hidden="1">{#N/A,#N/A,TRUE,"Equipment installation bm"}</definedName>
    <definedName name="wrn_4_2_2" hidden="1">{#N/A,#N/A,TRUE,"Equipment installation bm"}</definedName>
    <definedName name="wrn_4_2_3" hidden="1">{#N/A,#N/A,TRUE,"Equipment installation bm"}</definedName>
    <definedName name="wrn_4_2_4" hidden="1">{#N/A,#N/A,TRUE,"Equipment installation bm"}</definedName>
    <definedName name="wrn_4_2_5" hidden="1">{#N/A,#N/A,TRUE,"Equipment installation bm"}</definedName>
    <definedName name="wrn_4_3" hidden="1">{#N/A,#N/A,TRUE,"Equipment installation bm"}</definedName>
    <definedName name="wrn_4_3_1" hidden="1">{#N/A,#N/A,TRUE,"Equipment installation bm"}</definedName>
    <definedName name="wrn_4_3_2" hidden="1">{#N/A,#N/A,TRUE,"Equipment installation bm"}</definedName>
    <definedName name="wrn_4_3_3" hidden="1">{#N/A,#N/A,TRUE,"Equipment installation bm"}</definedName>
    <definedName name="wrn_4_3_4" hidden="1">{#N/A,#N/A,TRUE,"Equipment installation bm"}</definedName>
    <definedName name="wrn_4_3_5" hidden="1">{#N/A,#N/A,TRUE,"Equipment installation bm"}</definedName>
    <definedName name="wrn_4_4" hidden="1">{#N/A,#N/A,TRUE,"Equipment installation bm"}</definedName>
    <definedName name="wrn_4_4_1" hidden="1">{#N/A,#N/A,TRUE,"Equipment installation bm"}</definedName>
    <definedName name="wrn_4_4_2" hidden="1">{#N/A,#N/A,TRUE,"Equipment installation bm"}</definedName>
    <definedName name="wrn_4_4_3" hidden="1">{#N/A,#N/A,TRUE,"Equipment installation bm"}</definedName>
    <definedName name="wrn_4_4_4" hidden="1">{#N/A,#N/A,TRUE,"Equipment installation bm"}</definedName>
    <definedName name="wrn_4_4_5" hidden="1">{#N/A,#N/A,TRUE,"Equipment installation bm"}</definedName>
    <definedName name="wrn_4_5" hidden="1">{#N/A,#N/A,TRUE,"Equipment installation bm"}</definedName>
    <definedName name="wrn_4_5_1" hidden="1">{#N/A,#N/A,TRUE,"Equipment installation bm"}</definedName>
    <definedName name="wrn_4_5_2" hidden="1">{#N/A,#N/A,TRUE,"Equipment installation bm"}</definedName>
    <definedName name="wrn_4_5_3" hidden="1">{#N/A,#N/A,TRUE,"Equipment installation bm"}</definedName>
    <definedName name="wrn_4_5_4" hidden="1">{#N/A,#N/A,TRUE,"Equipment installation bm"}</definedName>
    <definedName name="wrn_4_5_5" hidden="1">{#N/A,#N/A,TRUE,"Equipment installation bm"}</definedName>
    <definedName name="wrn_5" hidden="1">{#N/A,#N/A,TRUE,"Equipment installation bm"}</definedName>
    <definedName name="wrn_5_1" hidden="1">{#N/A,#N/A,TRUE,"Equipment installation bm"}</definedName>
    <definedName name="wrn_5_1_1" hidden="1">{#N/A,#N/A,TRUE,"Equipment installation bm"}</definedName>
    <definedName name="wrn_5_1_2" hidden="1">{#N/A,#N/A,TRUE,"Equipment installation bm"}</definedName>
    <definedName name="wrn_5_1_3" hidden="1">{#N/A,#N/A,TRUE,"Equipment installation bm"}</definedName>
    <definedName name="wrn_5_1_4" hidden="1">{#N/A,#N/A,TRUE,"Equipment installation bm"}</definedName>
    <definedName name="wrn_5_1_5" hidden="1">{#N/A,#N/A,TRUE,"Equipment installation bm"}</definedName>
    <definedName name="wrn_5_2" hidden="1">{#N/A,#N/A,TRUE,"Equipment installation bm"}</definedName>
    <definedName name="wrn_5_2_1" hidden="1">{#N/A,#N/A,TRUE,"Equipment installation bm"}</definedName>
    <definedName name="wrn_5_2_2" hidden="1">{#N/A,#N/A,TRUE,"Equipment installation bm"}</definedName>
    <definedName name="wrn_5_2_3" hidden="1">{#N/A,#N/A,TRUE,"Equipment installation bm"}</definedName>
    <definedName name="wrn_5_2_4" hidden="1">{#N/A,#N/A,TRUE,"Equipment installation bm"}</definedName>
    <definedName name="wrn_5_2_5" hidden="1">{#N/A,#N/A,TRUE,"Equipment installation bm"}</definedName>
    <definedName name="wrn_5_3" hidden="1">{#N/A,#N/A,TRUE,"Equipment installation bm"}</definedName>
    <definedName name="wrn_5_3_1" hidden="1">{#N/A,#N/A,TRUE,"Equipment installation bm"}</definedName>
    <definedName name="wrn_5_3_2" hidden="1">{#N/A,#N/A,TRUE,"Equipment installation bm"}</definedName>
    <definedName name="wrn_5_3_3" hidden="1">{#N/A,#N/A,TRUE,"Equipment installation bm"}</definedName>
    <definedName name="wrn_5_3_4" hidden="1">{#N/A,#N/A,TRUE,"Equipment installation bm"}</definedName>
    <definedName name="wrn_5_3_5" hidden="1">{#N/A,#N/A,TRUE,"Equipment installation bm"}</definedName>
    <definedName name="wrn_5_4" hidden="1">{#N/A,#N/A,TRUE,"Equipment installation bm"}</definedName>
    <definedName name="wrn_5_4_1" hidden="1">{#N/A,#N/A,TRUE,"Equipment installation bm"}</definedName>
    <definedName name="wrn_5_4_2" hidden="1">{#N/A,#N/A,TRUE,"Equipment installation bm"}</definedName>
    <definedName name="wrn_5_4_3" hidden="1">{#N/A,#N/A,TRUE,"Equipment installation bm"}</definedName>
    <definedName name="wrn_5_4_4" hidden="1">{#N/A,#N/A,TRUE,"Equipment installation bm"}</definedName>
    <definedName name="wrn_5_4_5" hidden="1">{#N/A,#N/A,TRUE,"Equipment installation bm"}</definedName>
    <definedName name="wrn_5_5" hidden="1">{#N/A,#N/A,TRUE,"Equipment installation bm"}</definedName>
    <definedName name="wrn_5_5_1" hidden="1">{#N/A,#N/A,TRUE,"Equipment installation bm"}</definedName>
    <definedName name="wrn_5_5_2" hidden="1">{#N/A,#N/A,TRUE,"Equipment installation bm"}</definedName>
    <definedName name="wrn_5_5_3" hidden="1">{#N/A,#N/A,TRUE,"Equipment installation bm"}</definedName>
    <definedName name="wrn_5_5_4" hidden="1">{#N/A,#N/A,TRUE,"Equipment installation bm"}</definedName>
    <definedName name="wrn_5_5_5" hidden="1">{#N/A,#N/A,TRUE,"Equipment installation bm"}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re" hidden="1">#REF!</definedName>
    <definedName name="wrrwerwrew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setgf" hidden="1">{"'8'!$B$1:$I$46"}</definedName>
    <definedName name="wsq" hidden="1">#REF!</definedName>
    <definedName name="WSWDEDWFDWR" hidden="1">#REF!</definedName>
    <definedName name="WT" hidden="1">{#N/A,#N/A,TRUE,"Cover";#N/A,#N/A,TRUE,"Conts";#N/A,#N/A,TRUE,"VOS";#N/A,#N/A,TRUE,"Warrington";#N/A,#N/A,TRUE,"Widnes"}</definedName>
    <definedName name="wtb" hidden="1">{#N/A,#N/A,FALSE,"5YRASSPl - consol'd";#N/A,#N/A,FALSE,"5YRASSPl - hotel";#N/A,#N/A,FALSE,"5YRASSPl - excl htl";#N/A,#N/A,FALSE,"VarReport";#N/A,#N/A,FALSE,"Sensitivity";#N/A,#N/A,FALSE,"House View ";#N/A,#N/A,FALSE,"KPI"}</definedName>
    <definedName name="wtb.0" hidden="1">OFFSET([0]!Data.Top.Left,1,0)</definedName>
    <definedName name="wtb.000" hidden="1">OFFSET([0]!Data.Top.Left,1,0)</definedName>
    <definedName name="wtb.0000" hidden="1">OFFSET([0]!Data.Top.Left,1,0)</definedName>
    <definedName name="wtb.1" hidden="1">OFFSET([0]!Data.Top.Left,1,0)</definedName>
    <definedName name="wtb.13" hidden="1">OFFSET([0]!Data.Top.Left,1,0)</definedName>
    <definedName name="wtb.134" hidden="1">OFFSET([0]!Data.Top.Left,1,0)</definedName>
    <definedName name="wtb.5" hidden="1">OFFSET([0]!Data.Top.Left,1,0)</definedName>
    <definedName name="wtb00" hidden="1">OFFSET([0]!Data.Top.Left,1,0)</definedName>
    <definedName name="wtey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" hidden="1">{"'Sheet1'!$A$4386:$N$4591"}</definedName>
    <definedName name="wwşww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WWW" hidden="1">{#N/A,#N/A,FALSE,"CCTV"}</definedName>
    <definedName name="WWWFFFF" hidden="1">#REF!</definedName>
    <definedName name="wwwww" hidden="1">{#N/A,#N/A,TRUE,"Cover";#N/A,#N/A,TRUE,"Conts";#N/A,#N/A,TRUE,"VOS";#N/A,#N/A,TRUE,"Warrington";#N/A,#N/A,TRUE,"Widnes"}</definedName>
    <definedName name="wwwwww" hidden="1">{#N/A,#N/A,FALSE,"HO Sum";#N/A,#N/A,FALSE,"HO Rates";#N/A,#N/A,FALSE,"Co Sum";#N/A,#N/A,FALSE,"Clients Office";#N/A,#N/A,FALSE,"Field Sum";#N/A,#N/A,FALSE,"Field Rates"}</definedName>
    <definedName name="wwwwwwwwwwwwwwwwwwwwwwwwwwwww" hidden="1">#REF!</definedName>
    <definedName name="WX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y7u7y" hidden="1">{#N/A,#N/A,TRUE,"Cover";#N/A,#N/A,TRUE,"Conts";#N/A,#N/A,TRUE,"VOS";#N/A,#N/A,TRUE,"Warrington";#N/A,#N/A,TRUE,"Widnes"}</definedName>
    <definedName name="X">#REF!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DWQERBEHNYT0155NHYRGEDWQS" hidden="1">#REF!</definedName>
    <definedName name="xcvbnmk" localSheetId="1" hidden="1">{#N/A,#N/A,FALSE,"mgtsum.XLS";#N/A,#N/A,FALSE,"CAPONE";#N/A,#N/A,FALSE,"CAPTWO";#N/A,#N/A,FALSE,"CAPTHREE"}</definedName>
    <definedName name="xcvbnmk" hidden="1">{#N/A,#N/A,FALSE,"mgtsum.XLS";#N/A,#N/A,FALSE,"CAPONE";#N/A,#N/A,FALSE,"CAPTWO";#N/A,#N/A,FALSE,"CAPTHREE"}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v" hidden="1">#REF!</definedName>
    <definedName name="x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f" hidden="1">#REF!</definedName>
    <definedName name="XHHW_7">#REF!</definedName>
    <definedName name="XHHW_7_3">"#REF!"</definedName>
    <definedName name="XHHW_7_5">"#REF!"</definedName>
    <definedName name="XHHW_7_5_3">"#REF!"</definedName>
    <definedName name="xhrhd" hidden="1">{#N/A,#N/A,FALSE,"토공2"}</definedName>
    <definedName name="xls." hidden="1">{"'Break down'!$A$4"}</definedName>
    <definedName name="xlttbninh" hidden="1">{"'Sheet1'!$L$16"}</definedName>
    <definedName name="XQ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R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1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5Row" hidden="1">#REF!</definedName>
    <definedName name="XRefCopy27Row" hidden="1">#REF!</definedName>
    <definedName name="XRefCopy28Row" hidden="1">#REF!</definedName>
    <definedName name="XRefCopy29Row" hidden="1">#REF!</definedName>
    <definedName name="XRefCopy2Row" hidden="1">#REF!</definedName>
    <definedName name="XRefCopy3" hidden="1">#REF!</definedName>
    <definedName name="XRefCopy30Row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Row" hidden="1">#REF!</definedName>
    <definedName name="XRefCopy41" hidden="1">#REF!</definedName>
    <definedName name="XRefCopy41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6" hidden="1">#REF!</definedName>
    <definedName name="XRefCopy46Row" hidden="1">#REF!</definedName>
    <definedName name="XRefCopy47Row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1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Row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Row" hidden="1">#REF!</definedName>
    <definedName name="XRefPaste32" hidden="1">#REF!</definedName>
    <definedName name="XRefPaste32Row" hidden="1">#REF!</definedName>
    <definedName name="XRefPaste33Row" hidden="1">#REF!</definedName>
    <definedName name="XRefPaste34Row" hidden="1">#REF!</definedName>
    <definedName name="XRefPaste35Row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Row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</definedName>
    <definedName name="xSAPtemp4509" hidden="1">"DDC3S4KRZT8J33FC4A360FKPL"</definedName>
    <definedName name="XT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v" hidden="1">{"'장비'!$A$3:$M$12"}</definedName>
    <definedName name="xx">#REF!</definedName>
    <definedName name="XXX" hidden="1">#REF!</definedName>
    <definedName name="xxxx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xxxxx" hidden="1">#REF!</definedName>
    <definedName name="xxxxxx" hidden="1">{"assumptions",#N/A,FALSE,"HC-TOTAL";"misc. - standards",#N/A,FALSE,"HC-TOTAL";"misc - total",#N/A,FALSE,"HC-TOTAL";"R&amp;M - STANDARDS",#N/A,FALSE,"HC-TOTAL";"R&amp;M - TOTAL",#N/A,FALSE,"I.T. COSTS";"IT COSTS - STD.",#N/A,FALSE,"HC-TOTAL";"IT COSTS - TOTAL",#N/A,FALSE,"HC-TOTAL";"SPACE COSTS - STD.",#N/A,FALSE,"HC-TOTAL";"SPACE COSTS - TOTAL",#N/A,FALSE,"HC-TOTAL";"RENT",#N/A,FALSE,"HC-TOTAL";"COST SHEET",#N/A,FALSE,"HC-TOTAL";"COMM. LINKS",#N/A,FALSE,"HC-TOTAL";"ADVERTISEMENT",#N/A,FALSE,"HC-TOTAL";"business support head count",#N/A,FALSE,"HC-TOTAL";"capacity",#N/A,FALSE,"HC-TOTAL";"capacity",#N/A,FALSE,"HC-TOTAL"}</definedName>
    <definedName name="xxxxxxx" hidden="1">{#N/A,#N/A,FALSE,"MARCH"}</definedName>
    <definedName name="XY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yz" hidden="1">{"'Break down'!$A$4"}</definedName>
    <definedName name="yapiimar" hidden="1">{#N/A,#N/A,FALSE,"ihz. icmal";#N/A,#N/A,FALSE,"avans";#N/A,#N/A,FALSE,"mal_FF_icm";#N/A,#N/A,FALSE,"fat_ihz";#N/A,#N/A,FALSE,"söz_fiy_fark";#N/A,#N/A,FALSE,"kap2"}</definedName>
    <definedName name="YARD">#N/A</definedName>
    <definedName name="YARDLAB">#N/A</definedName>
    <definedName name="YARDMAT">#N/A</definedName>
    <definedName name="yas" hidden="1">#REF!</definedName>
    <definedName name="yasin" hidden="1">#REF!</definedName>
    <definedName name="yat" hidden="1">{#N/A,#N/A,FALSE,"Aging Summary";#N/A,#N/A,FALSE,"Ratio Analysis";#N/A,#N/A,FALSE,"Test 120 Day Accts";#N/A,#N/A,FALSE,"Tickmarks"}</definedName>
    <definedName name="ybd" hidden="1">#REF!</definedName>
    <definedName name="YearsToStabilizeFX">#REF!</definedName>
    <definedName name="YEN">#REF!</definedName>
    <definedName name="Yeni" hidden="1">#REF!</definedName>
    <definedName name="YES">#N/A</definedName>
    <definedName name="YETYTY" hidden="1">{#VALUE!,#N/A,FALSE,0;#N/A,#N/A,FALSE,0;#N/A,#N/A,FALSE,0;#N/A,#N/A,FALSE,0;#N/A,#N/A,FALSE,0;#N/A,#N/A,FALSE,0;#N/A,#N/A,FALSE,0;#N/A,#N/A,FALSE,0;#N/A,#N/A,FALSE,0;#N/A,#N/A,FALSE,0;#N/A,#N/A,FALSE,0;#N/A,#N/A,FALSE,0}</definedName>
    <definedName name="yg542hg" hidden="1">#REF!</definedName>
    <definedName name="yh" hidden="1">{#N/A,#N/A,FALSE,"Project Properties";#N/A,#N/A,FALSE,"Eng %";#N/A,#N/A,FALSE,"ENGFORM";#N/A,#N/A,FALSE,"staffing";#N/A,#N/A,FALSE,"spending"}</definedName>
    <definedName name="yhrsh" hidden="1">{#N/A,#N/A,TRUE,"Cover";#N/A,#N/A,TRUE,"Conts";#N/A,#N/A,TRUE,"VOS";#N/A,#N/A,TRUE,"Warrington";#N/A,#N/A,TRUE,"Widnes"}</definedName>
    <definedName name="yıu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yj" hidden="1">#REF!</definedName>
    <definedName name="YJFG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yjt" hidden="1">#REF!</definedName>
    <definedName name="yjtuhf" hidden="1">#REF!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l" hidden="1">#REF!,#REF!</definedName>
    <definedName name="ylpqza" hidden="1">#REF!</definedName>
    <definedName name="YN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ynkim" hidden="1">{#N/A,#N/A,TRUE,"Basic";#N/A,#N/A,TRUE,"EXT-TABLE";#N/A,#N/A,TRUE,"STEEL";#N/A,#N/A,TRUE,"INT-Table";#N/A,#N/A,TRUE,"STEEL";#N/A,#N/A,TRUE,"Door"}</definedName>
    <definedName name="yrdtytyt" hidden="1">{#N/A,#N/A,FALSE,"CCTV"}</definedName>
    <definedName name="YRE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rtyet" hidden="1">{#N/A,#N/A,TRUE,"Cover";#N/A,#N/A,TRUE,"Conts";#N/A,#N/A,TRUE,"VOS";#N/A,#N/A,TRUE,"Warrington";#N/A,#N/A,TRUE,"Widnes"}</definedName>
    <definedName name="YRWS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ry" hidden="1">{#N/A,#N/A,TRUE,"Cover";#N/A,#N/A,TRUE,"Conts";#N/A,#N/A,TRUE,"VOS";#N/A,#N/A,TRUE,"Warrington";#N/A,#N/A,TRUE,"Widnes"}</definedName>
    <definedName name="ytdu" hidden="1">#REF!,#REF!</definedName>
    <definedName name="ytj" hidden="1">#REF!</definedName>
    <definedName name="ytjtyjre" hidden="1">{#N/A,#N/A,TRUE,"Cover";#N/A,#N/A,TRUE,"Conts";#N/A,#N/A,TRUE,"VOS";#N/A,#N/A,TRUE,"Warrington";#N/A,#N/A,TRUE,"Widnes"}</definedName>
    <definedName name="ytrytr" hidden="1">#REF!</definedName>
    <definedName name="ytuloioio" hidden="1">{#N/A,#N/A,TRUE,"Cover";#N/A,#N/A,TRUE,"Conts";#N/A,#N/A,TRUE,"VOS";#N/A,#N/A,TRUE,"Warrington";#N/A,#N/A,TRUE,"Widnes"}</definedName>
    <definedName name="yu" hidden="1">{#N/A,#N/A,FALSE,"maff_h1";#N/A,#N/A,FALSE,"maff_h2";#N/A,#N/A,FALSE,"maff_h3";#N/A,#N/A,FALSE,"maff_h4";#N/A,#N/A,FALSE,"maff_h5";#N/A,#N/A,FALSE,"maff_h6";#N/A,#N/A,FALSE,"maff_h7"}</definedName>
    <definedName name="yuı" hidden="1">{#N/A,#N/A,FALSE,"avans";#N/A,#N/A,FALSE,"teminat_mektubu";#N/A,#N/A,FALSE,"ihz. icmal";#N/A,#N/A,FALSE,"söz_fiy_fark";#N/A,#N/A,FALSE,"kap2";#N/A,#N/A,FALSE,"mal_FF_icm";#N/A,#N/A,FALSE,"kap1"}</definedName>
    <definedName name="yuıı" hidden="1">{#N/A,#N/A,FALSE,"kal_iç_ihz";#N/A,#N/A,FALSE,"kal_iç_er";#N/A,#N/A,FALSE,"kal_iç_tut"}</definedName>
    <definedName name="yuıjh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yuıkjuj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yuıtl" hidden="1">#REF!</definedName>
    <definedName name="yuıu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yuklömnh" hidden="1">{#N/A,#N/A,FALSE,"ihz. icmal";#N/A,#N/A,FALSE,"avans";#N/A,#N/A,FALSE,"mal_FF_icm";#N/A,#N/A,FALSE,"fat_ihz";#N/A,#N/A,FALSE,"söz_fiy_fark";#N/A,#N/A,FALSE,"kap2"}</definedName>
    <definedName name="yuti7i78o" hidden="1">{#N/A,#N/A,TRUE,"Cover";#N/A,#N/A,TRUE,"Conts";#N/A,#N/A,TRUE,"VOS";#N/A,#N/A,TRUE,"Warrington";#N/A,#N/A,TRUE,"Widnes"}</definedName>
    <definedName name="yutö" hidden="1">#REF!</definedName>
    <definedName name="yutyuyuıyu" hidden="1">{#VALUE!,#N/A,FALSE,0;#N/A,#N/A,FALSE,0;#N/A,#N/A,FALSE,0;#N/A,#N/A,FALSE,0;#N/A,#N/A,FALSE,0;#N/A,#N/A,FALSE,0;#N/A,#N/A,FALSE,0;#N/A,#N/A,FALSE,0;#N/A,#N/A,FALSE,0;#N/A,#N/A,FALSE,0;#N/A,#N/A,FALSE,0;#N/A,#N/A,FALSE,0}</definedName>
    <definedName name="yuu" hidden="1">{#N/A,#N/A,FALSE,"kal_iç_ihz";#N/A,#N/A,FALSE,"kal_iç_er";#N/A,#N/A,FALSE,"kal_iç_tut"}</definedName>
    <definedName name="yuuıı" hidden="1">{#N/A,#N/A,FALSE,"kal_iç_ihz";#N/A,#N/A,FALSE,"kal_iç_er";#N/A,#N/A,FALSE,"kal_iç_tut"}</definedName>
    <definedName name="yuuy" hidden="1">{#N/A,#N/A,FALSE,"maff_h1";#N/A,#N/A,FALSE,"maff_h2";#N/A,#N/A,FALSE,"maff_h3";#N/A,#N/A,FALSE,"maff_h4";#N/A,#N/A,FALSE,"maff_h5";#N/A,#N/A,FALSE,"maff_h6";#N/A,#N/A,FALSE,"maff_h7"}</definedName>
    <definedName name="YUYJĞ" hidden="1">#REF!</definedName>
    <definedName name="ywe4" hidden="1">#REF!</definedName>
    <definedName name="yyu" hidden="1">{#N/A,#N/A,FALSE,"maff_h1";#N/A,#N/A,FALSE,"maff_h2";#N/A,#N/A,FALSE,"maff_h3";#N/A,#N/A,FALSE,"maff_h4";#N/A,#N/A,FALSE,"maff_h5";#N/A,#N/A,FALSE,"maff_h6";#N/A,#N/A,FALSE,"maff_h7"}</definedName>
    <definedName name="yyuı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yyy" hidden="1">{#N/A,#N/A,TRUE,"Cover";#N/A,#N/A,TRUE,"Conts";#N/A,#N/A,TRUE,"VOS";#N/A,#N/A,TRUE,"Warrington";#N/A,#N/A,TRUE,"Widnes"}</definedName>
    <definedName name="yyyy" hidden="1">{#N/A,#N/A,TRUE,"arnitower";#N/A,#N/A,TRUE,"arnigarage "}</definedName>
    <definedName name="yyyyui" hidden="1">{#N/A,#N/A,TRUE,"arnitower";#N/A,#N/A,TRUE,"arnigarage "}</definedName>
    <definedName name="Z">#REF!</definedName>
    <definedName name="Z_0495A18E_E329_11D5_B4A6_00508BDB88CF_.wvu.PrintTitles" hidden="1">#REF!,#REF!</definedName>
    <definedName name="Z_0B6DCAB3_0C05_11D6_B46A_0002A5863B5D_.wvu.PrintTitles" hidden="1">#REF!,#REF!</definedName>
    <definedName name="Z_1D1CC6C3_E7FE_11D5_B431_0002A5E0DFB2_.wvu.PrintTitles" hidden="1">#REF!,#REF!</definedName>
    <definedName name="Z_2BD578FA_E2CB_4B2F_9A88_B148DA6298A5_.wvu.Cols" hidden="1">#REF!</definedName>
    <definedName name="Z_2BD578FA_E2CB_4B2F_9A88_B148DA6298A5_.wvu.PrintArea" hidden="1">#REF!</definedName>
    <definedName name="Z_3F2D3702_5C5D_4EF2_A404_F2A88AB2D490_.wvu.Cols" hidden="1">#REF!,#REF!</definedName>
    <definedName name="Z_643436C3_26BB_11D6_9D08_0002A5E3F096_.wvu.PrintTitles" hidden="1">#REF!,#REF!</definedName>
    <definedName name="Z_64A5637C_AF69_4C06_8364_D9E7DE494AD2_.wvu.Cols">#REF!</definedName>
    <definedName name="Z_64A5637C_AF69_4C06_8364_D9E7DE494AD2_.wvu.PrintArea">#REF!</definedName>
    <definedName name="Z_64A5637C_AF69_4C06_8364_D9E7DE494AD2_.wvu.PrintTitles">#REF!</definedName>
    <definedName name="Z_64A5637C_AF69_4C06_8364_D9E7DE494AD2_.wvu.PrintTitles_1">#REF!</definedName>
    <definedName name="Z_66F3A4F2_2C30_11D6_B712_00805FD77286_.wvu.PrintTitles" hidden="1">#REF!,#REF!</definedName>
    <definedName name="Z_6FD68921_FD8A_11D1_84A4_444553540000_.wvu.Cols" hidden="1">#REF!</definedName>
    <definedName name="Z_703B6740_182A_11D2_A90A_0060978CF3DC_.wvu.PrintArea" hidden="1">#REF!</definedName>
    <definedName name="Z_87FC2C73_120F_4A0A_A49E_0CF96AAB3E9C_.wvu.FilterData" hidden="1">#REF!</definedName>
    <definedName name="Z_9858B950_CFCD_11D4_A6D2_00508BC7FCD7_.wvu.Cols" hidden="1">#REF!,#REF!,#REF!,#REF!</definedName>
    <definedName name="Z_9858B950_CFCD_11D4_A6D2_00508BC7FCD7_.wvu.PrintArea" hidden="1">#REF!</definedName>
    <definedName name="Z_9858B950_CFCD_11D4_A6D2_00508BC7FCD7_.wvu.Rows" hidden="1">#REF!,#REF!,#REF!</definedName>
    <definedName name="Z_A3AB2944_E33D_11D5_9D1B_00508B95C9AB_.wvu.PrintTitles" hidden="1">#REF!,#REF!</definedName>
    <definedName name="Z_A75F49D2_3660_11D6_B454_00508BF1A9ED_.wvu.PrintTitles" hidden="1">#REF!,#REF!</definedName>
    <definedName name="Z_B3255642_8A6B_11D5_916F_005004920FCB_.wvu.PrintTitles" hidden="1">#REF!</definedName>
    <definedName name="Z_B4FBE445_2D8D_43B4_BC5E_E9EE4C1CC502_.wvu.Cols" hidden="1">#REF!</definedName>
    <definedName name="Z_B4FBE445_2D8D_43B4_BC5E_E9EE4C1CC502_.wvu.FilterData" hidden="1">#REF!</definedName>
    <definedName name="Z_CEF2306C_2787_11D6_B46E_0002A5E0DFB2_.wvu.PrintTitles" hidden="1">#REF!,#REF!</definedName>
    <definedName name="Z_D5DCA881_BA8A_11D4_95D5_00508BC7A72F_.wvu.Rows" hidden="1">#REF!,#REF!,#REF!</definedName>
    <definedName name="Z_E0ACF7AE_80F8_401D_8BF6_C6039677A602_.wvu.Cols" hidden="1">#REF!,#REF!</definedName>
    <definedName name="Z_E0ACF7AE_80F8_401D_8BF6_C6039677A602_.wvu.FilterData" hidden="1">#REF!</definedName>
    <definedName name="Z_E0ACF7AE_80F8_401D_8BF6_C6039677A602_.wvu.PrintArea" hidden="1">#REF!</definedName>
    <definedName name="Z_E0ACF7AE_80F8_401D_8BF6_C6039677A602_.wvu.PrintTitles" hidden="1">#REF!</definedName>
    <definedName name="Z_E0ACF7AE_80F8_401D_8BF6_C6039677A602_.wvu.Rows" hidden="1">#REF!,#REF!,#REF!</definedName>
    <definedName name="z_general">#REF!</definedName>
    <definedName name="za" hidden="1">{#N/A,#N/A,FALSE,"Çaykara ataköy (1)";#N/A,#N/A,FALSE,"Çaykara ataköy (2)";#N/A,#N/A,FALSE,"Rize Kalkandere ";#N/A,#N/A,FALSE,"meydancık";#N/A,#N/A,FALSE,"muratlı"}</definedName>
    <definedName name="zaed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c" hidden="1">{#N/A,#N/A,TRUE,"arnitower";#N/A,#N/A,TRUE,"arnigarage "}</definedName>
    <definedName name="zep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O">#N/A</definedName>
    <definedName name="Zi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k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s" hidden="1">#REF!</definedName>
    <definedName name="zSAPtemp4509" hidden="1">2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xc" hidden="1">#REF!</definedName>
    <definedName name="ZXCV" hidden="1">{#N/A,#N/A,FALSE,"CCTV"}</definedName>
    <definedName name="zxgsdfg" hidden="1">{"'Bill No. 7'!$A$1:$G$32"}</definedName>
    <definedName name="zxgsdfg_1" hidden="1">{"'Bill No. 7'!$A$1:$G$32"}</definedName>
    <definedName name="zxgsdfg_2" hidden="1">{"'Bill No. 7'!$A$1:$G$32"}</definedName>
    <definedName name="zxgsdfg_3" hidden="1">{"'Bill No. 7'!$A$1:$G$32"}</definedName>
    <definedName name="ZZ" hidden="1">{#N/A,#N/A,TRUE,"총괄"}</definedName>
    <definedName name="zzz" hidden="1">{#N/A,#N/A,TRUE,"Cover";#N/A,#N/A,TRUE,"Conts";#N/A,#N/A,TRUE,"VOS";#N/A,#N/A,TRUE,"Warrington";#N/A,#N/A,TRUE,"Widnes"}</definedName>
    <definedName name="zzzzzz" hidden="1">#REF!</definedName>
    <definedName name="zzzzzzzzzzzz" hidden="1">{#N/A,#N/A,FALSE,"COVER.XLS";#N/A,#N/A,FALSE,"RACT1.XLS";#N/A,#N/A,FALSE,"RACT2.XLS";#N/A,#N/A,FALSE,"ECCMP";#N/A,#N/A,FALSE,"WELDER.XLS"}</definedName>
    <definedName name="あ１">#REF!</definedName>
    <definedName name="あああ" hidden="1">{"'000228 出張報告書'!$A$1:$AE$60"}</definedName>
    <definedName name="ﾃﾞｰﾀ転送DB1">#REF!</definedName>
    <definedName name="ㄱ" hidden="1">{#N/A,#N/A,FALSE,"기안지";#N/A,#N/A,FALSE,"통신지"}</definedName>
    <definedName name="ㄱㄱㄱ" hidden="1">{#N/A,#N/A,FALSE,"표지목차"}</definedName>
    <definedName name="ㄱㄷㄷㄱ" hidden="1">{#N/A,#N/A,FALSE,"구조2"}</definedName>
    <definedName name="ㄱㄹㅇㄷ" hidden="1">#REF!</definedName>
    <definedName name="ㄱㅁㄴ" hidden="1">{#N/A,#N/A,FALSE,"토공2"}</definedName>
    <definedName name="ㄱ미" hidden="1">{#N/A,#N/A,TRUE,"Basic";#N/A,#N/A,TRUE,"EXT-TABLE";#N/A,#N/A,TRUE,"STEEL";#N/A,#N/A,TRUE,"INT-Table";#N/A,#N/A,TRUE,"STEEL";#N/A,#N/A,TRUE,"Door"}</definedName>
    <definedName name="ㄱㅂㅎㄼㅎ" hidden="1">#REF!</definedName>
    <definedName name="ㄱㅈ4ㄷ" hidden="1">#REF!</definedName>
    <definedName name="가" hidden="1">{#N/A,#N/A,FALSE,"결의서";#N/A,#N/A,FALSE,"내역서";#N/A,#N/A,FALSE,"도급예상";#N/A,#N/A,FALSE,"시방서"}</definedName>
    <definedName name="가나다" hidden="1">#REF!</definedName>
    <definedName name="개요" hidden="1">{#N/A,#N/A,FALSE,"조골재"}</definedName>
    <definedName name="거적" hidden="1">#REF!</definedName>
    <definedName name="건축" hidden="1">{#N/A,#N/A,TRUE,"토적및재료집계";#N/A,#N/A,TRUE,"토적및재료집계";#N/A,#N/A,TRUE,"단위량"}</definedName>
    <definedName name="겉표지" hidden="1">{#N/A,#N/A,TRUE,"Basic";#N/A,#N/A,TRUE,"EXT-TABLE";#N/A,#N/A,TRUE,"STEEL";#N/A,#N/A,TRUE,"INT-Table";#N/A,#N/A,TRUE,"STEEL";#N/A,#N/A,TRUE,"Door"}</definedName>
    <definedName name="겡오" hidden="1">{#N/A,#N/A,FALSE,"CCTV"}</definedName>
    <definedName name="견적2" hidden="1">{#N/A,#N/A,FALSE,"CCTV"}</definedName>
    <definedName name="견적SHEET" hidden="1">{#N/A,#N/A,FALSE,"CCTV"}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비교표_ACC용량변경전" hidden="1">#REF!</definedName>
    <definedName name="견적조건" hidden="1">#REF!</definedName>
    <definedName name="견적품의서" hidden="1">{"'장비'!$A$3:$M$12"}</definedName>
    <definedName name="견적품의서1" hidden="1">{"'장비'!$A$3:$M$12"}</definedName>
    <definedName name="결의" hidden="1">{#N/A,#N/A,FALSE,"결의서";#N/A,#N/A,FALSE,"내역서";#N/A,#N/A,FALSE,"도급예상";#N/A,#N/A,FALSE,"시방서"}</definedName>
    <definedName name="경비1" hidden="1">#REF!</definedName>
    <definedName name="계장공사" hidden="1">{#N/A,#N/A,FALSE,"CCTV"}</definedName>
    <definedName name="계전2" hidden="1">#REF!</definedName>
    <definedName name="고" hidden="1">{#N/A,#N/A,FALSE,"조골재"}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무" hidden="1">#REF!</definedName>
    <definedName name="공사원가계산서" hidden="1">{#N/A,#N/A,TRUE,"토적및재료집계";#N/A,#N/A,TRUE,"토적및재료집계";#N/A,#N/A,TRUE,"단위량"}</definedName>
    <definedName name="공장동" hidden="1">#REF!</definedName>
    <definedName name="공종간지" hidden="1">#REF!</definedName>
    <definedName name="곷사" hidden="1">#REF!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교통" hidden="1">#REF!</definedName>
    <definedName name="구조1" hidden="1">{#N/A,#N/A,FALSE,"부대1"}</definedName>
    <definedName name="구조물" hidden="1">{#N/A,#N/A,FALSE,"속도"}</definedName>
    <definedName name="구조물공" hidden="1">{#N/A,#N/A,FALSE,"이정표"}</definedName>
    <definedName name="구조물공사" hidden="1">{#N/A,#N/A,TRUE,"토적및재료집계";#N/A,#N/A,TRUE,"토적및재료집계";#N/A,#N/A,TRUE,"단위량"}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구조직080102" hidden="1">{#N/A,#N/A,FALSE,"현장 NCR 분석";#N/A,#N/A,FALSE,"현장품질감사";#N/A,#N/A,FALSE,"현장품질감사"}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" hidden="1">{#N/A,#N/A,TRUE,"Basic";#N/A,#N/A,TRUE,"EXT-TABLE";#N/A,#N/A,TRUE,"STEEL";#N/A,#N/A,TRUE,"INT-Table";#N/A,#N/A,TRUE,"STEEL";#N/A,#N/A,TRUE,"Door"}</definedName>
    <definedName name="김1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ㄳ" hidden="1">{#N/A,#N/A,FALSE,"단가표지"}</definedName>
    <definedName name="ㄴㄴ" hidden="1">{#N/A,#N/A,FALSE,"표지목차"}</definedName>
    <definedName name="ㄴㄻㄴㅇ" hidden="1">{#N/A,#N/A,FALSE,"조골재"}</definedName>
    <definedName name="ㄴㅁㄹㄴㅁㅇㄴㅇㅁㄹㄴ" hidden="1">{#N/A,#N/A,FALSE,"단가표지"}</definedName>
    <definedName name="ㄴㅁㄹㅈㄹ" hidden="1">#REF!</definedName>
    <definedName name="ㄴㅇ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ㄴㅇㄹ" hidden="1">{#N/A,#N/A,FALSE,"CCTV"}</definedName>
    <definedName name="나" hidden="1">{#N/A,#N/A,FALSE,"결의서";#N/A,#N/A,FALSE,"내역서";#N/A,#N/A,FALSE,"도급예상";#N/A,#N/A,FALSE,"시방서"}</definedName>
    <definedName name="내역" hidden="1">#REF!</definedName>
    <definedName name="넣러" hidden="1">{#N/A,#N/A,FALSE,"표지목차"}</definedName>
    <definedName name="노트" hidden="1">{#N/A,#N/A,TRUE,"총괄"}</definedName>
    <definedName name="놓ㄹ노" hidden="1">{#N/A,#N/A,FALSE,"골재소요량";#N/A,#N/A,FALSE,"골재소요량"}</definedName>
    <definedName name="ㄶㅇㅀㄴㅇ" hidden="1">{#N/A,#N/A,FALSE,"표지목차"}</definedName>
    <definedName name="ㄷ" hidden="1">{#N/A,#N/A,TRUE,"토적및재료집계";#N/A,#N/A,TRUE,"토적및재료집계";#N/A,#N/A,TRUE,"단위량"}</definedName>
    <definedName name="ㄷㄱ" hidden="1">{#N/A,#N/A,FALSE,"단가표지"}</definedName>
    <definedName name="ㄷㄷㄷ" hidden="1">{#N/A,#N/A,FALSE,"운반시간"}</definedName>
    <definedName name="ㄷㄷㄷㄷㄷ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ㅎㄹㅇ" hidden="1">#REF!</definedName>
    <definedName name="다" hidden="1">{#N/A,#N/A,FALSE,"신청통보";#N/A,#N/A,FALSE,"기성확인서";#N/A,#N/A,FALSE,"기성내역서"}</definedName>
    <definedName name="다라" hidden="1">{#N/A,#N/A,FALSE,"표지목차"}</definedName>
    <definedName name="단가산출서총체" hidden="1">{#N/A,#N/A,TRUE,"총괄"}</definedName>
    <definedName name="당초계획" hidden="1">#REF!</definedName>
    <definedName name="도면외주" hidden="1">#REF!</definedName>
    <definedName name="도면용역비" hidden="1">#REF!</definedName>
    <definedName name="ㄹㄴㄹ" hidden="1">#REF!</definedName>
    <definedName name="ㄹㄴㅇㄻㄴ" hidden="1">{#N/A,#N/A,FALSE,"단가표지"}</definedName>
    <definedName name="ㄹㄴ웋" hidden="1">{#N/A,#N/A,FALSE,"운반시간"}</definedName>
    <definedName name="ㄹ너" hidden="1">{#N/A,#N/A,FALSE,"신청통보";#N/A,#N/A,FALSE,"기성확인서";#N/A,#N/A,FALSE,"기성내역서"}</definedName>
    <definedName name="ㄹㅇㄹ" hidden="1">{#N/A,#N/A,FALSE,"혼합골재"}</definedName>
    <definedName name="ㄹㅇㅎㄴㅇ" hidden="1">{#N/A,#N/A,FALSE,"조골재"}</definedName>
    <definedName name="라나" hidden="1">{#N/A,#N/A,FALSE,"신청통보";#N/A,#N/A,FALSE,"기성확인서";#N/A,#N/A,FALSE,"기성내역서"}</definedName>
    <definedName name="라라" hidden="1">{#N/A,#N/A,FALSE,"신청통보";#N/A,#N/A,FALSE,"기성확인서";#N/A,#N/A,FALSE,"기성내역서"}</definedName>
    <definedName name="래그" hidden="1">{#N/A,#N/A,FALSE,"CCTV"}</definedName>
    <definedName name="롱" hidden="1">{#N/A,#N/A,FALSE,"배수2"}</definedName>
    <definedName name="류" hidden="1">{#N/A,#N/A,FALSE,"부대2"}</definedName>
    <definedName name="ㄻ" hidden="1">{#N/A,#N/A,FALSE,"포장2"}</definedName>
    <definedName name="ㄻㄴㄹㅇㄴㅁ" hidden="1">{#N/A,#N/A,FALSE,"운반시간"}</definedName>
    <definedName name="ㄻㄴㅇㄻㄴ" hidden="1">{#N/A,#N/A,FALSE,"단가표지"}</definedName>
    <definedName name="ㄻㄴㅇㄻㄴㄹ" hidden="1">{#N/A,#N/A,FALSE,"2~8번"}</definedName>
    <definedName name="ㄻㄴㅇㄻㄴㄻㄴㅁㄴ" hidden="1">{#N/A,#N/A,FALSE,"단가표지"}</definedName>
    <definedName name="ㄻㄴㅇㄻㄴㅁ" hidden="1">{#N/A,#N/A,FALSE,"운반시간"}</definedName>
    <definedName name="ㄻㄴㅇㄻㄴㅇ" hidden="1">{#N/A,#N/A,FALSE,"단가표지"}</definedName>
    <definedName name="ㄻㄴㅇㄻㄴㅇㄻ" hidden="1">{#N/A,#N/A,FALSE,"표지목차"}</definedName>
    <definedName name="ㄻㄴㅇㅁㄴㅇ" hidden="1">{#N/A,#N/A,FALSE,"단가표지"}</definedName>
    <definedName name="ㄻㅁ" hidden="1">{#N/A,#N/A,FALSE,"조골재"}</definedName>
    <definedName name="ㅀ" hidden="1">{#N/A,#N/A,TRUE,"토적및재료집계";#N/A,#N/A,TRUE,"토적및재료집계";#N/A,#N/A,TRUE,"단위량"}</definedName>
    <definedName name="ㅀㅇㅁ" hidden="1">{#N/A,#N/A,FALSE,"골재소요량";#N/A,#N/A,FALSE,"골재소요량"}</definedName>
    <definedName name="ㅁ">#N/A</definedName>
    <definedName name="ㅁㄴㄹㄴ" hidden="1">{#N/A,#N/A,FALSE,"운반시간"}</definedName>
    <definedName name="ㅁㄴㄹㅇㅁ" hidden="1">{#N/A,#N/A,FALSE,"단가표지"}</definedName>
    <definedName name="ㅁㄴㄹㅇㅁㄴㅇ" hidden="1">#REF!</definedName>
    <definedName name="ㅁㄴㅇ" hidden="1">{#N/A,#N/A,TRUE,"총괄"}</definedName>
    <definedName name="ㅁㄴㅇㅁㄴㅇ" hidden="1">#REF!</definedName>
    <definedName name="ㅁㄹㄴㅇ" hidden="1">{#N/A,#N/A,FALSE,"단가표지"}</definedName>
    <definedName name="ㅁㄹㄴㅇㄻㄴㄹ" hidden="1">{#N/A,#N/A,FALSE,"골재소요량";#N/A,#N/A,FALSE,"골재소요량"}</definedName>
    <definedName name="ㅁㄹㄴㅇㅁ" hidden="1">{#N/A,#N/A,FALSE,"표지목차"}</definedName>
    <definedName name="ㅁㄹㅇㄴ" hidden="1">{#N/A,#N/A,FALSE,"단가표지"}</definedName>
    <definedName name="ㅁㄹㅇㅁㄴ" hidden="1">{#N/A,#N/A,FALSE,"골재소요량";#N/A,#N/A,FALSE,"골재소요량"}</definedName>
    <definedName name="ㅁㄻㄴㄹ" hidden="1">{#N/A,#N/A,FALSE,"골재소요량";#N/A,#N/A,FALSE,"골재소요량"}</definedName>
    <definedName name="ㅁㅁ" hidden="1">{#N/A,#N/A,FALSE,"CCTV"}</definedName>
    <definedName name="ㅁㅁㅁㅁ" hidden="1">{#N/A,#N/A,FALSE,"혼합골재"}</definedName>
    <definedName name="ㅁㅇㄹㄴㅇㅁㄹ" hidden="1">{#N/A,#N/A,FALSE,"운반시간"}</definedName>
    <definedName name="ㅁㅇㄻ" hidden="1">{#N/A,#N/A,FALSE,"조골재"}</definedName>
    <definedName name="ㅁㅇㄻㄴㄹ" hidden="1">{#N/A,#N/A,FALSE,"혼합골재"}</definedName>
    <definedName name="ㅁㅇㄻㅇㅎ" hidden="1">{#N/A,#N/A,FALSE,"조골재"}</definedName>
    <definedName name="ㅁㅇㅀㅁㅇ" hidden="1">{#N/A,#N/A,FALSE,"단가표지"}</definedName>
    <definedName name="ㅁㅎㄻㅇㄻ" hidden="1">{#N/A,#N/A,FALSE,"운반시간"}</definedName>
    <definedName name="ㅁㅎㅇㅀㅁㅇ" hidden="1">{#N/A,#N/A,FALSE,"2~8번"}</definedName>
    <definedName name="ㅁㅎㅇㅀㅁㅎ" hidden="1">{#N/A,#N/A,FALSE,"단가표지"}</definedName>
    <definedName name="만득이" hidden="1">{#N/A,#N/A,FALSE,"2~8번"}</definedName>
    <definedName name="매출액" hidden="1">#REF!</definedName>
    <definedName name="뭉" hidden="1">{"'장비'!$A$3:$M$12"}</definedName>
    <definedName name="ㅂ" hidden="1">{#N/A,#N/A,FALSE,"표지목차"}</definedName>
    <definedName name="ㅂㅂ" hidden="1">{#N/A,#N/A,FALSE,"단가표지"}</definedName>
    <definedName name="ㅂㅂㅂ" hidden="1">{#N/A,#N/A,FALSE,"토공2"}</definedName>
    <definedName name="ㅂㅂㅂㅂ" hidden="1">{#N/A,#N/A,FALSE,"조골재"}</definedName>
    <definedName name="ㅂㅈ" hidden="1">{#N/A,#N/A,FALSE,"Sheet1"}</definedName>
    <definedName name="바뀌" hidden="1">#REF!</definedName>
    <definedName name="배수공" hidden="1">{#N/A,#N/A,FALSE,"부대1"}</definedName>
    <definedName name="벽체" hidden="1">{#N/A,#N/A,FALSE,"혼합골재"}</definedName>
    <definedName name="벽체1" hidden="1">{#N/A,#N/A,FALSE,"혼합골재"}</definedName>
    <definedName name="보충" hidden="1">#REF!</definedName>
    <definedName name="부대" hidden="1">{#N/A,#N/A,FALSE,"골재소요량";#N/A,#N/A,FALSE,"골재소요량"}</definedName>
    <definedName name="부대1" hidden="1">{#N/A,#N/A,FALSE,"운반시간"}</definedName>
    <definedName name="부대공사" hidden="1">#REF!</definedName>
    <definedName name="부대구조" hidden="1">{#N/A,#N/A,FALSE,"골재소요량";#N/A,#N/A,FALSE,"골재소요량"}</definedName>
    <definedName name="부대방안" hidden="1">{#N/A,#N/A,FALSE,"단가표지"}</definedName>
    <definedName name="부손익" hidden="1">{#N/A,#N/A,FALSE,"현장 NCR 분석";#N/A,#N/A,FALSE,"현장품질감사";#N/A,#N/A,FALSE,"현장품질감사"}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뷰" hidden="1">{#N/A,#N/A,FALSE,"단가표지"}</definedName>
    <definedName name="비교" hidden="1">255</definedName>
    <definedName name="비교표1" hidden="1">255</definedName>
    <definedName name="비교표2" hidden="1">#REF!</definedName>
    <definedName name="ㅅ" hidden="1">#REF!</definedName>
    <definedName name="ㅅ굲유" hidden="1">{#N/A,#N/A,FALSE,"조골재"}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hidden="1">#REF!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삼성" hidden="1">{#N/A,#N/A,FALSE,"결의서";#N/A,#N/A,FALSE,"내역서";#N/A,#N/A,FALSE,"도급예상";#N/A,#N/A,FALSE,"시방서"}</definedName>
    <definedName name="상각비2" hidden="1">#REF!</definedName>
    <definedName name="상수도2차" hidden="1">{#N/A,#N/A,FALSE,"결의서";#N/A,#N/A,FALSE,"내역서";#N/A,#N/A,FALSE,"도급예상";#N/A,#N/A,FALSE,"시방서"}</definedName>
    <definedName name="상수도3차" hidden="1">{#N/A,#N/A,FALSE,"결의서";#N/A,#N/A,FALSE,"내역서";#N/A,#N/A,FALSE,"도급예상";#N/A,#N/A,FALSE,"시방서"}</definedName>
    <definedName name="새로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설" hidden="1">{#N/A,#N/A,TRUE,"총괄"}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변" hidden="1">{#N/A,#N/A,TRUE,"총괄"}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소솟" hidden="1">#REF!</definedName>
    <definedName name="소유" hidden="1">#REF!</definedName>
    <definedName name="손익계산서" hidden="1">#REF!</definedName>
    <definedName name="수" hidden="1">{#N/A,#N/A,TRUE,"Basic";#N/A,#N/A,TRUE,"EXT-TABLE";#N/A,#N/A,TRUE,"STEEL";#N/A,#N/A,TRUE,"INT-Table";#N/A,#N/A,TRUE,"STEEL";#N/A,#N/A,TRUE,"Door"}</definedName>
    <definedName name="승용교" hidden="1">{#N/A,#N/A,FALSE,"2~8번"}</definedName>
    <definedName name="시트" hidden="1">1</definedName>
    <definedName name="신호등" hidden="1">{#N/A,#N/A,FALSE,"신청통보";#N/A,#N/A,FALSE,"기성확인서";#N/A,#N/A,FALSE,"기성내역서"}</definedName>
    <definedName name="실" hidden="1">{#N/A,#N/A,FALSE,"신청통보";#N/A,#N/A,FALSE,"기성확인서";#N/A,#N/A,FALSE,"기성내역서"}</definedName>
    <definedName name="실사" hidden="1">{#N/A,#N/A,TRUE,"arnitower";#N/A,#N/A,TRUE,"arnigarage "}</definedName>
    <definedName name="실적총괄1" hidden="1">#REF!</definedName>
    <definedName name="실총" hidden="1">#REF!</definedName>
    <definedName name="실행검토" hidden="1">#REF!</definedName>
    <definedName name="실행내역" hidden="1">{#N/A,#N/A,FALSE,"부대1"}</definedName>
    <definedName name="실행예상액" hidden="1">#REF!</definedName>
    <definedName name="실행추" hidden="1">{#N/A,#N/A,FALSE,"포장2"}</definedName>
    <definedName name="ㅇㄴ" hidden="1">{#N/A,#N/A,FALSE,"구조2"}</definedName>
    <definedName name="ㅇㄴㄻ" hidden="1">{#N/A,#N/A,FALSE,"표지목차"}</definedName>
    <definedName name="ㅇㄴㄻㄴㅇ" hidden="1">{#N/A,#N/A,FALSE,"표지목차"}</definedName>
    <definedName name="ㅇㄴㅁ" hidden="1">#REF!</definedName>
    <definedName name="ㅇㄹㄹ" hidden="1">#REF!</definedName>
    <definedName name="ㅇㄻㅇㄻㄴㄹ" hidden="1">{#N/A,#N/A,FALSE,"단가표지"}</definedName>
    <definedName name="ㅇㅀㅁㅇㅁㅇ" hidden="1">{#N/A,#N/A,FALSE,"단가표지"}</definedName>
    <definedName name="ㅇ호" hidden="1">{#N/A,#N/A,FALSE,"혼합골재"}</definedName>
    <definedName name="안전점검을" hidden="1">{#N/A,#N/A,FALSE,"결의서";#N/A,#N/A,FALSE,"내역서";#N/A,#N/A,FALSE,"도급예상";#N/A,#N/A,FALSE,"시방서"}</definedName>
    <definedName name="업체요건" hidden="1">{#N/A,#N/A,FALSE,"표지목차"}</definedName>
    <definedName name="연습" hidden="1">#REF!</definedName>
    <definedName name="연습2" hidden="1">#REF!</definedName>
    <definedName name="영업외비용" hidden="1">#REF!</definedName>
    <definedName name="오" hidden="1">#REF!</definedName>
    <definedName name="옹" hidden="1">{#N/A,#N/A,FALSE,"골재소요량";#N/A,#N/A,FALSE,"골재소요량"}</definedName>
    <definedName name="옹벽" hidden="1">{#N/A,#N/A,FALSE,"혼합골재"}</definedName>
    <definedName name="옹벽수량집계표" hidden="1">{#N/A,#N/A,FALSE,"2~8번"}</definedName>
    <definedName name="옹벽수량집계표총괄" hidden="1">{#N/A,#N/A,FALSE,"혼합골재"}</definedName>
    <definedName name="완성" hidden="1">#REF!</definedName>
    <definedName name="우오수공" hidden="1">{#N/A,#N/A,FALSE,"기안지";#N/A,#N/A,FALSE,"통신지"}</definedName>
    <definedName name="우ㅗ홓ㅇ" hidden="1">{#N/A,#N/A,FALSE,"조골재"}</definedName>
    <definedName name="원가계산서1" hidden="1">{#N/A,#N/A,TRUE,"총괄"}</definedName>
    <definedName name="원남내역" hidden="1">#REF!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#REF!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정표" hidden="1">{#N/A,#N/A,FALSE,"이정표"}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2" hidden="1">{#N/A,#N/A,FALSE,"CCTV"}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일" hidden="1">#REF!</definedName>
    <definedName name="입적표" hidden="1">{#N/A,#N/A,FALSE,"전체집계표";#N/A,#N/A,FALSE,"안벽30000";#N/A,#N/A,FALSE,"안벽20000";#N/A,#N/A,FALSE,"내호안";#N/A,#N/A,FALSE,"외호안";#N/A,#N/A,FALSE,"준설토A";#N/A,#N/A,FALSE,"준설토B";#N/A,#N/A,FALSE,"적출장"}</definedName>
    <definedName name="ㅈ" hidden="1">{#N/A,#N/A,FALSE,"CCTV"}</definedName>
    <definedName name="ㅈㄱ" hidden="1">{#N/A,#N/A,FALSE,"CCTV"}</definedName>
    <definedName name="ㅈ그" hidden="1">{#N/A,#N/A,FALSE,"CCTV"}</definedName>
    <definedName name="ㅈㅈ" hidden="1">{"'장비'!$A$3:$M$12"}</definedName>
    <definedName name="자운" hidden="1">#REF!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단가" hidden="1">{#N/A,#N/A,TRUE,"총괄"}</definedName>
    <definedName name="자재업" hidden="1">#N/A</definedName>
    <definedName name="작업반" hidden="1">{#N/A,#N/A,FALSE,"부대2"}</definedName>
    <definedName name="장비" hidden="1">{#N/A,#N/A,FALSE,"CCTV"}</definedName>
    <definedName name="장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계장금액" hidden="1">#REF!</definedName>
    <definedName name="전기공사비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선관및접지내역서" hidden="1">#REF!</definedName>
    <definedName name="전선조장" hidden="1">#REF!</definedName>
    <definedName name="정윤진" hidden="1">{#N/A,#N/A,TRUE,"Basic";#N/A,#N/A,TRUE,"EXT-TABLE";#N/A,#N/A,TRUE,"STEEL";#N/A,#N/A,TRUE,"INT-Table";#N/A,#N/A,TRUE,"STEEL";#N/A,#N/A,TRUE,"Door"}</definedName>
    <definedName name="조건2" hidden="1">{#N/A,#N/A,FALSE,"CCTV"}</definedName>
    <definedName name="조사가" hidden="1">#REF!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준설선임대대비" hidden="1">{#N/A,#N/A,TRUE,"Basic";#N/A,#N/A,TRUE,"EXT-TABLE";#N/A,#N/A,TRUE,"STEEL";#N/A,#N/A,TRUE,"INT-Table";#N/A,#N/A,TRUE,"STEEL";#N/A,#N/A,TRUE,"Door"}</definedName>
    <definedName name="즈" hidden="1">{#N/A,#N/A,FALSE,"CCTV"}</definedName>
    <definedName name="지입자재내역" hidden="1">#REF!</definedName>
    <definedName name="직매54P" hidden="1">{#N/A,#N/A,TRUE,"토적및재료집계";#N/A,#N/A,TRUE,"토적및재료집계";#N/A,#N/A,TRUE,"단위량"}</definedName>
    <definedName name="ㅊ" hidden="1">{#N/A,#N/A,TRUE,"총괄"}</definedName>
    <definedName name="ㅊㅍㅋㅌㅊㅋ" hidden="1">{#N/A,#N/A,FALSE,"운반시간"}</definedName>
    <definedName name="ㅊㅍㅋㅌㅍㅌ" hidden="1">{#N/A,#N/A,FALSE,"혼합골재"}</definedName>
    <definedName name="찰샇기" hidden="1">#REF!</definedName>
    <definedName name="첫장" hidden="1">{#N/A,#N/A,TRUE,"총괄"}</definedName>
    <definedName name="총갑지" hidden="1">#REF!</definedName>
    <definedName name="총괄" hidden="1">{#N/A,#N/A,TRUE,"총괄"}</definedName>
    <definedName name="총괄1" hidden="1">{#N/A,#N/A,TRUE,"총괄"}</definedName>
    <definedName name="총괄내역" hidden="1">{#N/A,#N/A,TRUE,"총괄"}</definedName>
    <definedName name="총괄내역서" hidden="1">{#N/A,#N/A,TRUE,"총괄"}</definedName>
    <definedName name="총괄표" hidden="1">#REF!</definedName>
    <definedName name="총괄표0" hidden="1">#REF!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캬하" hidden="1">{#N/A,#N/A,FALSE,"결의서";#N/A,#N/A,FALSE,"내역서";#N/A,#N/A,FALSE,"도급예상";#N/A,#N/A,FALSE,"시방서"}</definedName>
    <definedName name="케이블간지" hidden="1">{#N/A,#N/A,TRUE,"토적및재료집계";#N/A,#N/A,TRUE,"토적및재료집계";#N/A,#N/A,TRUE,"단위량"}</definedName>
    <definedName name="ㅌㅍ츛ㅌ" hidden="1">{#N/A,#N/A,FALSE,"운반시간"}</definedName>
    <definedName name="터널" hidden="1">{#N/A,#N/A,FALSE,"부대1"}</definedName>
    <definedName name="테스크" hidden="1">{#N/A,#N/A,FALSE,"단가표지"}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건" hidden="1">{"'장비'!$A$3:$M$12"}</definedName>
    <definedName name="토건공사비대비r" hidden="1">{"'장비'!$A$3:$M$12"}</definedName>
    <definedName name="토건업체" hidden="1">{"'장비'!$A$3:$M$12"}</definedName>
    <definedName name="토건집계표r" hidden="1">{"'장비'!$A$3:$M$12"}</definedName>
    <definedName name="토공" hidden="1">{#N/A,#N/A,FALSE,"포장2"}</definedName>
    <definedName name="토공222" hidden="1">{#N/A,#N/A,FALSE,"토공2"}</definedName>
    <definedName name="토공량" hidden="1">{#N/A,#N/A,FALSE,"기안지";#N/A,#N/A,FALSE,"통신지"}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견적" hidden="1">{#N/A,#N/A,FALSE,"골재소요량";#N/A,#N/A,FALSE,"골재소요량"}</definedName>
    <definedName name="토목내역" hidden="1">{#N/A,#N/A,FALSE,"부대2"}</definedName>
    <definedName name="토목내역서" hidden="1">{#N/A,#N/A,FALSE,"배수2"}</definedName>
    <definedName name="토목설계" hidden="1">{#N/A,#N/A,FALSE,"골재소요량";#N/A,#N/A,FALSE,"골재소요량"}</definedName>
    <definedName name="토목실행" hidden="1">{#N/A,#N/A,FALSE,"골재소요량";#N/A,#N/A,FALSE,"골재소요량"}</definedName>
    <definedName name="투찰" hidden="1">{#N/A,#N/A,FALSE,"단가표지"}</definedName>
    <definedName name="투찰예정가50" hidden="1">{"'장비'!$A$3:$M$12"}</definedName>
    <definedName name="투찰예정본부장" hidden="1">{"'장비'!$A$3:$M$12"}</definedName>
    <definedName name="ㅍ" hidden="1">{#N/A,#N/A,FALSE,"조골재"}</definedName>
    <definedName name="ㅍ춫" hidden="1">{#N/A,#N/A,FALSE,"골재소요량";#N/A,#N/A,FALSE,"골재소요량"}</definedName>
    <definedName name="ㅍ츝" hidden="1">{#N/A,#N/A,FALSE,"표지목차"}</definedName>
    <definedName name="ㅍㅍ" hidden="1">{#N/A,#N/A,TRUE,"토적및재료집계";#N/A,#N/A,TRUE,"토적및재료집계";#N/A,#N/A,TRUE,"단위량"}</definedName>
    <definedName name="평당단가" hidden="1">#REF!</definedName>
    <definedName name="표지" hidden="1">#REF!</definedName>
    <definedName name="ㅎㄴ" hidden="1">{#N/A,#N/A,FALSE,"단가표지"}</definedName>
    <definedName name="ㅎㄹㄴㅇ" hidden="1">{#N/A,#N/A,FALSE,"단가표지"}</definedName>
    <definedName name="ㅎㄹㅇㄴ" hidden="1">{#N/A,#N/A,FALSE,"골재소요량";#N/A,#N/A,FALSE,"골재소요량"}</definedName>
    <definedName name="ㅎㄹㅇㅁㅁㅎ" hidden="1">{#N/A,#N/A,FALSE,"조골재"}</definedName>
    <definedName name="ㅎㄹㅇㅁㅎㅁ" hidden="1">{#N/A,#N/A,FALSE,"표지목차"}</definedName>
    <definedName name="ㅎㄹㅇㅎ" hidden="1">{#N/A,#N/A,FALSE,"단가표지"}</definedName>
    <definedName name="ㅎㄹㅇㅎㅇㅁㅎ" hidden="1">{#N/A,#N/A,FALSE,"운반시간"}</definedName>
    <definedName name="ㅎ륜ㅇㄹ" hidden="1">{#N/A,#N/A,FALSE,"2~8번"}</definedName>
    <definedName name="ㅎ르ㅓㅗㅓ" hidden="1">{#N/A,#N/A,FALSE,"골재소요량";#N/A,#N/A,FALSE,"골재소요량"}</definedName>
    <definedName name="ㅎㄻㄹㅇㅎㅇㅁ" hidden="1">{#N/A,#N/A,FALSE,"혼합골재"}</definedName>
    <definedName name="ㅎㄻㅇㅎㅁㅇㅎㅁㅇㅎ" hidden="1">{#N/A,#N/A,FALSE,"골재소요량";#N/A,#N/A,FALSE,"골재소요량"}</definedName>
    <definedName name="ㅎㅁㅇㅀㅁㅇ" hidden="1">{#N/A,#N/A,FALSE,"단가표지"}</definedName>
    <definedName name="ㅎㅁㅇㅀㅁㅇㅎㅁ" hidden="1">{#N/A,#N/A,FALSE,"단가표지"}</definedName>
    <definedName name="ㅎㅇㄴ" hidden="1">{#N/A,#N/A,FALSE,"단가표지"}</definedName>
    <definedName name="ㅎㅇㄹ홍ㄴ로" hidden="1">{#N/A,#N/A,FALSE,"단가표지"}</definedName>
    <definedName name="ㅎㅇㄻㅎㅁㅇ" hidden="1">{#N/A,#N/A,FALSE,"혼합골재"}</definedName>
    <definedName name="ㅎㅇㄻㅎㅁㅎㅁㅇ" hidden="1">{#N/A,#N/A,FALSE,"운반시간"}</definedName>
    <definedName name="ㅎㅇㅀ" hidden="1">{#N/A,#N/A,FALSE,"단가표지"}</definedName>
    <definedName name="ㅎㅇㅀㄴ" hidden="1">{#N/A,#N/A,FALSE,"골재소요량";#N/A,#N/A,FALSE,"골재소요량"}</definedName>
    <definedName name="ㅎㅇㅀㅁㅇㅎㅁㅇ" hidden="1">{#N/A,#N/A,FALSE,"단가표지"}</definedName>
    <definedName name="ㅎㅇㅀㅇㅀ" hidden="1">{#N/A,#N/A,FALSE,"표지목차"}</definedName>
    <definedName name="ㅎㅇㅀㅇㅀㅇ" hidden="1">{#N/A,#N/A,FALSE,"표지목차"}</definedName>
    <definedName name="ㅎㅇㅁㄴㄹ" hidden="1">{#N/A,#N/A,FALSE,"운반시간"}</definedName>
    <definedName name="ㅎㅇㅁㅀㅁㅇ" hidden="1">{#N/A,#N/A,FALSE,"단가표지"}</definedName>
    <definedName name="ㅎㅎㅎ" hidden="1">#REF!</definedName>
    <definedName name="하도대상" hidden="1">{#N/A,#N/A,FALSE,"골재소요량";#N/A,#N/A,FALSE,"골재소요량"}</definedName>
    <definedName name="한" hidden="1">{#N/A,#N/A,FALSE,"조골재"}</definedName>
    <definedName name="한동" hidden="1">{#N/A,#N/A,FALSE,"단가표지"}</definedName>
    <definedName name="현장운영비산출" hidden="1">#REF!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우" hidden="1">{#N/A,#N/A,FALSE,"표지목차"}</definedName>
    <definedName name="호우ㅗ" hidden="1">{#N/A,#N/A,FALSE,"단가표지"}</definedName>
    <definedName name="호ㅓㅎ" hidden="1">{#N/A,#N/A,FALSE,"표지목차"}</definedName>
    <definedName name="호ㅓㅕㅏ6ㅅ서ㅛㅓ" hidden="1">#REF!</definedName>
    <definedName name="혼ㄹ" hidden="1">{#N/A,#N/A,FALSE,"운반시간"}</definedName>
    <definedName name="홀ㄴㄺㅅ" hidden="1">{#N/A,#N/A,FALSE,"단가표지"}</definedName>
    <definedName name="홎4" hidden="1">#REF!</definedName>
    <definedName name="홓렁호ㅓ호" hidden="1">{#N/A,#N/A,FALSE,"단가표지"}</definedName>
    <definedName name="홓로" hidden="1">{#N/A,#N/A,FALSE,"단가표지"}</definedName>
    <definedName name="화" hidden="1">{#N/A,#N/A,FALSE,"기안지";#N/A,#N/A,FALSE,"통신지"}</definedName>
    <definedName name="화허호ㅓ" hidden="1">{#N/A,#N/A,FALSE,"조골재"}</definedName>
    <definedName name="환차요약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훈" hidden="1">255</definedName>
    <definedName name="흄관" hidden="1">{#N/A,#N/A,FALSE,"기안지";#N/A,#N/A,FALSE,"통신지"}</definedName>
    <definedName name="ㅏ" hidden="1">{#N/A,#N/A,FALSE,"기안지";#N/A,#N/A,FALSE,"통신지"}</definedName>
    <definedName name="ㅏ허화" hidden="1">{#N/A,#N/A,FALSE,"골재소요량";#N/A,#N/A,FALSE,"골재소요량"}</definedName>
    <definedName name="ㅏㅏ" hidden="1">{#N/A,#N/A,TRUE,"총괄"}</definedName>
    <definedName name="ㅏㅓ화호" hidden="1">{#N/A,#N/A,FALSE,"단가표지"}</definedName>
    <definedName name="ㅏㅓㅗ라" hidden="1">{#N/A,#N/A,FALSE,"골재소요량";#N/A,#N/A,FALSE,"골재소요량"}</definedName>
    <definedName name="ㅏㅓㅗㅎ" hidden="1">{#N/A,#N/A,FALSE,"운반시간"}</definedName>
    <definedName name="ㅏㅓㅗㅓ" hidden="1">{#N/A,#N/A,FALSE,"운반시간"}</definedName>
    <definedName name="ㅏㅓㅘ허호" hidden="1">{#N/A,#N/A,FALSE,"단가표지"}</definedName>
    <definedName name="ㅏㅗㅓㅏ화호" hidden="1">{#N/A,#N/A,FALSE,"표지목차"}</definedName>
    <definedName name="ㅏㅣ" hidden="1">{#N/A,#N/A,FALSE,"단가표지"}</definedName>
    <definedName name="ㅓ롤" hidden="1">{#N/A,#N/A,FALSE,"골재소요량";#N/A,#N/A,FALSE,"골재소요량"}</definedName>
    <definedName name="ㅓㅇㄴ" hidden="1">{#N/A,#N/A,FALSE,"단가표지"}</definedName>
    <definedName name="ㅓㅇ호ㅓㅇ호ㅓㅇ허" hidden="1">{#N/A,#N/A,FALSE,"표지목차"}</definedName>
    <definedName name="ㅓㅎ렁홍" hidden="1">{#N/A,#N/A,FALSE,"혼합골재"}</definedName>
    <definedName name="ㅓㅎ로ㅗㄴ" hidden="1">{#N/A,#N/A,FALSE,"단가표지"}</definedName>
    <definedName name="ㅓㅎㅇㅎ" hidden="1">{#N/A,#N/A,FALSE,"운반시간"}</definedName>
    <definedName name="ㅓ호ㅓ" hidden="1">{#N/A,#N/A,FALSE,"표지목차"}</definedName>
    <definedName name="ㅓ호ㅓㅗㄹ" hidden="1">{#N/A,#N/A,FALSE,"단가표지"}</definedName>
    <definedName name="ㅓㅏ호" hidden="1">{#N/A,#N/A,FALSE,"단가표지"}</definedName>
    <definedName name="ㅓㅏ호ㅓ" hidden="1">{#N/A,#N/A,FALSE,"단가표지"}</definedName>
    <definedName name="ㅓㅏㅗ하ㅗㅓㅎ" hidden="1">{#N/A,#N/A,FALSE,"혼합골재"}</definedName>
    <definedName name="ㅓㅗ" hidden="1">{#N/A,#N/A,FALSE,"운반시간"}</definedName>
    <definedName name="ㅓㅗㅎㄹ" hidden="1">{#N/A,#N/A,FALSE,"조골재"}</definedName>
    <definedName name="ㅓㅗㅎ러ㅗㅎ러" hidden="1">{#N/A,#N/A,FALSE,"혼합골재"}</definedName>
    <definedName name="ㅓㅗㅎ러ㅗ호ㅓ" hidden="1">{#N/A,#N/A,FALSE,"단가표지"}</definedName>
    <definedName name="ㅓㅗ허" hidden="1">{#N/A,#N/A,FALSE,"조골재"}</definedName>
    <definedName name="ㅓㅗ허ㅗㄹ" hidden="1">{#N/A,#N/A,FALSE,"운반시간"}</definedName>
    <definedName name="ㅓㅗ허ㅗㅎㄹ" hidden="1">{#N/A,#N/A,FALSE,"골재소요량";#N/A,#N/A,FALSE,"골재소요량"}</definedName>
    <definedName name="ㅓㅗ허ㅗㅎ러" hidden="1">{#N/A,#N/A,FALSE,"운반시간"}</definedName>
    <definedName name="ㅓㅗ헝홍허" hidden="1">{#N/A,#N/A,FALSE,"골재소요량";#N/A,#N/A,FALSE,"골재소요량"}</definedName>
    <definedName name="ㅓㅗ헣ㄹ" hidden="1">{#N/A,#N/A,FALSE,"단가표지"}</definedName>
    <definedName name="ㅓㅗ헣러" hidden="1">{#N/A,#N/A,FALSE,"단가표지"}</definedName>
    <definedName name="ㅓㅗ헣로ㅓ" hidden="1">{#N/A,#N/A,FALSE,"조골재"}</definedName>
    <definedName name="ㅓㅗ헣호ㅓ" hidden="1">{#N/A,#N/A,FALSE,"조골재"}</definedName>
    <definedName name="ㅓㅗ호" hidden="1">{#N/A,#N/A,FALSE,"단가표지"}</definedName>
    <definedName name="ㅓㅗ호ㅓㅗ" hidden="1">{#N/A,#N/A,FALSE,"2~8번"}</definedName>
    <definedName name="ㅓㅗㅗ" hidden="1">{#N/A,#N/A,FALSE,"단가표지"}</definedName>
    <definedName name="ㅓㅗㅗㅗ" hidden="1">{#N/A,#N/A,FALSE,"골재소요량";#N/A,#N/A,FALSE,"골재소요량"}</definedName>
    <definedName name="ㅓㅛ" hidden="1">{#N/A,#N/A,FALSE,"토공2"}</definedName>
    <definedName name="ㅔㅔㅔ" hidden="1">{#N/A,#N/A,TRUE,"총괄"}</definedName>
    <definedName name="ㅗㄹㄶ" hidden="1">{#N/A,#N/A,FALSE,"조골재"}</definedName>
    <definedName name="ㅗㅍ안" hidden="1">{#N/A,#N/A,FALSE,"결의서";#N/A,#N/A,FALSE,"내역서";#N/A,#N/A,FALSE,"도급예상";#N/A,#N/A,FALSE,"시방서"}</definedName>
    <definedName name="ㅗㅎ" hidden="1">{#N/A,#N/A,FALSE,"운반시간"}</definedName>
    <definedName name="ㅗㅎㄴ" hidden="1">{#N/A,#N/A,FALSE,"골재소요량";#N/A,#N/A,FALSE,"골재소요량"}</definedName>
    <definedName name="ㅗㅎㄴㄹ" hidden="1">{#N/A,#N/A,FALSE,"단가표지"}</definedName>
    <definedName name="ㅗㅎ로ㅜ" hidden="1">{#N/A,#N/A,FALSE,"운반시간"}</definedName>
    <definedName name="ㅗㅎ론ㄹ" hidden="1">{#N/A,#N/A,FALSE,"표지목차"}</definedName>
    <definedName name="ㅗㅎ롯홋ㄱ" hidden="1">{#N/A,#N/A,FALSE,"혼합골재"}</definedName>
    <definedName name="ㅗ허ㅗ" hidden="1">{#N/A,#N/A,FALSE,"단가표지"}</definedName>
    <definedName name="ㅗ호" hidden="1">{#N/A,#N/A,FALSE,"단가표지"}</definedName>
    <definedName name="ㅗㅓ쇼ㅓㅕㄷ쇼ㅓㅕㄷㅅ" hidden="1">{#N/A,#N/A,FALSE,"단가표지"}</definedName>
    <definedName name="ㅗㅓㅎ로ㅓㅎㄹ" hidden="1">{#N/A,#N/A,FALSE,"표지목차"}</definedName>
    <definedName name="ㅗㅗ" hidden="1">{#N/A,#N/A,TRUE,"토적및재료집계";#N/A,#N/A,TRUE,"토적및재료집계";#N/A,#N/A,TRUE,"단위량"}</definedName>
    <definedName name="ㅗㅠㅍ" hidden="1">{#N/A,#N/A,FALSE,"혼합골재"}</definedName>
    <definedName name="ㅘㅗ허ㅎ" hidden="1">#REF!</definedName>
    <definedName name="ㅛㅕ하ㅓ" hidden="1">{#N/A,#N/A,FALSE,"포장2"}</definedName>
    <definedName name="ㅜ" hidden="1">{#N/A,#N/A,FALSE,"CCTV"}</definedName>
    <definedName name="ㅜㄴㄱ" hidden="1">{#N/A,#N/A,FALSE,"운반시간"}</definedName>
    <definedName name="ㅜㄹ윤" hidden="1">{#N/A,#N/A,FALSE,"단가표지"}</definedName>
    <definedName name="ㅜㅊㅍ" hidden="1">{#N/A,#N/A,FALSE,"표지목차"}</definedName>
    <definedName name="ㅜㅋㅊㅍ" hidden="1">{#N/A,#N/A,FALSE,"조골재"}</definedName>
    <definedName name="ㅜㅍ추ㅠ" hidden="1">{#N/A,#N/A,FALSE,"혼합골재"}</definedName>
    <definedName name="ㅜㅎㄴ" hidden="1">{#N/A,#N/A,FALSE,"골재소요량";#N/A,#N/A,FALSE,"골재소요량"}</definedName>
    <definedName name="ㅜㅎㅅㄱㄴ" hidden="1">{#N/A,#N/A,FALSE,"단가표지"}</definedName>
    <definedName name="ㅜㅏ" hidden="1">{#N/A,#N/A,TRUE,"총괄"}</definedName>
    <definedName name="ㅜㅗ" hidden="1">{#N/A,#N/A,FALSE,"이정표"}</definedName>
    <definedName name="ㅜㅗㅇㅎㅌ" hidden="1">{#N/A,#N/A,FALSE,"단가표지"}</definedName>
    <definedName name="ㅜㅗㅇ훟" hidden="1">{#N/A,#N/A,FALSE,"단가표지"}</definedName>
    <definedName name="ㅜㅗㅗㅗㅇㅎ" hidden="1">{#N/A,#N/A,FALSE,"운반시간"}</definedName>
    <definedName name="ㅜㅠ푸" hidden="1">{#N/A,#N/A,FALSE,"운반시간"}</definedName>
    <definedName name="ㅜㅠㅠ" hidden="1">{#N/A,#N/A,FALSE,"골재소요량";#N/A,#N/A,FALSE,"골재소요량"}</definedName>
    <definedName name="ㅝㅎㄹ" hidden="1">{#N/A,#N/A,FALSE,"단가표지"}</definedName>
    <definedName name="ㅠ" hidden="1">{#N/A,#N/A,TRUE,"총괄"}</definedName>
    <definedName name="ㅠㄴ" hidden="1">{#N/A,#N/A,FALSE,"조골재"}</definedName>
    <definedName name="ㅠㄹ" hidden="1">{#N/A,#N/A,FALSE,"속도"}</definedName>
    <definedName name="ㅠㄹㅇㄴㄴㄹㅇ" hidden="1">{#N/A,#N/A,FALSE,"단가표지"}</definedName>
    <definedName name="ㅠ뮤ㅐ" hidden="1">#REF!</definedName>
    <definedName name="ㅠㅊㅌ퓿ㅌ" hidden="1">{#N/A,#N/A,FALSE,"2~8번"}</definedName>
    <definedName name="ㅠㅊㅍㅌ" hidden="1">{#N/A,#N/A,FALSE,"단가표지"}</definedName>
    <definedName name="ㅠㅊㅍ튜" hidden="1">{#N/A,#N/A,FALSE,"단가표지"}</definedName>
    <definedName name="ㅠㅊㅍ튵ㅊ" hidden="1">{#N/A,#N/A,FALSE,"운반시간"}</definedName>
    <definedName name="ㅠㅊ픁츄" hidden="1">{#N/A,#N/A,FALSE,"단가표지"}</definedName>
    <definedName name="ㅠㅍ" hidden="1">{#N/A,#N/A,FALSE,"조골재"}</definedName>
    <definedName name="ㅠㅍㅊ" hidden="1">{#N/A,#N/A,FALSE,"단가표지"}</definedName>
    <definedName name="ㅠㅍㅊ튳" hidden="1">{#N/A,#N/A,FALSE,"표지목차"}</definedName>
    <definedName name="ㅠㅍㅊ튳ㅌㅍ" hidden="1">{#N/A,#N/A,FALSE,"조골재"}</definedName>
    <definedName name="ㅠㅍㅊ튵" hidden="1">{#N/A,#N/A,FALSE,"골재소요량";#N/A,#N/A,FALSE,"골재소요량"}</definedName>
    <definedName name="ㅠㅍㅊ튵ㅊ" hidden="1">{#N/A,#N/A,FALSE,"단가표지"}</definedName>
    <definedName name="ㅠㅍ츄ㅜ" hidden="1">{#N/A,#N/A,FALSE,"단가표지"}</definedName>
    <definedName name="ㅠㅍ츛ㅍ" hidden="1">{#N/A,#N/A,FALSE,"혼합골재"}</definedName>
    <definedName name="ㅠㅍ츜ㅊ" hidden="1">{#N/A,#N/A,FALSE,"2~8번"}</definedName>
    <definedName name="ㅠㅍ츜ㅍ" hidden="1">{#N/A,#N/A,FALSE,"조골재"}</definedName>
    <definedName name="ㅠㅍ츝" hidden="1">{#N/A,#N/A,FALSE,"운반시간"}</definedName>
    <definedName name="ㅠㅍ츝ㅊ" hidden="1">{#N/A,#N/A,FALSE,"단가표지"}</definedName>
    <definedName name="ㅠㅍㅋㅊㅍㅍ" hidden="1">{#N/A,#N/A,FALSE,"단가표지"}</definedName>
    <definedName name="ㅠ퓿큨ㅊ" hidden="1">{#N/A,#N/A,FALSE,"단가표지"}</definedName>
    <definedName name="ㅠ픀ㅊ" hidden="1">{#N/A,#N/A,FALSE,"단가표지"}</definedName>
    <definedName name="ㅠ픀ㅊㅍ" hidden="1">{#N/A,#N/A,FALSE,"표지목차"}</definedName>
    <definedName name="ㅠ픀ㅋㅊㅍ" hidden="1">{#N/A,#N/A,FALSE,"운반시간"}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ㅣ허ㅏㅣ하" hidden="1">{#N/A,#N/A,FALSE,"혼합골재"}</definedName>
    <definedName name="ㅣ허ㅣ호ㅓㅏ" hidden="1">{#N/A,#N/A,FALSE,"조골재"}</definedName>
    <definedName name="ㅣㅏ허ㅏ허ㅏ허ㅏ" hidden="1">{#N/A,#N/A,FALSE,"단가표지"}</definedName>
    <definedName name="ㅣㅏㅓㅎ" hidden="1">{#N/A,#N/A,FALSE,"단가표지"}</definedName>
    <definedName name="ㅣㅏㅓ허ㅏㅓㅎ" hidden="1">{#N/A,#N/A,FALSE,"표지목차"}</definedName>
    <definedName name="ㅣㅏㅓㅣ허ㅏㅎ" hidden="1">{#N/A,#N/A,FALSE,"골재소요량";#N/A,#N/A,FALSE,"골재소요량"}</definedName>
    <definedName name="ㅣㅏㅓㅣ허ㅏㅏ허" hidden="1">{#N/A,#N/A,FALSE,"조골재"}</definedName>
    <definedName name="ㅣㅑㅑ" hidden="1">{#N/A,#N/A,FALSE,"단가표지"}</definedName>
    <definedName name="ㅣㅓㅏ허" hidden="1">{#N/A,#N/A,FALSE,"운반시간"}</definedName>
    <definedName name="ㅣㅓㅏ허ㅏㅣ허ㅏㅓ" hidden="1">{#N/A,#N/A,FALSE,"운반시간"}</definedName>
    <definedName name="ㅣㅚㅓㅏ" hidden="1">{#N/A,#N/A,FALSE,"단가표지"}</definedName>
    <definedName name="土建" hidden="1">{"'照明目录'!$A$1:$H$31"}</definedName>
    <definedName name="土建2" hidden="1">{"'照明目录'!$A$1:$H$31"}</definedName>
    <definedName name="好听" hidden="1">{"'照明目录'!$A$1:$H$31"}</definedName>
    <definedName name="才了" hidden="1">{"'照明目录'!$A$1:$H$31"}</definedName>
    <definedName name="春" hidden="1">{"'照明目录'!$A$1:$H$31"}</definedName>
    <definedName name="汇编" hidden="1">{"'照明目录'!$A$1:$H$31"}</definedName>
    <definedName name="汇编1" hidden="1">{"'照明目录'!$A$1:$H$31"}</definedName>
    <definedName name="石膏破碎及输送" hidden="1">{"'照明目录'!$A$1:$H$31"}</definedName>
    <definedName name="範囲">#REF!</definedName>
    <definedName name="自动空气开关" hidden="1">{"'照明目录'!$A$1:$H$31"}</definedName>
    <definedName name="買い価格" hidden="1">{#N/A,#N/A,FALSE,"Cover Page";#N/A,#N/A,FALSE,"Facing Page";#N/A,#N/A,FALSE,"Main Page";#N/A,#N/A,FALSE,"Risk-Adjusted";#N/A,#N/A,FALSE,"Profit Improvement"}</definedName>
    <definedName name="阿嫂" hidden="1">{"'照明目录'!$A$1:$H$31"}</definedName>
    <definedName name="阿瑟" hidden="1">{"'照明目录'!$A$1:$H$31"}</definedName>
    <definedName name="随机配套" hidden="1">{"'照明目录'!$A$1:$H$31"}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57" i="3" l="1"/>
  <c r="H57" i="3"/>
  <c r="G57" i="3"/>
  <c r="I56" i="3"/>
  <c r="H56" i="3"/>
  <c r="G56" i="3"/>
  <c r="I55" i="3"/>
  <c r="H55" i="3"/>
  <c r="G55" i="3"/>
  <c r="I54" i="3"/>
  <c r="H54" i="3"/>
  <c r="G54" i="3"/>
  <c r="I53" i="3"/>
  <c r="H53" i="3"/>
  <c r="G53" i="3"/>
  <c r="I52" i="3"/>
  <c r="H52" i="3"/>
  <c r="G52" i="3"/>
  <c r="F51" i="3"/>
  <c r="I50" i="3"/>
  <c r="H50" i="3"/>
  <c r="G50" i="3"/>
  <c r="I49" i="3"/>
  <c r="H49" i="3"/>
  <c r="G49" i="3"/>
  <c r="I48" i="3"/>
  <c r="H48" i="3"/>
  <c r="G48" i="3"/>
  <c r="I47" i="3"/>
  <c r="H47" i="3"/>
  <c r="G47" i="3"/>
  <c r="I46" i="3"/>
  <c r="H46" i="3"/>
  <c r="G46" i="3"/>
  <c r="I45" i="3"/>
  <c r="H45" i="3"/>
  <c r="G45" i="3"/>
  <c r="I44" i="3"/>
  <c r="H44" i="3"/>
  <c r="G44" i="3"/>
  <c r="I43" i="3"/>
  <c r="H43" i="3"/>
  <c r="G43" i="3"/>
  <c r="I42" i="3"/>
  <c r="H42" i="3"/>
  <c r="G42" i="3"/>
  <c r="I41" i="3"/>
  <c r="H41" i="3"/>
  <c r="G41" i="3"/>
  <c r="I40" i="3"/>
  <c r="H40" i="3"/>
  <c r="G40" i="3"/>
  <c r="I39" i="3"/>
  <c r="H39" i="3"/>
  <c r="G39" i="3"/>
  <c r="I38" i="3"/>
  <c r="H38" i="3"/>
  <c r="G38" i="3"/>
  <c r="F37" i="3"/>
  <c r="I36" i="3"/>
  <c r="H36" i="3"/>
  <c r="G36" i="3"/>
  <c r="I35" i="3"/>
  <c r="H35" i="3"/>
  <c r="G35" i="3"/>
  <c r="I34" i="3"/>
  <c r="H34" i="3"/>
  <c r="G34" i="3"/>
  <c r="I33" i="3"/>
  <c r="H33" i="3"/>
  <c r="G33" i="3"/>
  <c r="I32" i="3"/>
  <c r="H32" i="3"/>
  <c r="G32" i="3"/>
  <c r="F31" i="3"/>
  <c r="I30" i="3"/>
  <c r="H30" i="3"/>
  <c r="G30" i="3"/>
  <c r="I29" i="3"/>
  <c r="H29" i="3"/>
  <c r="G29" i="3"/>
  <c r="I28" i="3"/>
  <c r="H28" i="3"/>
  <c r="G28" i="3"/>
  <c r="I27" i="3"/>
  <c r="H27" i="3"/>
  <c r="G27" i="3"/>
  <c r="I26" i="3"/>
  <c r="H26" i="3"/>
  <c r="G26" i="3"/>
  <c r="I25" i="3"/>
  <c r="H25" i="3"/>
  <c r="G25" i="3"/>
  <c r="I24" i="3"/>
  <c r="H24" i="3"/>
  <c r="G24" i="3"/>
  <c r="I23" i="3"/>
  <c r="H23" i="3"/>
  <c r="G23" i="3"/>
  <c r="I22" i="3"/>
  <c r="H22" i="3"/>
  <c r="G22" i="3"/>
  <c r="I21" i="3"/>
  <c r="H21" i="3"/>
  <c r="G21" i="3"/>
  <c r="I20" i="3"/>
  <c r="H20" i="3"/>
  <c r="G20" i="3"/>
  <c r="I19" i="3"/>
  <c r="H19" i="3"/>
  <c r="G19" i="3"/>
  <c r="I18" i="3"/>
  <c r="H18" i="3"/>
  <c r="G18" i="3"/>
  <c r="I17" i="3"/>
  <c r="H17" i="3"/>
  <c r="G17" i="3"/>
  <c r="I16" i="3"/>
  <c r="H16" i="3"/>
  <c r="G16" i="3"/>
  <c r="I15" i="3"/>
  <c r="H15" i="3"/>
  <c r="G15" i="3"/>
  <c r="I14" i="3"/>
  <c r="H14" i="3"/>
  <c r="G14" i="3"/>
  <c r="F13" i="3"/>
  <c r="AG623" i="1"/>
  <c r="AF623" i="1"/>
  <c r="AE623" i="1"/>
  <c r="AD623" i="1"/>
  <c r="P623" i="1"/>
  <c r="R623" i="1" s="1"/>
  <c r="S622" i="1"/>
  <c r="R622" i="1"/>
  <c r="Q622" i="1"/>
  <c r="S621" i="1"/>
  <c r="R621" i="1"/>
  <c r="Q621" i="1"/>
  <c r="S620" i="1"/>
  <c r="R620" i="1"/>
  <c r="Q620" i="1"/>
  <c r="S619" i="1"/>
  <c r="R619" i="1"/>
  <c r="Q619" i="1"/>
  <c r="S618" i="1"/>
  <c r="R618" i="1"/>
  <c r="Q618" i="1"/>
  <c r="S617" i="1"/>
  <c r="R617" i="1"/>
  <c r="Q617" i="1"/>
  <c r="S616" i="1"/>
  <c r="R616" i="1"/>
  <c r="Q616" i="1"/>
  <c r="S615" i="1"/>
  <c r="R615" i="1"/>
  <c r="Q615" i="1"/>
  <c r="S614" i="1"/>
  <c r="R614" i="1"/>
  <c r="Q614" i="1"/>
  <c r="S613" i="1"/>
  <c r="R613" i="1"/>
  <c r="Q613" i="1"/>
  <c r="S612" i="1"/>
  <c r="R612" i="1"/>
  <c r="Q612" i="1"/>
  <c r="S611" i="1"/>
  <c r="R611" i="1"/>
  <c r="Q611" i="1"/>
  <c r="S610" i="1"/>
  <c r="R610" i="1"/>
  <c r="Q610" i="1"/>
  <c r="S609" i="1"/>
  <c r="R609" i="1"/>
  <c r="Q609" i="1"/>
  <c r="S608" i="1"/>
  <c r="R608" i="1"/>
  <c r="Q608" i="1"/>
  <c r="S607" i="1"/>
  <c r="R607" i="1"/>
  <c r="Q607" i="1"/>
  <c r="S606" i="1"/>
  <c r="R606" i="1"/>
  <c r="Q606" i="1"/>
  <c r="S605" i="1"/>
  <c r="R605" i="1"/>
  <c r="Q605" i="1"/>
  <c r="S604" i="1"/>
  <c r="R604" i="1"/>
  <c r="Q604" i="1"/>
  <c r="S603" i="1"/>
  <c r="R603" i="1"/>
  <c r="Q603" i="1"/>
  <c r="S602" i="1"/>
  <c r="R602" i="1"/>
  <c r="Q602" i="1"/>
  <c r="S601" i="1"/>
  <c r="R601" i="1"/>
  <c r="Q601" i="1"/>
  <c r="S600" i="1"/>
  <c r="R600" i="1"/>
  <c r="Q600" i="1"/>
  <c r="S599" i="1"/>
  <c r="R599" i="1"/>
  <c r="Q599" i="1"/>
  <c r="S598" i="1"/>
  <c r="R598" i="1"/>
  <c r="Q598" i="1"/>
  <c r="S597" i="1"/>
  <c r="R597" i="1"/>
  <c r="Q597" i="1"/>
  <c r="S596" i="1"/>
  <c r="R596" i="1"/>
  <c r="Q596" i="1"/>
  <c r="S595" i="1"/>
  <c r="R595" i="1"/>
  <c r="Q595" i="1"/>
  <c r="S594" i="1"/>
  <c r="R594" i="1"/>
  <c r="Q594" i="1"/>
  <c r="S593" i="1"/>
  <c r="R593" i="1"/>
  <c r="Q593" i="1"/>
  <c r="S592" i="1"/>
  <c r="R592" i="1"/>
  <c r="Q592" i="1"/>
  <c r="S591" i="1"/>
  <c r="R591" i="1"/>
  <c r="Q591" i="1"/>
  <c r="S590" i="1"/>
  <c r="R590" i="1"/>
  <c r="Q590" i="1"/>
  <c r="S589" i="1"/>
  <c r="R589" i="1"/>
  <c r="Q589" i="1"/>
  <c r="S588" i="1"/>
  <c r="R588" i="1"/>
  <c r="Q588" i="1"/>
  <c r="S587" i="1"/>
  <c r="R587" i="1"/>
  <c r="Q587" i="1"/>
  <c r="S586" i="1"/>
  <c r="R586" i="1"/>
  <c r="Q586" i="1"/>
  <c r="S585" i="1"/>
  <c r="R585" i="1"/>
  <c r="Q585" i="1"/>
  <c r="S584" i="1"/>
  <c r="R584" i="1"/>
  <c r="Q584" i="1"/>
  <c r="S583" i="1"/>
  <c r="R583" i="1"/>
  <c r="Q583" i="1"/>
  <c r="S582" i="1"/>
  <c r="R582" i="1"/>
  <c r="Q582" i="1"/>
  <c r="S581" i="1"/>
  <c r="R581" i="1"/>
  <c r="Q581" i="1"/>
  <c r="S580" i="1"/>
  <c r="R580" i="1"/>
  <c r="Q580" i="1"/>
  <c r="S579" i="1"/>
  <c r="R579" i="1"/>
  <c r="Q579" i="1"/>
  <c r="S578" i="1"/>
  <c r="R578" i="1"/>
  <c r="Q578" i="1"/>
  <c r="S577" i="1"/>
  <c r="R577" i="1"/>
  <c r="Q577" i="1"/>
  <c r="S576" i="1"/>
  <c r="R576" i="1"/>
  <c r="Q576" i="1"/>
  <c r="S575" i="1"/>
  <c r="R575" i="1"/>
  <c r="Q575" i="1"/>
  <c r="S574" i="1"/>
  <c r="R574" i="1"/>
  <c r="Q574" i="1"/>
  <c r="S573" i="1"/>
  <c r="R573" i="1"/>
  <c r="Q573" i="1"/>
  <c r="S572" i="1"/>
  <c r="R572" i="1"/>
  <c r="Q572" i="1"/>
  <c r="S571" i="1"/>
  <c r="R571" i="1"/>
  <c r="Q571" i="1"/>
  <c r="S570" i="1"/>
  <c r="R570" i="1"/>
  <c r="Q570" i="1"/>
  <c r="S569" i="1"/>
  <c r="R569" i="1"/>
  <c r="Q569" i="1"/>
  <c r="S568" i="1"/>
  <c r="R568" i="1"/>
  <c r="Q568" i="1"/>
  <c r="S567" i="1"/>
  <c r="R567" i="1"/>
  <c r="Q567" i="1"/>
  <c r="S566" i="1"/>
  <c r="R566" i="1"/>
  <c r="Q566" i="1"/>
  <c r="S565" i="1"/>
  <c r="R565" i="1"/>
  <c r="Q565" i="1"/>
  <c r="S564" i="1"/>
  <c r="R564" i="1"/>
  <c r="Q564" i="1"/>
  <c r="S563" i="1"/>
  <c r="R563" i="1"/>
  <c r="Q563" i="1"/>
  <c r="S562" i="1"/>
  <c r="R562" i="1"/>
  <c r="Q562" i="1"/>
  <c r="S561" i="1"/>
  <c r="R561" i="1"/>
  <c r="Q561" i="1"/>
  <c r="S560" i="1"/>
  <c r="R560" i="1"/>
  <c r="Q560" i="1"/>
  <c r="S559" i="1"/>
  <c r="R559" i="1"/>
  <c r="Q559" i="1"/>
  <c r="S558" i="1"/>
  <c r="R558" i="1"/>
  <c r="Q558" i="1"/>
  <c r="S557" i="1"/>
  <c r="R557" i="1"/>
  <c r="Q557" i="1"/>
  <c r="S556" i="1"/>
  <c r="R556" i="1"/>
  <c r="Q556" i="1"/>
  <c r="S555" i="1"/>
  <c r="R555" i="1"/>
  <c r="Q555" i="1"/>
  <c r="S554" i="1"/>
  <c r="R554" i="1"/>
  <c r="Q554" i="1"/>
  <c r="S553" i="1"/>
  <c r="R553" i="1"/>
  <c r="Q553" i="1"/>
  <c r="S552" i="1"/>
  <c r="R552" i="1"/>
  <c r="Q552" i="1"/>
  <c r="S551" i="1"/>
  <c r="R551" i="1"/>
  <c r="Q551" i="1"/>
  <c r="S550" i="1"/>
  <c r="R550" i="1"/>
  <c r="Q550" i="1"/>
  <c r="S549" i="1"/>
  <c r="R549" i="1"/>
  <c r="Q549" i="1"/>
  <c r="S548" i="1"/>
  <c r="R548" i="1"/>
  <c r="Q548" i="1"/>
  <c r="S547" i="1"/>
  <c r="R547" i="1"/>
  <c r="Q547" i="1"/>
  <c r="S546" i="1"/>
  <c r="R546" i="1"/>
  <c r="Q546" i="1"/>
  <c r="S545" i="1"/>
  <c r="R545" i="1"/>
  <c r="Q545" i="1"/>
  <c r="S544" i="1"/>
  <c r="R544" i="1"/>
  <c r="Q544" i="1"/>
  <c r="S543" i="1"/>
  <c r="R543" i="1"/>
  <c r="Q543" i="1"/>
  <c r="S542" i="1"/>
  <c r="R542" i="1"/>
  <c r="Q542" i="1"/>
  <c r="S541" i="1"/>
  <c r="R541" i="1"/>
  <c r="Q541" i="1"/>
  <c r="S540" i="1"/>
  <c r="R540" i="1"/>
  <c r="Q540" i="1"/>
  <c r="S539" i="1"/>
  <c r="R539" i="1"/>
  <c r="Q539" i="1"/>
  <c r="S538" i="1"/>
  <c r="R538" i="1"/>
  <c r="Q538" i="1"/>
  <c r="S537" i="1"/>
  <c r="R537" i="1"/>
  <c r="Q537" i="1"/>
  <c r="S536" i="1"/>
  <c r="R536" i="1"/>
  <c r="Q536" i="1"/>
  <c r="S535" i="1"/>
  <c r="R535" i="1"/>
  <c r="Q535" i="1"/>
  <c r="S534" i="1"/>
  <c r="R534" i="1"/>
  <c r="Q534" i="1"/>
  <c r="S533" i="1"/>
  <c r="R533" i="1"/>
  <c r="Q533" i="1"/>
  <c r="S532" i="1"/>
  <c r="R532" i="1"/>
  <c r="Q532" i="1"/>
  <c r="S531" i="1"/>
  <c r="R531" i="1"/>
  <c r="Q531" i="1"/>
  <c r="S530" i="1"/>
  <c r="R530" i="1"/>
  <c r="Q530" i="1"/>
  <c r="S529" i="1"/>
  <c r="R529" i="1"/>
  <c r="Q529" i="1"/>
  <c r="S528" i="1"/>
  <c r="R528" i="1"/>
  <c r="Q528" i="1"/>
  <c r="S527" i="1"/>
  <c r="R527" i="1"/>
  <c r="Q527" i="1"/>
  <c r="S526" i="1"/>
  <c r="R526" i="1"/>
  <c r="Q526" i="1"/>
  <c r="S525" i="1"/>
  <c r="R525" i="1"/>
  <c r="Q525" i="1"/>
  <c r="S524" i="1"/>
  <c r="R524" i="1"/>
  <c r="Q524" i="1"/>
  <c r="S523" i="1"/>
  <c r="R523" i="1"/>
  <c r="Q523" i="1"/>
  <c r="S522" i="1"/>
  <c r="R522" i="1"/>
  <c r="Q522" i="1"/>
  <c r="S521" i="1"/>
  <c r="R521" i="1"/>
  <c r="Q521" i="1"/>
  <c r="S520" i="1"/>
  <c r="R520" i="1"/>
  <c r="Q520" i="1"/>
  <c r="S519" i="1"/>
  <c r="R519" i="1"/>
  <c r="Q519" i="1"/>
  <c r="S518" i="1"/>
  <c r="R518" i="1"/>
  <c r="Q518" i="1"/>
  <c r="S517" i="1"/>
  <c r="R517" i="1"/>
  <c r="Q517" i="1"/>
  <c r="S516" i="1"/>
  <c r="R516" i="1"/>
  <c r="Q516" i="1"/>
  <c r="S515" i="1"/>
  <c r="R515" i="1"/>
  <c r="Q515" i="1"/>
  <c r="S514" i="1"/>
  <c r="R514" i="1"/>
  <c r="Q514" i="1"/>
  <c r="S513" i="1"/>
  <c r="R513" i="1"/>
  <c r="Q513" i="1"/>
  <c r="S512" i="1"/>
  <c r="R512" i="1"/>
  <c r="Q512" i="1"/>
  <c r="S511" i="1"/>
  <c r="R511" i="1"/>
  <c r="Q511" i="1"/>
  <c r="S510" i="1"/>
  <c r="R510" i="1"/>
  <c r="Q510" i="1"/>
  <c r="S509" i="1"/>
  <c r="R509" i="1"/>
  <c r="Q509" i="1"/>
  <c r="S508" i="1"/>
  <c r="R508" i="1"/>
  <c r="Q508" i="1"/>
  <c r="S507" i="1"/>
  <c r="R507" i="1"/>
  <c r="Q507" i="1"/>
  <c r="S506" i="1"/>
  <c r="R506" i="1"/>
  <c r="Q506" i="1"/>
  <c r="S505" i="1"/>
  <c r="R505" i="1"/>
  <c r="Q505" i="1"/>
  <c r="S504" i="1"/>
  <c r="R504" i="1"/>
  <c r="Q504" i="1"/>
  <c r="S503" i="1"/>
  <c r="R503" i="1"/>
  <c r="Q503" i="1"/>
  <c r="S502" i="1"/>
  <c r="R502" i="1"/>
  <c r="Q502" i="1"/>
  <c r="S501" i="1"/>
  <c r="R501" i="1"/>
  <c r="Q501" i="1"/>
  <c r="S500" i="1"/>
  <c r="R500" i="1"/>
  <c r="Q500" i="1"/>
  <c r="S499" i="1"/>
  <c r="R499" i="1"/>
  <c r="Q499" i="1"/>
  <c r="S498" i="1"/>
  <c r="R498" i="1"/>
  <c r="Q498" i="1"/>
  <c r="S497" i="1"/>
  <c r="R497" i="1"/>
  <c r="Q497" i="1"/>
  <c r="S496" i="1"/>
  <c r="R496" i="1"/>
  <c r="Q496" i="1"/>
  <c r="S495" i="1"/>
  <c r="R495" i="1"/>
  <c r="Q495" i="1"/>
  <c r="S494" i="1"/>
  <c r="R494" i="1"/>
  <c r="Q494" i="1"/>
  <c r="S493" i="1"/>
  <c r="R493" i="1"/>
  <c r="Q493" i="1"/>
  <c r="S492" i="1"/>
  <c r="R492" i="1"/>
  <c r="Q492" i="1"/>
  <c r="S491" i="1"/>
  <c r="R491" i="1"/>
  <c r="Q491" i="1"/>
  <c r="S490" i="1"/>
  <c r="R490" i="1"/>
  <c r="Q490" i="1"/>
  <c r="S489" i="1"/>
  <c r="R489" i="1"/>
  <c r="Q489" i="1"/>
  <c r="S488" i="1"/>
  <c r="R488" i="1"/>
  <c r="Q488" i="1"/>
  <c r="S487" i="1"/>
  <c r="R487" i="1"/>
  <c r="Q487" i="1"/>
  <c r="S486" i="1"/>
  <c r="R486" i="1"/>
  <c r="Q486" i="1"/>
  <c r="S485" i="1"/>
  <c r="R485" i="1"/>
  <c r="Q485" i="1"/>
  <c r="S484" i="1"/>
  <c r="R484" i="1"/>
  <c r="Q484" i="1"/>
  <c r="S483" i="1"/>
  <c r="R483" i="1"/>
  <c r="Q483" i="1"/>
  <c r="S482" i="1"/>
  <c r="R482" i="1"/>
  <c r="Q482" i="1"/>
  <c r="S481" i="1"/>
  <c r="R481" i="1"/>
  <c r="Q481" i="1"/>
  <c r="S480" i="1"/>
  <c r="R480" i="1"/>
  <c r="Q480" i="1"/>
  <c r="S479" i="1"/>
  <c r="R479" i="1"/>
  <c r="Q479" i="1"/>
  <c r="S478" i="1"/>
  <c r="R478" i="1"/>
  <c r="Q478" i="1"/>
  <c r="S477" i="1"/>
  <c r="R477" i="1"/>
  <c r="Q477" i="1"/>
  <c r="S476" i="1"/>
  <c r="R476" i="1"/>
  <c r="Q476" i="1"/>
  <c r="S475" i="1"/>
  <c r="R475" i="1"/>
  <c r="Q475" i="1"/>
  <c r="S474" i="1"/>
  <c r="R474" i="1"/>
  <c r="Q474" i="1"/>
  <c r="S473" i="1"/>
  <c r="R473" i="1"/>
  <c r="Q473" i="1"/>
  <c r="S472" i="1"/>
  <c r="R472" i="1"/>
  <c r="Q472" i="1"/>
  <c r="S471" i="1"/>
  <c r="R471" i="1"/>
  <c r="Q471" i="1"/>
  <c r="S470" i="1"/>
  <c r="R470" i="1"/>
  <c r="Q470" i="1"/>
  <c r="S469" i="1"/>
  <c r="R469" i="1"/>
  <c r="Q469" i="1"/>
  <c r="S468" i="1"/>
  <c r="R468" i="1"/>
  <c r="Q468" i="1"/>
  <c r="S467" i="1"/>
  <c r="R467" i="1"/>
  <c r="Q467" i="1"/>
  <c r="S466" i="1"/>
  <c r="R466" i="1"/>
  <c r="Q466" i="1"/>
  <c r="S465" i="1"/>
  <c r="R465" i="1"/>
  <c r="Q465" i="1"/>
  <c r="S464" i="1"/>
  <c r="R464" i="1"/>
  <c r="Q464" i="1"/>
  <c r="S463" i="1"/>
  <c r="R463" i="1"/>
  <c r="Q463" i="1"/>
  <c r="S462" i="1"/>
  <c r="R462" i="1"/>
  <c r="Q462" i="1"/>
  <c r="S461" i="1"/>
  <c r="R461" i="1"/>
  <c r="Q461" i="1"/>
  <c r="S460" i="1"/>
  <c r="R460" i="1"/>
  <c r="Q460" i="1"/>
  <c r="S459" i="1"/>
  <c r="R459" i="1"/>
  <c r="Q459" i="1"/>
  <c r="S458" i="1"/>
  <c r="R458" i="1"/>
  <c r="Q458" i="1"/>
  <c r="S457" i="1"/>
  <c r="R457" i="1"/>
  <c r="Q457" i="1"/>
  <c r="S456" i="1"/>
  <c r="R456" i="1"/>
  <c r="Q456" i="1"/>
  <c r="S455" i="1"/>
  <c r="R455" i="1"/>
  <c r="Q455" i="1"/>
  <c r="S454" i="1"/>
  <c r="R454" i="1"/>
  <c r="Q454" i="1"/>
  <c r="S453" i="1"/>
  <c r="R453" i="1"/>
  <c r="Q453" i="1"/>
  <c r="S452" i="1"/>
  <c r="R452" i="1"/>
  <c r="Q452" i="1"/>
  <c r="S451" i="1"/>
  <c r="R451" i="1"/>
  <c r="Q451" i="1"/>
  <c r="S450" i="1"/>
  <c r="R450" i="1"/>
  <c r="Q450" i="1"/>
  <c r="S449" i="1"/>
  <c r="R449" i="1"/>
  <c r="Q449" i="1"/>
  <c r="S448" i="1"/>
  <c r="R448" i="1"/>
  <c r="Q448" i="1"/>
  <c r="S447" i="1"/>
  <c r="R447" i="1"/>
  <c r="Q447" i="1"/>
  <c r="S446" i="1"/>
  <c r="R446" i="1"/>
  <c r="Q446" i="1"/>
  <c r="S445" i="1"/>
  <c r="R445" i="1"/>
  <c r="Q445" i="1"/>
  <c r="S444" i="1"/>
  <c r="R444" i="1"/>
  <c r="Q444" i="1"/>
  <c r="S443" i="1"/>
  <c r="R443" i="1"/>
  <c r="Q443" i="1"/>
  <c r="S442" i="1"/>
  <c r="R442" i="1"/>
  <c r="Q442" i="1"/>
  <c r="S441" i="1"/>
  <c r="R441" i="1"/>
  <c r="Q441" i="1"/>
  <c r="S440" i="1"/>
  <c r="R440" i="1"/>
  <c r="Q440" i="1"/>
  <c r="S439" i="1"/>
  <c r="R439" i="1"/>
  <c r="Q439" i="1"/>
  <c r="S438" i="1"/>
  <c r="R438" i="1"/>
  <c r="Q438" i="1"/>
  <c r="S437" i="1"/>
  <c r="R437" i="1"/>
  <c r="Q437" i="1"/>
  <c r="S436" i="1"/>
  <c r="R436" i="1"/>
  <c r="Q436" i="1"/>
  <c r="S435" i="1"/>
  <c r="R435" i="1"/>
  <c r="Q435" i="1"/>
  <c r="S434" i="1"/>
  <c r="R434" i="1"/>
  <c r="Q434" i="1"/>
  <c r="S433" i="1"/>
  <c r="R433" i="1"/>
  <c r="Q433" i="1"/>
  <c r="S432" i="1"/>
  <c r="R432" i="1"/>
  <c r="Q432" i="1"/>
  <c r="S431" i="1"/>
  <c r="R431" i="1"/>
  <c r="Q431" i="1"/>
  <c r="S430" i="1"/>
  <c r="R430" i="1"/>
  <c r="Q430" i="1"/>
  <c r="S429" i="1"/>
  <c r="R429" i="1"/>
  <c r="Q429" i="1"/>
  <c r="S428" i="1"/>
  <c r="R428" i="1"/>
  <c r="Q428" i="1"/>
  <c r="S427" i="1"/>
  <c r="R427" i="1"/>
  <c r="Q427" i="1"/>
  <c r="S426" i="1"/>
  <c r="R426" i="1"/>
  <c r="Q426" i="1"/>
  <c r="S425" i="1"/>
  <c r="R425" i="1"/>
  <c r="Q425" i="1"/>
  <c r="S424" i="1"/>
  <c r="R424" i="1"/>
  <c r="Q424" i="1"/>
  <c r="S423" i="1"/>
  <c r="R423" i="1"/>
  <c r="Q423" i="1"/>
  <c r="S422" i="1"/>
  <c r="R422" i="1"/>
  <c r="Q422" i="1"/>
  <c r="S421" i="1"/>
  <c r="R421" i="1"/>
  <c r="Q421" i="1"/>
  <c r="S420" i="1"/>
  <c r="R420" i="1"/>
  <c r="Q420" i="1"/>
  <c r="S419" i="1"/>
  <c r="R419" i="1"/>
  <c r="Q419" i="1"/>
  <c r="S418" i="1"/>
  <c r="R418" i="1"/>
  <c r="Q418" i="1"/>
  <c r="S417" i="1"/>
  <c r="R417" i="1"/>
  <c r="Q417" i="1"/>
  <c r="S416" i="1"/>
  <c r="R416" i="1"/>
  <c r="Q416" i="1"/>
  <c r="S415" i="1"/>
  <c r="R415" i="1"/>
  <c r="Q415" i="1"/>
  <c r="S414" i="1"/>
  <c r="R414" i="1"/>
  <c r="Q414" i="1"/>
  <c r="S413" i="1"/>
  <c r="R413" i="1"/>
  <c r="Q413" i="1"/>
  <c r="S412" i="1"/>
  <c r="R412" i="1"/>
  <c r="Q412" i="1"/>
  <c r="S411" i="1"/>
  <c r="R411" i="1"/>
  <c r="Q411" i="1"/>
  <c r="S410" i="1"/>
  <c r="R410" i="1"/>
  <c r="Q410" i="1"/>
  <c r="S409" i="1"/>
  <c r="R409" i="1"/>
  <c r="Q409" i="1"/>
  <c r="S408" i="1"/>
  <c r="R408" i="1"/>
  <c r="Q408" i="1"/>
  <c r="S407" i="1"/>
  <c r="R407" i="1"/>
  <c r="Q407" i="1"/>
  <c r="S406" i="1"/>
  <c r="R406" i="1"/>
  <c r="Q406" i="1"/>
  <c r="S405" i="1"/>
  <c r="R405" i="1"/>
  <c r="Q405" i="1"/>
  <c r="S404" i="1"/>
  <c r="R404" i="1"/>
  <c r="Q404" i="1"/>
  <c r="S403" i="1"/>
  <c r="R403" i="1"/>
  <c r="Q403" i="1"/>
  <c r="S402" i="1"/>
  <c r="R402" i="1"/>
  <c r="Q402" i="1"/>
  <c r="S401" i="1"/>
  <c r="R401" i="1"/>
  <c r="Q401" i="1"/>
  <c r="S400" i="1"/>
  <c r="R400" i="1"/>
  <c r="Q400" i="1"/>
  <c r="S399" i="1"/>
  <c r="R399" i="1"/>
  <c r="Q399" i="1"/>
  <c r="S398" i="1"/>
  <c r="R398" i="1"/>
  <c r="Q398" i="1"/>
  <c r="S397" i="1"/>
  <c r="R397" i="1"/>
  <c r="Q397" i="1"/>
  <c r="S396" i="1"/>
  <c r="R396" i="1"/>
  <c r="Q396" i="1"/>
  <c r="S395" i="1"/>
  <c r="R395" i="1"/>
  <c r="Q395" i="1"/>
  <c r="S394" i="1"/>
  <c r="R394" i="1"/>
  <c r="Q394" i="1"/>
  <c r="S393" i="1"/>
  <c r="R393" i="1"/>
  <c r="Q393" i="1"/>
  <c r="S392" i="1"/>
  <c r="R392" i="1"/>
  <c r="Q392" i="1"/>
  <c r="S391" i="1"/>
  <c r="R391" i="1"/>
  <c r="Q391" i="1"/>
  <c r="S390" i="1"/>
  <c r="R390" i="1"/>
  <c r="Q390" i="1"/>
  <c r="S389" i="1"/>
  <c r="R389" i="1"/>
  <c r="Q389" i="1"/>
  <c r="S388" i="1"/>
  <c r="R388" i="1"/>
  <c r="Q388" i="1"/>
  <c r="S387" i="1"/>
  <c r="R387" i="1"/>
  <c r="Q387" i="1"/>
  <c r="S386" i="1"/>
  <c r="R386" i="1"/>
  <c r="Q386" i="1"/>
  <c r="S385" i="1"/>
  <c r="R385" i="1"/>
  <c r="Q385" i="1"/>
  <c r="S384" i="1"/>
  <c r="R384" i="1"/>
  <c r="Q384" i="1"/>
  <c r="S383" i="1"/>
  <c r="R383" i="1"/>
  <c r="Q383" i="1"/>
  <c r="S382" i="1"/>
  <c r="R382" i="1"/>
  <c r="Q382" i="1"/>
  <c r="S381" i="1"/>
  <c r="R381" i="1"/>
  <c r="Q381" i="1"/>
  <c r="S380" i="1"/>
  <c r="R380" i="1"/>
  <c r="Q380" i="1"/>
  <c r="S379" i="1"/>
  <c r="R379" i="1"/>
  <c r="Q379" i="1"/>
  <c r="S378" i="1"/>
  <c r="R378" i="1"/>
  <c r="Q378" i="1"/>
  <c r="S377" i="1"/>
  <c r="R377" i="1"/>
  <c r="Q377" i="1"/>
  <c r="S376" i="1"/>
  <c r="R376" i="1"/>
  <c r="Q376" i="1"/>
  <c r="S375" i="1"/>
  <c r="R375" i="1"/>
  <c r="Q375" i="1"/>
  <c r="S374" i="1"/>
  <c r="R374" i="1"/>
  <c r="Q374" i="1"/>
  <c r="S373" i="1"/>
  <c r="R373" i="1"/>
  <c r="Q373" i="1"/>
  <c r="S372" i="1"/>
  <c r="R372" i="1"/>
  <c r="Q372" i="1"/>
  <c r="S371" i="1"/>
  <c r="R371" i="1"/>
  <c r="Q371" i="1"/>
  <c r="S370" i="1"/>
  <c r="R370" i="1"/>
  <c r="Q370" i="1"/>
  <c r="S369" i="1"/>
  <c r="R369" i="1"/>
  <c r="Q369" i="1"/>
  <c r="S368" i="1"/>
  <c r="R368" i="1"/>
  <c r="Q368" i="1"/>
  <c r="S367" i="1"/>
  <c r="R367" i="1"/>
  <c r="Q367" i="1"/>
  <c r="S366" i="1"/>
  <c r="R366" i="1"/>
  <c r="Q366" i="1"/>
  <c r="S365" i="1"/>
  <c r="R365" i="1"/>
  <c r="Q365" i="1"/>
  <c r="S364" i="1"/>
  <c r="R364" i="1"/>
  <c r="Q364" i="1"/>
  <c r="S363" i="1"/>
  <c r="R363" i="1"/>
  <c r="Q363" i="1"/>
  <c r="S362" i="1"/>
  <c r="R362" i="1"/>
  <c r="Q362" i="1"/>
  <c r="S361" i="1"/>
  <c r="R361" i="1"/>
  <c r="Q361" i="1"/>
  <c r="S360" i="1"/>
  <c r="R360" i="1"/>
  <c r="Q360" i="1"/>
  <c r="S359" i="1"/>
  <c r="R359" i="1"/>
  <c r="Q359" i="1"/>
  <c r="S358" i="1"/>
  <c r="R358" i="1"/>
  <c r="Q358" i="1"/>
  <c r="S357" i="1"/>
  <c r="R357" i="1"/>
  <c r="Q357" i="1"/>
  <c r="S356" i="1"/>
  <c r="R356" i="1"/>
  <c r="Q356" i="1"/>
  <c r="S355" i="1"/>
  <c r="R355" i="1"/>
  <c r="Q355" i="1"/>
  <c r="S354" i="1"/>
  <c r="R354" i="1"/>
  <c r="Q354" i="1"/>
  <c r="S353" i="1"/>
  <c r="R353" i="1"/>
  <c r="Q353" i="1"/>
  <c r="S352" i="1"/>
  <c r="R352" i="1"/>
  <c r="Q352" i="1"/>
  <c r="S351" i="1"/>
  <c r="R351" i="1"/>
  <c r="Q351" i="1"/>
  <c r="S350" i="1"/>
  <c r="R350" i="1"/>
  <c r="Q350" i="1"/>
  <c r="S349" i="1"/>
  <c r="R349" i="1"/>
  <c r="Q349" i="1"/>
  <c r="S348" i="1"/>
  <c r="R348" i="1"/>
  <c r="Q348" i="1"/>
  <c r="S347" i="1"/>
  <c r="R347" i="1"/>
  <c r="Q347" i="1"/>
  <c r="S346" i="1"/>
  <c r="R346" i="1"/>
  <c r="Q346" i="1"/>
  <c r="S345" i="1"/>
  <c r="R345" i="1"/>
  <c r="Q345" i="1"/>
  <c r="S344" i="1"/>
  <c r="R344" i="1"/>
  <c r="Q344" i="1"/>
  <c r="S343" i="1"/>
  <c r="R343" i="1"/>
  <c r="Q343" i="1"/>
  <c r="S342" i="1"/>
  <c r="R342" i="1"/>
  <c r="Q342" i="1"/>
  <c r="S341" i="1"/>
  <c r="R341" i="1"/>
  <c r="Q341" i="1"/>
  <c r="S340" i="1"/>
  <c r="R340" i="1"/>
  <c r="Q340" i="1"/>
  <c r="S339" i="1"/>
  <c r="R339" i="1"/>
  <c r="Q339" i="1"/>
  <c r="S338" i="1"/>
  <c r="R338" i="1"/>
  <c r="Q338" i="1"/>
  <c r="S337" i="1"/>
  <c r="R337" i="1"/>
  <c r="Q337" i="1"/>
  <c r="S336" i="1"/>
  <c r="R336" i="1"/>
  <c r="Q336" i="1"/>
  <c r="S335" i="1"/>
  <c r="R335" i="1"/>
  <c r="Q335" i="1"/>
  <c r="S334" i="1"/>
  <c r="R334" i="1"/>
  <c r="Q334" i="1"/>
  <c r="S333" i="1"/>
  <c r="R333" i="1"/>
  <c r="Q333" i="1"/>
  <c r="S332" i="1"/>
  <c r="R332" i="1"/>
  <c r="Q332" i="1"/>
  <c r="S331" i="1"/>
  <c r="R331" i="1"/>
  <c r="Q331" i="1"/>
  <c r="S330" i="1"/>
  <c r="R330" i="1"/>
  <c r="Q330" i="1"/>
  <c r="S329" i="1"/>
  <c r="R329" i="1"/>
  <c r="Q329" i="1"/>
  <c r="S328" i="1"/>
  <c r="R328" i="1"/>
  <c r="Q328" i="1"/>
  <c r="S327" i="1"/>
  <c r="R327" i="1"/>
  <c r="Q327" i="1"/>
  <c r="S326" i="1"/>
  <c r="R326" i="1"/>
  <c r="Q326" i="1"/>
  <c r="S325" i="1"/>
  <c r="R325" i="1"/>
  <c r="Q325" i="1"/>
  <c r="S324" i="1"/>
  <c r="R324" i="1"/>
  <c r="Q324" i="1"/>
  <c r="S323" i="1"/>
  <c r="R323" i="1"/>
  <c r="Q323" i="1"/>
  <c r="S322" i="1"/>
  <c r="R322" i="1"/>
  <c r="Q322" i="1"/>
  <c r="S321" i="1"/>
  <c r="R321" i="1"/>
  <c r="Q321" i="1"/>
  <c r="S320" i="1"/>
  <c r="R320" i="1"/>
  <c r="Q320" i="1"/>
  <c r="S319" i="1"/>
  <c r="R319" i="1"/>
  <c r="Q319" i="1"/>
  <c r="S318" i="1"/>
  <c r="R318" i="1"/>
  <c r="Q318" i="1"/>
  <c r="S317" i="1"/>
  <c r="R317" i="1"/>
  <c r="Q317" i="1"/>
  <c r="S316" i="1"/>
  <c r="R316" i="1"/>
  <c r="Q316" i="1"/>
  <c r="S315" i="1"/>
  <c r="R315" i="1"/>
  <c r="Q315" i="1"/>
  <c r="S314" i="1"/>
  <c r="R314" i="1"/>
  <c r="Q314" i="1"/>
  <c r="S313" i="1"/>
  <c r="R313" i="1"/>
  <c r="Q313" i="1"/>
  <c r="S312" i="1"/>
  <c r="R312" i="1"/>
  <c r="Q312" i="1"/>
  <c r="S311" i="1"/>
  <c r="R311" i="1"/>
  <c r="Q311" i="1"/>
  <c r="S310" i="1"/>
  <c r="R310" i="1"/>
  <c r="Q310" i="1"/>
  <c r="S309" i="1"/>
  <c r="R309" i="1"/>
  <c r="Q309" i="1"/>
  <c r="S308" i="1"/>
  <c r="R308" i="1"/>
  <c r="Q308" i="1"/>
  <c r="S307" i="1"/>
  <c r="R307" i="1"/>
  <c r="Q307" i="1"/>
  <c r="S306" i="1"/>
  <c r="R306" i="1"/>
  <c r="Q306" i="1"/>
  <c r="S305" i="1"/>
  <c r="R305" i="1"/>
  <c r="Q305" i="1"/>
  <c r="S304" i="1"/>
  <c r="R304" i="1"/>
  <c r="Q304" i="1"/>
  <c r="S303" i="1"/>
  <c r="R303" i="1"/>
  <c r="Q303" i="1"/>
  <c r="S302" i="1"/>
  <c r="R302" i="1"/>
  <c r="Q302" i="1"/>
  <c r="S301" i="1"/>
  <c r="R301" i="1"/>
  <c r="Q301" i="1"/>
  <c r="S300" i="1"/>
  <c r="R300" i="1"/>
  <c r="Q300" i="1"/>
  <c r="S299" i="1"/>
  <c r="R299" i="1"/>
  <c r="Q299" i="1"/>
  <c r="S298" i="1"/>
  <c r="R298" i="1"/>
  <c r="Q298" i="1"/>
  <c r="S297" i="1"/>
  <c r="R297" i="1"/>
  <c r="Q297" i="1"/>
  <c r="S296" i="1"/>
  <c r="R296" i="1"/>
  <c r="Q296" i="1"/>
  <c r="S295" i="1"/>
  <c r="R295" i="1"/>
  <c r="Q295" i="1"/>
  <c r="S294" i="1"/>
  <c r="R294" i="1"/>
  <c r="Q294" i="1"/>
  <c r="S293" i="1"/>
  <c r="R293" i="1"/>
  <c r="Q293" i="1"/>
  <c r="S292" i="1"/>
  <c r="R292" i="1"/>
  <c r="Q292" i="1"/>
  <c r="S291" i="1"/>
  <c r="R291" i="1"/>
  <c r="Q291" i="1"/>
  <c r="S290" i="1"/>
  <c r="R290" i="1"/>
  <c r="Q290" i="1"/>
  <c r="S289" i="1"/>
  <c r="R289" i="1"/>
  <c r="Q289" i="1"/>
  <c r="S288" i="1"/>
  <c r="R288" i="1"/>
  <c r="Q288" i="1"/>
  <c r="S287" i="1"/>
  <c r="R287" i="1"/>
  <c r="Q287" i="1"/>
  <c r="S286" i="1"/>
  <c r="R286" i="1"/>
  <c r="Q286" i="1"/>
  <c r="S285" i="1"/>
  <c r="R285" i="1"/>
  <c r="Q285" i="1"/>
  <c r="S284" i="1"/>
  <c r="R284" i="1"/>
  <c r="Q284" i="1"/>
  <c r="S283" i="1"/>
  <c r="R283" i="1"/>
  <c r="Q283" i="1"/>
  <c r="S282" i="1"/>
  <c r="R282" i="1"/>
  <c r="Q282" i="1"/>
  <c r="S281" i="1"/>
  <c r="R281" i="1"/>
  <c r="Q281" i="1"/>
  <c r="S280" i="1"/>
  <c r="R280" i="1"/>
  <c r="Q280" i="1"/>
  <c r="S279" i="1"/>
  <c r="R279" i="1"/>
  <c r="Q279" i="1"/>
  <c r="S278" i="1"/>
  <c r="R278" i="1"/>
  <c r="Q278" i="1"/>
  <c r="S277" i="1"/>
  <c r="R277" i="1"/>
  <c r="Q277" i="1"/>
  <c r="S276" i="1"/>
  <c r="R276" i="1"/>
  <c r="Q276" i="1"/>
  <c r="S275" i="1"/>
  <c r="R275" i="1"/>
  <c r="Q275" i="1"/>
  <c r="S274" i="1"/>
  <c r="R274" i="1"/>
  <c r="Q274" i="1"/>
  <c r="S273" i="1"/>
  <c r="R273" i="1"/>
  <c r="Q273" i="1"/>
  <c r="S272" i="1"/>
  <c r="R272" i="1"/>
  <c r="Q272" i="1"/>
  <c r="S271" i="1"/>
  <c r="R271" i="1"/>
  <c r="Q271" i="1"/>
  <c r="S270" i="1"/>
  <c r="R270" i="1"/>
  <c r="Q270" i="1"/>
  <c r="S269" i="1"/>
  <c r="R269" i="1"/>
  <c r="Q269" i="1"/>
  <c r="S268" i="1"/>
  <c r="R268" i="1"/>
  <c r="Q268" i="1"/>
  <c r="S267" i="1"/>
  <c r="R267" i="1"/>
  <c r="Q267" i="1"/>
  <c r="S266" i="1"/>
  <c r="R266" i="1"/>
  <c r="Q266" i="1"/>
  <c r="S265" i="1"/>
  <c r="R265" i="1"/>
  <c r="Q265" i="1"/>
  <c r="S264" i="1"/>
  <c r="R264" i="1"/>
  <c r="Q264" i="1"/>
  <c r="S263" i="1"/>
  <c r="R263" i="1"/>
  <c r="Q263" i="1"/>
  <c r="S262" i="1"/>
  <c r="R262" i="1"/>
  <c r="Q262" i="1"/>
  <c r="S261" i="1"/>
  <c r="R261" i="1"/>
  <c r="Q261" i="1"/>
  <c r="S260" i="1"/>
  <c r="R260" i="1"/>
  <c r="Q260" i="1"/>
  <c r="S259" i="1"/>
  <c r="R259" i="1"/>
  <c r="Q259" i="1"/>
  <c r="S258" i="1"/>
  <c r="R258" i="1"/>
  <c r="Q258" i="1"/>
  <c r="S257" i="1"/>
  <c r="R257" i="1"/>
  <c r="Q257" i="1"/>
  <c r="S256" i="1"/>
  <c r="R256" i="1"/>
  <c r="Q256" i="1"/>
  <c r="S255" i="1"/>
  <c r="R255" i="1"/>
  <c r="Q255" i="1"/>
  <c r="S254" i="1"/>
  <c r="R254" i="1"/>
  <c r="Q254" i="1"/>
  <c r="S253" i="1"/>
  <c r="R253" i="1"/>
  <c r="Q253" i="1"/>
  <c r="S252" i="1"/>
  <c r="R252" i="1"/>
  <c r="Q252" i="1"/>
  <c r="S251" i="1"/>
  <c r="R251" i="1"/>
  <c r="Q251" i="1"/>
  <c r="S250" i="1"/>
  <c r="R250" i="1"/>
  <c r="Q250" i="1"/>
  <c r="S249" i="1"/>
  <c r="R249" i="1"/>
  <c r="Q249" i="1"/>
  <c r="S248" i="1"/>
  <c r="R248" i="1"/>
  <c r="Q248" i="1"/>
  <c r="S247" i="1"/>
  <c r="R247" i="1"/>
  <c r="Q247" i="1"/>
  <c r="S246" i="1"/>
  <c r="R246" i="1"/>
  <c r="Q246" i="1"/>
  <c r="S245" i="1"/>
  <c r="R245" i="1"/>
  <c r="Q245" i="1"/>
  <c r="S244" i="1"/>
  <c r="R244" i="1"/>
  <c r="Q244" i="1"/>
  <c r="S243" i="1"/>
  <c r="R243" i="1"/>
  <c r="Q243" i="1"/>
  <c r="S242" i="1"/>
  <c r="R242" i="1"/>
  <c r="Q242" i="1"/>
  <c r="S241" i="1"/>
  <c r="R241" i="1"/>
  <c r="Q241" i="1"/>
  <c r="S240" i="1"/>
  <c r="R240" i="1"/>
  <c r="Q240" i="1"/>
  <c r="S239" i="1"/>
  <c r="R239" i="1"/>
  <c r="Q239" i="1"/>
  <c r="S238" i="1"/>
  <c r="R238" i="1"/>
  <c r="Q238" i="1"/>
  <c r="S237" i="1"/>
  <c r="R237" i="1"/>
  <c r="Q237" i="1"/>
  <c r="S236" i="1"/>
  <c r="R236" i="1"/>
  <c r="Q236" i="1"/>
  <c r="S235" i="1"/>
  <c r="R235" i="1"/>
  <c r="Q235" i="1"/>
  <c r="S234" i="1"/>
  <c r="R234" i="1"/>
  <c r="Q234" i="1"/>
  <c r="S233" i="1"/>
  <c r="R233" i="1"/>
  <c r="Q233" i="1"/>
  <c r="S232" i="1"/>
  <c r="R232" i="1"/>
  <c r="Q232" i="1"/>
  <c r="S231" i="1"/>
  <c r="R231" i="1"/>
  <c r="Q231" i="1"/>
  <c r="S230" i="1"/>
  <c r="R230" i="1"/>
  <c r="Q230" i="1"/>
  <c r="S229" i="1"/>
  <c r="R229" i="1"/>
  <c r="Q229" i="1"/>
  <c r="S228" i="1"/>
  <c r="R228" i="1"/>
  <c r="Q228" i="1"/>
  <c r="S227" i="1"/>
  <c r="R227" i="1"/>
  <c r="Q227" i="1"/>
  <c r="S226" i="1"/>
  <c r="R226" i="1"/>
  <c r="Q226" i="1"/>
  <c r="S225" i="1"/>
  <c r="R225" i="1"/>
  <c r="Q225" i="1"/>
  <c r="S224" i="1"/>
  <c r="R224" i="1"/>
  <c r="Q224" i="1"/>
  <c r="S223" i="1"/>
  <c r="R223" i="1"/>
  <c r="Q223" i="1"/>
  <c r="S222" i="1"/>
  <c r="R222" i="1"/>
  <c r="Q222" i="1"/>
  <c r="S221" i="1"/>
  <c r="R221" i="1"/>
  <c r="Q221" i="1"/>
  <c r="S220" i="1"/>
  <c r="R220" i="1"/>
  <c r="Q220" i="1"/>
  <c r="S219" i="1"/>
  <c r="R219" i="1"/>
  <c r="Q219" i="1"/>
  <c r="S218" i="1"/>
  <c r="R218" i="1"/>
  <c r="Q218" i="1"/>
  <c r="S217" i="1"/>
  <c r="R217" i="1"/>
  <c r="Q217" i="1"/>
  <c r="S216" i="1"/>
  <c r="R216" i="1"/>
  <c r="Q216" i="1"/>
  <c r="S215" i="1"/>
  <c r="R215" i="1"/>
  <c r="Q215" i="1"/>
  <c r="S214" i="1"/>
  <c r="R214" i="1"/>
  <c r="Q214" i="1"/>
  <c r="S213" i="1"/>
  <c r="R213" i="1"/>
  <c r="Q213" i="1"/>
  <c r="S212" i="1"/>
  <c r="R212" i="1"/>
  <c r="Q212" i="1"/>
  <c r="S211" i="1"/>
  <c r="R211" i="1"/>
  <c r="Q211" i="1"/>
  <c r="S210" i="1"/>
  <c r="R210" i="1"/>
  <c r="Q210" i="1"/>
  <c r="S209" i="1"/>
  <c r="R209" i="1"/>
  <c r="Q209" i="1"/>
  <c r="S208" i="1"/>
  <c r="R208" i="1"/>
  <c r="Q208" i="1"/>
  <c r="S207" i="1"/>
  <c r="R207" i="1"/>
  <c r="Q207" i="1"/>
  <c r="S206" i="1"/>
  <c r="R206" i="1"/>
  <c r="Q206" i="1"/>
  <c r="S205" i="1"/>
  <c r="R205" i="1"/>
  <c r="Q205" i="1"/>
  <c r="S204" i="1"/>
  <c r="R204" i="1"/>
  <c r="Q204" i="1"/>
  <c r="S203" i="1"/>
  <c r="R203" i="1"/>
  <c r="Q203" i="1"/>
  <c r="S202" i="1"/>
  <c r="R202" i="1"/>
  <c r="Q202" i="1"/>
  <c r="S201" i="1"/>
  <c r="R201" i="1"/>
  <c r="Q201" i="1"/>
  <c r="S200" i="1"/>
  <c r="R200" i="1"/>
  <c r="Q200" i="1"/>
  <c r="S199" i="1"/>
  <c r="R199" i="1"/>
  <c r="Q199" i="1"/>
  <c r="S198" i="1"/>
  <c r="R198" i="1"/>
  <c r="Q198" i="1"/>
  <c r="S197" i="1"/>
  <c r="R197" i="1"/>
  <c r="Q197" i="1"/>
  <c r="S196" i="1"/>
  <c r="R196" i="1"/>
  <c r="Q196" i="1"/>
  <c r="S195" i="1"/>
  <c r="R195" i="1"/>
  <c r="Q195" i="1"/>
  <c r="S194" i="1"/>
  <c r="R194" i="1"/>
  <c r="Q194" i="1"/>
  <c r="S193" i="1"/>
  <c r="R193" i="1"/>
  <c r="Q193" i="1"/>
  <c r="S192" i="1"/>
  <c r="R192" i="1"/>
  <c r="Q192" i="1"/>
  <c r="S191" i="1"/>
  <c r="R191" i="1"/>
  <c r="Q191" i="1"/>
  <c r="S190" i="1"/>
  <c r="R190" i="1"/>
  <c r="Q190" i="1"/>
  <c r="S189" i="1"/>
  <c r="R189" i="1"/>
  <c r="Q189" i="1"/>
  <c r="S188" i="1"/>
  <c r="R188" i="1"/>
  <c r="Q188" i="1"/>
  <c r="S187" i="1"/>
  <c r="R187" i="1"/>
  <c r="Q187" i="1"/>
  <c r="S186" i="1"/>
  <c r="R186" i="1"/>
  <c r="Q186" i="1"/>
  <c r="S185" i="1"/>
  <c r="R185" i="1"/>
  <c r="Q185" i="1"/>
  <c r="S184" i="1"/>
  <c r="R184" i="1"/>
  <c r="Q184" i="1"/>
  <c r="S183" i="1"/>
  <c r="R183" i="1"/>
  <c r="Q183" i="1"/>
  <c r="S182" i="1"/>
  <c r="R182" i="1"/>
  <c r="Q182" i="1"/>
  <c r="S181" i="1"/>
  <c r="R181" i="1"/>
  <c r="Q181" i="1"/>
  <c r="S180" i="1"/>
  <c r="R180" i="1"/>
  <c r="Q180" i="1"/>
  <c r="S179" i="1"/>
  <c r="R179" i="1"/>
  <c r="Q179" i="1"/>
  <c r="S178" i="1"/>
  <c r="R178" i="1"/>
  <c r="Q178" i="1"/>
  <c r="S177" i="1"/>
  <c r="R177" i="1"/>
  <c r="Q177" i="1"/>
  <c r="S176" i="1"/>
  <c r="R176" i="1"/>
  <c r="Q176" i="1"/>
  <c r="S175" i="1"/>
  <c r="R175" i="1"/>
  <c r="Q175" i="1"/>
  <c r="S174" i="1"/>
  <c r="R174" i="1"/>
  <c r="Q174" i="1"/>
  <c r="S173" i="1"/>
  <c r="R173" i="1"/>
  <c r="Q173" i="1"/>
  <c r="S172" i="1"/>
  <c r="R172" i="1"/>
  <c r="Q172" i="1"/>
  <c r="S171" i="1"/>
  <c r="R171" i="1"/>
  <c r="Q171" i="1"/>
  <c r="S170" i="1"/>
  <c r="R170" i="1"/>
  <c r="Q170" i="1"/>
  <c r="S169" i="1"/>
  <c r="R169" i="1"/>
  <c r="Q169" i="1"/>
  <c r="S168" i="1"/>
  <c r="R168" i="1"/>
  <c r="Q168" i="1"/>
  <c r="S167" i="1"/>
  <c r="R167" i="1"/>
  <c r="Q167" i="1"/>
  <c r="S166" i="1"/>
  <c r="R166" i="1"/>
  <c r="Q166" i="1"/>
  <c r="S165" i="1"/>
  <c r="R165" i="1"/>
  <c r="Q165" i="1"/>
  <c r="S164" i="1"/>
  <c r="R164" i="1"/>
  <c r="Q164" i="1"/>
  <c r="S163" i="1"/>
  <c r="R163" i="1"/>
  <c r="Q163" i="1"/>
  <c r="S162" i="1"/>
  <c r="R162" i="1"/>
  <c r="Q162" i="1"/>
  <c r="S161" i="1"/>
  <c r="R161" i="1"/>
  <c r="Q161" i="1"/>
  <c r="S160" i="1"/>
  <c r="R160" i="1"/>
  <c r="Q160" i="1"/>
  <c r="S159" i="1"/>
  <c r="R159" i="1"/>
  <c r="Q159" i="1"/>
  <c r="S158" i="1"/>
  <c r="R158" i="1"/>
  <c r="Q158" i="1"/>
  <c r="S157" i="1"/>
  <c r="R157" i="1"/>
  <c r="Q157" i="1"/>
  <c r="S156" i="1"/>
  <c r="R156" i="1"/>
  <c r="Q156" i="1"/>
  <c r="S155" i="1"/>
  <c r="R155" i="1"/>
  <c r="Q155" i="1"/>
  <c r="S154" i="1"/>
  <c r="R154" i="1"/>
  <c r="Q154" i="1"/>
  <c r="S153" i="1"/>
  <c r="R153" i="1"/>
  <c r="Q153" i="1"/>
  <c r="S152" i="1"/>
  <c r="R152" i="1"/>
  <c r="Q152" i="1"/>
  <c r="S151" i="1"/>
  <c r="R151" i="1"/>
  <c r="Q151" i="1"/>
  <c r="S150" i="1"/>
  <c r="R150" i="1"/>
  <c r="Q150" i="1"/>
  <c r="S149" i="1"/>
  <c r="R149" i="1"/>
  <c r="Q149" i="1"/>
  <c r="S148" i="1"/>
  <c r="R148" i="1"/>
  <c r="Q148" i="1"/>
  <c r="S147" i="1"/>
  <c r="R147" i="1"/>
  <c r="Q147" i="1"/>
  <c r="S146" i="1"/>
  <c r="R146" i="1"/>
  <c r="Q146" i="1"/>
  <c r="S145" i="1"/>
  <c r="R145" i="1"/>
  <c r="Q145" i="1"/>
  <c r="S144" i="1"/>
  <c r="R144" i="1"/>
  <c r="Q144" i="1"/>
  <c r="S143" i="1"/>
  <c r="R143" i="1"/>
  <c r="Q143" i="1"/>
  <c r="S142" i="1"/>
  <c r="R142" i="1"/>
  <c r="Q142" i="1"/>
  <c r="S141" i="1"/>
  <c r="R141" i="1"/>
  <c r="Q141" i="1"/>
  <c r="S140" i="1"/>
  <c r="R140" i="1"/>
  <c r="Q140" i="1"/>
  <c r="S139" i="1"/>
  <c r="R139" i="1"/>
  <c r="Q139" i="1"/>
  <c r="S138" i="1"/>
  <c r="R138" i="1"/>
  <c r="Q138" i="1"/>
  <c r="S137" i="1"/>
  <c r="R137" i="1"/>
  <c r="Q137" i="1"/>
  <c r="S136" i="1"/>
  <c r="R136" i="1"/>
  <c r="Q136" i="1"/>
  <c r="S135" i="1"/>
  <c r="R135" i="1"/>
  <c r="Q135" i="1"/>
  <c r="S134" i="1"/>
  <c r="R134" i="1"/>
  <c r="Q134" i="1"/>
  <c r="S133" i="1"/>
  <c r="R133" i="1"/>
  <c r="Q133" i="1"/>
  <c r="S132" i="1"/>
  <c r="R132" i="1"/>
  <c r="Q132" i="1"/>
  <c r="S131" i="1"/>
  <c r="R131" i="1"/>
  <c r="Q131" i="1"/>
  <c r="S130" i="1"/>
  <c r="R130" i="1"/>
  <c r="Q130" i="1"/>
  <c r="S129" i="1"/>
  <c r="R129" i="1"/>
  <c r="Q129" i="1"/>
  <c r="S128" i="1"/>
  <c r="R128" i="1"/>
  <c r="Q128" i="1"/>
  <c r="S127" i="1"/>
  <c r="R127" i="1"/>
  <c r="Q127" i="1"/>
  <c r="S126" i="1"/>
  <c r="R126" i="1"/>
  <c r="Q126" i="1"/>
  <c r="S125" i="1"/>
  <c r="R125" i="1"/>
  <c r="Q125" i="1"/>
  <c r="S124" i="1"/>
  <c r="R124" i="1"/>
  <c r="Q124" i="1"/>
  <c r="S123" i="1"/>
  <c r="R123" i="1"/>
  <c r="Q123" i="1"/>
  <c r="S122" i="1"/>
  <c r="R122" i="1"/>
  <c r="Q122" i="1"/>
  <c r="S121" i="1"/>
  <c r="R121" i="1"/>
  <c r="Q121" i="1"/>
  <c r="S120" i="1"/>
  <c r="R120" i="1"/>
  <c r="Q120" i="1"/>
  <c r="S119" i="1"/>
  <c r="R119" i="1"/>
  <c r="Q119" i="1"/>
  <c r="S118" i="1"/>
  <c r="R118" i="1"/>
  <c r="Q118" i="1"/>
  <c r="S117" i="1"/>
  <c r="R117" i="1"/>
  <c r="Q117" i="1"/>
  <c r="S116" i="1"/>
  <c r="R116" i="1"/>
  <c r="Q116" i="1"/>
  <c r="S115" i="1"/>
  <c r="R115" i="1"/>
  <c r="Q115" i="1"/>
  <c r="S114" i="1"/>
  <c r="R114" i="1"/>
  <c r="Q114" i="1"/>
  <c r="S113" i="1"/>
  <c r="R113" i="1"/>
  <c r="Q113" i="1"/>
  <c r="S112" i="1"/>
  <c r="R112" i="1"/>
  <c r="Q112" i="1"/>
  <c r="S111" i="1"/>
  <c r="R111" i="1"/>
  <c r="Q111" i="1"/>
  <c r="S110" i="1"/>
  <c r="R110" i="1"/>
  <c r="Q110" i="1"/>
  <c r="S109" i="1"/>
  <c r="R109" i="1"/>
  <c r="Q109" i="1"/>
  <c r="S108" i="1"/>
  <c r="R108" i="1"/>
  <c r="Q108" i="1"/>
  <c r="S107" i="1"/>
  <c r="R107" i="1"/>
  <c r="Q107" i="1"/>
  <c r="S106" i="1"/>
  <c r="R106" i="1"/>
  <c r="Q106" i="1"/>
  <c r="S105" i="1"/>
  <c r="R105" i="1"/>
  <c r="Q105" i="1"/>
  <c r="S104" i="1"/>
  <c r="R104" i="1"/>
  <c r="Q104" i="1"/>
  <c r="S103" i="1"/>
  <c r="R103" i="1"/>
  <c r="Q103" i="1"/>
  <c r="S102" i="1"/>
  <c r="R102" i="1"/>
  <c r="Q102" i="1"/>
  <c r="S101" i="1"/>
  <c r="R101" i="1"/>
  <c r="Q101" i="1"/>
  <c r="S100" i="1"/>
  <c r="R100" i="1"/>
  <c r="Q100" i="1"/>
  <c r="S99" i="1"/>
  <c r="R99" i="1"/>
  <c r="Q99" i="1"/>
  <c r="S98" i="1"/>
  <c r="R98" i="1"/>
  <c r="Q98" i="1"/>
  <c r="S97" i="1"/>
  <c r="R97" i="1"/>
  <c r="Q97" i="1"/>
  <c r="S96" i="1"/>
  <c r="R96" i="1"/>
  <c r="Q96" i="1"/>
  <c r="S95" i="1"/>
  <c r="R95" i="1"/>
  <c r="Q95" i="1"/>
  <c r="S94" i="1"/>
  <c r="R94" i="1"/>
  <c r="Q94" i="1"/>
  <c r="S93" i="1"/>
  <c r="R93" i="1"/>
  <c r="Q93" i="1"/>
  <c r="S92" i="1"/>
  <c r="R92" i="1"/>
  <c r="Q92" i="1"/>
  <c r="S91" i="1"/>
  <c r="R91" i="1"/>
  <c r="Q91" i="1"/>
  <c r="S90" i="1"/>
  <c r="R90" i="1"/>
  <c r="Q90" i="1"/>
  <c r="S89" i="1"/>
  <c r="R89" i="1"/>
  <c r="Q89" i="1"/>
  <c r="S88" i="1"/>
  <c r="R88" i="1"/>
  <c r="Q88" i="1"/>
  <c r="S87" i="1"/>
  <c r="R87" i="1"/>
  <c r="Q87" i="1"/>
  <c r="S86" i="1"/>
  <c r="R86" i="1"/>
  <c r="Q86" i="1"/>
  <c r="S85" i="1"/>
  <c r="R85" i="1"/>
  <c r="Q85" i="1"/>
  <c r="S84" i="1"/>
  <c r="R84" i="1"/>
  <c r="Q84" i="1"/>
  <c r="S83" i="1"/>
  <c r="R83" i="1"/>
  <c r="Q83" i="1"/>
  <c r="S82" i="1"/>
  <c r="R82" i="1"/>
  <c r="Q82" i="1"/>
  <c r="S81" i="1"/>
  <c r="R81" i="1"/>
  <c r="Q81" i="1"/>
  <c r="S80" i="1"/>
  <c r="R80" i="1"/>
  <c r="Q80" i="1"/>
  <c r="S79" i="1"/>
  <c r="R79" i="1"/>
  <c r="Q79" i="1"/>
  <c r="S78" i="1"/>
  <c r="R78" i="1"/>
  <c r="Q78" i="1"/>
  <c r="S77" i="1"/>
  <c r="R77" i="1"/>
  <c r="Q77" i="1"/>
  <c r="S76" i="1"/>
  <c r="R76" i="1"/>
  <c r="Q76" i="1"/>
  <c r="S75" i="1"/>
  <c r="R75" i="1"/>
  <c r="Q75" i="1"/>
  <c r="S74" i="1"/>
  <c r="R74" i="1"/>
  <c r="Q74" i="1"/>
  <c r="S73" i="1"/>
  <c r="R73" i="1"/>
  <c r="Q73" i="1"/>
  <c r="S72" i="1"/>
  <c r="R72" i="1"/>
  <c r="Q72" i="1"/>
  <c r="S71" i="1"/>
  <c r="R71" i="1"/>
  <c r="Q71" i="1"/>
  <c r="S70" i="1"/>
  <c r="R70" i="1"/>
  <c r="Q70" i="1"/>
  <c r="S69" i="1"/>
  <c r="R69" i="1"/>
  <c r="Q69" i="1"/>
  <c r="S68" i="1"/>
  <c r="R68" i="1"/>
  <c r="Q68" i="1"/>
  <c r="S67" i="1"/>
  <c r="R67" i="1"/>
  <c r="Q67" i="1"/>
  <c r="S66" i="1"/>
  <c r="R66" i="1"/>
  <c r="Q66" i="1"/>
  <c r="S65" i="1"/>
  <c r="R65" i="1"/>
  <c r="Q65" i="1"/>
  <c r="S64" i="1"/>
  <c r="R64" i="1"/>
  <c r="Q64" i="1"/>
  <c r="S63" i="1"/>
  <c r="R63" i="1"/>
  <c r="Q63" i="1"/>
  <c r="S62" i="1"/>
  <c r="R62" i="1"/>
  <c r="Q62" i="1"/>
  <c r="S61" i="1"/>
  <c r="R61" i="1"/>
  <c r="Q61" i="1"/>
  <c r="S60" i="1"/>
  <c r="R60" i="1"/>
  <c r="Q60" i="1"/>
  <c r="S59" i="1"/>
  <c r="R59" i="1"/>
  <c r="Q59" i="1"/>
  <c r="S58" i="1"/>
  <c r="R58" i="1"/>
  <c r="Q58" i="1"/>
  <c r="S57" i="1"/>
  <c r="R57" i="1"/>
  <c r="Q57" i="1"/>
  <c r="S56" i="1"/>
  <c r="R56" i="1"/>
  <c r="Q56" i="1"/>
  <c r="S55" i="1"/>
  <c r="R55" i="1"/>
  <c r="Q55" i="1"/>
  <c r="S54" i="1"/>
  <c r="R54" i="1"/>
  <c r="Q54" i="1"/>
  <c r="S53" i="1"/>
  <c r="R53" i="1"/>
  <c r="Q53" i="1"/>
  <c r="S52" i="1"/>
  <c r="R52" i="1"/>
  <c r="Q52" i="1"/>
  <c r="S51" i="1"/>
  <c r="R51" i="1"/>
  <c r="Q51" i="1"/>
  <c r="S50" i="1"/>
  <c r="R50" i="1"/>
  <c r="Q50" i="1"/>
  <c r="S49" i="1"/>
  <c r="R49" i="1"/>
  <c r="Q49" i="1"/>
  <c r="S48" i="1"/>
  <c r="R48" i="1"/>
  <c r="Q48" i="1"/>
  <c r="S47" i="1"/>
  <c r="R47" i="1"/>
  <c r="Q47" i="1"/>
  <c r="S46" i="1"/>
  <c r="R46" i="1"/>
  <c r="Q46" i="1"/>
  <c r="S45" i="1"/>
  <c r="R45" i="1"/>
  <c r="Q45" i="1"/>
  <c r="S44" i="1"/>
  <c r="R44" i="1"/>
  <c r="Q44" i="1"/>
  <c r="S43" i="1"/>
  <c r="R43" i="1"/>
  <c r="Q43" i="1"/>
  <c r="S42" i="1"/>
  <c r="R42" i="1"/>
  <c r="Q42" i="1"/>
  <c r="S41" i="1"/>
  <c r="R41" i="1"/>
  <c r="Q41" i="1"/>
  <c r="S40" i="1"/>
  <c r="R40" i="1"/>
  <c r="Q40" i="1"/>
  <c r="S39" i="1"/>
  <c r="R39" i="1"/>
  <c r="Q39" i="1"/>
  <c r="S38" i="1"/>
  <c r="R38" i="1"/>
  <c r="Q38" i="1"/>
  <c r="S37" i="1"/>
  <c r="R37" i="1"/>
  <c r="Q37" i="1"/>
  <c r="S36" i="1"/>
  <c r="R36" i="1"/>
  <c r="Q36" i="1"/>
  <c r="S35" i="1"/>
  <c r="R35" i="1"/>
  <c r="Q35" i="1"/>
  <c r="S34" i="1"/>
  <c r="R34" i="1"/>
  <c r="Q34" i="1"/>
  <c r="S33" i="1"/>
  <c r="R33" i="1"/>
  <c r="Q33" i="1"/>
  <c r="S32" i="1"/>
  <c r="R32" i="1"/>
  <c r="Q32" i="1"/>
  <c r="S31" i="1"/>
  <c r="R31" i="1"/>
  <c r="Q31" i="1"/>
  <c r="S30" i="1"/>
  <c r="R30" i="1"/>
  <c r="Q30" i="1"/>
  <c r="S29" i="1"/>
  <c r="R29" i="1"/>
  <c r="Q29" i="1"/>
  <c r="S28" i="1"/>
  <c r="R28" i="1"/>
  <c r="Q28" i="1"/>
  <c r="S27" i="1"/>
  <c r="R27" i="1"/>
  <c r="Q27" i="1"/>
  <c r="S26" i="1"/>
  <c r="R26" i="1"/>
  <c r="Q26" i="1"/>
  <c r="S25" i="1"/>
  <c r="R25" i="1"/>
  <c r="Q25" i="1"/>
  <c r="S24" i="1"/>
  <c r="R24" i="1"/>
  <c r="Q24" i="1"/>
  <c r="S23" i="1"/>
  <c r="R23" i="1"/>
  <c r="Q23" i="1"/>
  <c r="S22" i="1"/>
  <c r="R22" i="1"/>
  <c r="Q22" i="1"/>
  <c r="S21" i="1"/>
  <c r="R21" i="1"/>
  <c r="Q21" i="1"/>
  <c r="S20" i="1"/>
  <c r="R20" i="1"/>
  <c r="Q20" i="1"/>
  <c r="S19" i="1"/>
  <c r="R19" i="1"/>
  <c r="Q19" i="1"/>
  <c r="S18" i="1"/>
  <c r="R18" i="1"/>
  <c r="Q18" i="1"/>
  <c r="S17" i="1"/>
  <c r="R17" i="1"/>
  <c r="Q17" i="1"/>
  <c r="S16" i="1"/>
  <c r="R16" i="1"/>
  <c r="Q16" i="1"/>
  <c r="S15" i="1"/>
  <c r="R15" i="1"/>
  <c r="Q15" i="1"/>
  <c r="S14" i="1"/>
  <c r="R14" i="1"/>
  <c r="Q14" i="1"/>
  <c r="S13" i="1"/>
  <c r="R13" i="1"/>
  <c r="Q13" i="1"/>
  <c r="X12" i="1" a="1"/>
  <c r="X12" i="1" s="1"/>
  <c r="X11" i="1"/>
  <c r="AG2" i="1"/>
  <c r="AF2" i="1"/>
  <c r="AE2" i="1"/>
  <c r="AD2" i="1"/>
  <c r="X14" i="1" a="1"/>
  <c r="G51" i="3" l="1"/>
  <c r="H13" i="3"/>
  <c r="G13" i="3"/>
  <c r="I37" i="3"/>
  <c r="I51" i="3"/>
  <c r="H37" i="3"/>
  <c r="G31" i="3"/>
  <c r="H51" i="3"/>
  <c r="I31" i="3"/>
  <c r="P626" i="1"/>
  <c r="S626" i="1" s="1"/>
  <c r="AH2" i="1"/>
  <c r="AI2" i="1" s="1"/>
  <c r="AE621" i="1"/>
  <c r="AG619" i="1"/>
  <c r="AD612" i="1"/>
  <c r="AF610" i="1"/>
  <c r="AE601" i="1"/>
  <c r="AG599" i="1"/>
  <c r="AD592" i="1"/>
  <c r="AF590" i="1"/>
  <c r="AE581" i="1"/>
  <c r="AG579" i="1"/>
  <c r="AE615" i="1"/>
  <c r="AG613" i="1"/>
  <c r="AD606" i="1"/>
  <c r="AF604" i="1"/>
  <c r="AE595" i="1"/>
  <c r="AG593" i="1"/>
  <c r="AD586" i="1"/>
  <c r="AF584" i="1"/>
  <c r="AE575" i="1"/>
  <c r="AG573" i="1"/>
  <c r="AD621" i="1"/>
  <c r="AD619" i="1"/>
  <c r="AE617" i="1"/>
  <c r="AF615" i="1"/>
  <c r="AF613" i="1"/>
  <c r="AF611" i="1"/>
  <c r="AF609" i="1"/>
  <c r="AG607" i="1"/>
  <c r="AG605" i="1"/>
  <c r="AD576" i="1"/>
  <c r="AE574" i="1"/>
  <c r="AF572" i="1"/>
  <c r="AE563" i="1"/>
  <c r="AG561" i="1"/>
  <c r="AD554" i="1"/>
  <c r="AF552" i="1"/>
  <c r="AE543" i="1"/>
  <c r="AG541" i="1"/>
  <c r="AD534" i="1"/>
  <c r="AF532" i="1"/>
  <c r="AG608" i="1"/>
  <c r="AG606" i="1"/>
  <c r="AG604" i="1"/>
  <c r="AF602" i="1"/>
  <c r="AE600" i="1"/>
  <c r="AE598" i="1"/>
  <c r="AE596" i="1"/>
  <c r="AD594" i="1"/>
  <c r="AD568" i="1"/>
  <c r="AF566" i="1"/>
  <c r="AD553" i="1"/>
  <c r="AE551" i="1"/>
  <c r="AF549" i="1"/>
  <c r="AG547" i="1"/>
  <c r="AD536" i="1"/>
  <c r="AF534" i="1"/>
  <c r="AG532" i="1"/>
  <c r="AG530" i="1"/>
  <c r="AE521" i="1"/>
  <c r="AG519" i="1"/>
  <c r="AD512" i="1"/>
  <c r="AF510" i="1"/>
  <c r="AE501" i="1"/>
  <c r="AG499" i="1"/>
  <c r="AD492" i="1"/>
  <c r="AF490" i="1"/>
  <c r="AG612" i="1"/>
  <c r="AD610" i="1"/>
  <c r="AE599" i="1"/>
  <c r="AD597" i="1"/>
  <c r="AG582" i="1"/>
  <c r="AG580" i="1"/>
  <c r="AD545" i="1"/>
  <c r="AD543" i="1"/>
  <c r="AE541" i="1"/>
  <c r="AF539" i="1"/>
  <c r="AG537" i="1"/>
  <c r="AD518" i="1"/>
  <c r="AE516" i="1"/>
  <c r="AF514" i="1"/>
  <c r="AD501" i="1"/>
  <c r="AE499" i="1"/>
  <c r="AF497" i="1"/>
  <c r="AG495" i="1"/>
  <c r="AD486" i="1"/>
  <c r="AF484" i="1"/>
  <c r="AE475" i="1"/>
  <c r="AG473" i="1"/>
  <c r="AD466" i="1"/>
  <c r="AF464" i="1"/>
  <c r="AE455" i="1"/>
  <c r="AG620" i="1"/>
  <c r="AF618" i="1"/>
  <c r="AD616" i="1"/>
  <c r="AD609" i="1"/>
  <c r="AD600" i="1"/>
  <c r="AF591" i="1"/>
  <c r="AD589" i="1"/>
  <c r="AG578" i="1"/>
  <c r="AG576" i="1"/>
  <c r="AF574" i="1"/>
  <c r="AD572" i="1"/>
  <c r="AD570" i="1"/>
  <c r="AD564" i="1"/>
  <c r="AD562" i="1"/>
  <c r="AD560" i="1"/>
  <c r="AD558" i="1"/>
  <c r="AE556" i="1"/>
  <c r="AG554" i="1"/>
  <c r="AG552" i="1"/>
  <c r="AF550" i="1"/>
  <c r="AF548" i="1"/>
  <c r="AG546" i="1"/>
  <c r="AG544" i="1"/>
  <c r="AF542" i="1"/>
  <c r="AF540" i="1"/>
  <c r="AF538" i="1"/>
  <c r="AF536" i="1"/>
  <c r="AE534" i="1"/>
  <c r="AD520" i="1"/>
  <c r="AE518" i="1"/>
  <c r="AD516" i="1"/>
  <c r="AD514" i="1"/>
  <c r="AE512" i="1"/>
  <c r="AD510" i="1"/>
  <c r="AD508" i="1"/>
  <c r="AD506" i="1"/>
  <c r="AF504" i="1"/>
  <c r="AD479" i="1"/>
  <c r="AF477" i="1"/>
  <c r="AD462" i="1"/>
  <c r="AE460" i="1"/>
  <c r="AG458" i="1"/>
  <c r="AE449" i="1"/>
  <c r="AG447" i="1"/>
  <c r="AD440" i="1"/>
  <c r="AF438" i="1"/>
  <c r="AE429" i="1"/>
  <c r="AG427" i="1"/>
  <c r="AD420" i="1"/>
  <c r="AF418" i="1"/>
  <c r="AE409" i="1"/>
  <c r="AG407" i="1"/>
  <c r="AD400" i="1"/>
  <c r="AF398" i="1"/>
  <c r="AE389" i="1"/>
  <c r="AG387" i="1"/>
  <c r="AD380" i="1"/>
  <c r="AF378" i="1"/>
  <c r="AE369" i="1"/>
  <c r="AG367" i="1"/>
  <c r="AD360" i="1"/>
  <c r="AF358" i="1"/>
  <c r="AE349" i="1"/>
  <c r="AG347" i="1"/>
  <c r="AD340" i="1"/>
  <c r="AF338" i="1"/>
  <c r="AE329" i="1"/>
  <c r="AG327" i="1"/>
  <c r="AD320" i="1"/>
  <c r="AF318" i="1"/>
  <c r="AE309" i="1"/>
  <c r="AG307" i="1"/>
  <c r="AG615" i="1"/>
  <c r="AF608" i="1"/>
  <c r="AE606" i="1"/>
  <c r="AF599" i="1"/>
  <c r="AF588" i="1"/>
  <c r="AE586" i="1"/>
  <c r="AG567" i="1"/>
  <c r="AG565" i="1"/>
  <c r="AG559" i="1"/>
  <c r="AG557" i="1"/>
  <c r="AG533" i="1"/>
  <c r="AF531" i="1"/>
  <c r="AE529" i="1"/>
  <c r="AD527" i="1"/>
  <c r="AD525" i="1"/>
  <c r="AE523" i="1"/>
  <c r="AG521" i="1"/>
  <c r="AG517" i="1"/>
  <c r="AG515" i="1"/>
  <c r="AD484" i="1"/>
  <c r="AE482" i="1"/>
  <c r="AF480" i="1"/>
  <c r="AE467" i="1"/>
  <c r="AF465" i="1"/>
  <c r="AG463" i="1"/>
  <c r="AE452" i="1"/>
  <c r="AG450" i="1"/>
  <c r="AD443" i="1"/>
  <c r="AF441" i="1"/>
  <c r="AE432" i="1"/>
  <c r="AG430" i="1"/>
  <c r="AD423" i="1"/>
  <c r="AF421" i="1"/>
  <c r="AE412" i="1"/>
  <c r="AG410" i="1"/>
  <c r="AD403" i="1"/>
  <c r="AF401" i="1"/>
  <c r="AE392" i="1"/>
  <c r="AG390" i="1"/>
  <c r="AD383" i="1"/>
  <c r="AF381" i="1"/>
  <c r="AE372" i="1"/>
  <c r="AG370" i="1"/>
  <c r="AD363" i="1"/>
  <c r="AF361" i="1"/>
  <c r="AE352" i="1"/>
  <c r="AG350" i="1"/>
  <c r="AD343" i="1"/>
  <c r="AF341" i="1"/>
  <c r="AE332" i="1"/>
  <c r="AG330" i="1"/>
  <c r="AD323" i="1"/>
  <c r="AF321" i="1"/>
  <c r="AE312" i="1"/>
  <c r="AG310" i="1"/>
  <c r="AD303" i="1"/>
  <c r="AF301" i="1"/>
  <c r="AE292" i="1"/>
  <c r="AG290" i="1"/>
  <c r="AD283" i="1"/>
  <c r="AF281" i="1"/>
  <c r="AE272" i="1"/>
  <c r="AG270" i="1"/>
  <c r="AD263" i="1"/>
  <c r="AF261" i="1"/>
  <c r="AE252" i="1"/>
  <c r="AG250" i="1"/>
  <c r="AD243" i="1"/>
  <c r="AF241" i="1"/>
  <c r="AE232" i="1"/>
  <c r="AF617" i="1"/>
  <c r="AF595" i="1"/>
  <c r="AD588" i="1"/>
  <c r="AG581" i="1"/>
  <c r="AG563" i="1"/>
  <c r="AD561" i="1"/>
  <c r="AE550" i="1"/>
  <c r="AF541" i="1"/>
  <c r="AE532" i="1"/>
  <c r="AF517" i="1"/>
  <c r="AD515" i="1"/>
  <c r="AF506" i="1"/>
  <c r="AE504" i="1"/>
  <c r="AE502" i="1"/>
  <c r="AD500" i="1"/>
  <c r="AG471" i="1"/>
  <c r="AG469" i="1"/>
  <c r="AG461" i="1"/>
  <c r="AF459" i="1"/>
  <c r="AF457" i="1"/>
  <c r="AG455" i="1"/>
  <c r="AG453" i="1"/>
  <c r="AF620" i="1"/>
  <c r="AD615" i="1"/>
  <c r="AD605" i="1"/>
  <c r="AE590" i="1"/>
  <c r="AF585" i="1"/>
  <c r="AF578" i="1"/>
  <c r="AF571" i="1"/>
  <c r="AD569" i="1"/>
  <c r="AF562" i="1"/>
  <c r="AF553" i="1"/>
  <c r="AE544" i="1"/>
  <c r="AG539" i="1"/>
  <c r="AD537" i="1"/>
  <c r="AD530" i="1"/>
  <c r="AE519" i="1"/>
  <c r="AE510" i="1"/>
  <c r="AG503" i="1"/>
  <c r="AG501" i="1"/>
  <c r="AG488" i="1"/>
  <c r="AG486" i="1"/>
  <c r="AG484" i="1"/>
  <c r="AD482" i="1"/>
  <c r="AF471" i="1"/>
  <c r="AE469" i="1"/>
  <c r="AF467" i="1"/>
  <c r="AD465" i="1"/>
  <c r="AG454" i="1"/>
  <c r="AF448" i="1"/>
  <c r="AE446" i="1"/>
  <c r="AE444" i="1"/>
  <c r="AE442" i="1"/>
  <c r="AF440" i="1"/>
  <c r="AE438" i="1"/>
  <c r="AE436" i="1"/>
  <c r="AF434" i="1"/>
  <c r="AD395" i="1"/>
  <c r="AE393" i="1"/>
  <c r="AF391" i="1"/>
  <c r="AG389" i="1"/>
  <c r="AF387" i="1"/>
  <c r="AF385" i="1"/>
  <c r="AG383" i="1"/>
  <c r="AG379" i="1"/>
  <c r="AG377" i="1"/>
  <c r="AD350" i="1"/>
  <c r="AD348" i="1"/>
  <c r="AD346" i="1"/>
  <c r="AE344" i="1"/>
  <c r="AE342" i="1"/>
  <c r="AF340" i="1"/>
  <c r="AE338" i="1"/>
  <c r="AE336" i="1"/>
  <c r="AF334" i="1"/>
  <c r="AE303" i="1"/>
  <c r="AE301" i="1"/>
  <c r="AF299" i="1"/>
  <c r="AG297" i="1"/>
  <c r="AD286" i="1"/>
  <c r="AF284" i="1"/>
  <c r="AG282" i="1"/>
  <c r="AD271" i="1"/>
  <c r="AE269" i="1"/>
  <c r="AF267" i="1"/>
  <c r="AG265" i="1"/>
  <c r="AD254" i="1"/>
  <c r="AF252" i="1"/>
  <c r="AF250" i="1"/>
  <c r="AG248" i="1"/>
  <c r="AE235" i="1"/>
  <c r="AG233" i="1"/>
  <c r="AE224" i="1"/>
  <c r="AG222" i="1"/>
  <c r="AD215" i="1"/>
  <c r="AF213" i="1"/>
  <c r="AE204" i="1"/>
  <c r="AG202" i="1"/>
  <c r="AD195" i="1"/>
  <c r="AF193" i="1"/>
  <c r="AE184" i="1"/>
  <c r="AG182" i="1"/>
  <c r="AD175" i="1"/>
  <c r="AF622" i="1"/>
  <c r="AE612" i="1"/>
  <c r="AD599" i="1"/>
  <c r="AG594" i="1"/>
  <c r="AF589" i="1"/>
  <c r="AD584" i="1"/>
  <c r="AF579" i="1"/>
  <c r="AF567" i="1"/>
  <c r="AD565" i="1"/>
  <c r="AF560" i="1"/>
  <c r="AG553" i="1"/>
  <c r="AE546" i="1"/>
  <c r="AG534" i="1"/>
  <c r="AG529" i="1"/>
  <c r="AE527" i="1"/>
  <c r="AF518" i="1"/>
  <c r="AG513" i="1"/>
  <c r="AD511" i="1"/>
  <c r="AG506" i="1"/>
  <c r="AG497" i="1"/>
  <c r="AE495" i="1"/>
  <c r="AE493" i="1"/>
  <c r="AE473" i="1"/>
  <c r="AG462" i="1"/>
  <c r="AD460" i="1"/>
  <c r="AG451" i="1"/>
  <c r="AF449" i="1"/>
  <c r="AF428" i="1"/>
  <c r="AE426" i="1"/>
  <c r="AE424" i="1"/>
  <c r="AD422" i="1"/>
  <c r="AD404" i="1"/>
  <c r="AD402" i="1"/>
  <c r="AE400" i="1"/>
  <c r="AD398" i="1"/>
  <c r="AD396" i="1"/>
  <c r="AD394" i="1"/>
  <c r="AD392" i="1"/>
  <c r="AD390" i="1"/>
  <c r="AF367" i="1"/>
  <c r="AE365" i="1"/>
  <c r="AF363" i="1"/>
  <c r="AG361" i="1"/>
  <c r="AF359" i="1"/>
  <c r="AF357" i="1"/>
  <c r="AG355" i="1"/>
  <c r="AF345" i="1"/>
  <c r="AF343" i="1"/>
  <c r="AE341" i="1"/>
  <c r="AD339" i="1"/>
  <c r="AF316" i="1"/>
  <c r="AF314" i="1"/>
  <c r="AD287" i="1"/>
  <c r="AD285" i="1"/>
  <c r="AE283" i="1"/>
  <c r="AD281" i="1"/>
  <c r="AD279" i="1"/>
  <c r="AD277" i="1"/>
  <c r="AE275" i="1"/>
  <c r="AG273" i="1"/>
  <c r="AG259" i="1"/>
  <c r="AE622" i="1"/>
  <c r="AG617" i="1"/>
  <c r="AG614" i="1"/>
  <c r="AE604" i="1"/>
  <c r="AF594" i="1"/>
  <c r="AE589" i="1"/>
  <c r="AE579" i="1"/>
  <c r="AE567" i="1"/>
  <c r="AE560" i="1"/>
  <c r="AE553" i="1"/>
  <c r="AG548" i="1"/>
  <c r="AD546" i="1"/>
  <c r="AD541" i="1"/>
  <c r="AF529" i="1"/>
  <c r="AF513" i="1"/>
  <c r="AE506" i="1"/>
  <c r="AE497" i="1"/>
  <c r="AD495" i="1"/>
  <c r="AD493" i="1"/>
  <c r="AE484" i="1"/>
  <c r="AD473" i="1"/>
  <c r="AF462" i="1"/>
  <c r="AF451" i="1"/>
  <c r="AD449" i="1"/>
  <c r="AG436" i="1"/>
  <c r="AG434" i="1"/>
  <c r="AG432" i="1"/>
  <c r="AF430" i="1"/>
  <c r="AE428" i="1"/>
  <c r="AD426" i="1"/>
  <c r="AD424" i="1"/>
  <c r="AG375" i="1"/>
  <c r="AG373" i="1"/>
  <c r="AG371" i="1"/>
  <c r="AG369" i="1"/>
  <c r="AE367" i="1"/>
  <c r="AD365" i="1"/>
  <c r="AE363" i="1"/>
  <c r="AE361" i="1"/>
  <c r="AE359" i="1"/>
  <c r="AE357" i="1"/>
  <c r="AF355" i="1"/>
  <c r="AG353" i="1"/>
  <c r="AF347" i="1"/>
  <c r="AE345" i="1"/>
  <c r="AE343" i="1"/>
  <c r="AD341" i="1"/>
  <c r="AG318" i="1"/>
  <c r="AE316" i="1"/>
  <c r="AE314" i="1"/>
  <c r="AG312" i="1"/>
  <c r="AG308" i="1"/>
  <c r="AG306" i="1"/>
  <c r="AD275" i="1"/>
  <c r="AF273" i="1"/>
  <c r="AG271" i="1"/>
  <c r="AG269" i="1"/>
  <c r="AG267" i="1"/>
  <c r="AF265" i="1"/>
  <c r="AG263" i="1"/>
  <c r="AG261" i="1"/>
  <c r="AF259" i="1"/>
  <c r="AD622" i="1"/>
  <c r="AD617" i="1"/>
  <c r="AF614" i="1"/>
  <c r="AG609" i="1"/>
  <c r="AD604" i="1"/>
  <c r="AE594" i="1"/>
  <c r="AD579" i="1"/>
  <c r="AG574" i="1"/>
  <c r="AD567" i="1"/>
  <c r="AG555" i="1"/>
  <c r="AE548" i="1"/>
  <c r="AD529" i="1"/>
  <c r="AG520" i="1"/>
  <c r="AE513" i="1"/>
  <c r="AG508" i="1"/>
  <c r="AF499" i="1"/>
  <c r="AD497" i="1"/>
  <c r="AF486" i="1"/>
  <c r="AG475" i="1"/>
  <c r="AG464" i="1"/>
  <c r="AE462" i="1"/>
  <c r="AF453" i="1"/>
  <c r="AE451" i="1"/>
  <c r="AF436" i="1"/>
  <c r="AE434" i="1"/>
  <c r="AF432" i="1"/>
  <c r="AE430" i="1"/>
  <c r="AD428" i="1"/>
  <c r="AF377" i="1"/>
  <c r="AF375" i="1"/>
  <c r="AF373" i="1"/>
  <c r="AF371" i="1"/>
  <c r="AF369" i="1"/>
  <c r="AD367" i="1"/>
  <c r="AD361" i="1"/>
  <c r="AD359" i="1"/>
  <c r="AD357" i="1"/>
  <c r="AE355" i="1"/>
  <c r="AF353" i="1"/>
  <c r="AG351" i="1"/>
  <c r="AG349" i="1"/>
  <c r="AE347" i="1"/>
  <c r="AD345" i="1"/>
  <c r="AG322" i="1"/>
  <c r="AG320" i="1"/>
  <c r="AE318" i="1"/>
  <c r="AD316" i="1"/>
  <c r="AD314" i="1"/>
  <c r="AF312" i="1"/>
  <c r="AF310" i="1"/>
  <c r="AF308" i="1"/>
  <c r="AF306" i="1"/>
  <c r="AE273" i="1"/>
  <c r="AF271" i="1"/>
  <c r="AF269" i="1"/>
  <c r="AE267" i="1"/>
  <c r="AE265" i="1"/>
  <c r="AF263" i="1"/>
  <c r="AE261" i="1"/>
  <c r="AE259" i="1"/>
  <c r="AE614" i="1"/>
  <c r="AE609" i="1"/>
  <c r="AG601" i="1"/>
  <c r="AG586" i="1"/>
  <c r="AD574" i="1"/>
  <c r="AG569" i="1"/>
  <c r="AG562" i="1"/>
  <c r="AF555" i="1"/>
  <c r="AD548" i="1"/>
  <c r="AG543" i="1"/>
  <c r="AG536" i="1"/>
  <c r="AG531" i="1"/>
  <c r="AF520" i="1"/>
  <c r="AD513" i="1"/>
  <c r="AF508" i="1"/>
  <c r="AD499" i="1"/>
  <c r="AF488" i="1"/>
  <c r="AE486" i="1"/>
  <c r="AF475" i="1"/>
  <c r="AE464" i="1"/>
  <c r="AE453" i="1"/>
  <c r="AD451" i="1"/>
  <c r="AG438" i="1"/>
  <c r="AD436" i="1"/>
  <c r="AD434" i="1"/>
  <c r="AD432" i="1"/>
  <c r="AD430" i="1"/>
  <c r="AF379" i="1"/>
  <c r="AE377" i="1"/>
  <c r="AE375" i="1"/>
  <c r="AE373" i="1"/>
  <c r="AE371" i="1"/>
  <c r="AD369" i="1"/>
  <c r="AD355" i="1"/>
  <c r="AE353" i="1"/>
  <c r="AF351" i="1"/>
  <c r="AF349" i="1"/>
  <c r="AD347" i="1"/>
  <c r="AG326" i="1"/>
  <c r="AG324" i="1"/>
  <c r="AF322" i="1"/>
  <c r="AF320" i="1"/>
  <c r="AD318" i="1"/>
  <c r="AD312" i="1"/>
  <c r="AE310" i="1"/>
  <c r="AE308" i="1"/>
  <c r="AE306" i="1"/>
  <c r="AG304" i="1"/>
  <c r="AG302" i="1"/>
  <c r="AG300" i="1"/>
  <c r="AG298" i="1"/>
  <c r="AG296" i="1"/>
  <c r="AD273" i="1"/>
  <c r="AE271" i="1"/>
  <c r="AD269" i="1"/>
  <c r="AD267" i="1"/>
  <c r="AD265" i="1"/>
  <c r="AE263" i="1"/>
  <c r="AD261" i="1"/>
  <c r="AD259" i="1"/>
  <c r="AE257" i="1"/>
  <c r="AG255" i="1"/>
  <c r="AD228" i="1"/>
  <c r="AF226" i="1"/>
  <c r="AD211" i="1"/>
  <c r="AE209" i="1"/>
  <c r="AG207" i="1"/>
  <c r="AD196" i="1"/>
  <c r="AE194" i="1"/>
  <c r="AF192" i="1"/>
  <c r="AG190" i="1"/>
  <c r="AD179" i="1"/>
  <c r="AE177" i="1"/>
  <c r="AG175" i="1"/>
  <c r="AE166" i="1"/>
  <c r="AG164" i="1"/>
  <c r="AD157" i="1"/>
  <c r="AF155" i="1"/>
  <c r="AE146" i="1"/>
  <c r="AG144" i="1"/>
  <c r="AF616" i="1"/>
  <c r="AF603" i="1"/>
  <c r="AF598" i="1"/>
  <c r="AE593" i="1"/>
  <c r="AD583" i="1"/>
  <c r="AE578" i="1"/>
  <c r="AF573" i="1"/>
  <c r="AG566" i="1"/>
  <c r="AE559" i="1"/>
  <c r="AD552" i="1"/>
  <c r="AE545" i="1"/>
  <c r="AG540" i="1"/>
  <c r="AD533" i="1"/>
  <c r="AF528" i="1"/>
  <c r="AE526" i="1"/>
  <c r="AD524" i="1"/>
  <c r="AG512" i="1"/>
  <c r="AE505" i="1"/>
  <c r="AG496" i="1"/>
  <c r="AF494" i="1"/>
  <c r="AF492" i="1"/>
  <c r="AF483" i="1"/>
  <c r="AD481" i="1"/>
  <c r="AG472" i="1"/>
  <c r="AE470" i="1"/>
  <c r="AF461" i="1"/>
  <c r="AD459" i="1"/>
  <c r="AE448" i="1"/>
  <c r="AF425" i="1"/>
  <c r="AF423" i="1"/>
  <c r="AE421" i="1"/>
  <c r="AD419" i="1"/>
  <c r="AD411" i="1"/>
  <c r="AD409" i="1"/>
  <c r="AD407" i="1"/>
  <c r="AD405" i="1"/>
  <c r="AE403" i="1"/>
  <c r="AE401" i="1"/>
  <c r="AE399" i="1"/>
  <c r="AE397" i="1"/>
  <c r="AF395" i="1"/>
  <c r="AF393" i="1"/>
  <c r="AE391" i="1"/>
  <c r="AD389" i="1"/>
  <c r="AG366" i="1"/>
  <c r="AG364" i="1"/>
  <c r="AG362" i="1"/>
  <c r="AG356" i="1"/>
  <c r="AG342" i="1"/>
  <c r="AG340" i="1"/>
  <c r="AD338" i="1"/>
  <c r="AD288" i="1"/>
  <c r="AE286" i="1"/>
  <c r="AE284" i="1"/>
  <c r="AE282" i="1"/>
  <c r="AE280" i="1"/>
  <c r="AE278" i="1"/>
  <c r="AE276" i="1"/>
  <c r="AG274" i="1"/>
  <c r="AD237" i="1"/>
  <c r="AF235" i="1"/>
  <c r="AF233" i="1"/>
  <c r="AF231" i="1"/>
  <c r="AG229" i="1"/>
  <c r="AD218" i="1"/>
  <c r="AF216" i="1"/>
  <c r="AG214" i="1"/>
  <c r="AD203" i="1"/>
  <c r="AE201" i="1"/>
  <c r="AF199" i="1"/>
  <c r="AG197" i="1"/>
  <c r="AD186" i="1"/>
  <c r="AF184" i="1"/>
  <c r="AF182" i="1"/>
  <c r="AG180" i="1"/>
  <c r="AD171" i="1"/>
  <c r="AF169" i="1"/>
  <c r="AE160" i="1"/>
  <c r="AG158" i="1"/>
  <c r="AD151" i="1"/>
  <c r="AF149" i="1"/>
  <c r="AE140" i="1"/>
  <c r="AG138" i="1"/>
  <c r="AD131" i="1"/>
  <c r="AF129" i="1"/>
  <c r="AE120" i="1"/>
  <c r="AG118" i="1"/>
  <c r="AD111" i="1"/>
  <c r="AF109" i="1"/>
  <c r="AE100" i="1"/>
  <c r="AG98" i="1"/>
  <c r="AD91" i="1"/>
  <c r="AF89" i="1"/>
  <c r="AE583" i="1"/>
  <c r="AE580" i="1"/>
  <c r="AG577" i="1"/>
  <c r="AD538" i="1"/>
  <c r="AD535" i="1"/>
  <c r="AE524" i="1"/>
  <c r="AF521" i="1"/>
  <c r="AE507" i="1"/>
  <c r="AD502" i="1"/>
  <c r="AF496" i="1"/>
  <c r="AG491" i="1"/>
  <c r="AE483" i="1"/>
  <c r="AG478" i="1"/>
  <c r="AE465" i="1"/>
  <c r="AD457" i="1"/>
  <c r="AF454" i="1"/>
  <c r="AG446" i="1"/>
  <c r="AE433" i="1"/>
  <c r="AE425" i="1"/>
  <c r="AE418" i="1"/>
  <c r="AG413" i="1"/>
  <c r="AF411" i="1"/>
  <c r="AG400" i="1"/>
  <c r="AF382" i="1"/>
  <c r="AE374" i="1"/>
  <c r="AD366" i="1"/>
  <c r="AF356" i="1"/>
  <c r="AE351" i="1"/>
  <c r="AG343" i="1"/>
  <c r="AD336" i="1"/>
  <c r="AD325" i="1"/>
  <c r="AE322" i="1"/>
  <c r="AG314" i="1"/>
  <c r="AF309" i="1"/>
  <c r="AD299" i="1"/>
  <c r="AD294" i="1"/>
  <c r="AG283" i="1"/>
  <c r="AD264" i="1"/>
  <c r="AG256" i="1"/>
  <c r="AG254" i="1"/>
  <c r="AD252" i="1"/>
  <c r="AG241" i="1"/>
  <c r="AF239" i="1"/>
  <c r="AF237" i="1"/>
  <c r="AG235" i="1"/>
  <c r="AE233" i="1"/>
  <c r="AD231" i="1"/>
  <c r="AD229" i="1"/>
  <c r="AD227" i="1"/>
  <c r="AD225" i="1"/>
  <c r="AD223" i="1"/>
  <c r="AD221" i="1"/>
  <c r="AD219" i="1"/>
  <c r="AG188" i="1"/>
  <c r="AF178" i="1"/>
  <c r="AF176" i="1"/>
  <c r="AE174" i="1"/>
  <c r="AF172" i="1"/>
  <c r="AF170" i="1"/>
  <c r="AG168" i="1"/>
  <c r="AG603" i="1"/>
  <c r="AG600" i="1"/>
  <c r="AG597" i="1"/>
  <c r="AE577" i="1"/>
  <c r="AF563" i="1"/>
  <c r="AE549" i="1"/>
  <c r="AF546" i="1"/>
  <c r="AF543" i="1"/>
  <c r="AG526" i="1"/>
  <c r="AF515" i="1"/>
  <c r="AF512" i="1"/>
  <c r="AG504" i="1"/>
  <c r="AD496" i="1"/>
  <c r="AE491" i="1"/>
  <c r="AG621" i="1"/>
  <c r="AD603" i="1"/>
  <c r="AE597" i="1"/>
  <c r="AG591" i="1"/>
  <c r="AG588" i="1"/>
  <c r="AE585" i="1"/>
  <c r="AE571" i="1"/>
  <c r="AF568" i="1"/>
  <c r="AE557" i="1"/>
  <c r="AE540" i="1"/>
  <c r="AD526" i="1"/>
  <c r="AG498" i="1"/>
  <c r="AD488" i="1"/>
  <c r="AF485" i="1"/>
  <c r="AG480" i="1"/>
  <c r="AE459" i="1"/>
  <c r="AG448" i="1"/>
  <c r="AF435" i="1"/>
  <c r="AE427" i="1"/>
  <c r="AG422" i="1"/>
  <c r="AE420" i="1"/>
  <c r="AF415" i="1"/>
  <c r="AG406" i="1"/>
  <c r="AF404" i="1"/>
  <c r="AD393" i="1"/>
  <c r="AG386" i="1"/>
  <c r="AE384" i="1"/>
  <c r="AF376" i="1"/>
  <c r="AE368" i="1"/>
  <c r="AG363" i="1"/>
  <c r="AG358" i="1"/>
  <c r="AG345" i="1"/>
  <c r="AD327" i="1"/>
  <c r="AF324" i="1"/>
  <c r="AD319" i="1"/>
  <c r="AG316" i="1"/>
  <c r="AF311" i="1"/>
  <c r="AD301" i="1"/>
  <c r="AG289" i="1"/>
  <c r="AD614" i="1"/>
  <c r="AG611" i="1"/>
  <c r="AD608" i="1"/>
  <c r="AG602" i="1"/>
  <c r="AF596" i="1"/>
  <c r="AF593" i="1"/>
  <c r="AF576" i="1"/>
  <c r="AD573" i="1"/>
  <c r="AD559" i="1"/>
  <c r="AF545" i="1"/>
  <c r="AG542" i="1"/>
  <c r="AD517" i="1"/>
  <c r="AG514" i="1"/>
  <c r="AG511" i="1"/>
  <c r="AF503" i="1"/>
  <c r="AF495" i="1"/>
  <c r="AE490" i="1"/>
  <c r="AF482" i="1"/>
  <c r="AD477" i="1"/>
  <c r="AG474" i="1"/>
  <c r="AF469" i="1"/>
  <c r="AD456" i="1"/>
  <c r="AE450" i="1"/>
  <c r="AF445" i="1"/>
  <c r="AF437" i="1"/>
  <c r="AF429" i="1"/>
  <c r="AF424" i="1"/>
  <c r="AD417" i="1"/>
  <c r="AF410" i="1"/>
  <c r="AD408" i="1"/>
  <c r="AF399" i="1"/>
  <c r="AD388" i="1"/>
  <c r="AF370" i="1"/>
  <c r="AF360" i="1"/>
  <c r="AE350" i="1"/>
  <c r="AD342" i="1"/>
  <c r="AG337" i="1"/>
  <c r="AF335" i="1"/>
  <c r="AE333" i="1"/>
  <c r="AD331" i="1"/>
  <c r="AE326" i="1"/>
  <c r="AE321" i="1"/>
  <c r="AE313" i="1"/>
  <c r="AG305" i="1"/>
  <c r="AF300" i="1"/>
  <c r="AE293" i="1"/>
  <c r="AF282" i="1"/>
  <c r="AD268" i="1"/>
  <c r="AE260" i="1"/>
  <c r="AF253" i="1"/>
  <c r="AD251" i="1"/>
  <c r="AE620" i="1"/>
  <c r="AG610" i="1"/>
  <c r="AE603" i="1"/>
  <c r="AF586" i="1"/>
  <c r="AG570" i="1"/>
  <c r="AE564" i="1"/>
  <c r="AG545" i="1"/>
  <c r="AD542" i="1"/>
  <c r="AG535" i="1"/>
  <c r="AF526" i="1"/>
  <c r="AD523" i="1"/>
  <c r="AE498" i="1"/>
  <c r="AE478" i="1"/>
  <c r="AD475" i="1"/>
  <c r="AF472" i="1"/>
  <c r="AF443" i="1"/>
  <c r="AG440" i="1"/>
  <c r="AE415" i="1"/>
  <c r="AE398" i="1"/>
  <c r="AF388" i="1"/>
  <c r="AD372" i="1"/>
  <c r="AG352" i="1"/>
  <c r="AF346" i="1"/>
  <c r="AD333" i="1"/>
  <c r="AE328" i="1"/>
  <c r="AG319" i="1"/>
  <c r="AG313" i="1"/>
  <c r="AE302" i="1"/>
  <c r="AG291" i="1"/>
  <c r="AD289" i="1"/>
  <c r="AG284" i="1"/>
  <c r="AG277" i="1"/>
  <c r="AG272" i="1"/>
  <c r="AG266" i="1"/>
  <c r="AF255" i="1"/>
  <c r="AF248" i="1"/>
  <c r="AE239" i="1"/>
  <c r="AF224" i="1"/>
  <c r="AD222" i="1"/>
  <c r="AF195" i="1"/>
  <c r="AE180" i="1"/>
  <c r="AD142" i="1"/>
  <c r="AD140" i="1"/>
  <c r="AE138" i="1"/>
  <c r="AF136" i="1"/>
  <c r="AG134" i="1"/>
  <c r="AD123" i="1"/>
  <c r="AF121" i="1"/>
  <c r="AG119" i="1"/>
  <c r="AD106" i="1"/>
  <c r="AE104" i="1"/>
  <c r="AG102" i="1"/>
  <c r="AD89" i="1"/>
  <c r="AE87" i="1"/>
  <c r="AF85" i="1"/>
  <c r="AE76" i="1"/>
  <c r="AG74" i="1"/>
  <c r="AD67" i="1"/>
  <c r="AF65" i="1"/>
  <c r="AE56" i="1"/>
  <c r="AG54" i="1"/>
  <c r="AD47" i="1"/>
  <c r="AF45" i="1"/>
  <c r="AE36" i="1"/>
  <c r="AG34" i="1"/>
  <c r="AD27" i="1"/>
  <c r="AF25" i="1"/>
  <c r="AE16" i="1"/>
  <c r="AG14" i="1"/>
  <c r="AD613" i="1"/>
  <c r="AE570" i="1"/>
  <c r="AF554" i="1"/>
  <c r="AG551" i="1"/>
  <c r="AE535" i="1"/>
  <c r="AF507" i="1"/>
  <c r="AF501" i="1"/>
  <c r="AG492" i="1"/>
  <c r="AG489" i="1"/>
  <c r="AD483" i="1"/>
  <c r="AD472" i="1"/>
  <c r="AG466" i="1"/>
  <c r="AF463" i="1"/>
  <c r="AE454" i="1"/>
  <c r="AE437" i="1"/>
  <c r="AG431" i="1"/>
  <c r="AG420" i="1"/>
  <c r="AD410" i="1"/>
  <c r="AF405" i="1"/>
  <c r="AG360" i="1"/>
  <c r="AD352" i="1"/>
  <c r="AE335" i="1"/>
  <c r="AF325" i="1"/>
  <c r="AD322" i="1"/>
  <c r="AE319" i="1"/>
  <c r="AD313" i="1"/>
  <c r="AD310" i="1"/>
  <c r="AE299" i="1"/>
  <c r="AE296" i="1"/>
  <c r="AE291" i="1"/>
  <c r="AG279" i="1"/>
  <c r="AE277" i="1"/>
  <c r="AD272" i="1"/>
  <c r="AE266" i="1"/>
  <c r="AG260" i="1"/>
  <c r="AD255" i="1"/>
  <c r="AD248" i="1"/>
  <c r="AG243" i="1"/>
  <c r="AD241" i="1"/>
  <c r="AG228" i="1"/>
  <c r="AE226" i="1"/>
  <c r="AG199" i="1"/>
  <c r="AE197" i="1"/>
  <c r="AG186" i="1"/>
  <c r="AG184" i="1"/>
  <c r="AD182" i="1"/>
  <c r="AG167" i="1"/>
  <c r="AG165" i="1"/>
  <c r="AF606" i="1"/>
  <c r="AG592" i="1"/>
  <c r="AG589" i="1"/>
  <c r="AF582" i="1"/>
  <c r="AE576" i="1"/>
  <c r="AG560" i="1"/>
  <c r="AF557" i="1"/>
  <c r="AE554" i="1"/>
  <c r="AF551" i="1"/>
  <c r="AG538" i="1"/>
  <c r="AG510" i="1"/>
  <c r="AD507" i="1"/>
  <c r="AD504" i="1"/>
  <c r="AE492" i="1"/>
  <c r="AF489" i="1"/>
  <c r="AD469" i="1"/>
  <c r="AF466" i="1"/>
  <c r="AE463" i="1"/>
  <c r="AG460" i="1"/>
  <c r="AG457" i="1"/>
  <c r="AD454" i="1"/>
  <c r="AD448" i="1"/>
  <c r="AD437" i="1"/>
  <c r="AF431" i="1"/>
  <c r="AG428" i="1"/>
  <c r="AG425" i="1"/>
  <c r="AF420" i="1"/>
  <c r="AG417" i="1"/>
  <c r="AE405" i="1"/>
  <c r="AF400" i="1"/>
  <c r="AG385" i="1"/>
  <c r="AG380" i="1"/>
  <c r="AD377" i="1"/>
  <c r="AG374" i="1"/>
  <c r="AG368" i="1"/>
  <c r="AG365" i="1"/>
  <c r="AE360" i="1"/>
  <c r="AE340" i="1"/>
  <c r="AD335" i="1"/>
  <c r="AF330" i="1"/>
  <c r="AE325" i="1"/>
  <c r="AF307" i="1"/>
  <c r="AD296" i="1"/>
  <c r="AD291" i="1"/>
  <c r="AG286" i="1"/>
  <c r="AF279" i="1"/>
  <c r="AG595" i="1"/>
  <c r="AF592" i="1"/>
  <c r="AG585" i="1"/>
  <c r="AE582" i="1"/>
  <c r="AE566" i="1"/>
  <c r="AD557" i="1"/>
  <c r="AD551" i="1"/>
  <c r="AE538" i="1"/>
  <c r="AG528" i="1"/>
  <c r="AG522" i="1"/>
  <c r="AF519" i="1"/>
  <c r="AE489" i="1"/>
  <c r="AE480" i="1"/>
  <c r="AE466" i="1"/>
  <c r="AD463" i="1"/>
  <c r="AF460" i="1"/>
  <c r="AE457" i="1"/>
  <c r="AG445" i="1"/>
  <c r="AE431" i="1"/>
  <c r="AD425" i="1"/>
  <c r="AF417" i="1"/>
  <c r="AG412" i="1"/>
  <c r="AG395" i="1"/>
  <c r="AF390" i="1"/>
  <c r="AE385" i="1"/>
  <c r="AF380" i="1"/>
  <c r="AF374" i="1"/>
  <c r="AF368" i="1"/>
  <c r="AF365" i="1"/>
  <c r="AE330" i="1"/>
  <c r="AE307" i="1"/>
  <c r="AF304" i="1"/>
  <c r="AG293" i="1"/>
  <c r="AF286" i="1"/>
  <c r="AE279" i="1"/>
  <c r="AD260" i="1"/>
  <c r="AF257" i="1"/>
  <c r="AD250" i="1"/>
  <c r="AG245" i="1"/>
  <c r="AE243" i="1"/>
  <c r="AF230" i="1"/>
  <c r="AE228" i="1"/>
  <c r="AG209" i="1"/>
  <c r="AF207" i="1"/>
  <c r="AG205" i="1"/>
  <c r="AG203" i="1"/>
  <c r="AF201" i="1"/>
  <c r="AD199" i="1"/>
  <c r="AF190" i="1"/>
  <c r="AE188" i="1"/>
  <c r="AE186" i="1"/>
  <c r="AG616" i="1"/>
  <c r="AE602" i="1"/>
  <c r="AD595" i="1"/>
  <c r="AE592" i="1"/>
  <c r="AD585" i="1"/>
  <c r="AD582" i="1"/>
  <c r="AD566" i="1"/>
  <c r="AE531" i="1"/>
  <c r="AE528" i="1"/>
  <c r="AG525" i="1"/>
  <c r="AF522" i="1"/>
  <c r="AD519" i="1"/>
  <c r="AD489" i="1"/>
  <c r="AD480" i="1"/>
  <c r="AG477" i="1"/>
  <c r="AE445" i="1"/>
  <c r="AG442" i="1"/>
  <c r="AD431" i="1"/>
  <c r="AE417" i="1"/>
  <c r="AF412" i="1"/>
  <c r="AF407" i="1"/>
  <c r="AG402" i="1"/>
  <c r="AE395" i="1"/>
  <c r="AE390" i="1"/>
  <c r="AD385" i="1"/>
  <c r="AE380" i="1"/>
  <c r="AF619" i="1"/>
  <c r="AE616" i="1"/>
  <c r="AD602" i="1"/>
  <c r="AF569" i="1"/>
  <c r="AD563" i="1"/>
  <c r="AD531" i="1"/>
  <c r="AD528" i="1"/>
  <c r="AF525" i="1"/>
  <c r="AE522" i="1"/>
  <c r="AG485" i="1"/>
  <c r="AE477" i="1"/>
  <c r="AF474" i="1"/>
  <c r="AD445" i="1"/>
  <c r="AF442" i="1"/>
  <c r="AF422" i="1"/>
  <c r="AD412" i="1"/>
  <c r="AE407" i="1"/>
  <c r="AF402" i="1"/>
  <c r="AG397" i="1"/>
  <c r="AF354" i="1"/>
  <c r="AG348" i="1"/>
  <c r="AE337" i="1"/>
  <c r="AG332" i="1"/>
  <c r="AG315" i="1"/>
  <c r="AD304" i="1"/>
  <c r="AF298" i="1"/>
  <c r="AD293" i="1"/>
  <c r="AG288" i="1"/>
  <c r="AE281" i="1"/>
  <c r="AE274" i="1"/>
  <c r="AE245" i="1"/>
  <c r="AG234" i="1"/>
  <c r="AF232" i="1"/>
  <c r="AD230" i="1"/>
  <c r="AF217" i="1"/>
  <c r="AE619" i="1"/>
  <c r="AD611" i="1"/>
  <c r="AF587" i="1"/>
  <c r="AG583" i="1"/>
  <c r="AG572" i="1"/>
  <c r="AG568" i="1"/>
  <c r="AG550" i="1"/>
  <c r="AE520" i="1"/>
  <c r="AF505" i="1"/>
  <c r="AF502" i="1"/>
  <c r="AD498" i="1"/>
  <c r="AG494" i="1"/>
  <c r="AD491" i="1"/>
  <c r="AF487" i="1"/>
  <c r="AF456" i="1"/>
  <c r="AD446" i="1"/>
  <c r="AE439" i="1"/>
  <c r="AF406" i="1"/>
  <c r="AD397" i="1"/>
  <c r="AG394" i="1"/>
  <c r="AG388" i="1"/>
  <c r="AD375" i="1"/>
  <c r="AD368" i="1"/>
  <c r="AF352" i="1"/>
  <c r="AF333" i="1"/>
  <c r="AD330" i="1"/>
  <c r="AF607" i="1"/>
  <c r="AE587" i="1"/>
  <c r="AF583" i="1"/>
  <c r="AE572" i="1"/>
  <c r="AE568" i="1"/>
  <c r="AD550" i="1"/>
  <c r="AG516" i="1"/>
  <c r="AD505" i="1"/>
  <c r="AE494" i="1"/>
  <c r="AE487" i="1"/>
  <c r="AG470" i="1"/>
  <c r="AG467" i="1"/>
  <c r="AE456" i="1"/>
  <c r="AG449" i="1"/>
  <c r="AD442" i="1"/>
  <c r="AD439" i="1"/>
  <c r="AG409" i="1"/>
  <c r="AE406" i="1"/>
  <c r="AG403" i="1"/>
  <c r="AF394" i="1"/>
  <c r="AG391" i="1"/>
  <c r="AE388" i="1"/>
  <c r="AG378" i="1"/>
  <c r="AF327" i="1"/>
  <c r="AD300" i="1"/>
  <c r="AD297" i="1"/>
  <c r="AF285" i="1"/>
  <c r="AF264" i="1"/>
  <c r="AF249" i="1"/>
  <c r="AE241" i="1"/>
  <c r="AE607" i="1"/>
  <c r="AD587" i="1"/>
  <c r="AG527" i="1"/>
  <c r="AF516" i="1"/>
  <c r="AD494" i="1"/>
  <c r="AD487" i="1"/>
  <c r="AF473" i="1"/>
  <c r="AF470" i="1"/>
  <c r="AD467" i="1"/>
  <c r="AG452" i="1"/>
  <c r="AG435" i="1"/>
  <c r="AG415" i="1"/>
  <c r="AF409" i="1"/>
  <c r="AD406" i="1"/>
  <c r="AF403" i="1"/>
  <c r="AE394" i="1"/>
  <c r="AD391" i="1"/>
  <c r="AE378" i="1"/>
  <c r="AF348" i="1"/>
  <c r="AE327" i="1"/>
  <c r="AF313" i="1"/>
  <c r="AD306" i="1"/>
  <c r="AG303" i="1"/>
  <c r="AE285" i="1"/>
  <c r="AE264" i="1"/>
  <c r="AG257" i="1"/>
  <c r="AE249" i="1"/>
  <c r="AG246" i="1"/>
  <c r="AD607" i="1"/>
  <c r="AG564" i="1"/>
  <c r="AF527" i="1"/>
  <c r="AG523" i="1"/>
  <c r="AE508" i="1"/>
  <c r="AG483" i="1"/>
  <c r="AD470" i="1"/>
  <c r="AG459" i="1"/>
  <c r="AF452" i="1"/>
  <c r="AE435" i="1"/>
  <c r="AD415" i="1"/>
  <c r="AG381" i="1"/>
  <c r="AD378" i="1"/>
  <c r="AD371" i="1"/>
  <c r="AE358" i="1"/>
  <c r="AE348" i="1"/>
  <c r="AE320" i="1"/>
  <c r="AF303" i="1"/>
  <c r="AF270" i="1"/>
  <c r="AD257" i="1"/>
  <c r="AD249" i="1"/>
  <c r="AF246" i="1"/>
  <c r="AG622" i="1"/>
  <c r="AG590" i="1"/>
  <c r="AF564" i="1"/>
  <c r="AE542" i="1"/>
  <c r="AF523" i="1"/>
  <c r="AD452" i="1"/>
  <c r="AD435" i="1"/>
  <c r="AG418" i="1"/>
  <c r="AE381" i="1"/>
  <c r="AF364" i="1"/>
  <c r="AD358" i="1"/>
  <c r="AG335" i="1"/>
  <c r="AF293" i="1"/>
  <c r="AF290" i="1"/>
  <c r="AD282" i="1"/>
  <c r="AG276" i="1"/>
  <c r="AE270" i="1"/>
  <c r="AF260" i="1"/>
  <c r="AE246" i="1"/>
  <c r="AD236" i="1"/>
  <c r="AE221" i="1"/>
  <c r="AE214" i="1"/>
  <c r="AD207" i="1"/>
  <c r="AE200" i="1"/>
  <c r="AD193" i="1"/>
  <c r="AD188" i="1"/>
  <c r="AE181" i="1"/>
  <c r="AG174" i="1"/>
  <c r="AD172" i="1"/>
  <c r="AE165" i="1"/>
  <c r="AD163" i="1"/>
  <c r="AD618" i="1"/>
  <c r="AF556" i="1"/>
  <c r="AD549" i="1"/>
  <c r="AF537" i="1"/>
  <c r="AD522" i="1"/>
  <c r="AG507" i="1"/>
  <c r="AF500" i="1"/>
  <c r="AF493" i="1"/>
  <c r="AE479" i="1"/>
  <c r="AE476" i="1"/>
  <c r="AG444" i="1"/>
  <c r="AG441" i="1"/>
  <c r="AD427" i="1"/>
  <c r="AF414" i="1"/>
  <c r="AE411" i="1"/>
  <c r="AG408" i="1"/>
  <c r="AF396" i="1"/>
  <c r="AG393" i="1"/>
  <c r="AD384" i="1"/>
  <c r="AG357" i="1"/>
  <c r="AD354" i="1"/>
  <c r="AD344" i="1"/>
  <c r="AF329" i="1"/>
  <c r="AF319" i="1"/>
  <c r="AF302" i="1"/>
  <c r="AF287" i="1"/>
  <c r="AD266" i="1"/>
  <c r="AE251" i="1"/>
  <c r="AG240" i="1"/>
  <c r="AD238" i="1"/>
  <c r="AD233" i="1"/>
  <c r="AE223" i="1"/>
  <c r="AF218" i="1"/>
  <c r="AG211" i="1"/>
  <c r="AF202" i="1"/>
  <c r="AF197" i="1"/>
  <c r="AD190" i="1"/>
  <c r="AG185" i="1"/>
  <c r="AD183" i="1"/>
  <c r="AG178" i="1"/>
  <c r="AE176" i="1"/>
  <c r="AE169" i="1"/>
  <c r="AF156" i="1"/>
  <c r="AE154" i="1"/>
  <c r="AE152" i="1"/>
  <c r="AD150" i="1"/>
  <c r="AD148" i="1"/>
  <c r="AD146" i="1"/>
  <c r="AD144" i="1"/>
  <c r="AE142" i="1"/>
  <c r="AD132" i="1"/>
  <c r="AD130" i="1"/>
  <c r="AD128" i="1"/>
  <c r="AE126" i="1"/>
  <c r="AF124" i="1"/>
  <c r="AG122" i="1"/>
  <c r="AG116" i="1"/>
  <c r="AG114" i="1"/>
  <c r="AD620" i="1"/>
  <c r="AF597" i="1"/>
  <c r="AF575" i="1"/>
  <c r="AG558" i="1"/>
  <c r="AD490" i="1"/>
  <c r="AF478" i="1"/>
  <c r="AD433" i="1"/>
  <c r="AD429" i="1"/>
  <c r="AD421" i="1"/>
  <c r="AE402" i="1"/>
  <c r="AD381" i="1"/>
  <c r="AD373" i="1"/>
  <c r="AD353" i="1"/>
  <c r="AE334" i="1"/>
  <c r="AG331" i="1"/>
  <c r="AF297" i="1"/>
  <c r="AE294" i="1"/>
  <c r="AE290" i="1"/>
  <c r="AG262" i="1"/>
  <c r="AG258" i="1"/>
  <c r="AE255" i="1"/>
  <c r="AD245" i="1"/>
  <c r="AG242" i="1"/>
  <c r="AF234" i="1"/>
  <c r="AD226" i="1"/>
  <c r="AG218" i="1"/>
  <c r="AE206" i="1"/>
  <c r="AG198" i="1"/>
  <c r="AF188" i="1"/>
  <c r="AD173" i="1"/>
  <c r="AF168" i="1"/>
  <c r="AF161" i="1"/>
  <c r="AG154" i="1"/>
  <c r="AD152" i="1"/>
  <c r="AG139" i="1"/>
  <c r="AG137" i="1"/>
  <c r="AG135" i="1"/>
  <c r="AG133" i="1"/>
  <c r="AG131" i="1"/>
  <c r="AE129" i="1"/>
  <c r="AD127" i="1"/>
  <c r="AD125" i="1"/>
  <c r="AE123" i="1"/>
  <c r="AD121" i="1"/>
  <c r="AD103" i="1"/>
  <c r="AE101" i="1"/>
  <c r="AE99" i="1"/>
  <c r="AE97" i="1"/>
  <c r="AE95" i="1"/>
  <c r="AF93" i="1"/>
  <c r="AD74" i="1"/>
  <c r="AE72" i="1"/>
  <c r="AF70" i="1"/>
  <c r="AE57" i="1"/>
  <c r="AF55" i="1"/>
  <c r="AG53" i="1"/>
  <c r="AD40" i="1"/>
  <c r="AF38" i="1"/>
  <c r="AD23" i="1"/>
  <c r="AE21" i="1"/>
  <c r="AG19" i="1"/>
  <c r="AF601" i="1"/>
  <c r="AD575" i="1"/>
  <c r="AF558" i="1"/>
  <c r="AE536" i="1"/>
  <c r="AD532" i="1"/>
  <c r="AE485" i="1"/>
  <c r="AD478" i="1"/>
  <c r="AD453" i="1"/>
  <c r="AF413" i="1"/>
  <c r="AD349" i="1"/>
  <c r="AD334" i="1"/>
  <c r="AF331" i="1"/>
  <c r="AD308" i="1"/>
  <c r="AE304" i="1"/>
  <c r="AE297" i="1"/>
  <c r="AD290" i="1"/>
  <c r="AG287" i="1"/>
  <c r="AG280" i="1"/>
  <c r="AF277" i="1"/>
  <c r="AF262" i="1"/>
  <c r="AF258" i="1"/>
  <c r="AF242" i="1"/>
  <c r="AD601" i="1"/>
  <c r="AE558" i="1"/>
  <c r="AD540" i="1"/>
  <c r="AF498" i="1"/>
  <c r="AD485" i="1"/>
  <c r="AG481" i="1"/>
  <c r="AE441" i="1"/>
  <c r="AG437" i="1"/>
  <c r="AE413" i="1"/>
  <c r="AG341" i="1"/>
  <c r="AE331" i="1"/>
  <c r="AF315" i="1"/>
  <c r="AE300" i="1"/>
  <c r="AE287" i="1"/>
  <c r="AF280" i="1"/>
  <c r="AE262" i="1"/>
  <c r="AE258" i="1"/>
  <c r="AE242" i="1"/>
  <c r="AD234" i="1"/>
  <c r="AG231" i="1"/>
  <c r="AG223" i="1"/>
  <c r="AE213" i="1"/>
  <c r="AG208" i="1"/>
  <c r="AE198" i="1"/>
  <c r="AG193" i="1"/>
  <c r="AF185" i="1"/>
  <c r="AD180" i="1"/>
  <c r="AD168" i="1"/>
  <c r="AG163" i="1"/>
  <c r="AD161" i="1"/>
  <c r="AD154" i="1"/>
  <c r="AG145" i="1"/>
  <c r="AG143" i="1"/>
  <c r="AF141" i="1"/>
  <c r="AE139" i="1"/>
  <c r="AE137" i="1"/>
  <c r="AE135" i="1"/>
  <c r="AE133" i="1"/>
  <c r="AE131" i="1"/>
  <c r="AE610" i="1"/>
  <c r="AF561" i="1"/>
  <c r="AG518" i="1"/>
  <c r="AE514" i="1"/>
  <c r="AF481" i="1"/>
  <c r="AE461" i="1"/>
  <c r="AD441" i="1"/>
  <c r="AG424" i="1"/>
  <c r="AD413" i="1"/>
  <c r="AG376" i="1"/>
  <c r="AF337" i="1"/>
  <c r="AG323" i="1"/>
  <c r="AE315" i="1"/>
  <c r="AD280" i="1"/>
  <c r="AD262" i="1"/>
  <c r="AD258" i="1"/>
  <c r="AE248" i="1"/>
  <c r="AD242" i="1"/>
  <c r="AG239" i="1"/>
  <c r="AE231" i="1"/>
  <c r="AF228" i="1"/>
  <c r="AF223" i="1"/>
  <c r="AG220" i="1"/>
  <c r="AD213" i="1"/>
  <c r="AF208" i="1"/>
  <c r="AD198" i="1"/>
  <c r="AE193" i="1"/>
  <c r="AE185" i="1"/>
  <c r="AD590" i="1"/>
  <c r="AF577" i="1"/>
  <c r="AE552" i="1"/>
  <c r="AE525" i="1"/>
  <c r="AE517" i="1"/>
  <c r="AF476" i="1"/>
  <c r="AD468" i="1"/>
  <c r="AF455" i="1"/>
  <c r="AD447" i="1"/>
  <c r="AG423" i="1"/>
  <c r="AF419" i="1"/>
  <c r="AE408" i="1"/>
  <c r="AE383" i="1"/>
  <c r="AD379" i="1"/>
  <c r="AG336" i="1"/>
  <c r="AF272" i="1"/>
  <c r="AE268" i="1"/>
  <c r="AD247" i="1"/>
  <c r="AG238" i="1"/>
  <c r="AG227" i="1"/>
  <c r="AF222" i="1"/>
  <c r="AG212" i="1"/>
  <c r="AD197" i="1"/>
  <c r="AD192" i="1"/>
  <c r="AD187" i="1"/>
  <c r="AD184" i="1"/>
  <c r="AG179" i="1"/>
  <c r="AG162" i="1"/>
  <c r="AD160" i="1"/>
  <c r="AE153" i="1"/>
  <c r="AG136" i="1"/>
  <c r="AF134" i="1"/>
  <c r="AG132" i="1"/>
  <c r="AF130" i="1"/>
  <c r="AE128" i="1"/>
  <c r="AD126" i="1"/>
  <c r="AD577" i="1"/>
  <c r="AG556" i="1"/>
  <c r="AG500" i="1"/>
  <c r="AE565" i="1"/>
  <c r="AE555" i="1"/>
  <c r="AF535" i="1"/>
  <c r="AF530" i="1"/>
  <c r="AG502" i="1"/>
  <c r="AD474" i="1"/>
  <c r="AG465" i="1"/>
  <c r="AG399" i="1"/>
  <c r="AG384" i="1"/>
  <c r="AF362" i="1"/>
  <c r="AF332" i="1"/>
  <c r="AG311" i="1"/>
  <c r="AD295" i="1"/>
  <c r="AD246" i="1"/>
  <c r="AG230" i="1"/>
  <c r="AF227" i="1"/>
  <c r="AE210" i="1"/>
  <c r="AD178" i="1"/>
  <c r="AD170" i="1"/>
  <c r="AE167" i="1"/>
  <c r="AE162" i="1"/>
  <c r="AG157" i="1"/>
  <c r="AE147" i="1"/>
  <c r="AG142" i="1"/>
  <c r="AD135" i="1"/>
  <c r="AG130" i="1"/>
  <c r="AF119" i="1"/>
  <c r="AE117" i="1"/>
  <c r="AD115" i="1"/>
  <c r="AD109" i="1"/>
  <c r="AE107" i="1"/>
  <c r="AE105" i="1"/>
  <c r="AF103" i="1"/>
  <c r="AF101" i="1"/>
  <c r="AD99" i="1"/>
  <c r="AD555" i="1"/>
  <c r="AE530" i="1"/>
  <c r="AD399" i="1"/>
  <c r="AF384" i="1"/>
  <c r="AE362" i="1"/>
  <c r="AG344" i="1"/>
  <c r="AF336" i="1"/>
  <c r="AD332" i="1"/>
  <c r="AG328" i="1"/>
  <c r="AE324" i="1"/>
  <c r="AE311" i="1"/>
  <c r="AE298" i="1"/>
  <c r="AF291" i="1"/>
  <c r="AE250" i="1"/>
  <c r="AE230" i="1"/>
  <c r="AE227" i="1"/>
  <c r="AG221" i="1"/>
  <c r="AE218" i="1"/>
  <c r="AD210" i="1"/>
  <c r="AD167" i="1"/>
  <c r="AD162" i="1"/>
  <c r="AG159" i="1"/>
  <c r="AF157" i="1"/>
  <c r="AD147" i="1"/>
  <c r="AF142" i="1"/>
  <c r="AE130" i="1"/>
  <c r="AE119" i="1"/>
  <c r="AD117" i="1"/>
  <c r="AD107" i="1"/>
  <c r="AD105" i="1"/>
  <c r="AE103" i="1"/>
  <c r="AD101" i="1"/>
  <c r="AD59" i="1"/>
  <c r="AF57" i="1"/>
  <c r="AE55" i="1"/>
  <c r="AE53" i="1"/>
  <c r="AE51" i="1"/>
  <c r="AE49" i="1"/>
  <c r="AF47" i="1"/>
  <c r="AG45" i="1"/>
  <c r="AG43" i="1"/>
  <c r="AD18" i="1"/>
  <c r="AD16" i="1"/>
  <c r="AE618" i="1"/>
  <c r="AF524" i="1"/>
  <c r="AF509" i="1"/>
  <c r="AG468" i="1"/>
  <c r="AE423" i="1"/>
  <c r="AE414" i="1"/>
  <c r="AD356" i="1"/>
  <c r="AF274" i="1"/>
  <c r="AE220" i="1"/>
  <c r="AF206" i="1"/>
  <c r="AD164" i="1"/>
  <c r="AF114" i="1"/>
  <c r="AG110" i="1"/>
  <c r="AF98" i="1"/>
  <c r="AE96" i="1"/>
  <c r="AF92" i="1"/>
  <c r="AF74" i="1"/>
  <c r="AF68" i="1"/>
  <c r="AG60" i="1"/>
  <c r="AD35" i="1"/>
  <c r="AD29" i="1"/>
  <c r="AG25" i="1"/>
  <c r="AG598" i="1"/>
  <c r="AD593" i="1"/>
  <c r="AE569" i="1"/>
  <c r="AF559" i="1"/>
  <c r="AF450" i="1"/>
  <c r="AF366" i="1"/>
  <c r="AD362" i="1"/>
  <c r="AF344" i="1"/>
  <c r="AF328" i="1"/>
  <c r="AD324" i="1"/>
  <c r="AD315" i="1"/>
  <c r="AD311" i="1"/>
  <c r="AD302" i="1"/>
  <c r="AD298" i="1"/>
  <c r="AG275" i="1"/>
  <c r="AG236" i="1"/>
  <c r="AF221" i="1"/>
  <c r="AG215" i="1"/>
  <c r="AG201" i="1"/>
  <c r="AG192" i="1"/>
  <c r="AG183" i="1"/>
  <c r="AF175" i="1"/>
  <c r="AF159" i="1"/>
  <c r="AE157" i="1"/>
  <c r="AG149" i="1"/>
  <c r="AF137" i="1"/>
  <c r="AG121" i="1"/>
  <c r="AD119" i="1"/>
  <c r="AD57" i="1"/>
  <c r="AD55" i="1"/>
  <c r="AD53" i="1"/>
  <c r="AD51" i="1"/>
  <c r="AD49" i="1"/>
  <c r="AE47" i="1"/>
  <c r="AE45" i="1"/>
  <c r="AF43" i="1"/>
  <c r="AG41" i="1"/>
  <c r="X14" i="1"/>
  <c r="AD14" i="1" s="1"/>
  <c r="AD78" i="1"/>
  <c r="AD598" i="1"/>
  <c r="AE588" i="1"/>
  <c r="AD578" i="1"/>
  <c r="AE539" i="1"/>
  <c r="AE515" i="1"/>
  <c r="AE496" i="1"/>
  <c r="AG487" i="1"/>
  <c r="AD455" i="1"/>
  <c r="AD450" i="1"/>
  <c r="AE387" i="1"/>
  <c r="AE379" i="1"/>
  <c r="AD374" i="1"/>
  <c r="AE366" i="1"/>
  <c r="AD328" i="1"/>
  <c r="AF275" i="1"/>
  <c r="AG253" i="1"/>
  <c r="AD239" i="1"/>
  <c r="AF236" i="1"/>
  <c r="AG224" i="1"/>
  <c r="AF215" i="1"/>
  <c r="AG204" i="1"/>
  <c r="AD201" i="1"/>
  <c r="AF198" i="1"/>
  <c r="AG195" i="1"/>
  <c r="AE192" i="1"/>
  <c r="AG189" i="1"/>
  <c r="AF183" i="1"/>
  <c r="AE175" i="1"/>
  <c r="AE159" i="1"/>
  <c r="AF154" i="1"/>
  <c r="AE149" i="1"/>
  <c r="AD137" i="1"/>
  <c r="AG125" i="1"/>
  <c r="AG123" i="1"/>
  <c r="AE121" i="1"/>
  <c r="AG84" i="1"/>
  <c r="AG82" i="1"/>
  <c r="AG80" i="1"/>
  <c r="AD45" i="1"/>
  <c r="AE43" i="1"/>
  <c r="AF41" i="1"/>
  <c r="AG39" i="1"/>
  <c r="AG249" i="1"/>
  <c r="AE573" i="1"/>
  <c r="AG549" i="1"/>
  <c r="AD539" i="1"/>
  <c r="AG482" i="1"/>
  <c r="AF446" i="1"/>
  <c r="AG419" i="1"/>
  <c r="AD387" i="1"/>
  <c r="AG339" i="1"/>
  <c r="AG294" i="1"/>
  <c r="AF283" i="1"/>
  <c r="AG278" i="1"/>
  <c r="AF266" i="1"/>
  <c r="AE253" i="1"/>
  <c r="AE236" i="1"/>
  <c r="AD224" i="1"/>
  <c r="AE215" i="1"/>
  <c r="AF212" i="1"/>
  <c r="AF204" i="1"/>
  <c r="AE195" i="1"/>
  <c r="AF189" i="1"/>
  <c r="AF186" i="1"/>
  <c r="AE183" i="1"/>
  <c r="AF180" i="1"/>
  <c r="AD159" i="1"/>
  <c r="AD149" i="1"/>
  <c r="AF144" i="1"/>
  <c r="AF132" i="1"/>
  <c r="AF125" i="1"/>
  <c r="AF123" i="1"/>
  <c r="AG86" i="1"/>
  <c r="AF84" i="1"/>
  <c r="AF82" i="1"/>
  <c r="AF80" i="1"/>
  <c r="AG78" i="1"/>
  <c r="AD43" i="1"/>
  <c r="AE41" i="1"/>
  <c r="AF39" i="1"/>
  <c r="AG37" i="1"/>
  <c r="AG35" i="1"/>
  <c r="AG33" i="1"/>
  <c r="AG31" i="1"/>
  <c r="AG29" i="1"/>
  <c r="AG161" i="1"/>
  <c r="AF64" i="1"/>
  <c r="AE613" i="1"/>
  <c r="AE608" i="1"/>
  <c r="AF544" i="1"/>
  <c r="AD464" i="1"/>
  <c r="AE419" i="1"/>
  <c r="AF383" i="1"/>
  <c r="AE370" i="1"/>
  <c r="AF339" i="1"/>
  <c r="AF294" i="1"/>
  <c r="AF278" i="1"/>
  <c r="AD253" i="1"/>
  <c r="AF245" i="1"/>
  <c r="AE212" i="1"/>
  <c r="AD204" i="1"/>
  <c r="AE189" i="1"/>
  <c r="AG172" i="1"/>
  <c r="AG169" i="1"/>
  <c r="AF164" i="1"/>
  <c r="AG151" i="1"/>
  <c r="AE144" i="1"/>
  <c r="AF139" i="1"/>
  <c r="AE132" i="1"/>
  <c r="AG127" i="1"/>
  <c r="AE125" i="1"/>
  <c r="AG96" i="1"/>
  <c r="AG94" i="1"/>
  <c r="AG88" i="1"/>
  <c r="AF86" i="1"/>
  <c r="AE84" i="1"/>
  <c r="AE82" i="1"/>
  <c r="AE80" i="1"/>
  <c r="AF78" i="1"/>
  <c r="AD41" i="1"/>
  <c r="AE39" i="1"/>
  <c r="AF37" i="1"/>
  <c r="AF35" i="1"/>
  <c r="AF33" i="1"/>
  <c r="AF31" i="1"/>
  <c r="AF29" i="1"/>
  <c r="AF427" i="1"/>
  <c r="AD37" i="1"/>
  <c r="AG618" i="1"/>
  <c r="AD544" i="1"/>
  <c r="AG524" i="1"/>
  <c r="AG509" i="1"/>
  <c r="AG505" i="1"/>
  <c r="AF491" i="1"/>
  <c r="AG414" i="1"/>
  <c r="AE410" i="1"/>
  <c r="AD370" i="1"/>
  <c r="AE356" i="1"/>
  <c r="AE339" i="1"/>
  <c r="AF323" i="1"/>
  <c r="AD278" i="1"/>
  <c r="AD270" i="1"/>
  <c r="AF256" i="1"/>
  <c r="AF220" i="1"/>
  <c r="AD212" i="1"/>
  <c r="AF209" i="1"/>
  <c r="AG206" i="1"/>
  <c r="AD189" i="1"/>
  <c r="AE172" i="1"/>
  <c r="AD169" i="1"/>
  <c r="AE164" i="1"/>
  <c r="AF151" i="1"/>
  <c r="AD139" i="1"/>
  <c r="AF127" i="1"/>
  <c r="AG112" i="1"/>
  <c r="AF96" i="1"/>
  <c r="AF94" i="1"/>
  <c r="AG92" i="1"/>
  <c r="AG90" i="1"/>
  <c r="AF88" i="1"/>
  <c r="AE86" i="1"/>
  <c r="AD84" i="1"/>
  <c r="AD82" i="1"/>
  <c r="AD80" i="1"/>
  <c r="AE78" i="1"/>
  <c r="AG76" i="1"/>
  <c r="AG72" i="1"/>
  <c r="AG70" i="1"/>
  <c r="AG68" i="1"/>
  <c r="AG66" i="1"/>
  <c r="AG64" i="1"/>
  <c r="AG62" i="1"/>
  <c r="AD39" i="1"/>
  <c r="AE37" i="1"/>
  <c r="AE35" i="1"/>
  <c r="AE33" i="1"/>
  <c r="AE31" i="1"/>
  <c r="AE29" i="1"/>
  <c r="AG27" i="1"/>
  <c r="AG587" i="1"/>
  <c r="AE500" i="1"/>
  <c r="AE323" i="1"/>
  <c r="AE256" i="1"/>
  <c r="AG217" i="1"/>
  <c r="AD209" i="1"/>
  <c r="AG156" i="1"/>
  <c r="AE151" i="1"/>
  <c r="AE134" i="1"/>
  <c r="AE127" i="1"/>
  <c r="AF112" i="1"/>
  <c r="AE94" i="1"/>
  <c r="AF90" i="1"/>
  <c r="AE88" i="1"/>
  <c r="AD86" i="1"/>
  <c r="AF76" i="1"/>
  <c r="AF72" i="1"/>
  <c r="AE70" i="1"/>
  <c r="AF66" i="1"/>
  <c r="AF62" i="1"/>
  <c r="AD33" i="1"/>
  <c r="AD31" i="1"/>
  <c r="AF27" i="1"/>
  <c r="AG23" i="1"/>
  <c r="AG21" i="1"/>
  <c r="AD596" i="1"/>
  <c r="AD591" i="1"/>
  <c r="AG476" i="1"/>
  <c r="AD458" i="1"/>
  <c r="AF444" i="1"/>
  <c r="AE422" i="1"/>
  <c r="AF386" i="1"/>
  <c r="AD382" i="1"/>
  <c r="AD364" i="1"/>
  <c r="AG338" i="1"/>
  <c r="AD326" i="1"/>
  <c r="AF289" i="1"/>
  <c r="AG281" i="1"/>
  <c r="AG252" i="1"/>
  <c r="AG244" i="1"/>
  <c r="AD235" i="1"/>
  <c r="AF214" i="1"/>
  <c r="AF211" i="1"/>
  <c r="AF194" i="1"/>
  <c r="AE191" i="1"/>
  <c r="AF171" i="1"/>
  <c r="AD166" i="1"/>
  <c r="AF158" i="1"/>
  <c r="AD153" i="1"/>
  <c r="AG148" i="1"/>
  <c r="AD136" i="1"/>
  <c r="AF120" i="1"/>
  <c r="AD118" i="1"/>
  <c r="AD108" i="1"/>
  <c r="AE106" i="1"/>
  <c r="AD104" i="1"/>
  <c r="AD102" i="1"/>
  <c r="AE58" i="1"/>
  <c r="AF56" i="1"/>
  <c r="AE54" i="1"/>
  <c r="AE52" i="1"/>
  <c r="AE50" i="1"/>
  <c r="AF48" i="1"/>
  <c r="AF46" i="1"/>
  <c r="AG44" i="1"/>
  <c r="AD17" i="1"/>
  <c r="AD15" i="1"/>
  <c r="AF600" i="1"/>
  <c r="AF533" i="1"/>
  <c r="AE488" i="1"/>
  <c r="AE472" i="1"/>
  <c r="AG404" i="1"/>
  <c r="AF350" i="1"/>
  <c r="AG334" i="1"/>
  <c r="AG299" i="1"/>
  <c r="AF229" i="1"/>
  <c r="AE217" i="1"/>
  <c r="AD214" i="1"/>
  <c r="AF210" i="1"/>
  <c r="AE202" i="1"/>
  <c r="AE187" i="1"/>
  <c r="AE161" i="1"/>
  <c r="AD124" i="1"/>
  <c r="AF115" i="1"/>
  <c r="AE112" i="1"/>
  <c r="AF107" i="1"/>
  <c r="AF104" i="1"/>
  <c r="AD93" i="1"/>
  <c r="AF83" i="1"/>
  <c r="AG77" i="1"/>
  <c r="AG69" i="1"/>
  <c r="AG61" i="1"/>
  <c r="AG56" i="1"/>
  <c r="AG48" i="1"/>
  <c r="AE34" i="1"/>
  <c r="AF20" i="1"/>
  <c r="AD244" i="1"/>
  <c r="AG232" i="1"/>
  <c r="AD205" i="1"/>
  <c r="AG160" i="1"/>
  <c r="AG153" i="1"/>
  <c r="AE136" i="1"/>
  <c r="AF133" i="1"/>
  <c r="AF117" i="1"/>
  <c r="AF106" i="1"/>
  <c r="AG89" i="1"/>
  <c r="AD58" i="1"/>
  <c r="AG42" i="1"/>
  <c r="AF19" i="1"/>
  <c r="AE611" i="1"/>
  <c r="AD556" i="1"/>
  <c r="AE533" i="1"/>
  <c r="AD521" i="1"/>
  <c r="AG493" i="1"/>
  <c r="AE440" i="1"/>
  <c r="AD414" i="1"/>
  <c r="AE404" i="1"/>
  <c r="AG354" i="1"/>
  <c r="AG329" i="1"/>
  <c r="AE229" i="1"/>
  <c r="AG225" i="1"/>
  <c r="AD217" i="1"/>
  <c r="AD202" i="1"/>
  <c r="AF165" i="1"/>
  <c r="AE115" i="1"/>
  <c r="AD112" i="1"/>
  <c r="AE98" i="1"/>
  <c r="AE83" i="1"/>
  <c r="AF77" i="1"/>
  <c r="AF69" i="1"/>
  <c r="AF61" i="1"/>
  <c r="AD56" i="1"/>
  <c r="AE48" i="1"/>
  <c r="AG40" i="1"/>
  <c r="AD34" i="1"/>
  <c r="AE20" i="1"/>
  <c r="AD581" i="1"/>
  <c r="AD471" i="1"/>
  <c r="AE240" i="1"/>
  <c r="AE150" i="1"/>
  <c r="AD114" i="1"/>
  <c r="AG100" i="1"/>
  <c r="AG79" i="1"/>
  <c r="AF63" i="1"/>
  <c r="AF605" i="1"/>
  <c r="AE386" i="1"/>
  <c r="AE354" i="1"/>
  <c r="AD329" i="1"/>
  <c r="AG285" i="1"/>
  <c r="AG237" i="1"/>
  <c r="AF225" i="1"/>
  <c r="AG176" i="1"/>
  <c r="AD165" i="1"/>
  <c r="AG147" i="1"/>
  <c r="AG101" i="1"/>
  <c r="AD98" i="1"/>
  <c r="AD83" i="1"/>
  <c r="AE77" i="1"/>
  <c r="AE74" i="1"/>
  <c r="AE69" i="1"/>
  <c r="AE66" i="1"/>
  <c r="AE61" i="1"/>
  <c r="AD48" i="1"/>
  <c r="AF40" i="1"/>
  <c r="AG30" i="1"/>
  <c r="AD20" i="1"/>
  <c r="AG17" i="1"/>
  <c r="AF439" i="1"/>
  <c r="AG171" i="1"/>
  <c r="AE143" i="1"/>
  <c r="AE109" i="1"/>
  <c r="AD95" i="1"/>
  <c r="AF71" i="1"/>
  <c r="AD22" i="1"/>
  <c r="AE605" i="1"/>
  <c r="AE561" i="1"/>
  <c r="AD461" i="1"/>
  <c r="AG456" i="1"/>
  <c r="AD386" i="1"/>
  <c r="AF254" i="1"/>
  <c r="AE237" i="1"/>
  <c r="AE225" i="1"/>
  <c r="AG194" i="1"/>
  <c r="AF179" i="1"/>
  <c r="AD176" i="1"/>
  <c r="AF147" i="1"/>
  <c r="AD77" i="1"/>
  <c r="AD69" i="1"/>
  <c r="AD66" i="1"/>
  <c r="AD61" i="1"/>
  <c r="AE40" i="1"/>
  <c r="AF30" i="1"/>
  <c r="AE27" i="1"/>
  <c r="AG22" i="1"/>
  <c r="AF17" i="1"/>
  <c r="AG571" i="1"/>
  <c r="AE509" i="1"/>
  <c r="AD418" i="1"/>
  <c r="AF408" i="1"/>
  <c r="AE364" i="1"/>
  <c r="AD274" i="1"/>
  <c r="AE254" i="1"/>
  <c r="AF244" i="1"/>
  <c r="AF205" i="1"/>
  <c r="AD194" i="1"/>
  <c r="AE190" i="1"/>
  <c r="AE182" i="1"/>
  <c r="AE179" i="1"/>
  <c r="AE168" i="1"/>
  <c r="AG150" i="1"/>
  <c r="AG140" i="1"/>
  <c r="AG120" i="1"/>
  <c r="AG95" i="1"/>
  <c r="AE92" i="1"/>
  <c r="AG58" i="1"/>
  <c r="AF53" i="1"/>
  <c r="AG50" i="1"/>
  <c r="AE30" i="1"/>
  <c r="AF22" i="1"/>
  <c r="AE17" i="1"/>
  <c r="AF621" i="1"/>
  <c r="AF581" i="1"/>
  <c r="AD571" i="1"/>
  <c r="AE537" i="1"/>
  <c r="AD509" i="1"/>
  <c r="AE481" i="1"/>
  <c r="AD476" i="1"/>
  <c r="AE471" i="1"/>
  <c r="AD444" i="1"/>
  <c r="AG439" i="1"/>
  <c r="AG429" i="1"/>
  <c r="AG359" i="1"/>
  <c r="AE289" i="1"/>
  <c r="AG264" i="1"/>
  <c r="AE244" i="1"/>
  <c r="AF240" i="1"/>
  <c r="AD220" i="1"/>
  <c r="AG213" i="1"/>
  <c r="AE205" i="1"/>
  <c r="AF150" i="1"/>
  <c r="AF143" i="1"/>
  <c r="AF140" i="1"/>
  <c r="AD120" i="1"/>
  <c r="AG117" i="1"/>
  <c r="AE114" i="1"/>
  <c r="AG109" i="1"/>
  <c r="AG106" i="1"/>
  <c r="AF95" i="1"/>
  <c r="AD92" i="1"/>
  <c r="AG71" i="1"/>
  <c r="AG63" i="1"/>
  <c r="AF58" i="1"/>
  <c r="AF50" i="1"/>
  <c r="AD30" i="1"/>
  <c r="AE22" i="1"/>
  <c r="AD50" i="1"/>
  <c r="AF580" i="1"/>
  <c r="AE443" i="1"/>
  <c r="AD438" i="1"/>
  <c r="AG416" i="1"/>
  <c r="AF397" i="1"/>
  <c r="AG301" i="1"/>
  <c r="AF296" i="1"/>
  <c r="AE288" i="1"/>
  <c r="AF247" i="1"/>
  <c r="AF219" i="1"/>
  <c r="AG181" i="1"/>
  <c r="AF174" i="1"/>
  <c r="AF122" i="1"/>
  <c r="AE116" i="1"/>
  <c r="AE111" i="1"/>
  <c r="AF108" i="1"/>
  <c r="AF97" i="1"/>
  <c r="AD88" i="1"/>
  <c r="AF73" i="1"/>
  <c r="AG65" i="1"/>
  <c r="AD52" i="1"/>
  <c r="AF44" i="1"/>
  <c r="AF32" i="1"/>
  <c r="AG26" i="1"/>
  <c r="AD21" i="1"/>
  <c r="AD580" i="1"/>
  <c r="AF547" i="1"/>
  <c r="AG490" i="1"/>
  <c r="AE474" i="1"/>
  <c r="AF416" i="1"/>
  <c r="AG411" i="1"/>
  <c r="AF326" i="1"/>
  <c r="AE247" i="1"/>
  <c r="AE219" i="1"/>
  <c r="AG196" i="1"/>
  <c r="AF181" i="1"/>
  <c r="AD174" i="1"/>
  <c r="AE122" i="1"/>
  <c r="AD116" i="1"/>
  <c r="AE108" i="1"/>
  <c r="AD97" i="1"/>
  <c r="AG91" i="1"/>
  <c r="AG81" i="1"/>
  <c r="AE73" i="1"/>
  <c r="AD70" i="1"/>
  <c r="AE65" i="1"/>
  <c r="AE62" i="1"/>
  <c r="AE44" i="1"/>
  <c r="AE32" i="1"/>
  <c r="AF26" i="1"/>
  <c r="AG16" i="1"/>
  <c r="AG596" i="1"/>
  <c r="AE547" i="1"/>
  <c r="AG479" i="1"/>
  <c r="AG421" i="1"/>
  <c r="AE416" i="1"/>
  <c r="AG401" i="1"/>
  <c r="AD351" i="1"/>
  <c r="AG321" i="1"/>
  <c r="AE211" i="1"/>
  <c r="AF203" i="1"/>
  <c r="AF196" i="1"/>
  <c r="AD181" i="1"/>
  <c r="AG170" i="1"/>
  <c r="AE562" i="1"/>
  <c r="AD376" i="1"/>
  <c r="AG210" i="1"/>
  <c r="AD191" i="1"/>
  <c r="AF187" i="1"/>
  <c r="AE173" i="1"/>
  <c r="AD158" i="1"/>
  <c r="AE124" i="1"/>
  <c r="AG115" i="1"/>
  <c r="AG107" i="1"/>
  <c r="AG104" i="1"/>
  <c r="AE93" i="1"/>
  <c r="AD90" i="1"/>
  <c r="AD87" i="1"/>
  <c r="AG83" i="1"/>
  <c r="AE59" i="1"/>
  <c r="AF51" i="1"/>
  <c r="AF34" i="1"/>
  <c r="AD28" i="1"/>
  <c r="AD25" i="1"/>
  <c r="AG20" i="1"/>
  <c r="AE15" i="1"/>
  <c r="AG398" i="1"/>
  <c r="AG317" i="1"/>
  <c r="AG295" i="1"/>
  <c r="AE238" i="1"/>
  <c r="AG155" i="1"/>
  <c r="AF146" i="1"/>
  <c r="AG124" i="1"/>
  <c r="AG103" i="1"/>
  <c r="AF91" i="1"/>
  <c r="AF67" i="1"/>
  <c r="AG52" i="1"/>
  <c r="AF21" i="1"/>
  <c r="AF18" i="1"/>
  <c r="AF14" i="1"/>
  <c r="AG575" i="1"/>
  <c r="AG433" i="1"/>
  <c r="AE305" i="1"/>
  <c r="AG226" i="1"/>
  <c r="AG216" i="1"/>
  <c r="AF145" i="1"/>
  <c r="AE102" i="1"/>
  <c r="AE90" i="1"/>
  <c r="AF81" i="1"/>
  <c r="AG59" i="1"/>
  <c r="AG55" i="1"/>
  <c r="AG36" i="1"/>
  <c r="AD32" i="1"/>
  <c r="AE28" i="1"/>
  <c r="AG24" i="1"/>
  <c r="AF612" i="1"/>
  <c r="AF433" i="1"/>
  <c r="AG392" i="1"/>
  <c r="AD305" i="1"/>
  <c r="AG247" i="1"/>
  <c r="AE216" i="1"/>
  <c r="AD206" i="1"/>
  <c r="AG177" i="1"/>
  <c r="AF167" i="1"/>
  <c r="AE158" i="1"/>
  <c r="AE145" i="1"/>
  <c r="AG85" i="1"/>
  <c r="AF59" i="1"/>
  <c r="AF36" i="1"/>
  <c r="AF24" i="1"/>
  <c r="AF392" i="1"/>
  <c r="AG333" i="1"/>
  <c r="AD321" i="1"/>
  <c r="AD216" i="1"/>
  <c r="AG200" i="1"/>
  <c r="AG191" i="1"/>
  <c r="AF177" i="1"/>
  <c r="AD145" i="1"/>
  <c r="AF135" i="1"/>
  <c r="AF110" i="1"/>
  <c r="AE85" i="1"/>
  <c r="AD81" i="1"/>
  <c r="AG47" i="1"/>
  <c r="AD36" i="1"/>
  <c r="AE24" i="1"/>
  <c r="AG426" i="1"/>
  <c r="AF200" i="1"/>
  <c r="AE196" i="1"/>
  <c r="AF191" i="1"/>
  <c r="AD177" i="1"/>
  <c r="AF118" i="1"/>
  <c r="AE110" i="1"/>
  <c r="AD85" i="1"/>
  <c r="AG73" i="1"/>
  <c r="AG51" i="1"/>
  <c r="AD24" i="1"/>
  <c r="AF426" i="1"/>
  <c r="AD401" i="1"/>
  <c r="AG396" i="1"/>
  <c r="AG309" i="1"/>
  <c r="AF276" i="1"/>
  <c r="AD200" i="1"/>
  <c r="AF162" i="1"/>
  <c r="AF153" i="1"/>
  <c r="AG126" i="1"/>
  <c r="AD110" i="1"/>
  <c r="AE89" i="1"/>
  <c r="AD76" i="1"/>
  <c r="AD73" i="1"/>
  <c r="AF511" i="1"/>
  <c r="AE468" i="1"/>
  <c r="AE396" i="1"/>
  <c r="AF570" i="1"/>
  <c r="AD416" i="1"/>
  <c r="AG382" i="1"/>
  <c r="AE376" i="1"/>
  <c r="AF317" i="1"/>
  <c r="AF295" i="1"/>
  <c r="AE155" i="1"/>
  <c r="AG141" i="1"/>
  <c r="AG128" i="1"/>
  <c r="AG99" i="1"/>
  <c r="AE91" i="1"/>
  <c r="AE67" i="1"/>
  <c r="AE63" i="1"/>
  <c r="AF52" i="1"/>
  <c r="AE25" i="1"/>
  <c r="AE18" i="1"/>
  <c r="AE14" i="1"/>
  <c r="AF131" i="1"/>
  <c r="AD44" i="1"/>
  <c r="AD62" i="1"/>
  <c r="AE118" i="1"/>
  <c r="AF458" i="1"/>
  <c r="AE382" i="1"/>
  <c r="AG346" i="1"/>
  <c r="AE317" i="1"/>
  <c r="AE295" i="1"/>
  <c r="AE222" i="1"/>
  <c r="AE207" i="1"/>
  <c r="AE178" i="1"/>
  <c r="AF163" i="1"/>
  <c r="AD155" i="1"/>
  <c r="AE141" i="1"/>
  <c r="AF128" i="1"/>
  <c r="AG111" i="1"/>
  <c r="AF99" i="1"/>
  <c r="AD63" i="1"/>
  <c r="AE81" i="1"/>
  <c r="AE458" i="1"/>
  <c r="AE346" i="1"/>
  <c r="AD317" i="1"/>
  <c r="AD232" i="1"/>
  <c r="AG173" i="1"/>
  <c r="AE163" i="1"/>
  <c r="AD141" i="1"/>
  <c r="AF111" i="1"/>
  <c r="AD94" i="1"/>
  <c r="AG28" i="1"/>
  <c r="AF305" i="1"/>
  <c r="AD284" i="1"/>
  <c r="AG187" i="1"/>
  <c r="AF173" i="1"/>
  <c r="AF102" i="1"/>
  <c r="AG32" i="1"/>
  <c r="AF28" i="1"/>
  <c r="AF468" i="1"/>
  <c r="AE511" i="1"/>
  <c r="AD240" i="1"/>
  <c r="AE171" i="1"/>
  <c r="AG166" i="1"/>
  <c r="AF148" i="1"/>
  <c r="AD134" i="1"/>
  <c r="AF113" i="1"/>
  <c r="AF105" i="1"/>
  <c r="AG93" i="1"/>
  <c r="AE68" i="1"/>
  <c r="AF54" i="1"/>
  <c r="AE19" i="1"/>
  <c r="AF16" i="1"/>
  <c r="AE591" i="1"/>
  <c r="AG443" i="1"/>
  <c r="AG292" i="1"/>
  <c r="AG251" i="1"/>
  <c r="AF166" i="1"/>
  <c r="AE148" i="1"/>
  <c r="AE113" i="1"/>
  <c r="AG97" i="1"/>
  <c r="AD68" i="1"/>
  <c r="AD65" i="1"/>
  <c r="AD54" i="1"/>
  <c r="AF23" i="1"/>
  <c r="AD19" i="1"/>
  <c r="AF292" i="1"/>
  <c r="AF251" i="1"/>
  <c r="AG219" i="1"/>
  <c r="AD185" i="1"/>
  <c r="AE156" i="1"/>
  <c r="AG129" i="1"/>
  <c r="AD113" i="1"/>
  <c r="AF100" i="1"/>
  <c r="AD72" i="1"/>
  <c r="AG46" i="1"/>
  <c r="AE23" i="1"/>
  <c r="AF479" i="1"/>
  <c r="AD337" i="1"/>
  <c r="AG325" i="1"/>
  <c r="AD292" i="1"/>
  <c r="AD156" i="1"/>
  <c r="AG152" i="1"/>
  <c r="AD143" i="1"/>
  <c r="AF138" i="1"/>
  <c r="AD129" i="1"/>
  <c r="AD100" i="1"/>
  <c r="AF79" i="1"/>
  <c r="AE46" i="1"/>
  <c r="AF42" i="1"/>
  <c r="AG584" i="1"/>
  <c r="AE447" i="1"/>
  <c r="AF268" i="1"/>
  <c r="AG87" i="1"/>
  <c r="AF60" i="1"/>
  <c r="AF87" i="1"/>
  <c r="AG75" i="1"/>
  <c r="AE60" i="1"/>
  <c r="AG49" i="1"/>
  <c r="AE75" i="1"/>
  <c r="AE38" i="1"/>
  <c r="AG108" i="1"/>
  <c r="AD75" i="1"/>
  <c r="AD38" i="1"/>
  <c r="AE199" i="1"/>
  <c r="AE64" i="1"/>
  <c r="AE26" i="1"/>
  <c r="AG15" i="1"/>
  <c r="AE503" i="1"/>
  <c r="AG405" i="1"/>
  <c r="AD64" i="1"/>
  <c r="AE42" i="1"/>
  <c r="AD26" i="1"/>
  <c r="AF15" i="1"/>
  <c r="AD503" i="1"/>
  <c r="AF342" i="1"/>
  <c r="AE79" i="1"/>
  <c r="AD42" i="1"/>
  <c r="AD309" i="1"/>
  <c r="AG113" i="1"/>
  <c r="AD79" i="1"/>
  <c r="AE234" i="1"/>
  <c r="AD307" i="1"/>
  <c r="AD208" i="1"/>
  <c r="AF288" i="1"/>
  <c r="AD256" i="1"/>
  <c r="AD138" i="1"/>
  <c r="AF126" i="1"/>
  <c r="AF75" i="1"/>
  <c r="AD60" i="1"/>
  <c r="AF49" i="1"/>
  <c r="AG38" i="1"/>
  <c r="AD96" i="1"/>
  <c r="AF160" i="1"/>
  <c r="AE203" i="1"/>
  <c r="AG57" i="1"/>
  <c r="AD46" i="1"/>
  <c r="AD547" i="1"/>
  <c r="AG372" i="1"/>
  <c r="AD276" i="1"/>
  <c r="AF372" i="1"/>
  <c r="AF238" i="1"/>
  <c r="AE208" i="1"/>
  <c r="AG105" i="1"/>
  <c r="AG67" i="1"/>
  <c r="AG18" i="1"/>
  <c r="AE584" i="1"/>
  <c r="AF565" i="1"/>
  <c r="AF243" i="1"/>
  <c r="AF152" i="1"/>
  <c r="AG146" i="1"/>
  <c r="AE71" i="1"/>
  <c r="AF447" i="1"/>
  <c r="AF389" i="1"/>
  <c r="AG268" i="1"/>
  <c r="AE170" i="1"/>
  <c r="AD133" i="1"/>
  <c r="AD122" i="1"/>
  <c r="AF116" i="1"/>
  <c r="AD71" i="1"/>
  <c r="P625" i="1"/>
  <c r="Q623" i="1"/>
  <c r="P624" i="1"/>
  <c r="P627" i="1"/>
  <c r="S623" i="1"/>
  <c r="AH623" i="1"/>
  <c r="F59" i="3"/>
  <c r="F12" i="3"/>
  <c r="I13" i="3"/>
  <c r="H31" i="3"/>
  <c r="G37" i="3"/>
  <c r="X13" i="1"/>
  <c r="H12" i="3" l="1"/>
  <c r="G59" i="3"/>
  <c r="G62" i="3" s="1"/>
  <c r="H59" i="3"/>
  <c r="H62" i="3" s="1"/>
  <c r="AH115" i="1"/>
  <c r="AH64" i="1"/>
  <c r="AH145" i="1"/>
  <c r="AH139" i="1"/>
  <c r="AH311" i="1"/>
  <c r="AI311" i="1" s="1"/>
  <c r="AH183" i="1"/>
  <c r="AH328" i="1"/>
  <c r="AI328" i="1" s="1"/>
  <c r="AH125" i="1"/>
  <c r="AJ125" i="1" s="1"/>
  <c r="AH431" i="1"/>
  <c r="AJ431" i="1" s="1"/>
  <c r="AH380" i="1"/>
  <c r="AJ380" i="1" s="1"/>
  <c r="AH594" i="1"/>
  <c r="AI594" i="1" s="1"/>
  <c r="AH521" i="1"/>
  <c r="AI521" i="1" s="1"/>
  <c r="AH118" i="1"/>
  <c r="AJ118" i="1" s="1"/>
  <c r="AH137" i="1"/>
  <c r="AI137" i="1" s="1"/>
  <c r="AH315" i="1"/>
  <c r="AJ315" i="1" s="1"/>
  <c r="AH614" i="1"/>
  <c r="AI614" i="1" s="1"/>
  <c r="AH271" i="1"/>
  <c r="AJ271" i="1" s="1"/>
  <c r="R626" i="1"/>
  <c r="AH41" i="1"/>
  <c r="AH414" i="1"/>
  <c r="AH104" i="1"/>
  <c r="AH322" i="1"/>
  <c r="AI322" i="1" s="1"/>
  <c r="AH89" i="1"/>
  <c r="AH546" i="1"/>
  <c r="AJ2" i="1"/>
  <c r="AH175" i="1"/>
  <c r="AJ175" i="1" s="1"/>
  <c r="AH198" i="1"/>
  <c r="AJ198" i="1" s="1"/>
  <c r="AH503" i="1"/>
  <c r="AJ503" i="1" s="1"/>
  <c r="AH72" i="1"/>
  <c r="AI72" i="1" s="1"/>
  <c r="AH200" i="1"/>
  <c r="AI200" i="1" s="1"/>
  <c r="AH418" i="1"/>
  <c r="AJ418" i="1" s="1"/>
  <c r="AH471" i="1"/>
  <c r="AI471" i="1" s="1"/>
  <c r="AH214" i="1"/>
  <c r="AI214" i="1" s="1"/>
  <c r="AH490" i="1"/>
  <c r="AI490" i="1" s="1"/>
  <c r="AH549" i="1"/>
  <c r="AJ549" i="1" s="1"/>
  <c r="AH179" i="1"/>
  <c r="AJ179" i="1" s="1"/>
  <c r="AH343" i="1"/>
  <c r="AH553" i="1"/>
  <c r="AJ553" i="1" s="1"/>
  <c r="AH379" i="1"/>
  <c r="AJ379" i="1" s="1"/>
  <c r="AH344" i="1"/>
  <c r="AJ344" i="1" s="1"/>
  <c r="AH475" i="1"/>
  <c r="AJ475" i="1" s="1"/>
  <c r="AH576" i="1"/>
  <c r="AJ576" i="1" s="1"/>
  <c r="AH435" i="1"/>
  <c r="AJ435" i="1" s="1"/>
  <c r="AH138" i="1"/>
  <c r="AI138" i="1" s="1"/>
  <c r="AH220" i="1"/>
  <c r="AI220" i="1" s="1"/>
  <c r="AH285" i="1"/>
  <c r="AI285" i="1" s="1"/>
  <c r="AH234" i="1"/>
  <c r="AJ234" i="1" s="1"/>
  <c r="AH163" i="1"/>
  <c r="AJ163" i="1" s="1"/>
  <c r="AH378" i="1"/>
  <c r="AI378" i="1" s="1"/>
  <c r="AH108" i="1"/>
  <c r="AJ108" i="1" s="1"/>
  <c r="AH51" i="1"/>
  <c r="AJ51" i="1" s="1"/>
  <c r="AH446" i="1"/>
  <c r="AJ446" i="1" s="1"/>
  <c r="AH316" i="1"/>
  <c r="AJ316" i="1" s="1"/>
  <c r="AH372" i="1"/>
  <c r="AJ372" i="1" s="1"/>
  <c r="AH388" i="1"/>
  <c r="AI388" i="1" s="1"/>
  <c r="AH517" i="1"/>
  <c r="AJ517" i="1" s="1"/>
  <c r="AH526" i="1"/>
  <c r="AJ526" i="1" s="1"/>
  <c r="AH535" i="1"/>
  <c r="AI535" i="1" s="1"/>
  <c r="AH347" i="1"/>
  <c r="AJ347" i="1" s="1"/>
  <c r="AH482" i="1"/>
  <c r="AJ482" i="1" s="1"/>
  <c r="AH615" i="1"/>
  <c r="AI615" i="1" s="1"/>
  <c r="AH527" i="1"/>
  <c r="AI527" i="1" s="1"/>
  <c r="AH586" i="1"/>
  <c r="AJ586" i="1" s="1"/>
  <c r="AH472" i="1"/>
  <c r="AI472" i="1" s="1"/>
  <c r="AH157" i="1"/>
  <c r="AJ157" i="1" s="1"/>
  <c r="AH265" i="1"/>
  <c r="AJ265" i="1" s="1"/>
  <c r="AH357" i="1"/>
  <c r="AJ357" i="1" s="1"/>
  <c r="AH497" i="1"/>
  <c r="AI497" i="1" s="1"/>
  <c r="AH493" i="1"/>
  <c r="AJ493" i="1" s="1"/>
  <c r="AH588" i="1"/>
  <c r="AJ588" i="1" s="1"/>
  <c r="AH340" i="1"/>
  <c r="AI340" i="1" s="1"/>
  <c r="AH440" i="1"/>
  <c r="AJ440" i="1" s="1"/>
  <c r="AH600" i="1"/>
  <c r="AJ600" i="1" s="1"/>
  <c r="AH337" i="1"/>
  <c r="AJ337" i="1" s="1"/>
  <c r="AH598" i="1"/>
  <c r="AJ598" i="1" s="1"/>
  <c r="AH441" i="1"/>
  <c r="AJ441" i="1" s="1"/>
  <c r="AH453" i="1"/>
  <c r="AJ453" i="1" s="1"/>
  <c r="AH421" i="1"/>
  <c r="AJ421" i="1" s="1"/>
  <c r="AH148" i="1"/>
  <c r="AJ148" i="1" s="1"/>
  <c r="AH266" i="1"/>
  <c r="AI266" i="1" s="1"/>
  <c r="AH257" i="1"/>
  <c r="AJ257" i="1" s="1"/>
  <c r="AH385" i="1"/>
  <c r="AJ385" i="1" s="1"/>
  <c r="AH585" i="1"/>
  <c r="AI585" i="1" s="1"/>
  <c r="AH448" i="1"/>
  <c r="AJ448" i="1" s="1"/>
  <c r="AH483" i="1"/>
  <c r="AJ483" i="1" s="1"/>
  <c r="AH171" i="1"/>
  <c r="AJ171" i="1" s="1"/>
  <c r="AH405" i="1"/>
  <c r="AI405" i="1" s="1"/>
  <c r="AH267" i="1"/>
  <c r="AI267" i="1" s="1"/>
  <c r="AH499" i="1"/>
  <c r="AI499" i="1" s="1"/>
  <c r="AH423" i="1"/>
  <c r="AJ423" i="1" s="1"/>
  <c r="AH609" i="1"/>
  <c r="AI609" i="1" s="1"/>
  <c r="AH536" i="1"/>
  <c r="AI536" i="1" s="1"/>
  <c r="AH554" i="1"/>
  <c r="AI554" i="1" s="1"/>
  <c r="AH122" i="1"/>
  <c r="AJ122" i="1" s="1"/>
  <c r="AH547" i="1"/>
  <c r="AJ547" i="1" s="1"/>
  <c r="AH42" i="1"/>
  <c r="AJ42" i="1" s="1"/>
  <c r="AH70" i="1"/>
  <c r="AJ70" i="1" s="1"/>
  <c r="AH21" i="1"/>
  <c r="AJ21" i="1" s="1"/>
  <c r="AH274" i="1"/>
  <c r="AJ274" i="1" s="1"/>
  <c r="AH114" i="1"/>
  <c r="AJ114" i="1" s="1"/>
  <c r="AH235" i="1"/>
  <c r="AI235" i="1" s="1"/>
  <c r="AH33" i="1"/>
  <c r="AJ33" i="1" s="1"/>
  <c r="AH29" i="1"/>
  <c r="AJ29" i="1" s="1"/>
  <c r="AH147" i="1"/>
  <c r="AJ147" i="1" s="1"/>
  <c r="AH247" i="1"/>
  <c r="AI247" i="1" s="1"/>
  <c r="AH485" i="1"/>
  <c r="AI485" i="1" s="1"/>
  <c r="AH478" i="1"/>
  <c r="AJ478" i="1" s="1"/>
  <c r="AH429" i="1"/>
  <c r="AI429" i="1" s="1"/>
  <c r="AH368" i="1"/>
  <c r="AJ368" i="1" s="1"/>
  <c r="AH463" i="1"/>
  <c r="AJ463" i="1" s="1"/>
  <c r="AH454" i="1"/>
  <c r="AJ454" i="1" s="1"/>
  <c r="AH559" i="1"/>
  <c r="AJ559" i="1" s="1"/>
  <c r="AH277" i="1"/>
  <c r="AI277" i="1" s="1"/>
  <c r="AH511" i="1"/>
  <c r="AJ511" i="1" s="1"/>
  <c r="AH616" i="1"/>
  <c r="AI616" i="1" s="1"/>
  <c r="AH94" i="1"/>
  <c r="AI94" i="1" s="1"/>
  <c r="AH30" i="1"/>
  <c r="AJ30" i="1" s="1"/>
  <c r="AH199" i="1"/>
  <c r="AJ199" i="1" s="1"/>
  <c r="AH174" i="1"/>
  <c r="AI174" i="1" s="1"/>
  <c r="AH377" i="1"/>
  <c r="AJ377" i="1" s="1"/>
  <c r="AH133" i="1"/>
  <c r="AI133" i="1" s="1"/>
  <c r="AH46" i="1"/>
  <c r="AI46" i="1" s="1"/>
  <c r="AH36" i="1"/>
  <c r="AJ36" i="1" s="1"/>
  <c r="AH45" i="1"/>
  <c r="AI45" i="1" s="1"/>
  <c r="AH14" i="1"/>
  <c r="AJ14" i="1" s="1"/>
  <c r="AH35" i="1"/>
  <c r="AJ35" i="1" s="1"/>
  <c r="AH16" i="1"/>
  <c r="AI16" i="1" s="1"/>
  <c r="AH178" i="1"/>
  <c r="AI178" i="1" s="1"/>
  <c r="AH433" i="1"/>
  <c r="AI433" i="1" s="1"/>
  <c r="AH487" i="1"/>
  <c r="AJ487" i="1" s="1"/>
  <c r="AH439" i="1"/>
  <c r="AJ439" i="1" s="1"/>
  <c r="AH375" i="1"/>
  <c r="AI375" i="1" s="1"/>
  <c r="AH611" i="1"/>
  <c r="AI611" i="1" s="1"/>
  <c r="AH595" i="1"/>
  <c r="AI595" i="1" s="1"/>
  <c r="AH371" i="1"/>
  <c r="AJ371" i="1" s="1"/>
  <c r="AH476" i="1"/>
  <c r="AI476" i="1" s="1"/>
  <c r="AH181" i="1"/>
  <c r="AJ181" i="1" s="1"/>
  <c r="AH386" i="1"/>
  <c r="AI386" i="1" s="1"/>
  <c r="AH253" i="1"/>
  <c r="AI253" i="1" s="1"/>
  <c r="AH494" i="1"/>
  <c r="AJ494" i="1" s="1"/>
  <c r="AH442" i="1"/>
  <c r="AI442" i="1" s="1"/>
  <c r="AH83" i="1"/>
  <c r="AI83" i="1" s="1"/>
  <c r="AH417" i="1"/>
  <c r="AJ417" i="1" s="1"/>
  <c r="AH513" i="1"/>
  <c r="AJ513" i="1" s="1"/>
  <c r="AH28" i="1"/>
  <c r="AI28" i="1" s="1"/>
  <c r="AH522" i="1"/>
  <c r="AJ522" i="1" s="1"/>
  <c r="AH222" i="1"/>
  <c r="AI222" i="1" s="1"/>
  <c r="AH370" i="1"/>
  <c r="AJ370" i="1" s="1"/>
  <c r="AH18" i="1"/>
  <c r="AJ18" i="1" s="1"/>
  <c r="AH335" i="1"/>
  <c r="AI335" i="1" s="1"/>
  <c r="AH127" i="1"/>
  <c r="AI127" i="1" s="1"/>
  <c r="P628" i="1"/>
  <c r="S628" i="1" s="1"/>
  <c r="AH53" i="1"/>
  <c r="AJ53" i="1" s="1"/>
  <c r="AH504" i="1"/>
  <c r="AI504" i="1" s="1"/>
  <c r="AH608" i="1"/>
  <c r="AI608" i="1" s="1"/>
  <c r="AH424" i="1"/>
  <c r="AI424" i="1" s="1"/>
  <c r="AH610" i="1"/>
  <c r="AJ610" i="1" s="1"/>
  <c r="AH391" i="1"/>
  <c r="AJ391" i="1" s="1"/>
  <c r="AH491" i="1"/>
  <c r="AJ491" i="1" s="1"/>
  <c r="AH106" i="1"/>
  <c r="AI106" i="1" s="1"/>
  <c r="AH459" i="1"/>
  <c r="AI459" i="1" s="1"/>
  <c r="AH560" i="1"/>
  <c r="AI560" i="1" s="1"/>
  <c r="AH331" i="1"/>
  <c r="AI331" i="1" s="1"/>
  <c r="AH496" i="1"/>
  <c r="AJ496" i="1" s="1"/>
  <c r="AH515" i="1"/>
  <c r="AJ515" i="1" s="1"/>
  <c r="AH120" i="1"/>
  <c r="AJ120" i="1" s="1"/>
  <c r="AH571" i="1"/>
  <c r="AI571" i="1" s="1"/>
  <c r="AH124" i="1"/>
  <c r="AI124" i="1" s="1"/>
  <c r="AH578" i="1"/>
  <c r="AJ578" i="1" s="1"/>
  <c r="AH590" i="1"/>
  <c r="AI590" i="1" s="1"/>
  <c r="AH413" i="1"/>
  <c r="AJ413" i="1" s="1"/>
  <c r="AH168" i="1"/>
  <c r="AJ168" i="1" s="1"/>
  <c r="AH144" i="1"/>
  <c r="AJ144" i="1" s="1"/>
  <c r="AH140" i="1"/>
  <c r="AI140" i="1" s="1"/>
  <c r="AH78" i="1"/>
  <c r="AH170" i="1"/>
  <c r="AH479" i="1"/>
  <c r="AH71" i="1"/>
  <c r="AH276" i="1"/>
  <c r="AH48" i="1"/>
  <c r="AH202" i="1"/>
  <c r="AH84" i="1"/>
  <c r="AH270" i="1"/>
  <c r="AH593" i="1"/>
  <c r="AH349" i="1"/>
  <c r="AH74" i="1"/>
  <c r="AH381" i="1"/>
  <c r="AH236" i="1"/>
  <c r="AH330" i="1"/>
  <c r="AH566" i="1"/>
  <c r="AH250" i="1"/>
  <c r="AH291" i="1"/>
  <c r="AH272" i="1"/>
  <c r="AH327" i="1"/>
  <c r="AH488" i="1"/>
  <c r="AH231" i="1"/>
  <c r="AH151" i="1"/>
  <c r="AH237" i="1"/>
  <c r="AH259" i="1"/>
  <c r="AH599" i="1"/>
  <c r="AH561" i="1"/>
  <c r="AH303" i="1"/>
  <c r="AH403" i="1"/>
  <c r="AH534" i="1"/>
  <c r="AH309" i="1"/>
  <c r="AH110" i="1"/>
  <c r="AH376" i="1"/>
  <c r="AH580" i="1"/>
  <c r="AH217" i="1"/>
  <c r="AH31" i="1"/>
  <c r="AH278" i="1"/>
  <c r="AH204" i="1"/>
  <c r="AH201" i="1"/>
  <c r="AH180" i="1"/>
  <c r="AH173" i="1"/>
  <c r="AH146" i="1"/>
  <c r="AH249" i="1"/>
  <c r="AH607" i="1"/>
  <c r="AH467" i="1"/>
  <c r="AH582" i="1"/>
  <c r="AH296" i="1"/>
  <c r="AH437" i="1"/>
  <c r="AH47" i="1"/>
  <c r="AH142" i="1"/>
  <c r="AH366" i="1"/>
  <c r="AH261" i="1"/>
  <c r="AH473" i="1"/>
  <c r="AH605" i="1"/>
  <c r="AH525" i="1"/>
  <c r="AH589" i="1"/>
  <c r="AH518" i="1"/>
  <c r="AH25" i="1"/>
  <c r="AH155" i="1"/>
  <c r="AH438" i="1"/>
  <c r="AH408" i="1"/>
  <c r="AH524" i="1"/>
  <c r="AH390" i="1"/>
  <c r="AH206" i="1"/>
  <c r="AH224" i="1"/>
  <c r="AH213" i="1"/>
  <c r="AH540" i="1"/>
  <c r="AH282" i="1"/>
  <c r="AH412" i="1"/>
  <c r="AH67" i="1"/>
  <c r="AH269" i="1"/>
  <c r="AH361" i="1"/>
  <c r="AH365" i="1"/>
  <c r="S627" i="1"/>
  <c r="R627" i="1"/>
  <c r="AH97" i="1"/>
  <c r="AH461" i="1"/>
  <c r="AH581" i="1"/>
  <c r="AH244" i="1"/>
  <c r="AH102" i="1"/>
  <c r="AH162" i="1"/>
  <c r="AH103" i="1"/>
  <c r="AH310" i="1"/>
  <c r="AH409" i="1"/>
  <c r="AH279" i="1"/>
  <c r="AH545" i="1"/>
  <c r="I12" i="3"/>
  <c r="I59" i="3"/>
  <c r="AH96" i="1"/>
  <c r="AH26" i="1"/>
  <c r="AH113" i="1"/>
  <c r="AH50" i="1"/>
  <c r="AH98" i="1"/>
  <c r="AJ414" i="1"/>
  <c r="AI414" i="1"/>
  <c r="AI104" i="1"/>
  <c r="AJ104" i="1"/>
  <c r="AH326" i="1"/>
  <c r="AH167" i="1"/>
  <c r="AH99" i="1"/>
  <c r="AH601" i="1"/>
  <c r="AH121" i="1"/>
  <c r="AH397" i="1"/>
  <c r="AH230" i="1"/>
  <c r="AH182" i="1"/>
  <c r="AH313" i="1"/>
  <c r="AH411" i="1"/>
  <c r="AH533" i="1"/>
  <c r="AH273" i="1"/>
  <c r="AH369" i="1"/>
  <c r="AH281" i="1"/>
  <c r="AH396" i="1"/>
  <c r="AH195" i="1"/>
  <c r="AH360" i="1"/>
  <c r="AH606" i="1"/>
  <c r="AH150" i="1"/>
  <c r="AH251" i="1"/>
  <c r="AH538" i="1"/>
  <c r="AH205" i="1"/>
  <c r="AH399" i="1"/>
  <c r="AH577" i="1"/>
  <c r="AH359" i="1"/>
  <c r="AH495" i="1"/>
  <c r="AH323" i="1"/>
  <c r="AH81" i="1"/>
  <c r="AH43" i="1"/>
  <c r="AH126" i="1"/>
  <c r="AH532" i="1"/>
  <c r="AH407" i="1"/>
  <c r="AH392" i="1"/>
  <c r="AH543" i="1"/>
  <c r="AH284" i="1"/>
  <c r="AH52" i="1"/>
  <c r="AH239" i="1"/>
  <c r="AH555" i="1"/>
  <c r="AH226" i="1"/>
  <c r="AH268" i="1"/>
  <c r="AH573" i="1"/>
  <c r="AH252" i="1"/>
  <c r="AH355" i="1"/>
  <c r="AH367" i="1"/>
  <c r="AH394" i="1"/>
  <c r="AH286" i="1"/>
  <c r="R624" i="1"/>
  <c r="S624" i="1"/>
  <c r="AH305" i="1"/>
  <c r="AH116" i="1"/>
  <c r="AH34" i="1"/>
  <c r="AH86" i="1"/>
  <c r="AH298" i="1"/>
  <c r="AH210" i="1"/>
  <c r="AH246" i="1"/>
  <c r="AH575" i="1"/>
  <c r="AH354" i="1"/>
  <c r="AH618" i="1"/>
  <c r="AI371" i="1"/>
  <c r="AH306" i="1"/>
  <c r="AH587" i="1"/>
  <c r="AH445" i="1"/>
  <c r="AH469" i="1"/>
  <c r="AH393" i="1"/>
  <c r="AH91" i="1"/>
  <c r="AH186" i="1"/>
  <c r="AH288" i="1"/>
  <c r="AH419" i="1"/>
  <c r="AI179" i="1"/>
  <c r="AH529" i="1"/>
  <c r="AH275" i="1"/>
  <c r="AH398" i="1"/>
  <c r="AH395" i="1"/>
  <c r="AH243" i="1"/>
  <c r="AI343" i="1"/>
  <c r="AJ343" i="1"/>
  <c r="AH443" i="1"/>
  <c r="AH462" i="1"/>
  <c r="AH22" i="1"/>
  <c r="AJ139" i="1"/>
  <c r="AI139" i="1"/>
  <c r="AH49" i="1"/>
  <c r="AH338" i="1"/>
  <c r="AH185" i="1"/>
  <c r="G12" i="3"/>
  <c r="AH141" i="1"/>
  <c r="AH24" i="1"/>
  <c r="AH95" i="1"/>
  <c r="AH56" i="1"/>
  <c r="AH464" i="1"/>
  <c r="AH374" i="1"/>
  <c r="AH242" i="1"/>
  <c r="AH172" i="1"/>
  <c r="AH415" i="1"/>
  <c r="AH551" i="1"/>
  <c r="AH603" i="1"/>
  <c r="AH294" i="1"/>
  <c r="AH548" i="1"/>
  <c r="AH567" i="1"/>
  <c r="AH404" i="1"/>
  <c r="AH215" i="1"/>
  <c r="AH537" i="1"/>
  <c r="AH500" i="1"/>
  <c r="AH556" i="1"/>
  <c r="AH136" i="1"/>
  <c r="AH169" i="1"/>
  <c r="AH544" i="1"/>
  <c r="AH55" i="1"/>
  <c r="AH324" i="1"/>
  <c r="AH109" i="1"/>
  <c r="AH160" i="1"/>
  <c r="AH447" i="1"/>
  <c r="AH23" i="1"/>
  <c r="AH190" i="1"/>
  <c r="AH505" i="1"/>
  <c r="AH557" i="1"/>
  <c r="AH507" i="1"/>
  <c r="AH352" i="1"/>
  <c r="AH613" i="1"/>
  <c r="AH523" i="1"/>
  <c r="AH456" i="1"/>
  <c r="AH299" i="1"/>
  <c r="AH457" i="1"/>
  <c r="AH111" i="1"/>
  <c r="AH203" i="1"/>
  <c r="AH196" i="1"/>
  <c r="AH314" i="1"/>
  <c r="AH428" i="1"/>
  <c r="AH426" i="1"/>
  <c r="AH422" i="1"/>
  <c r="AH263" i="1"/>
  <c r="AH363" i="1"/>
  <c r="AH506" i="1"/>
  <c r="AH558" i="1"/>
  <c r="AH466" i="1"/>
  <c r="AH100" i="1"/>
  <c r="AH592" i="1"/>
  <c r="AH256" i="1"/>
  <c r="AH129" i="1"/>
  <c r="AH19" i="1"/>
  <c r="AH134" i="1"/>
  <c r="AH232" i="1"/>
  <c r="AH85" i="1"/>
  <c r="AH321" i="1"/>
  <c r="AH32" i="1"/>
  <c r="AH92" i="1"/>
  <c r="AH444" i="1"/>
  <c r="AH66" i="1"/>
  <c r="AH153" i="1"/>
  <c r="AH458" i="1"/>
  <c r="AH189" i="1"/>
  <c r="AH37" i="1"/>
  <c r="AH450" i="1"/>
  <c r="AH119" i="1"/>
  <c r="AH59" i="1"/>
  <c r="AH468" i="1"/>
  <c r="AH262" i="1"/>
  <c r="AH290" i="1"/>
  <c r="AH40" i="1"/>
  <c r="AH188" i="1"/>
  <c r="AH452" i="1"/>
  <c r="AH297" i="1"/>
  <c r="AH550" i="1"/>
  <c r="AH293" i="1"/>
  <c r="AH528" i="1"/>
  <c r="AH489" i="1"/>
  <c r="AH241" i="1"/>
  <c r="AH219" i="1"/>
  <c r="AH432" i="1"/>
  <c r="AH565" i="1"/>
  <c r="AH510" i="1"/>
  <c r="AH562" i="1"/>
  <c r="AH486" i="1"/>
  <c r="AH492" i="1"/>
  <c r="AJ623" i="1"/>
  <c r="AI623" i="1"/>
  <c r="AH317" i="1"/>
  <c r="AH62" i="1"/>
  <c r="AH69" i="1"/>
  <c r="AH329" i="1"/>
  <c r="AH93" i="1"/>
  <c r="AH149" i="1"/>
  <c r="AH455" i="1"/>
  <c r="AH362" i="1"/>
  <c r="AH101" i="1"/>
  <c r="AH184" i="1"/>
  <c r="AH280" i="1"/>
  <c r="AH193" i="1"/>
  <c r="AH470" i="1"/>
  <c r="AH300" i="1"/>
  <c r="AH498" i="1"/>
  <c r="AH531" i="1"/>
  <c r="AH519" i="1"/>
  <c r="AH410" i="1"/>
  <c r="AH542" i="1"/>
  <c r="AH477" i="1"/>
  <c r="AH301" i="1"/>
  <c r="AH221" i="1"/>
  <c r="AH218" i="1"/>
  <c r="AH583" i="1"/>
  <c r="AH211" i="1"/>
  <c r="AH434" i="1"/>
  <c r="AH574" i="1"/>
  <c r="AH604" i="1"/>
  <c r="AH341" i="1"/>
  <c r="AH400" i="1"/>
  <c r="AH564" i="1"/>
  <c r="AH208" i="1"/>
  <c r="AH38" i="1"/>
  <c r="AH143" i="1"/>
  <c r="AH54" i="1"/>
  <c r="AH44" i="1"/>
  <c r="AH158" i="1"/>
  <c r="AH77" i="1"/>
  <c r="AH58" i="1"/>
  <c r="AH15" i="1"/>
  <c r="AH166" i="1"/>
  <c r="AH591" i="1"/>
  <c r="AH159" i="1"/>
  <c r="AH474" i="1"/>
  <c r="AH187" i="1"/>
  <c r="AH128" i="1"/>
  <c r="AH427" i="1"/>
  <c r="AH406" i="1"/>
  <c r="AH304" i="1"/>
  <c r="AH563" i="1"/>
  <c r="AH248" i="1"/>
  <c r="AH123" i="1"/>
  <c r="AH223" i="1"/>
  <c r="AH325" i="1"/>
  <c r="AH131" i="1"/>
  <c r="AH389" i="1"/>
  <c r="AH312" i="1"/>
  <c r="AH436" i="1"/>
  <c r="AH569" i="1"/>
  <c r="AH283" i="1"/>
  <c r="AH383" i="1"/>
  <c r="AH484" i="1"/>
  <c r="AH514" i="1"/>
  <c r="AH570" i="1"/>
  <c r="AI547" i="1"/>
  <c r="AI453" i="1"/>
  <c r="AH260" i="1"/>
  <c r="AJ388" i="1"/>
  <c r="AH401" i="1"/>
  <c r="AH87" i="1"/>
  <c r="AH88" i="1"/>
  <c r="AH364" i="1"/>
  <c r="AH358" i="1"/>
  <c r="S625" i="1"/>
  <c r="R625" i="1"/>
  <c r="AH60" i="1"/>
  <c r="AH90" i="1"/>
  <c r="AH165" i="1"/>
  <c r="AH382" i="1"/>
  <c r="AH620" i="1"/>
  <c r="AH384" i="1"/>
  <c r="AI89" i="1"/>
  <c r="AJ89" i="1"/>
  <c r="AH552" i="1"/>
  <c r="AH287" i="1"/>
  <c r="AH307" i="1"/>
  <c r="AH75" i="1"/>
  <c r="AH65" i="1"/>
  <c r="AH177" i="1"/>
  <c r="AH20" i="1"/>
  <c r="AH112" i="1"/>
  <c r="AH17" i="1"/>
  <c r="AH596" i="1"/>
  <c r="AH209" i="1"/>
  <c r="AH212" i="1"/>
  <c r="AH539" i="1"/>
  <c r="AH356" i="1"/>
  <c r="AH105" i="1"/>
  <c r="AH135" i="1"/>
  <c r="AH192" i="1"/>
  <c r="AH154" i="1"/>
  <c r="AH308" i="1"/>
  <c r="AH152" i="1"/>
  <c r="AH130" i="1"/>
  <c r="AH207" i="1"/>
  <c r="AH255" i="1"/>
  <c r="AH27" i="1"/>
  <c r="AH225" i="1"/>
  <c r="AH336" i="1"/>
  <c r="AH481" i="1"/>
  <c r="AH228" i="1"/>
  <c r="AH318" i="1"/>
  <c r="AH345" i="1"/>
  <c r="AH584" i="1"/>
  <c r="AH346" i="1"/>
  <c r="AH516" i="1"/>
  <c r="AH572" i="1"/>
  <c r="AH619" i="1"/>
  <c r="AH612" i="1"/>
  <c r="AJ64" i="1"/>
  <c r="AI64" i="1"/>
  <c r="AH264" i="1"/>
  <c r="AH568" i="1"/>
  <c r="AH416" i="1"/>
  <c r="AH216" i="1"/>
  <c r="AH61" i="1"/>
  <c r="AI115" i="1"/>
  <c r="AJ115" i="1"/>
  <c r="AH258" i="1"/>
  <c r="AH430" i="1"/>
  <c r="J38" i="3"/>
  <c r="J29" i="3"/>
  <c r="J24" i="3"/>
  <c r="J19" i="3"/>
  <c r="F62" i="3"/>
  <c r="F60" i="3"/>
  <c r="J50" i="3"/>
  <c r="J46" i="3"/>
  <c r="J42" i="3"/>
  <c r="J55" i="3"/>
  <c r="J28" i="3"/>
  <c r="J23" i="3"/>
  <c r="J18" i="3"/>
  <c r="J56" i="3"/>
  <c r="J52" i="3"/>
  <c r="J40" i="3"/>
  <c r="J32" i="3"/>
  <c r="J16" i="3"/>
  <c r="J54" i="3"/>
  <c r="J43" i="3"/>
  <c r="J33" i="3"/>
  <c r="J17" i="3"/>
  <c r="J36" i="3"/>
  <c r="J41" i="3"/>
  <c r="J15" i="3"/>
  <c r="J45" i="3"/>
  <c r="J14" i="3"/>
  <c r="J57" i="3"/>
  <c r="J49" i="3"/>
  <c r="J35" i="3"/>
  <c r="F63" i="3"/>
  <c r="J39" i="3"/>
  <c r="J20" i="3"/>
  <c r="J25" i="3"/>
  <c r="J26" i="3"/>
  <c r="J44" i="3"/>
  <c r="J34" i="3"/>
  <c r="J48" i="3"/>
  <c r="J27" i="3"/>
  <c r="J53" i="3"/>
  <c r="J30" i="3"/>
  <c r="J47" i="3"/>
  <c r="J21" i="3"/>
  <c r="J22" i="3"/>
  <c r="AH156" i="1"/>
  <c r="AH68" i="1"/>
  <c r="AH240" i="1"/>
  <c r="AH73" i="1"/>
  <c r="AH509" i="1"/>
  <c r="AH194" i="1"/>
  <c r="AH176" i="1"/>
  <c r="AH80" i="1"/>
  <c r="AH107" i="1"/>
  <c r="AH197" i="1"/>
  <c r="AH161" i="1"/>
  <c r="AH353" i="1"/>
  <c r="AH132" i="1"/>
  <c r="AH233" i="1"/>
  <c r="AH602" i="1"/>
  <c r="AH425" i="1"/>
  <c r="AH342" i="1"/>
  <c r="AH319" i="1"/>
  <c r="AH227" i="1"/>
  <c r="AH502" i="1"/>
  <c r="AH451" i="1"/>
  <c r="AH617" i="1"/>
  <c r="AH449" i="1"/>
  <c r="AH460" i="1"/>
  <c r="AH348" i="1"/>
  <c r="AH465" i="1"/>
  <c r="AH501" i="1"/>
  <c r="AH512" i="1"/>
  <c r="AH621" i="1"/>
  <c r="AJ41" i="1"/>
  <c r="AI41" i="1"/>
  <c r="AJ585" i="1"/>
  <c r="AI517" i="1"/>
  <c r="AJ145" i="1"/>
  <c r="AI145" i="1"/>
  <c r="AH351" i="1"/>
  <c r="AH39" i="1"/>
  <c r="AH302" i="1"/>
  <c r="AH295" i="1"/>
  <c r="AH245" i="1"/>
  <c r="AH541" i="1"/>
  <c r="AH597" i="1"/>
  <c r="AJ183" i="1"/>
  <c r="AI183" i="1"/>
  <c r="AJ546" i="1"/>
  <c r="AI546" i="1"/>
  <c r="AH402" i="1"/>
  <c r="AH530" i="1"/>
  <c r="AH387" i="1"/>
  <c r="AH57" i="1"/>
  <c r="AH164" i="1"/>
  <c r="AH480" i="1"/>
  <c r="AH289" i="1"/>
  <c r="AH579" i="1"/>
  <c r="AH339" i="1"/>
  <c r="AH508" i="1"/>
  <c r="AH79" i="1"/>
  <c r="AH292" i="1"/>
  <c r="AH63" i="1"/>
  <c r="AH76" i="1"/>
  <c r="AH191" i="1"/>
  <c r="AH82" i="1"/>
  <c r="AH117" i="1"/>
  <c r="AH332" i="1"/>
  <c r="AH334" i="1"/>
  <c r="AH373" i="1"/>
  <c r="AH238" i="1"/>
  <c r="AH333" i="1"/>
  <c r="AH229" i="1"/>
  <c r="AH622" i="1"/>
  <c r="AH254" i="1"/>
  <c r="AH350" i="1"/>
  <c r="AH320" i="1"/>
  <c r="AH420" i="1"/>
  <c r="AH520" i="1"/>
  <c r="G63" i="3" l="1"/>
  <c r="G60" i="3"/>
  <c r="G64" i="3" s="1"/>
  <c r="G66" i="3" s="1"/>
  <c r="H63" i="3"/>
  <c r="H60" i="3"/>
  <c r="F64" i="3"/>
  <c r="F66" i="3" s="1"/>
  <c r="J51" i="3"/>
  <c r="AJ311" i="1"/>
  <c r="AJ560" i="1"/>
  <c r="AI344" i="1"/>
  <c r="AI448" i="1"/>
  <c r="AI463" i="1"/>
  <c r="AI175" i="1"/>
  <c r="AI265" i="1"/>
  <c r="AJ106" i="1"/>
  <c r="AI33" i="1"/>
  <c r="AJ527" i="1"/>
  <c r="AI435" i="1"/>
  <c r="AJ485" i="1"/>
  <c r="AJ46" i="1"/>
  <c r="AI125" i="1"/>
  <c r="AI379" i="1"/>
  <c r="AJ133" i="1"/>
  <c r="AJ442" i="1"/>
  <c r="AJ322" i="1"/>
  <c r="AI553" i="1"/>
  <c r="AJ459" i="1"/>
  <c r="AI385" i="1"/>
  <c r="AI494" i="1"/>
  <c r="AI36" i="1"/>
  <c r="AI576" i="1"/>
  <c r="AJ328" i="1"/>
  <c r="AJ608" i="1"/>
  <c r="AI257" i="1"/>
  <c r="AJ220" i="1"/>
  <c r="AJ138" i="1"/>
  <c r="AI431" i="1"/>
  <c r="AI198" i="1"/>
  <c r="AJ235" i="1"/>
  <c r="AI234" i="1"/>
  <c r="AJ72" i="1"/>
  <c r="AJ615" i="1"/>
  <c r="AJ83" i="1"/>
  <c r="AI586" i="1"/>
  <c r="AI118" i="1"/>
  <c r="AI493" i="1"/>
  <c r="AJ497" i="1"/>
  <c r="AJ247" i="1"/>
  <c r="AI483" i="1"/>
  <c r="AI413" i="1"/>
  <c r="AI29" i="1"/>
  <c r="AI70" i="1"/>
  <c r="AI357" i="1"/>
  <c r="AJ429" i="1"/>
  <c r="AI30" i="1"/>
  <c r="AI108" i="1"/>
  <c r="AJ609" i="1"/>
  <c r="AJ614" i="1"/>
  <c r="AJ378" i="1"/>
  <c r="AJ267" i="1"/>
  <c r="AI368" i="1"/>
  <c r="AJ521" i="1"/>
  <c r="AJ499" i="1"/>
  <c r="AI147" i="1"/>
  <c r="AI578" i="1"/>
  <c r="AI515" i="1"/>
  <c r="AI163" i="1"/>
  <c r="AI315" i="1"/>
  <c r="AI171" i="1"/>
  <c r="AI496" i="1"/>
  <c r="AJ536" i="1"/>
  <c r="AJ331" i="1"/>
  <c r="AJ594" i="1"/>
  <c r="AJ137" i="1"/>
  <c r="AJ16" i="1"/>
  <c r="AJ222" i="1"/>
  <c r="AI380" i="1"/>
  <c r="AJ28" i="1"/>
  <c r="AJ178" i="1"/>
  <c r="AI475" i="1"/>
  <c r="AI168" i="1"/>
  <c r="AJ277" i="1"/>
  <c r="AJ405" i="1"/>
  <c r="AI35" i="1"/>
  <c r="AI478" i="1"/>
  <c r="AJ472" i="1"/>
  <c r="AJ200" i="1"/>
  <c r="AJ285" i="1"/>
  <c r="AJ45" i="1"/>
  <c r="AI513" i="1"/>
  <c r="AJ476" i="1"/>
  <c r="AI370" i="1"/>
  <c r="AJ140" i="1"/>
  <c r="AI271" i="1"/>
  <c r="AI122" i="1"/>
  <c r="AI53" i="1"/>
  <c r="AJ335" i="1"/>
  <c r="AI417" i="1"/>
  <c r="AJ214" i="1"/>
  <c r="AI588" i="1"/>
  <c r="AJ590" i="1"/>
  <c r="AI549" i="1"/>
  <c r="AJ471" i="1"/>
  <c r="AI559" i="1"/>
  <c r="AI440" i="1"/>
  <c r="AJ490" i="1"/>
  <c r="AJ595" i="1"/>
  <c r="AI337" i="1"/>
  <c r="AJ375" i="1"/>
  <c r="AI18" i="1"/>
  <c r="AJ611" i="1"/>
  <c r="AI316" i="1"/>
  <c r="AI446" i="1"/>
  <c r="AI511" i="1"/>
  <c r="AI503" i="1"/>
  <c r="AI487" i="1"/>
  <c r="AI522" i="1"/>
  <c r="AI454" i="1"/>
  <c r="AI157" i="1"/>
  <c r="AJ127" i="1"/>
  <c r="AI418" i="1"/>
  <c r="AI51" i="1"/>
  <c r="AI372" i="1"/>
  <c r="AJ340" i="1"/>
  <c r="AJ504" i="1"/>
  <c r="AJ554" i="1"/>
  <c r="AI14" i="1"/>
  <c r="AI144" i="1"/>
  <c r="AI423" i="1"/>
  <c r="AJ616" i="1"/>
  <c r="K11" i="1"/>
  <c r="AJ535" i="1"/>
  <c r="AI377" i="1"/>
  <c r="R628" i="1"/>
  <c r="AI347" i="1"/>
  <c r="AJ266" i="1"/>
  <c r="AI421" i="1"/>
  <c r="P629" i="1"/>
  <c r="P630" i="1" s="1"/>
  <c r="S630" i="1" s="1"/>
  <c r="AI610" i="1"/>
  <c r="AI441" i="1"/>
  <c r="AI199" i="1"/>
  <c r="AI600" i="1"/>
  <c r="AJ94" i="1"/>
  <c r="AI114" i="1"/>
  <c r="AI598" i="1"/>
  <c r="AJ253" i="1"/>
  <c r="AI274" i="1"/>
  <c r="AI439" i="1"/>
  <c r="AJ386" i="1"/>
  <c r="AI21" i="1"/>
  <c r="AI391" i="1"/>
  <c r="AJ174" i="1"/>
  <c r="AI482" i="1"/>
  <c r="AJ424" i="1"/>
  <c r="AI181" i="1"/>
  <c r="AI526" i="1"/>
  <c r="AI148" i="1"/>
  <c r="AI42" i="1"/>
  <c r="AJ433" i="1"/>
  <c r="AI491" i="1"/>
  <c r="AJ124" i="1"/>
  <c r="AJ571" i="1"/>
  <c r="AI120" i="1"/>
  <c r="AJ389" i="1"/>
  <c r="AI389" i="1"/>
  <c r="AI280" i="1"/>
  <c r="AJ280" i="1"/>
  <c r="AI492" i="1"/>
  <c r="AJ492" i="1"/>
  <c r="AJ290" i="1"/>
  <c r="AI290" i="1"/>
  <c r="AJ256" i="1"/>
  <c r="AI256" i="1"/>
  <c r="AJ506" i="1"/>
  <c r="AI506" i="1"/>
  <c r="AJ23" i="1"/>
  <c r="AI23" i="1"/>
  <c r="AJ374" i="1"/>
  <c r="AI374" i="1"/>
  <c r="AI288" i="1"/>
  <c r="AJ288" i="1"/>
  <c r="AI52" i="1"/>
  <c r="AJ52" i="1"/>
  <c r="AI43" i="1"/>
  <c r="AJ43" i="1"/>
  <c r="AJ360" i="1"/>
  <c r="AI360" i="1"/>
  <c r="AJ326" i="1"/>
  <c r="AI326" i="1"/>
  <c r="AJ261" i="1"/>
  <c r="AI261" i="1"/>
  <c r="AJ110" i="1"/>
  <c r="AI110" i="1"/>
  <c r="AJ237" i="1"/>
  <c r="AI237" i="1"/>
  <c r="AI131" i="1"/>
  <c r="AJ131" i="1"/>
  <c r="AI158" i="1"/>
  <c r="AJ158" i="1"/>
  <c r="AI184" i="1"/>
  <c r="AJ184" i="1"/>
  <c r="AI486" i="1"/>
  <c r="AJ486" i="1"/>
  <c r="AI262" i="1"/>
  <c r="AJ262" i="1"/>
  <c r="AJ363" i="1"/>
  <c r="AI363" i="1"/>
  <c r="AI447" i="1"/>
  <c r="AJ447" i="1"/>
  <c r="AJ186" i="1"/>
  <c r="AI186" i="1"/>
  <c r="AI284" i="1"/>
  <c r="AJ284" i="1"/>
  <c r="AI195" i="1"/>
  <c r="AJ195" i="1"/>
  <c r="AJ409" i="1"/>
  <c r="AI409" i="1"/>
  <c r="AJ282" i="1"/>
  <c r="AI282" i="1"/>
  <c r="AI366" i="1"/>
  <c r="AJ366" i="1"/>
  <c r="AJ151" i="1"/>
  <c r="AI151" i="1"/>
  <c r="AJ479" i="1"/>
  <c r="AI479" i="1"/>
  <c r="AJ255" i="1"/>
  <c r="AI255" i="1"/>
  <c r="AJ307" i="1"/>
  <c r="AI307" i="1"/>
  <c r="AJ90" i="1"/>
  <c r="AI90" i="1"/>
  <c r="AJ223" i="1"/>
  <c r="AI223" i="1"/>
  <c r="AJ54" i="1"/>
  <c r="AI54" i="1"/>
  <c r="AJ604" i="1"/>
  <c r="AI604" i="1"/>
  <c r="AJ362" i="1"/>
  <c r="AI362" i="1"/>
  <c r="AI510" i="1"/>
  <c r="AJ510" i="1"/>
  <c r="AJ59" i="1"/>
  <c r="AI59" i="1"/>
  <c r="AI422" i="1"/>
  <c r="AJ422" i="1"/>
  <c r="AJ109" i="1"/>
  <c r="AI109" i="1"/>
  <c r="AJ548" i="1"/>
  <c r="AI548" i="1"/>
  <c r="AI464" i="1"/>
  <c r="AJ464" i="1"/>
  <c r="AJ393" i="1"/>
  <c r="AI393" i="1"/>
  <c r="AJ281" i="1"/>
  <c r="AI281" i="1"/>
  <c r="AI213" i="1"/>
  <c r="AJ213" i="1"/>
  <c r="AJ47" i="1"/>
  <c r="AI47" i="1"/>
  <c r="AJ309" i="1"/>
  <c r="AI309" i="1"/>
  <c r="AI488" i="1"/>
  <c r="AJ488" i="1"/>
  <c r="AJ396" i="1"/>
  <c r="AI396" i="1"/>
  <c r="AI540" i="1"/>
  <c r="AJ540" i="1"/>
  <c r="AJ390" i="1"/>
  <c r="AI390" i="1"/>
  <c r="AI142" i="1"/>
  <c r="AJ142" i="1"/>
  <c r="AJ231" i="1"/>
  <c r="AI231" i="1"/>
  <c r="AJ76" i="1"/>
  <c r="AI76" i="1"/>
  <c r="AJ387" i="1"/>
  <c r="AI387" i="1"/>
  <c r="AI342" i="1"/>
  <c r="AJ342" i="1"/>
  <c r="AJ63" i="1"/>
  <c r="AI63" i="1"/>
  <c r="AI425" i="1"/>
  <c r="AJ425" i="1"/>
  <c r="AJ61" i="1"/>
  <c r="AI61" i="1"/>
  <c r="AI207" i="1"/>
  <c r="AJ207" i="1"/>
  <c r="AJ60" i="1"/>
  <c r="AI60" i="1"/>
  <c r="AJ123" i="1"/>
  <c r="AI123" i="1"/>
  <c r="AI143" i="1"/>
  <c r="AJ143" i="1"/>
  <c r="AI574" i="1"/>
  <c r="AJ574" i="1"/>
  <c r="AJ455" i="1"/>
  <c r="AI455" i="1"/>
  <c r="AI565" i="1"/>
  <c r="AJ565" i="1"/>
  <c r="AI119" i="1"/>
  <c r="AJ119" i="1"/>
  <c r="AJ426" i="1"/>
  <c r="AI426" i="1"/>
  <c r="AI324" i="1"/>
  <c r="AJ324" i="1"/>
  <c r="AJ294" i="1"/>
  <c r="AI294" i="1"/>
  <c r="AJ56" i="1"/>
  <c r="AI56" i="1"/>
  <c r="AJ469" i="1"/>
  <c r="AI469" i="1"/>
  <c r="AJ369" i="1"/>
  <c r="AI369" i="1"/>
  <c r="AI310" i="1"/>
  <c r="AJ310" i="1"/>
  <c r="AJ224" i="1"/>
  <c r="AI224" i="1"/>
  <c r="AJ437" i="1"/>
  <c r="AI437" i="1"/>
  <c r="AI327" i="1"/>
  <c r="AJ327" i="1"/>
  <c r="AI593" i="1"/>
  <c r="AJ593" i="1"/>
  <c r="AJ292" i="1"/>
  <c r="AI292" i="1"/>
  <c r="AI602" i="1"/>
  <c r="AJ602" i="1"/>
  <c r="AJ216" i="1"/>
  <c r="AI216" i="1"/>
  <c r="AJ130" i="1"/>
  <c r="AI130" i="1"/>
  <c r="AI248" i="1"/>
  <c r="AJ248" i="1"/>
  <c r="AJ38" i="1"/>
  <c r="AI38" i="1"/>
  <c r="AJ434" i="1"/>
  <c r="AI434" i="1"/>
  <c r="AI149" i="1"/>
  <c r="AJ149" i="1"/>
  <c r="AI432" i="1"/>
  <c r="AJ432" i="1"/>
  <c r="AI450" i="1"/>
  <c r="AJ450" i="1"/>
  <c r="AI428" i="1"/>
  <c r="AJ428" i="1"/>
  <c r="AJ55" i="1"/>
  <c r="AI55" i="1"/>
  <c r="AJ603" i="1"/>
  <c r="AI603" i="1"/>
  <c r="AJ95" i="1"/>
  <c r="AI95" i="1"/>
  <c r="AI49" i="1"/>
  <c r="AJ49" i="1"/>
  <c r="AI445" i="1"/>
  <c r="AJ445" i="1"/>
  <c r="AJ543" i="1"/>
  <c r="AI543" i="1"/>
  <c r="AJ81" i="1"/>
  <c r="AI81" i="1"/>
  <c r="AI273" i="1"/>
  <c r="AJ273" i="1"/>
  <c r="AJ98" i="1"/>
  <c r="AI98" i="1"/>
  <c r="AJ524" i="1"/>
  <c r="AI524" i="1"/>
  <c r="AI449" i="1"/>
  <c r="AJ449" i="1"/>
  <c r="AJ240" i="1"/>
  <c r="AI240" i="1"/>
  <c r="AI87" i="1"/>
  <c r="AJ87" i="1"/>
  <c r="AJ300" i="1"/>
  <c r="AI300" i="1"/>
  <c r="AJ452" i="1"/>
  <c r="AI452" i="1"/>
  <c r="AI34" i="1"/>
  <c r="AJ34" i="1"/>
  <c r="AJ239" i="1"/>
  <c r="AI239" i="1"/>
  <c r="AI545" i="1"/>
  <c r="AJ545" i="1"/>
  <c r="AJ334" i="1"/>
  <c r="AI334" i="1"/>
  <c r="AJ68" i="1"/>
  <c r="AI68" i="1"/>
  <c r="AJ112" i="1"/>
  <c r="AI112" i="1"/>
  <c r="AJ332" i="1"/>
  <c r="AI332" i="1"/>
  <c r="AI451" i="1"/>
  <c r="AJ451" i="1"/>
  <c r="AI156" i="1"/>
  <c r="AJ156" i="1"/>
  <c r="AJ568" i="1"/>
  <c r="AI568" i="1"/>
  <c r="AJ20" i="1"/>
  <c r="AI20" i="1"/>
  <c r="AJ312" i="1"/>
  <c r="AI312" i="1"/>
  <c r="AJ177" i="1"/>
  <c r="AI177" i="1"/>
  <c r="AI82" i="1"/>
  <c r="AJ82" i="1"/>
  <c r="AJ164" i="1"/>
  <c r="AI164" i="1"/>
  <c r="AI227" i="1"/>
  <c r="AJ227" i="1"/>
  <c r="AI258" i="1"/>
  <c r="AJ258" i="1"/>
  <c r="AI225" i="1"/>
  <c r="AJ225" i="1"/>
  <c r="AJ65" i="1"/>
  <c r="AI65" i="1"/>
  <c r="AJ191" i="1"/>
  <c r="AI191" i="1"/>
  <c r="AJ57" i="1"/>
  <c r="AI57" i="1"/>
  <c r="AJ319" i="1"/>
  <c r="AI319" i="1"/>
  <c r="AI264" i="1"/>
  <c r="AJ264" i="1"/>
  <c r="AJ27" i="1"/>
  <c r="AI27" i="1"/>
  <c r="AJ75" i="1"/>
  <c r="AI75" i="1"/>
  <c r="AJ165" i="1"/>
  <c r="AI165" i="1"/>
  <c r="AI325" i="1"/>
  <c r="AJ325" i="1"/>
  <c r="AJ44" i="1"/>
  <c r="AI44" i="1"/>
  <c r="AJ341" i="1"/>
  <c r="AI341" i="1"/>
  <c r="AI101" i="1"/>
  <c r="AJ101" i="1"/>
  <c r="AI562" i="1"/>
  <c r="AJ562" i="1"/>
  <c r="AJ468" i="1"/>
  <c r="AI468" i="1"/>
  <c r="AI263" i="1"/>
  <c r="AJ263" i="1"/>
  <c r="AI160" i="1"/>
  <c r="AJ160" i="1"/>
  <c r="AJ567" i="1"/>
  <c r="AI567" i="1"/>
  <c r="AI91" i="1"/>
  <c r="AJ91" i="1"/>
  <c r="AJ233" i="1"/>
  <c r="AI233" i="1"/>
  <c r="J13" i="3"/>
  <c r="AJ416" i="1"/>
  <c r="AI416" i="1"/>
  <c r="AI152" i="1"/>
  <c r="AJ152" i="1"/>
  <c r="AJ563" i="1"/>
  <c r="AI563" i="1"/>
  <c r="AJ208" i="1"/>
  <c r="AI208" i="1"/>
  <c r="AI211" i="1"/>
  <c r="AJ211" i="1"/>
  <c r="AJ93" i="1"/>
  <c r="AI93" i="1"/>
  <c r="AJ219" i="1"/>
  <c r="AI219" i="1"/>
  <c r="AJ37" i="1"/>
  <c r="AI37" i="1"/>
  <c r="AJ314" i="1"/>
  <c r="AI314" i="1"/>
  <c r="AJ544" i="1"/>
  <c r="AI544" i="1"/>
  <c r="AJ24" i="1"/>
  <c r="AI24" i="1"/>
  <c r="AJ587" i="1"/>
  <c r="AI587" i="1"/>
  <c r="AJ286" i="1"/>
  <c r="AI286" i="1"/>
  <c r="AJ392" i="1"/>
  <c r="AI392" i="1"/>
  <c r="AJ538" i="1"/>
  <c r="AI538" i="1"/>
  <c r="AJ533" i="1"/>
  <c r="AI533" i="1"/>
  <c r="AJ50" i="1"/>
  <c r="AI50" i="1"/>
  <c r="AJ582" i="1"/>
  <c r="AI582" i="1"/>
  <c r="AJ78" i="1"/>
  <c r="AI78" i="1"/>
  <c r="AI132" i="1"/>
  <c r="AJ132" i="1"/>
  <c r="AI308" i="1"/>
  <c r="AJ308" i="1"/>
  <c r="AJ304" i="1"/>
  <c r="AI304" i="1"/>
  <c r="AJ583" i="1"/>
  <c r="AI583" i="1"/>
  <c r="AJ329" i="1"/>
  <c r="AI329" i="1"/>
  <c r="AJ189" i="1"/>
  <c r="AI189" i="1"/>
  <c r="AJ196" i="1"/>
  <c r="AI196" i="1"/>
  <c r="AJ169" i="1"/>
  <c r="AI169" i="1"/>
  <c r="AJ141" i="1"/>
  <c r="AI141" i="1"/>
  <c r="AJ306" i="1"/>
  <c r="AI306" i="1"/>
  <c r="AJ394" i="1"/>
  <c r="AI394" i="1"/>
  <c r="AI577" i="1"/>
  <c r="AJ577" i="1"/>
  <c r="AJ251" i="1"/>
  <c r="AI251" i="1"/>
  <c r="AJ411" i="1"/>
  <c r="AI411" i="1"/>
  <c r="AJ113" i="1"/>
  <c r="AI113" i="1"/>
  <c r="AI103" i="1"/>
  <c r="AJ103" i="1"/>
  <c r="AJ438" i="1"/>
  <c r="AI438" i="1"/>
  <c r="AI467" i="1"/>
  <c r="AJ467" i="1"/>
  <c r="AI272" i="1"/>
  <c r="AJ272" i="1"/>
  <c r="AI270" i="1"/>
  <c r="AJ270" i="1"/>
  <c r="AJ296" i="1"/>
  <c r="AI296" i="1"/>
  <c r="AJ170" i="1"/>
  <c r="AI170" i="1"/>
  <c r="AI79" i="1"/>
  <c r="AJ79" i="1"/>
  <c r="AI520" i="1"/>
  <c r="AJ520" i="1"/>
  <c r="AJ508" i="1"/>
  <c r="AI508" i="1"/>
  <c r="AI597" i="1"/>
  <c r="AJ597" i="1"/>
  <c r="AI353" i="1"/>
  <c r="AJ353" i="1"/>
  <c r="AI154" i="1"/>
  <c r="AJ154" i="1"/>
  <c r="AJ406" i="1"/>
  <c r="AI406" i="1"/>
  <c r="AJ218" i="1"/>
  <c r="AI218" i="1"/>
  <c r="AJ69" i="1"/>
  <c r="AI69" i="1"/>
  <c r="AJ458" i="1"/>
  <c r="AI458" i="1"/>
  <c r="AJ203" i="1"/>
  <c r="AI203" i="1"/>
  <c r="AI136" i="1"/>
  <c r="AJ136" i="1"/>
  <c r="AJ22" i="1"/>
  <c r="AI22" i="1"/>
  <c r="AI462" i="1"/>
  <c r="AJ462" i="1"/>
  <c r="AJ367" i="1"/>
  <c r="AI367" i="1"/>
  <c r="AJ399" i="1"/>
  <c r="AI399" i="1"/>
  <c r="AI313" i="1"/>
  <c r="AJ313" i="1"/>
  <c r="AJ26" i="1"/>
  <c r="AI26" i="1"/>
  <c r="AI162" i="1"/>
  <c r="AJ162" i="1"/>
  <c r="AI408" i="1"/>
  <c r="AJ408" i="1"/>
  <c r="AJ607" i="1"/>
  <c r="AI607" i="1"/>
  <c r="AI291" i="1"/>
  <c r="AJ291" i="1"/>
  <c r="AI84" i="1"/>
  <c r="AJ84" i="1"/>
  <c r="AJ420" i="1"/>
  <c r="AI420" i="1"/>
  <c r="AJ339" i="1"/>
  <c r="AI339" i="1"/>
  <c r="AJ541" i="1"/>
  <c r="AI541" i="1"/>
  <c r="AI161" i="1"/>
  <c r="AJ161" i="1"/>
  <c r="AI192" i="1"/>
  <c r="AJ192" i="1"/>
  <c r="AJ427" i="1"/>
  <c r="AI427" i="1"/>
  <c r="AI221" i="1"/>
  <c r="AJ221" i="1"/>
  <c r="AJ62" i="1"/>
  <c r="AI62" i="1"/>
  <c r="AJ153" i="1"/>
  <c r="AI153" i="1"/>
  <c r="AJ592" i="1"/>
  <c r="AI592" i="1"/>
  <c r="AJ111" i="1"/>
  <c r="AI111" i="1"/>
  <c r="AJ556" i="1"/>
  <c r="AI556" i="1"/>
  <c r="AI443" i="1"/>
  <c r="AJ443" i="1"/>
  <c r="AJ355" i="1"/>
  <c r="AI355" i="1"/>
  <c r="AJ407" i="1"/>
  <c r="AI407" i="1"/>
  <c r="AI182" i="1"/>
  <c r="AJ182" i="1"/>
  <c r="AI96" i="1"/>
  <c r="AJ96" i="1"/>
  <c r="AJ102" i="1"/>
  <c r="AI102" i="1"/>
  <c r="AJ206" i="1"/>
  <c r="AI206" i="1"/>
  <c r="AJ249" i="1"/>
  <c r="AI249" i="1"/>
  <c r="AJ250" i="1"/>
  <c r="AI250" i="1"/>
  <c r="AJ254" i="1"/>
  <c r="AI254" i="1"/>
  <c r="AI622" i="1"/>
  <c r="AJ622" i="1"/>
  <c r="AJ501" i="1"/>
  <c r="AI501" i="1"/>
  <c r="AJ176" i="1"/>
  <c r="AI176" i="1"/>
  <c r="AJ516" i="1"/>
  <c r="AI516" i="1"/>
  <c r="AI539" i="1"/>
  <c r="AJ539" i="1"/>
  <c r="AI373" i="1"/>
  <c r="AJ373" i="1"/>
  <c r="AI39" i="1"/>
  <c r="AJ39" i="1"/>
  <c r="AJ318" i="1"/>
  <c r="AI318" i="1"/>
  <c r="AI17" i="1"/>
  <c r="AJ17" i="1"/>
  <c r="AJ569" i="1"/>
  <c r="AI569" i="1"/>
  <c r="AJ58" i="1"/>
  <c r="AI58" i="1"/>
  <c r="AJ134" i="1"/>
  <c r="AI134" i="1"/>
  <c r="AJ557" i="1"/>
  <c r="AI557" i="1"/>
  <c r="AI537" i="1"/>
  <c r="AJ537" i="1"/>
  <c r="AJ126" i="1"/>
  <c r="AI126" i="1"/>
  <c r="AJ67" i="1"/>
  <c r="AI67" i="1"/>
  <c r="AI351" i="1"/>
  <c r="AJ351" i="1"/>
  <c r="AI617" i="1"/>
  <c r="AJ617" i="1"/>
  <c r="AI228" i="1"/>
  <c r="AJ228" i="1"/>
  <c r="AJ481" i="1"/>
  <c r="AI481" i="1"/>
  <c r="AJ382" i="1"/>
  <c r="AI382" i="1"/>
  <c r="AJ117" i="1"/>
  <c r="AI117" i="1"/>
  <c r="AJ502" i="1"/>
  <c r="AI502" i="1"/>
  <c r="AI336" i="1"/>
  <c r="AJ336" i="1"/>
  <c r="AJ320" i="1"/>
  <c r="AI320" i="1"/>
  <c r="AI579" i="1"/>
  <c r="AJ579" i="1"/>
  <c r="AJ530" i="1"/>
  <c r="AI530" i="1"/>
  <c r="AJ197" i="1"/>
  <c r="AI197" i="1"/>
  <c r="AJ612" i="1"/>
  <c r="AI612" i="1"/>
  <c r="AJ135" i="1"/>
  <c r="AI135" i="1"/>
  <c r="AI128" i="1"/>
  <c r="AJ128" i="1"/>
  <c r="AJ301" i="1"/>
  <c r="AI301" i="1"/>
  <c r="AJ317" i="1"/>
  <c r="AI317" i="1"/>
  <c r="AI66" i="1"/>
  <c r="AJ66" i="1"/>
  <c r="AI100" i="1"/>
  <c r="AJ100" i="1"/>
  <c r="AJ457" i="1"/>
  <c r="AI457" i="1"/>
  <c r="AI618" i="1"/>
  <c r="AJ618" i="1"/>
  <c r="AJ252" i="1"/>
  <c r="AI252" i="1"/>
  <c r="AJ150" i="1"/>
  <c r="AI150" i="1"/>
  <c r="AJ230" i="1"/>
  <c r="AI230" i="1"/>
  <c r="AJ244" i="1"/>
  <c r="AI244" i="1"/>
  <c r="AJ155" i="1"/>
  <c r="AI155" i="1"/>
  <c r="AJ146" i="1"/>
  <c r="AI146" i="1"/>
  <c r="AI566" i="1"/>
  <c r="AJ566" i="1"/>
  <c r="AJ350" i="1"/>
  <c r="AI350" i="1"/>
  <c r="AJ402" i="1"/>
  <c r="AI402" i="1"/>
  <c r="AJ621" i="1"/>
  <c r="AI621" i="1"/>
  <c r="AJ107" i="1"/>
  <c r="AI107" i="1"/>
  <c r="AJ619" i="1"/>
  <c r="AI619" i="1"/>
  <c r="AJ105" i="1"/>
  <c r="AI105" i="1"/>
  <c r="AJ287" i="1"/>
  <c r="AI287" i="1"/>
  <c r="AI260" i="1"/>
  <c r="AJ260" i="1"/>
  <c r="AJ187" i="1"/>
  <c r="AI187" i="1"/>
  <c r="AJ477" i="1"/>
  <c r="AI477" i="1"/>
  <c r="AI241" i="1"/>
  <c r="AJ241" i="1"/>
  <c r="AJ444" i="1"/>
  <c r="AI444" i="1"/>
  <c r="AJ466" i="1"/>
  <c r="AI466" i="1"/>
  <c r="AI299" i="1"/>
  <c r="AJ299" i="1"/>
  <c r="AJ354" i="1"/>
  <c r="AI354" i="1"/>
  <c r="AI573" i="1"/>
  <c r="AJ573" i="1"/>
  <c r="AJ397" i="1"/>
  <c r="AI397" i="1"/>
  <c r="AJ581" i="1"/>
  <c r="AI581" i="1"/>
  <c r="AI173" i="1"/>
  <c r="AJ173" i="1"/>
  <c r="AI330" i="1"/>
  <c r="AJ330" i="1"/>
  <c r="AI202" i="1"/>
  <c r="AJ202" i="1"/>
  <c r="AI512" i="1"/>
  <c r="AJ512" i="1"/>
  <c r="AI80" i="1"/>
  <c r="AJ80" i="1"/>
  <c r="J37" i="3"/>
  <c r="AI572" i="1"/>
  <c r="AJ572" i="1"/>
  <c r="AJ356" i="1"/>
  <c r="AI356" i="1"/>
  <c r="AI552" i="1"/>
  <c r="AJ552" i="1"/>
  <c r="AJ358" i="1"/>
  <c r="AI358" i="1"/>
  <c r="AJ570" i="1"/>
  <c r="AI570" i="1"/>
  <c r="AI474" i="1"/>
  <c r="AJ474" i="1"/>
  <c r="AJ542" i="1"/>
  <c r="AI542" i="1"/>
  <c r="AI489" i="1"/>
  <c r="AJ489" i="1"/>
  <c r="AJ92" i="1"/>
  <c r="AI92" i="1"/>
  <c r="AI456" i="1"/>
  <c r="AJ456" i="1"/>
  <c r="AJ551" i="1"/>
  <c r="AI551" i="1"/>
  <c r="AI243" i="1"/>
  <c r="AJ243" i="1"/>
  <c r="AJ575" i="1"/>
  <c r="AI575" i="1"/>
  <c r="AI268" i="1"/>
  <c r="AJ268" i="1"/>
  <c r="AJ323" i="1"/>
  <c r="AI323" i="1"/>
  <c r="AJ461" i="1"/>
  <c r="AI461" i="1"/>
  <c r="AJ25" i="1"/>
  <c r="AI25" i="1"/>
  <c r="AI180" i="1"/>
  <c r="AJ180" i="1"/>
  <c r="AJ236" i="1"/>
  <c r="AI236" i="1"/>
  <c r="AJ48" i="1"/>
  <c r="AI48" i="1"/>
  <c r="AJ410" i="1"/>
  <c r="AI410" i="1"/>
  <c r="AJ528" i="1"/>
  <c r="AI528" i="1"/>
  <c r="AI32" i="1"/>
  <c r="AJ32" i="1"/>
  <c r="AJ523" i="1"/>
  <c r="AI523" i="1"/>
  <c r="AJ415" i="1"/>
  <c r="AI415" i="1"/>
  <c r="AJ395" i="1"/>
  <c r="AI395" i="1"/>
  <c r="AJ246" i="1"/>
  <c r="AI246" i="1"/>
  <c r="AJ495" i="1"/>
  <c r="AI495" i="1"/>
  <c r="AI205" i="1"/>
  <c r="AJ205" i="1"/>
  <c r="I63" i="3"/>
  <c r="I60" i="3"/>
  <c r="I62" i="3"/>
  <c r="AJ201" i="1"/>
  <c r="AI201" i="1"/>
  <c r="AI465" i="1"/>
  <c r="AJ465" i="1"/>
  <c r="AJ194" i="1"/>
  <c r="AI194" i="1"/>
  <c r="AI346" i="1"/>
  <c r="AJ346" i="1"/>
  <c r="AJ212" i="1"/>
  <c r="AI212" i="1"/>
  <c r="AJ484" i="1"/>
  <c r="AI484" i="1"/>
  <c r="AI591" i="1"/>
  <c r="AJ591" i="1"/>
  <c r="AJ519" i="1"/>
  <c r="AI519" i="1"/>
  <c r="AJ293" i="1"/>
  <c r="AI293" i="1"/>
  <c r="AJ321" i="1"/>
  <c r="AI321" i="1"/>
  <c r="AJ613" i="1"/>
  <c r="AI613" i="1"/>
  <c r="AJ172" i="1"/>
  <c r="AI172" i="1"/>
  <c r="AJ398" i="1"/>
  <c r="AI398" i="1"/>
  <c r="AI210" i="1"/>
  <c r="AJ210" i="1"/>
  <c r="AJ359" i="1"/>
  <c r="AI359" i="1"/>
  <c r="AI121" i="1"/>
  <c r="AJ121" i="1"/>
  <c r="AI365" i="1"/>
  <c r="AJ365" i="1"/>
  <c r="AJ204" i="1"/>
  <c r="AI204" i="1"/>
  <c r="AJ534" i="1"/>
  <c r="AI534" i="1"/>
  <c r="AI245" i="1"/>
  <c r="AJ245" i="1"/>
  <c r="AJ333" i="1"/>
  <c r="AI333" i="1"/>
  <c r="AJ289" i="1"/>
  <c r="AI289" i="1"/>
  <c r="AI295" i="1"/>
  <c r="AJ295" i="1"/>
  <c r="AI348" i="1"/>
  <c r="AJ348" i="1"/>
  <c r="AI509" i="1"/>
  <c r="AJ509" i="1"/>
  <c r="AJ584" i="1"/>
  <c r="AI584" i="1"/>
  <c r="AJ209" i="1"/>
  <c r="AI209" i="1"/>
  <c r="AI384" i="1"/>
  <c r="AJ384" i="1"/>
  <c r="AJ364" i="1"/>
  <c r="AI364" i="1"/>
  <c r="AJ383" i="1"/>
  <c r="AI383" i="1"/>
  <c r="AJ166" i="1"/>
  <c r="AI166" i="1"/>
  <c r="AJ531" i="1"/>
  <c r="AI531" i="1"/>
  <c r="AJ550" i="1"/>
  <c r="AI550" i="1"/>
  <c r="AJ85" i="1"/>
  <c r="AI85" i="1"/>
  <c r="AJ352" i="1"/>
  <c r="AI352" i="1"/>
  <c r="AJ242" i="1"/>
  <c r="AI242" i="1"/>
  <c r="AI185" i="1"/>
  <c r="AJ185" i="1"/>
  <c r="AJ275" i="1"/>
  <c r="AI275" i="1"/>
  <c r="AJ298" i="1"/>
  <c r="AI298" i="1"/>
  <c r="AI226" i="1"/>
  <c r="AJ226" i="1"/>
  <c r="AI601" i="1"/>
  <c r="AJ601" i="1"/>
  <c r="AJ97" i="1"/>
  <c r="AI97" i="1"/>
  <c r="AI361" i="1"/>
  <c r="AJ361" i="1"/>
  <c r="AJ518" i="1"/>
  <c r="AI518" i="1"/>
  <c r="AI278" i="1"/>
  <c r="AJ278" i="1"/>
  <c r="AJ403" i="1"/>
  <c r="AI403" i="1"/>
  <c r="AJ381" i="1"/>
  <c r="AI381" i="1"/>
  <c r="AJ514" i="1"/>
  <c r="AI514" i="1"/>
  <c r="AI159" i="1"/>
  <c r="AJ159" i="1"/>
  <c r="AJ229" i="1"/>
  <c r="AI229" i="1"/>
  <c r="AJ238" i="1"/>
  <c r="AI238" i="1"/>
  <c r="AJ480" i="1"/>
  <c r="AI480" i="1"/>
  <c r="AJ302" i="1"/>
  <c r="AI302" i="1"/>
  <c r="AJ460" i="1"/>
  <c r="AI460" i="1"/>
  <c r="AJ73" i="1"/>
  <c r="AI73" i="1"/>
  <c r="J31" i="3"/>
  <c r="AI430" i="1"/>
  <c r="AJ430" i="1"/>
  <c r="AI345" i="1"/>
  <c r="AJ345" i="1"/>
  <c r="AJ596" i="1"/>
  <c r="AI596" i="1"/>
  <c r="AJ620" i="1"/>
  <c r="AI620" i="1"/>
  <c r="AJ88" i="1"/>
  <c r="AI88" i="1"/>
  <c r="AJ283" i="1"/>
  <c r="AI283" i="1"/>
  <c r="AJ15" i="1"/>
  <c r="AI15" i="1"/>
  <c r="AI498" i="1"/>
  <c r="AJ498" i="1"/>
  <c r="AJ297" i="1"/>
  <c r="AI297" i="1"/>
  <c r="AJ232" i="1"/>
  <c r="AI232" i="1"/>
  <c r="AJ507" i="1"/>
  <c r="AI507" i="1"/>
  <c r="AJ500" i="1"/>
  <c r="AI500" i="1"/>
  <c r="AJ529" i="1"/>
  <c r="AI529" i="1"/>
  <c r="AJ86" i="1"/>
  <c r="AI86" i="1"/>
  <c r="AI555" i="1"/>
  <c r="AJ555" i="1"/>
  <c r="AI532" i="1"/>
  <c r="AJ532" i="1"/>
  <c r="AI269" i="1"/>
  <c r="AJ269" i="1"/>
  <c r="AJ589" i="1"/>
  <c r="AI589" i="1"/>
  <c r="AJ31" i="1"/>
  <c r="AI31" i="1"/>
  <c r="AJ303" i="1"/>
  <c r="AI303" i="1"/>
  <c r="AJ74" i="1"/>
  <c r="AI74" i="1"/>
  <c r="AI525" i="1"/>
  <c r="AJ525" i="1"/>
  <c r="AJ217" i="1"/>
  <c r="AI217" i="1"/>
  <c r="AJ561" i="1"/>
  <c r="AI561" i="1"/>
  <c r="AI349" i="1"/>
  <c r="AJ349" i="1"/>
  <c r="AJ276" i="1"/>
  <c r="AI276" i="1"/>
  <c r="AI401" i="1"/>
  <c r="AJ401" i="1"/>
  <c r="AI436" i="1"/>
  <c r="AJ436" i="1"/>
  <c r="AI77" i="1"/>
  <c r="AJ77" i="1"/>
  <c r="AJ564" i="1"/>
  <c r="AI564" i="1"/>
  <c r="AI470" i="1"/>
  <c r="AJ470" i="1"/>
  <c r="AI188" i="1"/>
  <c r="AJ188" i="1"/>
  <c r="AJ19" i="1"/>
  <c r="AI19" i="1"/>
  <c r="AI505" i="1"/>
  <c r="AJ505" i="1"/>
  <c r="AI215" i="1"/>
  <c r="AJ215" i="1"/>
  <c r="AI338" i="1"/>
  <c r="AJ338" i="1"/>
  <c r="AI116" i="1"/>
  <c r="AJ116" i="1"/>
  <c r="AJ99" i="1"/>
  <c r="AI99" i="1"/>
  <c r="AJ279" i="1"/>
  <c r="AI279" i="1"/>
  <c r="AI412" i="1"/>
  <c r="AJ412" i="1"/>
  <c r="AJ605" i="1"/>
  <c r="AI605" i="1"/>
  <c r="AJ580" i="1"/>
  <c r="AI580" i="1"/>
  <c r="AI599" i="1"/>
  <c r="AJ599" i="1"/>
  <c r="AJ71" i="1"/>
  <c r="AI71" i="1"/>
  <c r="AJ400" i="1"/>
  <c r="AI400" i="1"/>
  <c r="AJ193" i="1"/>
  <c r="AI193" i="1"/>
  <c r="AI40" i="1"/>
  <c r="AJ40" i="1"/>
  <c r="AI129" i="1"/>
  <c r="AJ129" i="1"/>
  <c r="AJ558" i="1"/>
  <c r="AI558" i="1"/>
  <c r="AJ190" i="1"/>
  <c r="AI190" i="1"/>
  <c r="AJ404" i="1"/>
  <c r="AI404" i="1"/>
  <c r="AI419" i="1"/>
  <c r="AJ419" i="1"/>
  <c r="AJ305" i="1"/>
  <c r="AI305" i="1"/>
  <c r="AJ606" i="1"/>
  <c r="AI606" i="1"/>
  <c r="AJ167" i="1"/>
  <c r="AI167" i="1"/>
  <c r="AI473" i="1"/>
  <c r="AJ473" i="1"/>
  <c r="AJ376" i="1"/>
  <c r="AI376" i="1"/>
  <c r="AJ259" i="1"/>
  <c r="AI259" i="1"/>
  <c r="H64" i="3" l="1"/>
  <c r="H66" i="3" s="1"/>
  <c r="I64" i="3"/>
  <c r="I66" i="3" s="1"/>
  <c r="R630" i="1"/>
  <c r="J59" i="3"/>
  <c r="J1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<sst xmlns="http://schemas.openxmlformats.org/spreadsheetml/2006/main" count="3170" uniqueCount="644">
  <si>
    <t>BUDGETARY COST BREAKDOWN</t>
  </si>
  <si>
    <t xml:space="preserve">Bid Price  Proposal with Bid Summary, BCB and  Built-Up Rates </t>
  </si>
  <si>
    <t xml:space="preserve">Project: </t>
  </si>
  <si>
    <t>4PH QCITIZEN HOMES NIA ROAD RENTAL HOUSING PROJECT</t>
  </si>
  <si>
    <t>CFA (m2) :</t>
  </si>
  <si>
    <t>per Bldg</t>
  </si>
  <si>
    <t xml:space="preserve">Start Date: </t>
  </si>
  <si>
    <t xml:space="preserve">Location: </t>
  </si>
  <si>
    <t>Nia Road, Brgy. Pinyahan, Quezon City</t>
  </si>
  <si>
    <t>Unit Area (m2):</t>
  </si>
  <si>
    <t>per unit</t>
  </si>
  <si>
    <t xml:space="preserve">Finish Date: </t>
  </si>
  <si>
    <t xml:space="preserve">Package: </t>
  </si>
  <si>
    <t>Complete Design &amp; Build of CSA and MEPF Works</t>
  </si>
  <si>
    <t># of Units :</t>
  </si>
  <si>
    <t xml:space="preserve">New Finish Date: </t>
  </si>
  <si>
    <t># of Bldgs :</t>
  </si>
  <si>
    <t>L1</t>
  </si>
  <si>
    <t>L2</t>
  </si>
  <si>
    <t>L3</t>
  </si>
  <si>
    <t>ITEM</t>
  </si>
  <si>
    <t>Quantity</t>
  </si>
  <si>
    <t>UoM</t>
  </si>
  <si>
    <t>Material Rate</t>
  </si>
  <si>
    <t>Material Cost</t>
  </si>
  <si>
    <t>Labor Rate</t>
  </si>
  <si>
    <t>Labor Cost</t>
  </si>
  <si>
    <t>Services Rate</t>
  </si>
  <si>
    <t>Services Cost</t>
  </si>
  <si>
    <t>Total Cost</t>
  </si>
  <si>
    <t>% WT</t>
  </si>
  <si>
    <t>Cost Per CFA</t>
  </si>
  <si>
    <t>Cost Per Unit</t>
  </si>
  <si>
    <t>REMARKS</t>
  </si>
  <si>
    <t>GRAND TOTAL</t>
  </si>
  <si>
    <t>lot</t>
  </si>
  <si>
    <t>L0#</t>
  </si>
  <si>
    <t>L0</t>
  </si>
  <si>
    <t>L4</t>
  </si>
  <si>
    <t>L5</t>
  </si>
  <si>
    <t>L0,L3,L4,L5</t>
  </si>
  <si>
    <t>Desc</t>
  </si>
  <si>
    <t>1.0</t>
  </si>
  <si>
    <t>GENERAL REQUIREMENTS</t>
  </si>
  <si>
    <t xml:space="preserve"> </t>
  </si>
  <si>
    <t>Mobilization/Demobilization</t>
  </si>
  <si>
    <t>Temp. Facil. - Site Devt., Offices &amp; Utilities</t>
  </si>
  <si>
    <t>Temp. Facil. - Utilities  installed in Bldg</t>
  </si>
  <si>
    <t>Office Equip &amp; Supplies</t>
  </si>
  <si>
    <t>Site Management Organization (HR) (No. of Staffs)</t>
  </si>
  <si>
    <t>Support Crew -Admin workers</t>
  </si>
  <si>
    <t>Utilities (Power/ Water/ Comm)</t>
  </si>
  <si>
    <t>Security Services</t>
  </si>
  <si>
    <t>Housekeeping &amp; Sanitation Services</t>
  </si>
  <si>
    <t>Support Equipment</t>
  </si>
  <si>
    <t>Fuel and Oil</t>
  </si>
  <si>
    <t xml:space="preserve">Safety Provisions, Safety Measures and First Aid Support </t>
  </si>
  <si>
    <t>Drawing Services</t>
  </si>
  <si>
    <t>Bonds, Insurances &amp; Permits</t>
  </si>
  <si>
    <t>Material Testing</t>
  </si>
  <si>
    <t>Property Damage</t>
  </si>
  <si>
    <t>Project, Owner and Consultant Details</t>
  </si>
  <si>
    <t>2.0</t>
  </si>
  <si>
    <t>STRUCTURAL</t>
  </si>
  <si>
    <t>Siteworks</t>
  </si>
  <si>
    <t>Excavation Works</t>
  </si>
  <si>
    <t>m3</t>
  </si>
  <si>
    <t>Backfilling and Compaction</t>
  </si>
  <si>
    <t>Haul-out of Excavated Soil</t>
  </si>
  <si>
    <t>Gravel Bedding</t>
  </si>
  <si>
    <t>Trimming Works</t>
  </si>
  <si>
    <t>m2</t>
  </si>
  <si>
    <t>Soil Poisoning</t>
  </si>
  <si>
    <t>Rebar (Grade 80)</t>
  </si>
  <si>
    <t>Mat Footing</t>
  </si>
  <si>
    <t>kgs</t>
  </si>
  <si>
    <t>Domestic Water Tank (Wall)</t>
  </si>
  <si>
    <t>Footing Tie Beam</t>
  </si>
  <si>
    <t>Slab on Grade</t>
  </si>
  <si>
    <t xml:space="preserve">Shearwall </t>
  </si>
  <si>
    <t>Gravity Wall</t>
  </si>
  <si>
    <t>Beams &amp; Girder</t>
  </si>
  <si>
    <t>Suspended Slab</t>
  </si>
  <si>
    <t>Flat Slab</t>
  </si>
  <si>
    <t>Column</t>
  </si>
  <si>
    <t>Elevator Pit Wall</t>
  </si>
  <si>
    <t>Stairs</t>
  </si>
  <si>
    <t>Canopy</t>
  </si>
  <si>
    <t>Rebar Consumables</t>
  </si>
  <si>
    <t>Rebar Coupler. 25mmØ</t>
  </si>
  <si>
    <t>pcs</t>
  </si>
  <si>
    <t>SS Mortar</t>
  </si>
  <si>
    <t>bags</t>
  </si>
  <si>
    <t>Formworks</t>
  </si>
  <si>
    <t>Formworks Consumables</t>
  </si>
  <si>
    <t>Concrete</t>
  </si>
  <si>
    <t>Mat Footing. 6000 psi</t>
  </si>
  <si>
    <t>Domestic Water Tank (Wall). 8000 psi</t>
  </si>
  <si>
    <t>Footing Tie Beam. 6000 psi</t>
  </si>
  <si>
    <t>Slab on Grade. 3000 psi</t>
  </si>
  <si>
    <t>Shearwall. 8000 psi</t>
  </si>
  <si>
    <t>Gravity Wall. 6000 psi</t>
  </si>
  <si>
    <t>Beams &amp; Girder. 6000 psi</t>
  </si>
  <si>
    <t>Suspended Slab. 6000 psi</t>
  </si>
  <si>
    <t>Flat Slab. 6000 psi</t>
  </si>
  <si>
    <t>Column. 6000 psi</t>
  </si>
  <si>
    <t>Elevator Pit Wall. 6000 psi</t>
  </si>
  <si>
    <t>Stairs. 6000 psi</t>
  </si>
  <si>
    <t>Canopy. 6000 psi</t>
  </si>
  <si>
    <t>Concrete Consumables</t>
  </si>
  <si>
    <t>Concrete Placing (Smooth)</t>
  </si>
  <si>
    <t>Concrete Placing (Rough)</t>
  </si>
  <si>
    <t>Concrete Pump Setup. Rental</t>
  </si>
  <si>
    <t>3.0</t>
  </si>
  <si>
    <t>ARCHITECTURAL</t>
  </si>
  <si>
    <t>Masonry Works</t>
  </si>
  <si>
    <t>Exterior Wall. Precast Wall Panel. 120mm thk</t>
  </si>
  <si>
    <t>Interior Wall. Precast Wall Panel. 100mm thk</t>
  </si>
  <si>
    <t>CHB Wall. 100mm thk including mortar and lintel</t>
  </si>
  <si>
    <t>AAC Wall. 100mm thk including mortar and lintel</t>
  </si>
  <si>
    <t>Cement Plaster. CHB Wall</t>
  </si>
  <si>
    <t>Sealant Works. Exterior Wall / Exterior side of Bldg</t>
  </si>
  <si>
    <t>lm</t>
  </si>
  <si>
    <t>Sealant Works. Interior Wall</t>
  </si>
  <si>
    <t>Sealant Works. Door Sealant (3 Corner sides)</t>
  </si>
  <si>
    <t>Skimcoating Works. Exterior Walls</t>
  </si>
  <si>
    <t>Skimcoating Works. Interior Walls</t>
  </si>
  <si>
    <t>Skimcoating Works. Underslab</t>
  </si>
  <si>
    <t>Plain Cement Straight to Finish</t>
  </si>
  <si>
    <t>Plain Cement Straight to Finish. Epoxy Painted Finish</t>
  </si>
  <si>
    <t>Plain Cement In Non-Slip Finish with Concrete Hardener and Driveway Markings</t>
  </si>
  <si>
    <t>Plain Cement Concrete, Smooth Finish Concrete Topping with Epoxy Coating</t>
  </si>
  <si>
    <t>Rough Concrete Finish with 12mm U-Groove @ 100mm o.c.</t>
  </si>
  <si>
    <t>Rough Concrete Finish</t>
  </si>
  <si>
    <t>Concrete Polish (Dust Proof)</t>
  </si>
  <si>
    <t>Concrete Polish</t>
  </si>
  <si>
    <t>Rubbed Concrete on Exposed Soffit</t>
  </si>
  <si>
    <t>Concrete Topping. 25mm thk</t>
  </si>
  <si>
    <t>Masonry Concrete. Cast in Place Items. Concrete Zocalo</t>
  </si>
  <si>
    <t>Masonry Concrete. Catch Basin</t>
  </si>
  <si>
    <t>set/s</t>
  </si>
  <si>
    <t>Tiling Works</t>
  </si>
  <si>
    <t>Ceramic Floor Tiles. 600mm x 600mm. Matte Finish</t>
  </si>
  <si>
    <t>Ceramic Floor Tiles. 300mm x 300mm</t>
  </si>
  <si>
    <t>Ceramic Wall Tiles. 300mm x 300mm</t>
  </si>
  <si>
    <t>Tileworks Consumables</t>
  </si>
  <si>
    <t>Drywall &amp; Ceiling</t>
  </si>
  <si>
    <t>Drywall Partition. 12mm thk Gypsum Board - By Tenant</t>
  </si>
  <si>
    <t>Thermal &amp; Moisture Protection</t>
  </si>
  <si>
    <t>Hydrophobic Pore Blocking Ingredient (HPI) Integral Waterproofing (with Vapor Barrier)</t>
  </si>
  <si>
    <t>Flexible Cementitious Waterproofing with Topping/Tiles</t>
  </si>
  <si>
    <t>Polyurethane Waterproofing. Exposed Type</t>
  </si>
  <si>
    <t>Non Toxic Food Grade, Two Component Epoxy Tank Lining</t>
  </si>
  <si>
    <t>Bentonite Strip Water Stopper</t>
  </si>
  <si>
    <t>Damp proofing vapor barrier</t>
  </si>
  <si>
    <t>Crystalline Capillary Waterproofing w/ damp proofing vapor barrier</t>
  </si>
  <si>
    <t>Polyethylene Sheet. Vapor Barrier</t>
  </si>
  <si>
    <t>Doors and Jamb</t>
  </si>
  <si>
    <t>Unit Main Door. HDF Semi-Solid Core Swing Door. 900mmW x 2100mmH. D1</t>
  </si>
  <si>
    <t>Unit T&amp;B Door. PVC Door with Louver. 700mmW x 2100mmH. D2</t>
  </si>
  <si>
    <t>Unit Balcony Door. HDF Semi-Solid Core Swing Door. 900mmW x 2100mmH. D1A</t>
  </si>
  <si>
    <t>Fire Exit Door. Fire Rated Galvanized Steel Door. 900mmW x 2100mmH. D3</t>
  </si>
  <si>
    <t>FCC/Storage Door. Galvanized Steel Door. 900mmW x 2100mmH. D4</t>
  </si>
  <si>
    <t>Utility Room Door. Galvanized Steel Door, Full Louvered Inverted Z Louver Blade. 900mmW x 2100mmH. D5</t>
  </si>
  <si>
    <t>Genset Door. Galvanized Steel Door, Full Louvered Storm Louver. 3000mmW x 2100mmH. D6</t>
  </si>
  <si>
    <t>TVR Door. Galvanized Steel Door, Full Louvered Storm Louver. 2000mmW x 2100mmH. D6A</t>
  </si>
  <si>
    <t>Pipe Chase Door. Ficem Board Door. 800mmW x 600mmH. PC1</t>
  </si>
  <si>
    <t>Pipe Chase Door. Ficem Board Door. 680mmW x 600mmH. PC2</t>
  </si>
  <si>
    <t>Hardwares</t>
  </si>
  <si>
    <t>Hinges. 3-4"x4"x3mm x 4BB S/S Hinges</t>
  </si>
  <si>
    <t>Hinges. Piano Hinge</t>
  </si>
  <si>
    <t>Rim Fire Exit Device</t>
  </si>
  <si>
    <t>Tri Pack Door Closer</t>
  </si>
  <si>
    <t>Flush Type Door Handle Lockset</t>
  </si>
  <si>
    <t>Cylindrical Lever Lockset, Storeroom Function, Grade 2, Satin Chrome Finish</t>
  </si>
  <si>
    <t>Cylindrical Lever Lockset, Entrance Function, Grade 2, Satin Chrome Finish</t>
  </si>
  <si>
    <t>Lever Type Lockset, Entrance Function Grade 2, UL Listed Satin Chrome Finish</t>
  </si>
  <si>
    <t>Concealed Door Closer</t>
  </si>
  <si>
    <t>Privacy Function, Thumbturn Inside , Emergency Quick Release Outside, Cylindrical Lever Lockset, Grade 2</t>
  </si>
  <si>
    <t>Camlock (Keyed Type) w/ S.S Automatic Rebound Latch</t>
  </si>
  <si>
    <t>Camlock (Keyed Type)</t>
  </si>
  <si>
    <t>S.S Cylindrical Cupboard Knob (Satin Brushed Fin.)</t>
  </si>
  <si>
    <t>Metal Works</t>
  </si>
  <si>
    <t>Railings. Floor Mounted. 38 mm dia. G.I Pipe Handrail, 25mm dia Solid Round Bar Diagonal Support, 25mm dia Flat bar Vertical Support, Painted at Fire Exit</t>
  </si>
  <si>
    <t>Railings. Wall Mounted. 38 mm dia. G.I Pipe Handrail, 25mm dia Solid Round Bar Diagonal Support, 25mm dia Flat bar Vertical Support, Painted at Fire Exit</t>
  </si>
  <si>
    <t>Balcony Railings. Floor Mounted</t>
  </si>
  <si>
    <t>ACU Metal Ledge. 75mm Thk x 0.6mW  x 1.5mL (Drip Pan)</t>
  </si>
  <si>
    <t>Ladder Rung. 20mmØ Stainless Steel Ladder Rung (Type to 2 No.)</t>
  </si>
  <si>
    <t>pc/s</t>
  </si>
  <si>
    <t>Ladder Rung. 16mmØ Hot Dipped Galvanized Round Bar spaced @ 300mm, Painted</t>
  </si>
  <si>
    <t>Manhole Cover. 600mm x 600mm (Type to 2 No.)</t>
  </si>
  <si>
    <t>Elevator Separator Beam (No detail)</t>
  </si>
  <si>
    <t>Painting Works</t>
  </si>
  <si>
    <t xml:space="preserve">Exterior Wall. Elastomeric Paint Finish </t>
  </si>
  <si>
    <t>Interior Wall. Latex Paint Finish (1 Coat,with Prime)</t>
  </si>
  <si>
    <t>Interior Ceiling Paint. Latex Paint Finish (1 Coat, with Primer)</t>
  </si>
  <si>
    <t>Epoxy Paint. Epoxy Primer Lacquer Paint Finish at Railings</t>
  </si>
  <si>
    <t>Aluminum Glass &amp; Glazing Works</t>
  </si>
  <si>
    <t>Unit Balcony. Aluminum Clear Glass Door. Powder Coated Finish. 900mmW x 2100mmH.</t>
  </si>
  <si>
    <t>Unit Bedroom. Aluminum Framed Fixed and Awning Window. 6-8mm thk Tempered Glass. Powder Coated Finish. 1600mmW x 1500mmH</t>
  </si>
  <si>
    <t>Elevator Lobby. Aluminum Framed Fixed Open Awning Window. 6-8mm thk Tempered Glass. Powder Coated Finish. 2700mmW x 1500mmH</t>
  </si>
  <si>
    <t>Cabinetry</t>
  </si>
  <si>
    <t>Kitchen Counter. Precast Concrete Countertop with 30mm x 600mm Tiles and 1-layer splashboard</t>
  </si>
  <si>
    <t>Specialties</t>
  </si>
  <si>
    <t>Painted Room Number</t>
  </si>
  <si>
    <t xml:space="preserve">Plumbing Fixtures </t>
  </si>
  <si>
    <t xml:space="preserve">Floor Mounted, Wall Discharge Water Closet with tank, 1 piece (Square-ish design) </t>
  </si>
  <si>
    <t>Wall Hung Lavatory (Square-ish design) with complete accessories</t>
  </si>
  <si>
    <t>Single Lever, Single line Faucet SS satin or Chrome Finish</t>
  </si>
  <si>
    <t>Stainless steel, handheld telephone-type shower head with shower bar</t>
  </si>
  <si>
    <t>Spray Bidet, Stainless Steel Satin or Chrome finish - By Tenant</t>
  </si>
  <si>
    <t>Toilet Paper Holder, Stainless Steel Satin or Chrome finish</t>
  </si>
  <si>
    <t>Soapholder, Stainless Steel Satin or Chrome finish</t>
  </si>
  <si>
    <t>Kitchen Sink w/ Faucet and accessories</t>
  </si>
  <si>
    <t>4.0</t>
  </si>
  <si>
    <t>MECHANICAL</t>
  </si>
  <si>
    <t>Air Conditioning</t>
  </si>
  <si>
    <t xml:space="preserve">FCU/ACCU- GF-FCC 1.0TR, 1.5HP, 230V/1PH/60HZ Split Type Wall Mounted </t>
  </si>
  <si>
    <t>FCU/ACCU- GF-TEL 0.8TR, 1.0HP, 230V/1PH/60HZ Split Type Wall Mounted - By Telco Provider</t>
  </si>
  <si>
    <t>WACU-1, 1.2TR, 1.5HP, 230V/1PH/60HZ Window Type - By Tenant</t>
  </si>
  <si>
    <t>Ventilation Fan</t>
  </si>
  <si>
    <t>EF-GF-MRF, 250CFM, 230V/1PH/60HZ, Wall Mounted Propeller</t>
  </si>
  <si>
    <t>EF-GF-STO, 250CFM, 230V/1PH/60HZ, Wall Mounted Propeller</t>
  </si>
  <si>
    <t>EF-GF-PMP, 550CFM, 230V/1PH/60HZ, Wall Mounted Propeller</t>
  </si>
  <si>
    <t>EF-GF-GEN, 1,300CFM, 230V/1PH/60HZ, Wall Mounted Propeller</t>
  </si>
  <si>
    <t>EF-GF-TVR, 2,750CFM, 230V/1PH/60HZ, Tube Axial</t>
  </si>
  <si>
    <t>TEF-1, 50CFM, 230V/1PH/60HZ, Wall Mounted Ducted - By Tenant</t>
  </si>
  <si>
    <t>RH-1, 200CFM, 230V/1PH/60HZ Ducted Rangehood - By Tenant</t>
  </si>
  <si>
    <t>SPF-1/2-DOSW, 15,000CFM, 400V/3PH/60HZ, Centrifugal Floor Mount</t>
  </si>
  <si>
    <t>EPF-DOEL, 9,800CFM, 400V/3PH/60HZ, Centrifugal Floor Mount</t>
  </si>
  <si>
    <t>EP-GF-ES, 3,300CFM, 230V/1PH/60HZ, Wall Mounted Propeller</t>
  </si>
  <si>
    <t>Ducting Works</t>
  </si>
  <si>
    <t>600mmx350mm EAD - GI Sheet Gauge 22</t>
  </si>
  <si>
    <t>Equipment &amp; Accessories</t>
  </si>
  <si>
    <t>Slave Thermostat</t>
  </si>
  <si>
    <t>Master Thermostat</t>
  </si>
  <si>
    <t>Refrigerant Pipe Works</t>
  </si>
  <si>
    <t>Refrigerant Pipe, fittings and Insulation</t>
  </si>
  <si>
    <t>3/8" Copper Pipe Type L, with fittings/insulation</t>
  </si>
  <si>
    <t>1/4" Copper Pipe Type L, with fittings/insulation</t>
  </si>
  <si>
    <t>Electrical Works</t>
  </si>
  <si>
    <t>ECB</t>
  </si>
  <si>
    <t>assy</t>
  </si>
  <si>
    <t xml:space="preserve">3.5mm2 THHN </t>
  </si>
  <si>
    <t xml:space="preserve">20mmØ PVC Pipe  including fittings </t>
  </si>
  <si>
    <t xml:space="preserve">Toilet Exhaust  Air Duct </t>
  </si>
  <si>
    <t xml:space="preserve">TED - 100mm dia. PVC Pipe </t>
  </si>
  <si>
    <t>100Ø Vent Cap w/ S/S Wiremesh Insect Screen</t>
  </si>
  <si>
    <t xml:space="preserve">Kitchen Exhaust  Air Duct </t>
  </si>
  <si>
    <t>KED - 150Ø mm Spiral GI Ga. 26 w/ 25mm thk. Fiberglass Insulation</t>
  </si>
  <si>
    <t>150Ø Vent Cap w/ S/S Wiremesh Insect Screen</t>
  </si>
  <si>
    <t>Stair Pressurization Air Duct</t>
  </si>
  <si>
    <t xml:space="preserve">Stair Pressurization Duct Riser </t>
  </si>
  <si>
    <t>GI Sheet Gauge 22 (700x400mm)</t>
  </si>
  <si>
    <t>shts</t>
  </si>
  <si>
    <t>GI Sheet Gauge 22 (900x550mm)</t>
  </si>
  <si>
    <t>GI Sheet Gauge 22 (900x700mm)</t>
  </si>
  <si>
    <t>GI Sheet Gauge 22 (900x600mm) - Duct Takeoff</t>
  </si>
  <si>
    <t xml:space="preserve">Stair Pressurization Miscellaneous and Accessories </t>
  </si>
  <si>
    <t xml:space="preserve">900x900mm Pressurization Supply Air Grille w/ OBVD @ 2500CMH </t>
  </si>
  <si>
    <t>1200x900 Relief Air Grille w/ SS 304 Insect Screen and Rangehood</t>
  </si>
  <si>
    <t>900x600 Motorized Relief Damper Set with Modulating Type Actuator w/ SS 304 Insect Screen</t>
  </si>
  <si>
    <t>Smoke Duct Sensor</t>
  </si>
  <si>
    <t>Static Pressure Sensor</t>
  </si>
  <si>
    <t xml:space="preserve">Differential Static Pressurization Controller </t>
  </si>
  <si>
    <t xml:space="preserve">Wiring Works for Differential Presure Sensor </t>
  </si>
  <si>
    <t xml:space="preserve">Fireman's Lift Pressurization Ducting Works </t>
  </si>
  <si>
    <t xml:space="preserve">Fireman's Lift Pressurization Duct Riser </t>
  </si>
  <si>
    <t>GI Sheet Gauge 22 (800x500mm)</t>
  </si>
  <si>
    <t>GI Sheet Gauge 22 (600x500mm) - Duct Takeoff</t>
  </si>
  <si>
    <t xml:space="preserve">Fireman's Lift Pressurization Miscellaneous and Accessories </t>
  </si>
  <si>
    <t>1200x650 Relief Air Grille w/ SS 304 Insect Screen and Rangehood</t>
  </si>
  <si>
    <t>650x500 Motorized Relief Damper Set with Modulating Type Actuator w/ SS 304 Insect Screen</t>
  </si>
  <si>
    <t>Electrical wiring works and breakers for fans</t>
  </si>
  <si>
    <t>Misc. &amp; Consumables</t>
  </si>
  <si>
    <t>Hangers &amp; Supports</t>
  </si>
  <si>
    <t>Block-out &amp; Pipe Sleeves</t>
  </si>
  <si>
    <t>Testing &amp; Commissioning</t>
  </si>
  <si>
    <t>General Requirements</t>
  </si>
  <si>
    <t>5.0</t>
  </si>
  <si>
    <t>ELECTRICAL</t>
  </si>
  <si>
    <t>Grounding Works</t>
  </si>
  <si>
    <t>Lightning Arrester w/ 1/2"ø Lightning Rod, w/ Steel Extension Mast &amp; Steel Plate</t>
  </si>
  <si>
    <t>Lightning Event Counter</t>
  </si>
  <si>
    <t>Aircraft Obstruction Lighting Fixture w/ 100W Bulb, 60Hz, 230V, Obstruction Light Relay and Photoelectric Control</t>
  </si>
  <si>
    <t>6"x6" Pullbox</t>
  </si>
  <si>
    <t>200 x 200 x 100mm Ground well w/ 6mm Galv. Steel Cover</t>
  </si>
  <si>
    <t xml:space="preserve">60mm² Bare Cu Conductor - Loop Conductor </t>
  </si>
  <si>
    <t xml:space="preserve">50mm² Bare Cu Conductor - Loop Conductor </t>
  </si>
  <si>
    <t xml:space="preserve">30mm² Bare Cu Conductor - Loop Conductor </t>
  </si>
  <si>
    <t xml:space="preserve">14mm² Bare Cu Conductor - Loop Conductor </t>
  </si>
  <si>
    <t>Grounding busbar, 50mmHx300mmWx10mmD</t>
  </si>
  <si>
    <t>25mmø x 3000mm Length Copper Clad Steel Rod</t>
  </si>
  <si>
    <t xml:space="preserve">32mmØ PVC Pipe  including fittings </t>
  </si>
  <si>
    <t xml:space="preserve">25mmØ PVC Pipe  including fittings </t>
  </si>
  <si>
    <t>Power Service Entrance</t>
  </si>
  <si>
    <t>100mmØ PVC Pipe including fittings</t>
  </si>
  <si>
    <t>Concrete Encasement 8-100mmØ PVC Pipe including fittings</t>
  </si>
  <si>
    <t>Busway System</t>
  </si>
  <si>
    <t>Power System Bus Way</t>
  </si>
  <si>
    <t>Busway - 800A, 400V, 3Ø w/Ground &amp; Neutral Bus Aluminum complete with standard accessories</t>
  </si>
  <si>
    <t xml:space="preserve">Power System Bus Way Accessories </t>
  </si>
  <si>
    <t xml:space="preserve">Pug-in CB 100AT, 100AF, 4P, 3Ø, 400V, </t>
  </si>
  <si>
    <t>Power System Switchboard and Panel board</t>
  </si>
  <si>
    <t>PB - 2BR MID UNIT</t>
  </si>
  <si>
    <t>MAIN: 40AT, 63AF, 2P, 10KAIC, 230V, 60Hz, NEMA 1</t>
  </si>
  <si>
    <t>BRS: 2 - 15AT, 63AF, 1P, 6KAIC, 230V, 60Hz</t>
  </si>
  <si>
    <t>2 - 25AT, 63AF, 1P, 6KAIC, 230V, 60Hz</t>
  </si>
  <si>
    <t>1 - 6AT, 63AF, (2-2P), 6KAIC, 230V, 60Hz MTS</t>
  </si>
  <si>
    <t>PB - 2BR CORNER UNIT</t>
  </si>
  <si>
    <t xml:space="preserve">Power System Main Distribution Panelboard </t>
  </si>
  <si>
    <t>MCB-RES.</t>
  </si>
  <si>
    <t>MAIN: Busduct - 800AT, 800AF, 4P, 50KAIC, MCCB, 400V, 60Hz, IP56</t>
  </si>
  <si>
    <t>BRS: 11 - 100AT, 100AF, 4P, 36 KAIC, 400V, 60Hz</t>
  </si>
  <si>
    <t>MCB</t>
  </si>
  <si>
    <t>MAIN: 1000AT, 1000AF, 4P, 65KAIC, ACB, 400V, 60Hz, NEMA 1</t>
  </si>
  <si>
    <t>BRS: 1 - Lugs Only</t>
  </si>
  <si>
    <t>1 - Lugs Only</t>
  </si>
  <si>
    <t>1 - Space</t>
  </si>
  <si>
    <t>ADM/MTS (Unitized), NEMA-1 (FREE STANDING)</t>
  </si>
  <si>
    <t>MAIN: 300AT, 400AF, 4P, 50KAIC, MCCB, 400V, 60Hz, IP56</t>
  </si>
  <si>
    <t>BRS: 1 - 70AT, 100AF, 3P, 18 KAIC, 400V, 60Hz</t>
  </si>
  <si>
    <t xml:space="preserve">1- 50AT, 100AF, 3P, 18 KAIC, 400V, 60Hz </t>
  </si>
  <si>
    <t xml:space="preserve">1- 150AT, 225AF, 3P, 25 KAIC, 400V, 60Hz </t>
  </si>
  <si>
    <t xml:space="preserve">1- 100AT, 100AF, 3P, 25KAIC, 400V, 60Hz </t>
  </si>
  <si>
    <t>1- 50AT, 100AF, 3P, 10 KAIC, 400V, 60Hz - SPARE</t>
  </si>
  <si>
    <t>1- 30AT, 100AF, 3P, 10 KAIC, 400V, 60Hz  - SPARE</t>
  </si>
  <si>
    <t>MPP</t>
  </si>
  <si>
    <t>MAIN: 150AT, 225AF, 3P, 25KAIC, MCCB, 400V, 60Hz NEMA 1</t>
  </si>
  <si>
    <t>BRS: 2 - 60AT, 100AF, 3P, 18 KAIC, 400V, 60Hz</t>
  </si>
  <si>
    <t>3-30AT, 100AF, 3P, 18 KAIC, 400V, 60Hz</t>
  </si>
  <si>
    <t>1-50AT, 100AF, 3P, 18 KAIC, 400V, 60Hz</t>
  </si>
  <si>
    <t>1-40AT, 100AF, 3P, 18 KAIC, 400V, 60Hz - SPARE</t>
  </si>
  <si>
    <t xml:space="preserve">Power System Emergency Panel board </t>
  </si>
  <si>
    <t>EP6</t>
  </si>
  <si>
    <t>MAIN: 175AT, 225AF, 4P, 18KAIC, MCCB, 400V, 60Hz NEMA 1</t>
  </si>
  <si>
    <t>BRS: 11 - 50AT, 63AF, 2P, 10 KAIC, 400V, 60Hz</t>
  </si>
  <si>
    <t>1 - 50AT, 63AF, 2P, 10 KAIC, 400V, 60Hz - SPARE</t>
  </si>
  <si>
    <t xml:space="preserve">Power System Lighting Panel Board </t>
  </si>
  <si>
    <t xml:space="preserve">LP1 @ GF, </t>
  </si>
  <si>
    <t>MAIN: 70AT, 100AF, 3P, 18KAIC, MCCB, 400V, 60Hz NEMA 1</t>
  </si>
  <si>
    <t>BRS: 18 - 15AT, 63AF, 1P, 6 KAIC, 230V, 60Hz</t>
  </si>
  <si>
    <t xml:space="preserve">1- 20AT, 63AF, 1P, 6 KAIC, 230V, 60Hz </t>
  </si>
  <si>
    <t xml:space="preserve">3- 25AT, 63AF, 1P, 10 KAIC, 230V, 60Hz </t>
  </si>
  <si>
    <t xml:space="preserve">2- 25AT, 63AF, 1P, 6 KAIC, 230V, 60Hz </t>
  </si>
  <si>
    <t xml:space="preserve">1- 50AT, 63AF, 1P, 18 KAIC, 230V, 60Hz </t>
  </si>
  <si>
    <t>3- 15AT, 63AF, 1P, 6 KAIC, 230V, 60Hz - SPARE</t>
  </si>
  <si>
    <t>LP6 @ 6F</t>
  </si>
  <si>
    <t>MAIN: 50AT, 100AF, 3P, 18KAIC, MCCB, 400V, 60Hz NEMA 1</t>
  </si>
  <si>
    <t>BRS: 9 - 15AT, 63AF, 1P, 6 KAIC, 230V, 60Hz</t>
  </si>
  <si>
    <t xml:space="preserve">Power System Meter Center </t>
  </si>
  <si>
    <t>MC-2F to 12F (Typical Flr)</t>
  </si>
  <si>
    <t>MAIN: 100AT, 100AF, 4P, 36KAIC, MCCB, 240V, 60Hz NEMA 1</t>
  </si>
  <si>
    <t>BRS: 28 - 40AT, 63AF, 2P, 10KAIC, 230V, 60Hz</t>
  </si>
  <si>
    <t>KW-hr Meter Base (installation only)</t>
  </si>
  <si>
    <t>Security Grills (Meter Center &amp; Busduct)</t>
  </si>
  <si>
    <t>Power System Enclosed Circuit Breaker (ECB)</t>
  </si>
  <si>
    <t>ECB - 20AT, 2P, 230V in NEMA 3R</t>
  </si>
  <si>
    <t>ECB - 30AT, 2P, 230V in NEMA 3R</t>
  </si>
  <si>
    <t>ECB - 100AT, 3P, 400V in NEMA 3R</t>
  </si>
  <si>
    <t>ECB - 40AT, 3P, 400V in NEMA 3R</t>
  </si>
  <si>
    <t>ECB - 50AT, 3P, 400V in NEMA 3R</t>
  </si>
  <si>
    <t>ECB - 60AT, 3P, 400V in NEMA 3R</t>
  </si>
  <si>
    <t xml:space="preserve">Roughing In </t>
  </si>
  <si>
    <t>25mmØ IMC Pipe including fittings</t>
  </si>
  <si>
    <t>32mmØ IMC Pipe including fittings</t>
  </si>
  <si>
    <t>65mmØ IMC Pipe including fittings</t>
  </si>
  <si>
    <t>80mmØ IMC Pipe including fittings</t>
  </si>
  <si>
    <t>100mmØ IMC Pipe including fittings</t>
  </si>
  <si>
    <t>32mmØ EMT Pipe including fittings</t>
  </si>
  <si>
    <t>40mmØ EMT Pipe including fittings</t>
  </si>
  <si>
    <t>50mmØ EMT Pipe including fittings</t>
  </si>
  <si>
    <t>20mmØ PVC Pipe including fittings</t>
  </si>
  <si>
    <t>25mmØ PVC Pipe including fittings</t>
  </si>
  <si>
    <t>32mmØ PVC Pipe including fittings</t>
  </si>
  <si>
    <t>20mmØ Flexible Metal Conduit</t>
  </si>
  <si>
    <t>20mmØ Liquidtigth Flexible Metal Conduit</t>
  </si>
  <si>
    <t>40mmØ Liquidtigth Flexible Metal Conduit</t>
  </si>
  <si>
    <t>2 x 4 Utility Box</t>
  </si>
  <si>
    <t>4"x4" Square Box</t>
  </si>
  <si>
    <t>3" x 3" Square Box</t>
  </si>
  <si>
    <t>4 x 4 Octagonal Junction Box</t>
  </si>
  <si>
    <t>Power Provisions/Junction Box, Exhaust Fan, TEF</t>
  </si>
  <si>
    <t>Wire Way</t>
  </si>
  <si>
    <t>250mm X 75mm WIREWAY</t>
  </si>
  <si>
    <t>150mm X 75mm WIREWAY</t>
  </si>
  <si>
    <t>Wiring In</t>
  </si>
  <si>
    <t>8.0mm2 THHN, Copper</t>
  </si>
  <si>
    <t>14mm2 THHN, Copper</t>
  </si>
  <si>
    <t>22mm2 THHN, Copper</t>
  </si>
  <si>
    <t>30mm2 THHN, Copper</t>
  </si>
  <si>
    <t>150mm2 THHN, Copper</t>
  </si>
  <si>
    <t>250mm2 THHN, Copper</t>
  </si>
  <si>
    <t xml:space="preserve">3.5mm2 THHN, Aluminum </t>
  </si>
  <si>
    <t xml:space="preserve">5.5mm2 THHN, Aluminum </t>
  </si>
  <si>
    <t xml:space="preserve">8.0mm2 THHN, Aluminum </t>
  </si>
  <si>
    <t xml:space="preserve">14mm2 THHN, Aluminum </t>
  </si>
  <si>
    <t xml:space="preserve">22mm2 THHN, Aluminum </t>
  </si>
  <si>
    <t xml:space="preserve">30mm2 THHN, Aluminum </t>
  </si>
  <si>
    <t xml:space="preserve">50mm2 THHN, Aluminum </t>
  </si>
  <si>
    <t xml:space="preserve">100mm2 THHN, Aluminum </t>
  </si>
  <si>
    <t xml:space="preserve">200mm2 THHN, Aluminum </t>
  </si>
  <si>
    <t>Devices</t>
  </si>
  <si>
    <t>Single Convenience Outlet, Wall Mounted</t>
  </si>
  <si>
    <t>Single Convenience Outlet, Wall Mounted, Range</t>
  </si>
  <si>
    <t>Single Convenience Outlet, Wall Mounted, Rangehood</t>
  </si>
  <si>
    <t>Single Convenience Outlet, Wall Mounted, Washing Machine</t>
  </si>
  <si>
    <t>Single Convenience Outlet, Wall Mounted, Ref.</t>
  </si>
  <si>
    <t>Duplex Convenience Outlet, Wall Mounted</t>
  </si>
  <si>
    <t>Duplex Convenience Outlet, Wall Mounted, CT</t>
  </si>
  <si>
    <t>Special Purpose Outlet, Wall Mounted, FCU</t>
  </si>
  <si>
    <t>One-gang Switch</t>
  </si>
  <si>
    <t>Two-gang Switch</t>
  </si>
  <si>
    <t>Swithbank 1, (Sab-exit stairs) - for GF only</t>
  </si>
  <si>
    <t>Lighting Fixtures</t>
  </si>
  <si>
    <t>1x36W Luminaire with Reflector, Suspended via Threaded Rod</t>
  </si>
  <si>
    <t>48" Flourescent Tube Light; 23 Watts LED</t>
  </si>
  <si>
    <t>18 Watts LED Surface Mounted Pinlight</t>
  </si>
  <si>
    <t>Porcelaine Receptacle w/ 9W LED Bulb</t>
  </si>
  <si>
    <t>Elevator Shaft Light</t>
  </si>
  <si>
    <t>Emergency Light w/ Battery Back-up</t>
  </si>
  <si>
    <t>Exit Sign, 2.4V, Battery Back-up</t>
  </si>
  <si>
    <t>40 Watts LED Pole Mounted Outdoor Light</t>
  </si>
  <si>
    <t>6.0</t>
  </si>
  <si>
    <t>AUXILIARY</t>
  </si>
  <si>
    <t>Fiber To The Home (FTTH) / Telephone /Data System</t>
  </si>
  <si>
    <t xml:space="preserve">50mmØ PVC Pipe  including fittings </t>
  </si>
  <si>
    <t xml:space="preserve">Wire Way 50mnx50mm </t>
  </si>
  <si>
    <t>TEL Pull Box</t>
  </si>
  <si>
    <t>Single Mode Fiber Drop Cable - By Sevice  Provider</t>
  </si>
  <si>
    <t>Equipment/Devices</t>
  </si>
  <si>
    <t>IOO - Indoor Optical Outlet - By Service Provider</t>
  </si>
  <si>
    <t>sets</t>
  </si>
  <si>
    <t>ONU - Optical Network Unit - By Service Provider</t>
  </si>
  <si>
    <t>Fiber Distribution Panel - By Service Provider</t>
  </si>
  <si>
    <t>NAP- Network Access Point Box - By Service Provider</t>
  </si>
  <si>
    <t>FTTHTC - Fiber to the Home Terminal Cabinet - By Service Provider</t>
  </si>
  <si>
    <t>Closed Circuit Television System (CCTV)</t>
  </si>
  <si>
    <t>CCTV Pullbox</t>
  </si>
  <si>
    <t>UTP Cable CAT6 4 Pairs</t>
  </si>
  <si>
    <t>Dome Type IP CCTV Camera</t>
  </si>
  <si>
    <t>Power Over Ethernet Switch (POE-Swithch)</t>
  </si>
  <si>
    <t>16 Port POE Switch</t>
  </si>
  <si>
    <t xml:space="preserve">16 Port Patch Panel </t>
  </si>
  <si>
    <t>Patch Cord</t>
  </si>
  <si>
    <t>Core Switch</t>
  </si>
  <si>
    <t xml:space="preserve">NVR </t>
  </si>
  <si>
    <t>Workstation Keyboard + Cotntroller</t>
  </si>
  <si>
    <t>CCTV Monitor</t>
  </si>
  <si>
    <t>UPS-1Kva</t>
  </si>
  <si>
    <t>Power Panel (30VAC/12V)</t>
  </si>
  <si>
    <t>Fire Detection and Alarm System (FDAS)</t>
  </si>
  <si>
    <t>4 x 4 Square Box</t>
  </si>
  <si>
    <t>Fire Alarm PullBox 300 x 300 x 150mm</t>
  </si>
  <si>
    <t>1.50mm sq. (16 AWG) Twisted Pair - TF Wire</t>
  </si>
  <si>
    <t>Coventional Smoke Detector</t>
  </si>
  <si>
    <t>Addressable Smoke Detector</t>
  </si>
  <si>
    <t>Addressable Heat Detector</t>
  </si>
  <si>
    <t>Manual Pull Station</t>
  </si>
  <si>
    <t>Speaker Horn Strobe</t>
  </si>
  <si>
    <t>Graphic Annuciator</t>
  </si>
  <si>
    <t>Firemans Telephone Jack</t>
  </si>
  <si>
    <t>Monitor Module for Flow Switch</t>
  </si>
  <si>
    <t>Monitor Module for Supervisory Switch</t>
  </si>
  <si>
    <t>End of Line</t>
  </si>
  <si>
    <t>Addressable  Zone Module for Conventional Detectors</t>
  </si>
  <si>
    <t>Duct Smoke Detector</t>
  </si>
  <si>
    <t>Monitor Module</t>
  </si>
  <si>
    <t>Relay Module</t>
  </si>
  <si>
    <t>EVAC</t>
  </si>
  <si>
    <t xml:space="preserve">Addressable Fire Alarm Control Panel (FACP) </t>
  </si>
  <si>
    <t>7.0</t>
  </si>
  <si>
    <t>PLUMBING</t>
  </si>
  <si>
    <t>Bath Faucet with hand shower set, gunmetal finish</t>
  </si>
  <si>
    <t>Spray Bidet, Stainless Steel Satin or Chrome finish</t>
  </si>
  <si>
    <t xml:space="preserve">Grease Trap 5GPM </t>
  </si>
  <si>
    <t xml:space="preserve">Cold Water line Main Source </t>
  </si>
  <si>
    <t>PPR  Pipes (150mm) w/ fittings</t>
  </si>
  <si>
    <t xml:space="preserve">Cold Water line Upfeed </t>
  </si>
  <si>
    <t xml:space="preserve">Cold Water line Downfeed </t>
  </si>
  <si>
    <t>PPR  Pipes (100mm) w/ fittings</t>
  </si>
  <si>
    <t>PPR  Pipes (75mm) w/ fittings</t>
  </si>
  <si>
    <t>PPR  Pipes (50mm) w/ fittings</t>
  </si>
  <si>
    <t>PPR  Pipes (40mm) w/ fittings</t>
  </si>
  <si>
    <t>PPR  Pipes (32mm) w/ fittings</t>
  </si>
  <si>
    <t>PPR  Pipes (25mm) w/ fittings</t>
  </si>
  <si>
    <t>Cold water line branches - Hallway</t>
  </si>
  <si>
    <t xml:space="preserve">Cold water line branches - Utilities </t>
  </si>
  <si>
    <t>PPR  Pipes (20mm) w/ fittings</t>
  </si>
  <si>
    <t>PPR  Pipes (15mm) w/ fittings</t>
  </si>
  <si>
    <t>Cold water line Valves &amp; Accessories</t>
  </si>
  <si>
    <t>Gate Valve 150mm</t>
  </si>
  <si>
    <t>Gate Valve 100mm</t>
  </si>
  <si>
    <t>Gate Valve 75mm</t>
  </si>
  <si>
    <t>Gate Valve 50mm</t>
  </si>
  <si>
    <t>Gate Valve 40mm</t>
  </si>
  <si>
    <t>Gate Valve 25mm</t>
  </si>
  <si>
    <t>Gate Valve 15mm</t>
  </si>
  <si>
    <t>Hose Bibb 15mm</t>
  </si>
  <si>
    <t>Equalizing Valve 100mm</t>
  </si>
  <si>
    <t>Y-Strainer 100mm</t>
  </si>
  <si>
    <t>Y-Strainer 75mm</t>
  </si>
  <si>
    <t>Flexible Connector 100mm</t>
  </si>
  <si>
    <t>Flexible Connector 75mm</t>
  </si>
  <si>
    <t>PRV 75mm</t>
  </si>
  <si>
    <t>Check Valve 100mm</t>
  </si>
  <si>
    <t>Check Valve 50mm</t>
  </si>
  <si>
    <t>Float Valve 100mm</t>
  </si>
  <si>
    <t>Foot Valve 100mm</t>
  </si>
  <si>
    <t>Water Meter 100mm</t>
  </si>
  <si>
    <t>Water Meter 25mm</t>
  </si>
  <si>
    <t>Sanitary Drainage System</t>
  </si>
  <si>
    <t>Soil Pipe - PVC Pipe - 250mm w/ fittings</t>
  </si>
  <si>
    <t>Soil Pipe - PVC Pipe - 200mm w/ fittings</t>
  </si>
  <si>
    <t>Soil Pipe - HDPE Pipe - 100mm w/ fittings</t>
  </si>
  <si>
    <t>Soil Pipe - HDPE Pipe - 50mm w/ fittings</t>
  </si>
  <si>
    <t>Soil Stack Pipe - HDPE Pipe - 100mm w/ fittings</t>
  </si>
  <si>
    <t>Sovent Aerator 100mm</t>
  </si>
  <si>
    <t>BottomTurn Bend 110mm (Supertube)</t>
  </si>
  <si>
    <t xml:space="preserve">Storm Drainage System  </t>
  </si>
  <si>
    <t>Drain Pipe -  PVC Pipe - 150mm w/ fittings</t>
  </si>
  <si>
    <t>Drain Pipe -  PVC Pipe - 100mm w/ fittings</t>
  </si>
  <si>
    <t>Drain Pipe -  PVC Pipe - 75mm w/ fittings</t>
  </si>
  <si>
    <t>Discharge Pipe -  BI Pipe - 100mm w/ fittings</t>
  </si>
  <si>
    <t>Discharge Pipe -  BI Pipe - 50mm w/ fittings</t>
  </si>
  <si>
    <t>Drain Pipe -  PVC Pipe - 150mm w/ fittings - Perforated</t>
  </si>
  <si>
    <t xml:space="preserve">Condensate Drain Pipe -  PVC Pipe - 50mm w/ fittings </t>
  </si>
  <si>
    <t>Condensate Drain Pipe -  PVC Pipe - 25mm w/ fittings and insulation</t>
  </si>
  <si>
    <t xml:space="preserve">Condensate Drain Stack -  PVC Pipe - 50mm w/ fittings </t>
  </si>
  <si>
    <t>Downspout-  PVC Pipe - 75mm w/ fittings</t>
  </si>
  <si>
    <t xml:space="preserve">Drain and Accessories </t>
  </si>
  <si>
    <t>Floor Drain 100mm</t>
  </si>
  <si>
    <t>Floor Drain 50mm</t>
  </si>
  <si>
    <t>Oil Interceptor 30 GPM</t>
  </si>
  <si>
    <t>Oil Interceptor 50 GPM</t>
  </si>
  <si>
    <t xml:space="preserve">Catch Basin </t>
  </si>
  <si>
    <t>Deck Drain 75mm</t>
  </si>
  <si>
    <t>Balcony Drain 50mm</t>
  </si>
  <si>
    <t xml:space="preserve">Pipe Vents System </t>
  </si>
  <si>
    <t>Vent Branches - PVC Pipe 100mm w/ fittings</t>
  </si>
  <si>
    <t>Vent Branches - HDPE Pipe 250mm w/ fittings</t>
  </si>
  <si>
    <t>Vent Branches - HDPE Pipe 200mm w/ fittings</t>
  </si>
  <si>
    <t>Vent Branches - HDPE Pipe 150mm w/ fittings</t>
  </si>
  <si>
    <t>Vent Branches - HDPE Pipe 100mm w/ fittings</t>
  </si>
  <si>
    <t>Overhead Water Tank (OHP)</t>
  </si>
  <si>
    <t>Elevated Water Tank -45 cu.m, 1.5m (W) x 2.0m (D)</t>
  </si>
  <si>
    <t>Plumbing Pump and accessories</t>
  </si>
  <si>
    <t>Transfer Pump - 250 gpm (each) @ 230Ft TDH, 20Hp, 400V, 3Ø, 60Hz, Triplex Type, w/ Controller &amp; accessories</t>
  </si>
  <si>
    <t>Booster Pump - 130 gpm (each) @ 160Ft TDH, 7.5Hp, 400V, 3Ø, 60Hz, Triplex Type, w/ Controller &amp; accessories</t>
  </si>
  <si>
    <t>Sump Pump - 50 gpm (each) @ 30Ft TDH, 1Hp, 400V, 3Ø, 60Hz, Simplex Type, w/ Controller &amp; accessories</t>
  </si>
  <si>
    <t>Rain Water Sump Pump - 330 gpm (each) @ 30Ft TDH, 3Hp, 230V, 1Ø, 60Hz, Duplex Type, w/ Controller &amp; accessories</t>
  </si>
  <si>
    <t>Elevator Pit Pump - 50 gpm @ 30 ft TDH , 1hp, 230V,1Ø,60Hz,Simplex Type w/ Controller &amp; accessories</t>
  </si>
  <si>
    <t>Plumbing Controllers</t>
  </si>
  <si>
    <t>8.0</t>
  </si>
  <si>
    <t>FIRE PROTECTION</t>
  </si>
  <si>
    <t>Wet / Dry Stand Pipe Works</t>
  </si>
  <si>
    <t>Wet / Dry Stand Pipe Riser 150mm BI Pipes w/ fittings</t>
  </si>
  <si>
    <t xml:space="preserve">Wet Stand Valves and accessories </t>
  </si>
  <si>
    <t>65mm Pressure Reducing Fire Hose Valves w/ chain and cap (Brass)</t>
  </si>
  <si>
    <t>3 x 65mm x 150mm Fire Department Connection</t>
  </si>
  <si>
    <t>150mm dia Check Valve</t>
  </si>
  <si>
    <t>150mm dia OS &amp; Y Gate Valve / Control Valve with Supervisory Switch</t>
  </si>
  <si>
    <t xml:space="preserve">150mm Alarm Check Valve </t>
  </si>
  <si>
    <t xml:space="preserve">25mm AAV </t>
  </si>
  <si>
    <t xml:space="preserve">Pressure gauge 300 psi connection including fittings </t>
  </si>
  <si>
    <t>65mm x 65mm x 150mm Roof Manifold</t>
  </si>
  <si>
    <t>Feed Main</t>
  </si>
  <si>
    <t>Feedmain 100mm CPVC Pipes w/ fittings</t>
  </si>
  <si>
    <t xml:space="preserve">Feedmain Valve and Assembly </t>
  </si>
  <si>
    <t xml:space="preserve">100mm diameter FCV, Butterfly Valve.Victaulic. Wafer Type with Built In Supervisory Swith and Tamper Switch.incl fittings </t>
  </si>
  <si>
    <t>100mm diameter Water Flow Swith</t>
  </si>
  <si>
    <t>100mm dia Check Valve</t>
  </si>
  <si>
    <t xml:space="preserve">25mm Ø Inspector's Test Connection Assembly </t>
  </si>
  <si>
    <t>25mm diameter Auxiliary drain including fittings</t>
  </si>
  <si>
    <t>Crossmain</t>
  </si>
  <si>
    <t>Cross Main 80mm CPVC Pipes w/ fittings</t>
  </si>
  <si>
    <t>Branchline</t>
  </si>
  <si>
    <t>Branch Line 40mm CPVC Pipes w/ fittings</t>
  </si>
  <si>
    <t>Branch Line 32mm CPVC Pipes w/ fittings</t>
  </si>
  <si>
    <t>Branch Line 25mm CPVC Pipes w/ fittings</t>
  </si>
  <si>
    <t xml:space="preserve">Drain Pipe Works </t>
  </si>
  <si>
    <t>Drain Pipe Riser 50mm w/ fittings</t>
  </si>
  <si>
    <t>50mm Drain Valve</t>
  </si>
  <si>
    <t xml:space="preserve">Equiptment and Accessories Works </t>
  </si>
  <si>
    <t>Upright Sprinkler Head 68°C</t>
  </si>
  <si>
    <t>Sidewall Sprinkler Head 68°C</t>
  </si>
  <si>
    <t>Sidewall Sprinkler Head 100°C</t>
  </si>
  <si>
    <t>FE-1, 4.5Kg. ABC Dry Chemical</t>
  </si>
  <si>
    <t>FE-2, 4.5Kg. Dry Chemical Purple K</t>
  </si>
  <si>
    <t>FE-3, 22.7Kg. Dry Chemical Purple K</t>
  </si>
  <si>
    <t>Fire Hose Cabinet complete with accessories ( Surfaced Mounted Type )</t>
  </si>
  <si>
    <t>9.0</t>
  </si>
  <si>
    <t>ALLIED SERVICES</t>
  </si>
  <si>
    <t>Elevators</t>
  </si>
  <si>
    <t>Passenger Elevator-01</t>
  </si>
  <si>
    <t>units</t>
  </si>
  <si>
    <t>Passenger Elevator-02</t>
  </si>
  <si>
    <t>Transformer - By Meralco</t>
  </si>
  <si>
    <t>Generator Set</t>
  </si>
  <si>
    <t>Genset -200KVA (160KW), 3P, 4WIRE, 400V, 60Hz</t>
  </si>
  <si>
    <t>GRAND TOTAL (VAT Ex)</t>
  </si>
  <si>
    <t>PMOBIDEnd</t>
  </si>
  <si>
    <t>CONTINGENCY</t>
  </si>
  <si>
    <t>FINANCIAL COST</t>
  </si>
  <si>
    <t>OVERHEAD</t>
  </si>
  <si>
    <t>PROJECT MARK-UP</t>
  </si>
  <si>
    <t>BID PRICE (VAT Ex)</t>
  </si>
  <si>
    <t>TAXES</t>
  </si>
  <si>
    <t>BID PRICE (VAT In)</t>
  </si>
  <si>
    <t>SUMMARY  OF BID PACKAGES</t>
  </si>
  <si>
    <t>Project</t>
  </si>
  <si>
    <t>:</t>
  </si>
  <si>
    <t>Location</t>
  </si>
  <si>
    <t>Total # of Units :</t>
  </si>
  <si>
    <t>Package</t>
  </si>
  <si>
    <t>No. of Bldgs :</t>
  </si>
  <si>
    <t xml:space="preserve">NO. </t>
  </si>
  <si>
    <t>PACKAGE</t>
  </si>
  <si>
    <t>COST / BLDG</t>
  </si>
  <si>
    <t>COST / CFA</t>
  </si>
  <si>
    <t>COST / UNIT</t>
  </si>
  <si>
    <t>%Wt</t>
  </si>
  <si>
    <t>TOTAL COST
(5 BLDG)</t>
  </si>
  <si>
    <t>GENERAL REQUIREMENT</t>
  </si>
  <si>
    <t>BUILDINGS 1 TO 5 ( 5 Bldgs)</t>
  </si>
  <si>
    <t>STRUCTURAL WORKS</t>
  </si>
  <si>
    <t>Precast Works</t>
  </si>
  <si>
    <t>ARCHITECTURAL WORKS</t>
  </si>
  <si>
    <t>Stoneworks</t>
  </si>
  <si>
    <t>MEPFS WORKS</t>
  </si>
  <si>
    <t>Mechanical</t>
  </si>
  <si>
    <t>Electrical</t>
  </si>
  <si>
    <t>Auxiliary</t>
  </si>
  <si>
    <t>Plumbing</t>
  </si>
  <si>
    <t>Fire Protection</t>
  </si>
  <si>
    <t>Allied Services</t>
  </si>
  <si>
    <t>SITE DEVELOPMENT</t>
  </si>
  <si>
    <t>By Others</t>
  </si>
  <si>
    <t>MARK ANTHONY GOLES</t>
  </si>
  <si>
    <t>Commercial and Contracts Head</t>
  </si>
  <si>
    <t xml:space="preserve">Reviewed and Agreed by: </t>
  </si>
  <si>
    <t>Approved by:</t>
  </si>
  <si>
    <t>FREDERICK TAN</t>
  </si>
  <si>
    <t>Chief Operating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</si>
</sst>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_);_(* \(#,##0\);_(* &quot;-&quot;??_);_(@_)"/>
    <numFmt numFmtId="165" formatCode="_(* #,##0.00_);_(* \(#,##0.00\);_(* &quot;-&quot;??_);_(@_)"/>
    <numFmt numFmtId="166" formatCode="_(* #,##0.000_);_(* \(#,##0.000\);_(* &quot;-&quot;??_);_(@_)"/>
    <numFmt numFmtId="167" formatCode="0.0%"/>
    <numFmt numFmtId="168" formatCode="_-* #,##0_-;\-* #,##0_-;_-* &quot;-&quot;??_-;_-@_-"/>
    <numFmt numFmtId="169" formatCode="0.0"/>
  </numFmts>
  <fonts count="6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70C0"/>
      <name val="Calibri"/>
      <family val="2"/>
      <scheme val="minor"/>
    </font>
    <font>
      <sz val="14"/>
      <name val="Calibri"/>
      <family val="2"/>
      <scheme val="minor"/>
    </font>
    <font>
      <b/>
      <sz val="12"/>
      <color rgb="FF000000"/>
      <name val="Calibri"/>
      <family val="2"/>
    </font>
    <font>
      <b/>
      <sz val="18"/>
      <color theme="0"/>
      <name val="Calibri"/>
      <family val="2"/>
      <scheme val="minor"/>
    </font>
    <font>
      <b/>
      <sz val="18"/>
      <color theme="0"/>
      <name val="Century Gothic"/>
      <family val="2"/>
    </font>
    <font>
      <b/>
      <sz val="12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 (Body)"/>
      <charset val="134"/>
    </font>
    <font>
      <b/>
      <sz val="11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4"/>
      <color theme="0"/>
      <name val="Calibri"/>
      <family val="2"/>
    </font>
    <font>
      <b/>
      <sz val="14"/>
      <color rgb="FF0070C0"/>
      <name val="Calibri"/>
      <family val="2"/>
    </font>
    <font>
      <b/>
      <sz val="14"/>
      <color theme="0"/>
      <name val="Century Gothic"/>
      <family val="2"/>
    </font>
    <font>
      <b/>
      <sz val="14"/>
      <color rgb="FF0070C0"/>
      <name val="Century Gothic"/>
      <family val="2"/>
    </font>
    <font>
      <b/>
      <sz val="14"/>
      <name val="Century Gothic"/>
      <family val="2"/>
    </font>
    <font>
      <b/>
      <sz val="12"/>
      <color rgb="FF0070C0"/>
      <name val="Calibri"/>
      <family val="2"/>
    </font>
    <font>
      <sz val="12"/>
      <color rgb="FF000000"/>
      <name val="Calibri"/>
      <family val="2"/>
    </font>
    <font>
      <b/>
      <sz val="12"/>
      <color theme="0" tint="-0.499984740745262"/>
      <name val="Calibri"/>
      <family val="2"/>
    </font>
    <font>
      <sz val="12"/>
      <color rgb="FF0070C0"/>
      <name val="Calibri"/>
      <family val="2"/>
    </font>
    <font>
      <sz val="12"/>
      <name val="Calibri"/>
      <family val="2"/>
    </font>
    <font>
      <sz val="10"/>
      <color rgb="FF000000"/>
      <name val="Century Gothic"/>
      <family val="2"/>
    </font>
    <font>
      <sz val="12"/>
      <color theme="0" tint="-0.499984740745262"/>
      <name val="Calibri"/>
      <family val="2"/>
    </font>
    <font>
      <sz val="12"/>
      <color theme="0"/>
      <name val="Calibri"/>
      <family val="2"/>
    </font>
    <font>
      <b/>
      <sz val="10"/>
      <color rgb="FF000000"/>
      <name val="Century Gothic"/>
      <family val="2"/>
    </font>
    <font>
      <sz val="14"/>
      <color rgb="FF0070C0"/>
      <name val="Century Gothic"/>
      <family val="2"/>
    </font>
    <font>
      <sz val="14"/>
      <color rgb="FF000000"/>
      <name val="Century Gothic"/>
      <family val="2"/>
    </font>
    <font>
      <sz val="14"/>
      <name val="Century Gothic"/>
      <family val="2"/>
    </font>
    <font>
      <sz val="10"/>
      <name val="Century Gothic"/>
      <family val="2"/>
    </font>
    <font>
      <b/>
      <sz val="14"/>
      <color rgb="FF000000"/>
      <name val="Calibri"/>
      <family val="2"/>
    </font>
    <font>
      <sz val="12"/>
      <color rgb="FF0070C0"/>
      <name val="Century Gothic"/>
      <family val="2"/>
    </font>
    <font>
      <sz val="12"/>
      <color rgb="FF000000"/>
      <name val="Century Gothic"/>
      <family val="2"/>
    </font>
    <font>
      <sz val="12"/>
      <name val="Century Gothic"/>
      <family val="2"/>
    </font>
    <font>
      <sz val="10"/>
      <color rgb="FF0070C0"/>
      <name val="Century Gothic"/>
      <family val="2"/>
    </font>
    <font>
      <b/>
      <sz val="10"/>
      <name val="Century Gothic"/>
      <family val="2"/>
    </font>
    <font>
      <b/>
      <sz val="11"/>
      <color theme="0"/>
      <name val="Calibri"/>
      <family val="2"/>
    </font>
    <font>
      <b/>
      <sz val="14"/>
      <name val="Calibri (Body)"/>
    </font>
    <font>
      <b/>
      <sz val="14"/>
      <color theme="1"/>
      <name val="Calibri (Body)"/>
    </font>
    <font>
      <b/>
      <sz val="14"/>
      <color rgb="FF000000"/>
      <name val="Calibri (Body)"/>
    </font>
    <font>
      <b/>
      <sz val="14"/>
      <color theme="0"/>
      <name val="Calibri (Body)"/>
    </font>
    <font>
      <sz val="14"/>
      <color theme="1"/>
      <name val="Calibri (Body)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name val="Century Gothic"/>
      <family val="2"/>
    </font>
    <font>
      <b/>
      <sz val="12"/>
      <color rgb="FF0070C0"/>
      <name val="Century Gothic"/>
      <family val="2"/>
    </font>
    <font>
      <b/>
      <sz val="12"/>
      <color rgb="FF000000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rgb="FFFFFFFF"/>
      </patternFill>
    </fill>
    <fill>
      <patternFill patternType="solid">
        <fgColor theme="1" tint="0.499984740745262"/>
        <bgColor rgb="FFA8D08D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2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>
      <alignment vertical="center"/>
    </xf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</cellStyleXfs>
  <cellXfs count="407">
    <xf numFmtId="0" fontId="0" fillId="0" borderId="0" xfId="0"/>
    <xf numFmtId="0" fontId="4" fillId="0" borderId="0" xfId="3" applyFont="1" applyAlignment="1">
      <alignment vertical="center"/>
    </xf>
    <xf numFmtId="0" fontId="4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vertical="center"/>
    </xf>
    <xf numFmtId="164" fontId="4" fillId="0" borderId="0" xfId="3" applyNumberFormat="1" applyFont="1" applyAlignment="1">
      <alignment horizontal="left"/>
    </xf>
    <xf numFmtId="0" fontId="3" fillId="0" borderId="0" xfId="4" applyFont="1" applyAlignment="1" applyProtection="1">
      <alignment vertical="center"/>
    </xf>
    <xf numFmtId="166" fontId="4" fillId="0" borderId="0" xfId="5" applyNumberFormat="1" applyFont="1" applyAlignment="1" applyProtection="1">
      <alignment vertical="center"/>
    </xf>
    <xf numFmtId="164" fontId="3" fillId="0" borderId="0" xfId="4" applyNumberFormat="1" applyFont="1" applyAlignment="1" applyProtection="1">
      <alignment vertical="center"/>
    </xf>
    <xf numFmtId="164" fontId="4" fillId="0" borderId="0" xfId="5" applyNumberFormat="1" applyFont="1" applyAlignment="1" applyProtection="1">
      <alignment vertical="center"/>
    </xf>
    <xf numFmtId="164" fontId="4" fillId="0" borderId="0" xfId="5" applyNumberFormat="1" applyFont="1" applyAlignment="1" applyProtection="1">
      <alignment horizontal="center" vertical="center"/>
    </xf>
    <xf numFmtId="0" fontId="7" fillId="0" borderId="0" xfId="3" applyFont="1" applyAlignment="1">
      <alignment vertical="center"/>
    </xf>
    <xf numFmtId="0" fontId="1" fillId="0" borderId="0" xfId="3" applyAlignment="1">
      <alignment vertical="center"/>
    </xf>
    <xf numFmtId="0" fontId="4" fillId="0" borderId="0" xfId="3" applyFont="1" applyAlignment="1" applyProtection="1">
      <alignment vertical="center"/>
      <protection locked="0"/>
    </xf>
    <xf numFmtId="164" fontId="4" fillId="0" borderId="0" xfId="3" applyNumberFormat="1" applyFont="1" applyAlignment="1">
      <alignment vertical="center"/>
    </xf>
    <xf numFmtId="164" fontId="8" fillId="0" borderId="0" xfId="5" applyNumberFormat="1" applyFont="1" applyAlignment="1" applyProtection="1">
      <alignment horizontal="center" vertical="center"/>
    </xf>
    <xf numFmtId="167" fontId="4" fillId="0" borderId="0" xfId="3" applyNumberFormat="1" applyFont="1" applyAlignment="1">
      <alignment horizontal="right" vertical="center"/>
    </xf>
    <xf numFmtId="0" fontId="9" fillId="0" borderId="0" xfId="6" applyFont="1" applyAlignment="1" applyProtection="1">
      <protection locked="0"/>
    </xf>
    <xf numFmtId="0" fontId="9" fillId="0" borderId="0" xfId="6" applyFont="1" applyFill="1" applyAlignment="1" applyProtection="1">
      <protection locked="0"/>
    </xf>
    <xf numFmtId="0" fontId="10" fillId="2" borderId="0" xfId="7" applyFont="1" applyFill="1" applyAlignment="1">
      <alignment horizontal="left" vertical="center"/>
    </xf>
    <xf numFmtId="0" fontId="11" fillId="2" borderId="0" xfId="7" applyFont="1" applyFill="1" applyAlignment="1">
      <alignment horizontal="left" vertical="center"/>
    </xf>
    <xf numFmtId="0" fontId="12" fillId="0" borderId="0" xfId="3" applyFont="1" applyAlignment="1" applyProtection="1">
      <alignment vertical="center"/>
      <protection locked="0"/>
    </xf>
    <xf numFmtId="0" fontId="10" fillId="2" borderId="0" xfId="7" applyFont="1" applyFill="1" applyAlignment="1">
      <alignment horizontal="centerContinuous" vertical="center"/>
    </xf>
    <xf numFmtId="0" fontId="13" fillId="2" borderId="0" xfId="4" applyFont="1" applyFill="1" applyBorder="1" applyAlignment="1" applyProtection="1">
      <alignment horizontal="centerContinuous" vertical="center"/>
    </xf>
    <xf numFmtId="0" fontId="14" fillId="0" borderId="0" xfId="7" applyFont="1">
      <alignment vertical="center"/>
    </xf>
    <xf numFmtId="0" fontId="15" fillId="0" borderId="0" xfId="7" applyFont="1">
      <alignment vertical="center"/>
    </xf>
    <xf numFmtId="0" fontId="16" fillId="0" borderId="0" xfId="7" applyFont="1">
      <alignment vertical="center"/>
    </xf>
    <xf numFmtId="0" fontId="16" fillId="0" borderId="0" xfId="7" applyFont="1" applyProtection="1">
      <alignment vertical="center"/>
      <protection locked="0"/>
    </xf>
    <xf numFmtId="0" fontId="17" fillId="2" borderId="0" xfId="7" applyFont="1" applyFill="1" applyAlignment="1">
      <alignment horizontal="centerContinuous" vertical="center"/>
    </xf>
    <xf numFmtId="0" fontId="17" fillId="2" borderId="0" xfId="7" applyFont="1" applyFill="1" applyAlignment="1">
      <alignment horizontal="left" vertical="center"/>
    </xf>
    <xf numFmtId="0" fontId="18" fillId="2" borderId="0" xfId="7" applyFont="1" applyFill="1" applyAlignment="1">
      <alignment horizontal="left" vertical="center"/>
    </xf>
    <xf numFmtId="0" fontId="18" fillId="2" borderId="0" xfId="7" applyFont="1" applyFill="1">
      <alignment vertical="center"/>
    </xf>
    <xf numFmtId="0" fontId="6" fillId="2" borderId="0" xfId="4" applyFill="1" applyBorder="1" applyAlignment="1" applyProtection="1">
      <alignment horizontal="centerContinuous" vertical="center"/>
    </xf>
    <xf numFmtId="0" fontId="19" fillId="0" borderId="0" xfId="7" applyFont="1">
      <alignment vertical="center"/>
    </xf>
    <xf numFmtId="0" fontId="2" fillId="0" borderId="0" xfId="7" applyFont="1">
      <alignment vertical="center"/>
    </xf>
    <xf numFmtId="0" fontId="5" fillId="0" borderId="0" xfId="7" applyFont="1">
      <alignment vertical="center"/>
    </xf>
    <xf numFmtId="0" fontId="5" fillId="0" borderId="0" xfId="7" applyFont="1" applyProtection="1">
      <alignment vertical="center"/>
      <protection locked="0"/>
    </xf>
    <xf numFmtId="0" fontId="12" fillId="3" borderId="0" xfId="3" applyFont="1" applyFill="1" applyAlignment="1">
      <alignment horizontal="left" vertical="center" indent="1"/>
    </xf>
    <xf numFmtId="0" fontId="12" fillId="3" borderId="0" xfId="3" applyFont="1" applyFill="1" applyAlignment="1" applyProtection="1">
      <alignment horizontal="left" vertical="center"/>
      <protection locked="0"/>
    </xf>
    <xf numFmtId="0" fontId="12" fillId="3" borderId="0" xfId="3" applyFont="1" applyFill="1" applyAlignment="1" applyProtection="1">
      <alignment vertical="center"/>
      <protection locked="0"/>
    </xf>
    <xf numFmtId="164" fontId="12" fillId="3" borderId="0" xfId="5" applyNumberFormat="1" applyFont="1" applyFill="1" applyAlignment="1" applyProtection="1">
      <alignment horizontal="right" vertical="center"/>
    </xf>
    <xf numFmtId="3" fontId="12" fillId="3" borderId="0" xfId="3" applyNumberFormat="1" applyFont="1" applyFill="1" applyAlignment="1" applyProtection="1">
      <alignment vertical="center"/>
      <protection locked="0"/>
    </xf>
    <xf numFmtId="3" fontId="12" fillId="3" borderId="0" xfId="3" applyNumberFormat="1" applyFont="1" applyFill="1" applyAlignment="1">
      <alignment vertical="center"/>
    </xf>
    <xf numFmtId="164" fontId="9" fillId="3" borderId="0" xfId="4" applyNumberFormat="1" applyFont="1" applyFill="1" applyAlignment="1" applyProtection="1">
      <alignment vertical="center"/>
      <protection locked="0"/>
    </xf>
    <xf numFmtId="164" fontId="12" fillId="3" borderId="0" xfId="5" applyNumberFormat="1" applyFont="1" applyFill="1" applyAlignment="1" applyProtection="1">
      <alignment vertical="center"/>
      <protection locked="0"/>
    </xf>
    <xf numFmtId="164" fontId="9" fillId="3" borderId="0" xfId="4" applyNumberFormat="1" applyFont="1" applyFill="1" applyAlignment="1" applyProtection="1">
      <alignment horizontal="left" vertical="center"/>
    </xf>
    <xf numFmtId="164" fontId="20" fillId="3" borderId="0" xfId="5" applyNumberFormat="1" applyFont="1" applyFill="1" applyAlignment="1" applyProtection="1">
      <alignment horizontal="center" vertical="center"/>
      <protection locked="0"/>
    </xf>
    <xf numFmtId="167" fontId="12" fillId="3" borderId="0" xfId="3" applyNumberFormat="1" applyFont="1" applyFill="1" applyAlignment="1" applyProtection="1">
      <alignment vertical="center"/>
      <protection locked="0"/>
    </xf>
    <xf numFmtId="164" fontId="12" fillId="3" borderId="0" xfId="5" applyNumberFormat="1" applyFont="1" applyFill="1" applyAlignment="1" applyProtection="1">
      <alignment horizontal="center" vertical="center"/>
      <protection locked="0"/>
    </xf>
    <xf numFmtId="0" fontId="21" fillId="0" borderId="0" xfId="7" applyFont="1" applyProtection="1">
      <alignment vertical="center"/>
      <protection locked="0"/>
    </xf>
    <xf numFmtId="0" fontId="22" fillId="0" borderId="0" xfId="7" applyFont="1" applyProtection="1">
      <alignment vertical="center"/>
      <protection locked="0"/>
    </xf>
    <xf numFmtId="0" fontId="12" fillId="0" borderId="0" xfId="7" applyFont="1" applyProtection="1">
      <alignment vertical="center"/>
      <protection locked="0"/>
    </xf>
    <xf numFmtId="0" fontId="12" fillId="3" borderId="0" xfId="3" applyFont="1" applyFill="1" applyAlignment="1" applyProtection="1">
      <alignment horizontal="left" vertical="center" wrapText="1"/>
      <protection locked="0"/>
    </xf>
    <xf numFmtId="0" fontId="12" fillId="3" borderId="0" xfId="3" applyFont="1" applyFill="1" applyAlignment="1" applyProtection="1">
      <alignment vertical="center" wrapText="1"/>
      <protection locked="0"/>
    </xf>
    <xf numFmtId="164" fontId="12" fillId="3" borderId="0" xfId="5" applyNumberFormat="1" applyFont="1" applyFill="1" applyAlignment="1" applyProtection="1">
      <alignment vertical="center" wrapText="1"/>
    </xf>
    <xf numFmtId="164" fontId="9" fillId="3" borderId="0" xfId="4" applyNumberFormat="1" applyFont="1" applyFill="1" applyAlignment="1" applyProtection="1">
      <alignment vertical="center" wrapText="1"/>
      <protection locked="0"/>
    </xf>
    <xf numFmtId="164" fontId="12" fillId="3" borderId="0" xfId="5" applyNumberFormat="1" applyFont="1" applyFill="1" applyAlignment="1" applyProtection="1">
      <alignment vertical="center" wrapText="1"/>
      <protection locked="0"/>
    </xf>
    <xf numFmtId="167" fontId="12" fillId="3" borderId="0" xfId="3" applyNumberFormat="1" applyFont="1" applyFill="1" applyAlignment="1" applyProtection="1">
      <alignment vertical="center" wrapText="1"/>
      <protection locked="0"/>
    </xf>
    <xf numFmtId="164" fontId="12" fillId="3" borderId="0" xfId="5" applyNumberFormat="1" applyFont="1" applyFill="1" applyAlignment="1" applyProtection="1">
      <alignment horizontal="center" vertical="center" wrapText="1"/>
      <protection locked="0"/>
    </xf>
    <xf numFmtId="164" fontId="12" fillId="3" borderId="0" xfId="5" applyNumberFormat="1" applyFont="1" applyFill="1" applyAlignment="1" applyProtection="1">
      <alignment vertical="center"/>
    </xf>
    <xf numFmtId="0" fontId="12" fillId="3" borderId="0" xfId="3" applyFont="1" applyFill="1" applyAlignment="1" applyProtection="1">
      <alignment horizontal="left" vertical="center" indent="1"/>
      <protection locked="0"/>
    </xf>
    <xf numFmtId="0" fontId="23" fillId="0" borderId="0" xfId="3" applyFont="1" applyAlignment="1">
      <alignment vertical="center" wrapText="1"/>
    </xf>
    <xf numFmtId="0" fontId="23" fillId="0" borderId="0" xfId="8" applyFont="1" applyAlignment="1">
      <alignment horizontal="center" vertical="center"/>
    </xf>
    <xf numFmtId="0" fontId="23" fillId="0" borderId="0" xfId="8" applyFont="1"/>
    <xf numFmtId="0" fontId="25" fillId="0" borderId="0" xfId="8" applyFont="1"/>
    <xf numFmtId="0" fontId="25" fillId="0" borderId="0" xfId="8" applyFont="1" applyProtection="1">
      <protection locked="0"/>
    </xf>
    <xf numFmtId="0" fontId="27" fillId="0" borderId="0" xfId="8" applyFont="1"/>
    <xf numFmtId="0" fontId="26" fillId="0" borderId="0" xfId="8" applyFont="1"/>
    <xf numFmtId="0" fontId="24" fillId="0" borderId="0" xfId="8" applyFont="1"/>
    <xf numFmtId="0" fontId="24" fillId="0" borderId="0" xfId="8" applyFont="1" applyProtection="1">
      <protection locked="0"/>
    </xf>
    <xf numFmtId="0" fontId="28" fillId="7" borderId="1" xfId="3" applyFont="1" applyFill="1" applyBorder="1" applyAlignment="1">
      <alignment horizontal="left" vertical="center"/>
    </xf>
    <xf numFmtId="0" fontId="28" fillId="7" borderId="2" xfId="3" applyFont="1" applyFill="1" applyBorder="1" applyAlignment="1">
      <alignment horizontal="left" vertical="center"/>
    </xf>
    <xf numFmtId="0" fontId="28" fillId="7" borderId="2" xfId="3" applyFont="1" applyFill="1" applyBorder="1" applyAlignment="1">
      <alignment horizontal="center" vertical="center"/>
    </xf>
    <xf numFmtId="164" fontId="28" fillId="7" borderId="4" xfId="3" applyNumberFormat="1" applyFont="1" applyFill="1" applyBorder="1" applyAlignment="1">
      <alignment horizontal="center" vertical="center"/>
    </xf>
    <xf numFmtId="165" fontId="28" fillId="7" borderId="4" xfId="4" applyNumberFormat="1" applyFont="1" applyFill="1" applyBorder="1" applyAlignment="1" applyProtection="1">
      <alignment horizontal="center" vertical="center"/>
    </xf>
    <xf numFmtId="164" fontId="28" fillId="7" borderId="4" xfId="5" applyNumberFormat="1" applyFont="1" applyFill="1" applyBorder="1" applyAlignment="1" applyProtection="1">
      <alignment horizontal="center" vertical="center"/>
    </xf>
    <xf numFmtId="164" fontId="28" fillId="7" borderId="4" xfId="4" applyNumberFormat="1" applyFont="1" applyFill="1" applyBorder="1" applyAlignment="1" applyProtection="1">
      <alignment horizontal="center" vertical="center"/>
    </xf>
    <xf numFmtId="168" fontId="28" fillId="7" borderId="4" xfId="5" applyNumberFormat="1" applyFont="1" applyFill="1" applyBorder="1" applyAlignment="1" applyProtection="1">
      <alignment horizontal="center" vertical="center"/>
    </xf>
    <xf numFmtId="9" fontId="28" fillId="7" borderId="4" xfId="10" applyFont="1" applyFill="1" applyBorder="1" applyAlignment="1" applyProtection="1">
      <alignment horizontal="right" vertical="center"/>
    </xf>
    <xf numFmtId="43" fontId="29" fillId="0" borderId="0" xfId="8" applyNumberFormat="1" applyFont="1"/>
    <xf numFmtId="0" fontId="28" fillId="0" borderId="0" xfId="8" applyFont="1"/>
    <xf numFmtId="0" fontId="30" fillId="0" borderId="0" xfId="8" applyFont="1"/>
    <xf numFmtId="0" fontId="30" fillId="0" borderId="0" xfId="8" applyFont="1" applyAlignment="1" applyProtection="1">
      <alignment vertical="top" wrapText="1"/>
      <protection locked="0"/>
    </xf>
    <xf numFmtId="0" fontId="30" fillId="0" borderId="0" xfId="8" applyFont="1" applyProtection="1">
      <protection locked="0"/>
    </xf>
    <xf numFmtId="0" fontId="9" fillId="8" borderId="5" xfId="6" applyFont="1" applyFill="1" applyBorder="1" applyAlignment="1" applyProtection="1">
      <alignment horizontal="left" vertical="center"/>
    </xf>
    <xf numFmtId="0" fontId="9" fillId="8" borderId="2" xfId="6" applyFont="1" applyFill="1" applyBorder="1" applyAlignment="1" applyProtection="1">
      <alignment horizontal="left" vertical="center"/>
    </xf>
    <xf numFmtId="0" fontId="9" fillId="8" borderId="2" xfId="6" applyFont="1" applyFill="1" applyBorder="1" applyAlignment="1" applyProtection="1">
      <alignment vertical="center"/>
    </xf>
    <xf numFmtId="164" fontId="9" fillId="8" borderId="4" xfId="8" applyNumberFormat="1" applyFont="1" applyFill="1" applyBorder="1" applyAlignment="1">
      <alignment vertical="center"/>
    </xf>
    <xf numFmtId="0" fontId="9" fillId="8" borderId="4" xfId="4" applyFont="1" applyFill="1" applyBorder="1" applyAlignment="1" applyProtection="1">
      <alignment horizontal="center" vertical="center"/>
    </xf>
    <xf numFmtId="164" fontId="9" fillId="8" borderId="4" xfId="5" applyNumberFormat="1" applyFont="1" applyFill="1" applyBorder="1" applyAlignment="1" applyProtection="1">
      <alignment vertical="center"/>
    </xf>
    <xf numFmtId="164" fontId="9" fillId="8" borderId="4" xfId="4" applyNumberFormat="1" applyFont="1" applyFill="1" applyBorder="1" applyAlignment="1" applyProtection="1">
      <alignment vertical="center"/>
    </xf>
    <xf numFmtId="164" fontId="9" fillId="8" borderId="4" xfId="5" applyNumberFormat="1" applyFont="1" applyFill="1" applyBorder="1" applyAlignment="1" applyProtection="1">
      <alignment horizontal="center" vertical="center"/>
    </xf>
    <xf numFmtId="167" fontId="9" fillId="8" borderId="4" xfId="8" applyNumberFormat="1" applyFont="1" applyFill="1" applyBorder="1" applyAlignment="1">
      <alignment horizontal="right" vertical="center"/>
    </xf>
    <xf numFmtId="0" fontId="31" fillId="0" borderId="0" xfId="6" applyFont="1" applyFill="1" applyAlignment="1" applyProtection="1">
      <protection locked="0"/>
    </xf>
    <xf numFmtId="0" fontId="25" fillId="0" borderId="0" xfId="6" applyFont="1" applyFill="1" applyAlignment="1" applyProtection="1">
      <protection locked="0"/>
    </xf>
    <xf numFmtId="0" fontId="32" fillId="0" borderId="0" xfId="8" applyFont="1" applyProtection="1">
      <protection locked="0"/>
    </xf>
    <xf numFmtId="0" fontId="33" fillId="9" borderId="5" xfId="6" applyFont="1" applyFill="1" applyBorder="1" applyAlignment="1" applyProtection="1">
      <alignment horizontal="left" vertical="center"/>
    </xf>
    <xf numFmtId="0" fontId="9" fillId="9" borderId="2" xfId="6" applyFont="1" applyFill="1" applyBorder="1" applyAlignment="1" applyProtection="1">
      <alignment horizontal="left" vertical="center"/>
    </xf>
    <xf numFmtId="0" fontId="9" fillId="9" borderId="2" xfId="6" applyFont="1" applyFill="1" applyBorder="1" applyAlignment="1" applyProtection="1">
      <alignment vertical="center"/>
    </xf>
    <xf numFmtId="164" fontId="9" fillId="9" borderId="4" xfId="6" applyNumberFormat="1" applyFont="1" applyFill="1" applyBorder="1" applyAlignment="1" applyProtection="1">
      <alignment vertical="center"/>
    </xf>
    <xf numFmtId="0" fontId="9" fillId="9" borderId="4" xfId="6" applyFont="1" applyFill="1" applyBorder="1" applyAlignment="1" applyProtection="1">
      <alignment horizontal="center" vertical="center"/>
    </xf>
    <xf numFmtId="164" fontId="9" fillId="9" borderId="4" xfId="5" applyNumberFormat="1" applyFont="1" applyFill="1" applyBorder="1" applyAlignment="1" applyProtection="1">
      <alignment horizontal="center" vertical="center"/>
    </xf>
    <xf numFmtId="167" fontId="9" fillId="9" borderId="4" xfId="6" applyNumberFormat="1" applyFont="1" applyFill="1" applyBorder="1" applyAlignment="1" applyProtection="1">
      <alignment horizontal="right" vertical="center"/>
    </xf>
    <xf numFmtId="164" fontId="9" fillId="9" borderId="4" xfId="4" applyNumberFormat="1" applyFont="1" applyFill="1" applyBorder="1" applyAlignment="1" applyProtection="1">
      <alignment vertical="center"/>
    </xf>
    <xf numFmtId="0" fontId="34" fillId="0" borderId="0" xfId="8" applyFont="1" applyProtection="1">
      <protection locked="0"/>
    </xf>
    <xf numFmtId="0" fontId="35" fillId="0" borderId="0" xfId="8" applyFont="1" applyProtection="1">
      <protection locked="0"/>
    </xf>
    <xf numFmtId="0" fontId="36" fillId="0" borderId="0" xfId="8" applyFont="1" applyProtection="1">
      <protection locked="0"/>
    </xf>
    <xf numFmtId="0" fontId="33" fillId="10" borderId="6" xfId="8" applyFont="1" applyFill="1" applyBorder="1" applyAlignment="1">
      <alignment horizontal="left" vertical="center"/>
    </xf>
    <xf numFmtId="0" fontId="9" fillId="10" borderId="2" xfId="8" applyFont="1" applyFill="1" applyBorder="1" applyAlignment="1">
      <alignment horizontal="left" vertical="center"/>
    </xf>
    <xf numFmtId="0" fontId="9" fillId="10" borderId="7" xfId="8" applyFont="1" applyFill="1" applyBorder="1" applyAlignment="1">
      <alignment horizontal="left" vertical="center"/>
    </xf>
    <xf numFmtId="0" fontId="9" fillId="10" borderId="3" xfId="8" applyFont="1" applyFill="1" applyBorder="1" applyAlignment="1">
      <alignment vertical="center"/>
    </xf>
    <xf numFmtId="164" fontId="25" fillId="10" borderId="4" xfId="8" applyNumberFormat="1" applyFont="1" applyFill="1" applyBorder="1" applyAlignment="1">
      <alignment vertical="center"/>
    </xf>
    <xf numFmtId="0" fontId="9" fillId="10" borderId="4" xfId="4" applyFont="1" applyFill="1" applyBorder="1" applyAlignment="1" applyProtection="1">
      <alignment horizontal="center" vertical="center"/>
    </xf>
    <xf numFmtId="164" fontId="25" fillId="10" borderId="4" xfId="5" applyNumberFormat="1" applyFont="1" applyFill="1" applyBorder="1" applyAlignment="1" applyProtection="1">
      <alignment vertical="center"/>
    </xf>
    <xf numFmtId="164" fontId="9" fillId="10" borderId="4" xfId="4" applyNumberFormat="1" applyFont="1" applyFill="1" applyBorder="1" applyAlignment="1" applyProtection="1">
      <alignment vertical="center"/>
    </xf>
    <xf numFmtId="164" fontId="9" fillId="10" borderId="4" xfId="5" applyNumberFormat="1" applyFont="1" applyFill="1" applyBorder="1" applyAlignment="1" applyProtection="1">
      <alignment vertical="center"/>
    </xf>
    <xf numFmtId="164" fontId="9" fillId="10" borderId="4" xfId="5" applyNumberFormat="1" applyFont="1" applyFill="1" applyBorder="1" applyAlignment="1" applyProtection="1">
      <alignment horizontal="center" vertical="center"/>
    </xf>
    <xf numFmtId="167" fontId="9" fillId="10" borderId="4" xfId="10" applyNumberFormat="1" applyFont="1" applyFill="1" applyBorder="1" applyAlignment="1" applyProtection="1">
      <alignment horizontal="right" vertical="center"/>
    </xf>
    <xf numFmtId="0" fontId="37" fillId="0" borderId="6" xfId="8" applyFont="1" applyBorder="1" applyAlignment="1" applyProtection="1">
      <alignment horizontal="left" vertical="center"/>
      <protection locked="0"/>
    </xf>
    <xf numFmtId="0" fontId="32" fillId="0" borderId="2" xfId="8" applyFont="1" applyBorder="1" applyAlignment="1" applyProtection="1">
      <alignment horizontal="left" vertical="center"/>
      <protection locked="0"/>
    </xf>
    <xf numFmtId="0" fontId="32" fillId="0" borderId="7" xfId="8" applyFont="1" applyBorder="1" applyAlignment="1" applyProtection="1">
      <alignment horizontal="left" vertical="center"/>
      <protection locked="0"/>
    </xf>
    <xf numFmtId="0" fontId="32" fillId="0" borderId="3" xfId="8" applyFont="1" applyBorder="1" applyAlignment="1" applyProtection="1">
      <alignment vertical="center"/>
      <protection locked="0"/>
    </xf>
    <xf numFmtId="164" fontId="35" fillId="0" borderId="4" xfId="8" applyNumberFormat="1" applyFont="1" applyBorder="1" applyAlignment="1" applyProtection="1">
      <alignment vertical="center"/>
      <protection locked="0"/>
    </xf>
    <xf numFmtId="0" fontId="32" fillId="0" borderId="4" xfId="4" applyFont="1" applyBorder="1" applyAlignment="1" applyProtection="1">
      <alignment horizontal="center" vertical="center"/>
      <protection locked="0"/>
    </xf>
    <xf numFmtId="164" fontId="35" fillId="0" borderId="4" xfId="5" applyNumberFormat="1" applyFont="1" applyBorder="1" applyAlignment="1" applyProtection="1">
      <alignment vertical="center"/>
      <protection locked="0"/>
    </xf>
    <xf numFmtId="164" fontId="32" fillId="0" borderId="4" xfId="4" applyNumberFormat="1" applyFont="1" applyFill="1" applyBorder="1" applyAlignment="1" applyProtection="1">
      <alignment vertical="center"/>
      <protection locked="0"/>
    </xf>
    <xf numFmtId="164" fontId="32" fillId="0" borderId="4" xfId="5" applyNumberFormat="1" applyFont="1" applyFill="1" applyBorder="1" applyAlignment="1" applyProtection="1">
      <alignment vertical="center"/>
      <protection locked="0"/>
    </xf>
    <xf numFmtId="164" fontId="32" fillId="0" borderId="4" xfId="5" applyNumberFormat="1" applyFont="1" applyBorder="1" applyAlignment="1" applyProtection="1">
      <alignment horizontal="center" vertical="center"/>
      <protection locked="0"/>
    </xf>
    <xf numFmtId="167" fontId="32" fillId="0" borderId="4" xfId="10" applyNumberFormat="1" applyFont="1" applyBorder="1" applyAlignment="1" applyProtection="1">
      <alignment horizontal="right" vertical="center"/>
      <protection locked="0"/>
    </xf>
    <xf numFmtId="164" fontId="32" fillId="0" borderId="4" xfId="4" applyNumberFormat="1" applyFont="1" applyBorder="1" applyAlignment="1" applyProtection="1">
      <alignment vertical="center"/>
      <protection locked="0"/>
    </xf>
    <xf numFmtId="0" fontId="39" fillId="0" borderId="0" xfId="8" applyFont="1" applyProtection="1">
      <protection locked="0"/>
    </xf>
    <xf numFmtId="0" fontId="28" fillId="7" borderId="6" xfId="3" applyFont="1" applyFill="1" applyBorder="1" applyAlignment="1">
      <alignment horizontal="left" vertical="center"/>
    </xf>
    <xf numFmtId="0" fontId="28" fillId="7" borderId="2" xfId="3" applyFont="1" applyFill="1" applyBorder="1" applyAlignment="1" applyProtection="1">
      <alignment horizontal="left" vertical="center"/>
      <protection locked="0"/>
    </xf>
    <xf numFmtId="0" fontId="28" fillId="7" borderId="2" xfId="3" applyFont="1" applyFill="1" applyBorder="1" applyAlignment="1" applyProtection="1">
      <alignment horizontal="centerContinuous" vertical="center"/>
      <protection locked="0"/>
    </xf>
    <xf numFmtId="164" fontId="28" fillId="7" borderId="6" xfId="3" applyNumberFormat="1" applyFont="1" applyFill="1" applyBorder="1" applyAlignment="1" applyProtection="1">
      <alignment horizontal="center" vertical="center"/>
      <protection locked="0"/>
    </xf>
    <xf numFmtId="164" fontId="28" fillId="7" borderId="8" xfId="5" applyNumberFormat="1" applyFont="1" applyFill="1" applyBorder="1" applyAlignment="1" applyProtection="1">
      <alignment horizontal="center" vertical="center"/>
      <protection locked="0"/>
    </xf>
    <xf numFmtId="9" fontId="28" fillId="7" borderId="8" xfId="11" applyFont="1" applyFill="1" applyBorder="1" applyAlignment="1" applyProtection="1">
      <alignment horizontal="center" vertical="center"/>
      <protection locked="0"/>
    </xf>
    <xf numFmtId="168" fontId="28" fillId="7" borderId="8" xfId="5" applyNumberFormat="1" applyFont="1" applyFill="1" applyBorder="1" applyAlignment="1" applyProtection="1">
      <alignment horizontal="center" vertical="center"/>
      <protection locked="0"/>
    </xf>
    <xf numFmtId="0" fontId="40" fillId="0" borderId="0" xfId="8" applyFont="1"/>
    <xf numFmtId="0" fontId="41" fillId="0" borderId="0" xfId="8" applyFont="1"/>
    <xf numFmtId="0" fontId="42" fillId="0" borderId="0" xfId="8" applyFont="1"/>
    <xf numFmtId="0" fontId="43" fillId="0" borderId="0" xfId="8" applyFont="1" applyProtection="1">
      <protection locked="0"/>
    </xf>
    <xf numFmtId="0" fontId="24" fillId="11" borderId="5" xfId="12" applyFont="1" applyFill="1" applyBorder="1" applyAlignment="1" applyProtection="1">
      <alignment horizontal="left" vertical="center"/>
    </xf>
    <xf numFmtId="0" fontId="25" fillId="11" borderId="2" xfId="12" applyFont="1" applyFill="1" applyBorder="1" applyAlignment="1" applyProtection="1">
      <alignment horizontal="left" vertical="center"/>
    </xf>
    <xf numFmtId="0" fontId="24" fillId="11" borderId="2" xfId="12" applyFont="1" applyFill="1" applyBorder="1" applyAlignment="1" applyProtection="1">
      <alignment horizontal="left" vertical="center"/>
    </xf>
    <xf numFmtId="0" fontId="24" fillId="11" borderId="2" xfId="12" applyFont="1" applyFill="1" applyBorder="1" applyAlignment="1" applyProtection="1">
      <alignment vertical="center"/>
    </xf>
    <xf numFmtId="164" fontId="24" fillId="11" borderId="6" xfId="12" applyNumberFormat="1" applyFont="1" applyFill="1" applyBorder="1" applyAlignment="1" applyProtection="1">
      <alignment vertical="center"/>
      <protection locked="0"/>
    </xf>
    <xf numFmtId="0" fontId="44" fillId="11" borderId="2" xfId="4" applyFont="1" applyFill="1" applyBorder="1" applyAlignment="1" applyProtection="1">
      <alignment vertical="center"/>
      <protection locked="0"/>
    </xf>
    <xf numFmtId="164" fontId="24" fillId="11" borderId="2" xfId="5" applyNumberFormat="1" applyFont="1" applyFill="1" applyBorder="1" applyAlignment="1" applyProtection="1">
      <alignment vertical="center"/>
      <protection locked="0"/>
    </xf>
    <xf numFmtId="164" fontId="44" fillId="11" borderId="2" xfId="4" applyNumberFormat="1" applyFont="1" applyFill="1" applyBorder="1" applyAlignment="1" applyProtection="1">
      <alignment vertical="center"/>
      <protection locked="0"/>
    </xf>
    <xf numFmtId="9" fontId="44" fillId="11" borderId="2" xfId="2" applyFont="1" applyFill="1" applyBorder="1" applyAlignment="1" applyProtection="1">
      <alignment horizontal="right" vertical="center"/>
      <protection locked="0"/>
    </xf>
    <xf numFmtId="168" fontId="24" fillId="11" borderId="8" xfId="5" applyNumberFormat="1" applyFont="1" applyFill="1" applyBorder="1" applyAlignment="1" applyProtection="1">
      <alignment vertical="center"/>
      <protection locked="0"/>
    </xf>
    <xf numFmtId="167" fontId="24" fillId="11" borderId="8" xfId="12" applyNumberFormat="1" applyFont="1" applyFill="1" applyBorder="1" applyAlignment="1" applyProtection="1">
      <alignment horizontal="right" vertical="center"/>
      <protection locked="0"/>
    </xf>
    <xf numFmtId="164" fontId="24" fillId="11" borderId="8" xfId="5" applyNumberFormat="1" applyFont="1" applyFill="1" applyBorder="1" applyAlignment="1" applyProtection="1">
      <alignment horizontal="center" vertical="center"/>
      <protection locked="0"/>
    </xf>
    <xf numFmtId="0" fontId="45" fillId="0" borderId="0" xfId="8" applyFont="1" applyProtection="1">
      <protection locked="0"/>
    </xf>
    <xf numFmtId="0" fontId="46" fillId="0" borderId="0" xfId="8" applyFont="1" applyProtection="1">
      <protection locked="0"/>
    </xf>
    <xf numFmtId="0" fontId="47" fillId="0" borderId="0" xfId="8" applyFont="1" applyProtection="1">
      <protection locked="0"/>
    </xf>
    <xf numFmtId="0" fontId="48" fillId="0" borderId="0" xfId="8" applyFont="1" applyProtection="1">
      <protection locked="0"/>
    </xf>
    <xf numFmtId="0" fontId="28" fillId="7" borderId="2" xfId="3" applyFont="1" applyFill="1" applyBorder="1" applyAlignment="1">
      <alignment horizontal="centerContinuous" vertical="center"/>
    </xf>
    <xf numFmtId="0" fontId="28" fillId="7" borderId="2" xfId="4" applyFont="1" applyFill="1" applyBorder="1" applyAlignment="1" applyProtection="1">
      <alignment horizontal="center" vertical="center"/>
      <protection locked="0"/>
    </xf>
    <xf numFmtId="164" fontId="28" fillId="7" borderId="2" xfId="5" applyNumberFormat="1" applyFont="1" applyFill="1" applyBorder="1" applyAlignment="1" applyProtection="1">
      <alignment horizontal="center" vertical="center"/>
      <protection locked="0"/>
    </xf>
    <xf numFmtId="164" fontId="28" fillId="7" borderId="2" xfId="4" applyNumberFormat="1" applyFont="1" applyFill="1" applyBorder="1" applyAlignment="1" applyProtection="1">
      <alignment horizontal="center" vertical="center"/>
      <protection locked="0"/>
    </xf>
    <xf numFmtId="9" fontId="28" fillId="7" borderId="2" xfId="10" applyFont="1" applyFill="1" applyBorder="1" applyAlignment="1" applyProtection="1">
      <alignment horizontal="center" vertical="center"/>
      <protection locked="0"/>
    </xf>
    <xf numFmtId="167" fontId="28" fillId="7" borderId="8" xfId="3" applyNumberFormat="1" applyFont="1" applyFill="1" applyBorder="1" applyAlignment="1" applyProtection="1">
      <alignment horizontal="right" vertical="center"/>
      <protection locked="0"/>
    </xf>
    <xf numFmtId="164" fontId="44" fillId="11" borderId="8" xfId="4" applyNumberFormat="1" applyFont="1" applyFill="1" applyBorder="1" applyAlignment="1" applyProtection="1">
      <alignment vertical="center"/>
      <protection locked="0"/>
    </xf>
    <xf numFmtId="0" fontId="36" fillId="0" borderId="0" xfId="8" applyFont="1"/>
    <xf numFmtId="0" fontId="36" fillId="0" borderId="0" xfId="8" applyFont="1" applyAlignment="1">
      <alignment horizontal="left"/>
    </xf>
    <xf numFmtId="0" fontId="39" fillId="0" borderId="0" xfId="8" applyFont="1" applyAlignment="1">
      <alignment horizontal="left"/>
    </xf>
    <xf numFmtId="0" fontId="39" fillId="0" borderId="0" xfId="8" applyFont="1"/>
    <xf numFmtId="0" fontId="3" fillId="0" borderId="0" xfId="4" applyFont="1" applyProtection="1"/>
    <xf numFmtId="164" fontId="36" fillId="0" borderId="0" xfId="5" applyNumberFormat="1" applyFont="1" applyProtection="1"/>
    <xf numFmtId="164" fontId="3" fillId="0" borderId="0" xfId="4" applyNumberFormat="1" applyFont="1" applyProtection="1"/>
    <xf numFmtId="164" fontId="41" fillId="0" borderId="0" xfId="5" applyNumberFormat="1" applyFont="1" applyAlignment="1" applyProtection="1">
      <alignment horizontal="center"/>
    </xf>
    <xf numFmtId="167" fontId="36" fillId="0" borderId="0" xfId="8" applyNumberFormat="1" applyFont="1" applyAlignment="1">
      <alignment horizontal="right"/>
    </xf>
    <xf numFmtId="164" fontId="36" fillId="0" borderId="0" xfId="5" applyNumberFormat="1" applyFont="1" applyAlignment="1" applyProtection="1">
      <alignment horizontal="center"/>
    </xf>
    <xf numFmtId="0" fontId="48" fillId="0" borderId="0" xfId="8" applyFont="1"/>
    <xf numFmtId="0" fontId="43" fillId="0" borderId="0" xfId="8" applyFont="1"/>
    <xf numFmtId="164" fontId="3" fillId="0" borderId="0" xfId="4" applyNumberFormat="1" applyFont="1" applyProtection="1">
      <protection locked="0"/>
    </xf>
    <xf numFmtId="0" fontId="43" fillId="0" borderId="0" xfId="8" applyFont="1" applyAlignment="1" applyProtection="1">
      <alignment horizontal="left"/>
      <protection locked="0"/>
    </xf>
    <xf numFmtId="0" fontId="49" fillId="0" borderId="0" xfId="8" applyFont="1" applyAlignment="1" applyProtection="1">
      <alignment horizontal="left"/>
      <protection locked="0"/>
    </xf>
    <xf numFmtId="0" fontId="49" fillId="0" borderId="0" xfId="8" applyFont="1" applyProtection="1">
      <protection locked="0"/>
    </xf>
    <xf numFmtId="164" fontId="43" fillId="0" borderId="0" xfId="5" applyNumberFormat="1" applyFont="1" applyAlignment="1" applyProtection="1">
      <alignment horizontal="center"/>
      <protection locked="0"/>
    </xf>
    <xf numFmtId="0" fontId="3" fillId="0" borderId="0" xfId="4" applyFont="1" applyAlignment="1" applyProtection="1">
      <alignment horizontal="center"/>
      <protection locked="0"/>
    </xf>
    <xf numFmtId="164" fontId="43" fillId="0" borderId="0" xfId="5" applyNumberFormat="1" applyFont="1" applyAlignment="1" applyProtection="1">
      <protection locked="0"/>
    </xf>
    <xf numFmtId="164" fontId="3" fillId="0" borderId="0" xfId="4" applyNumberFormat="1" applyFont="1" applyAlignment="1" applyProtection="1">
      <protection locked="0"/>
    </xf>
    <xf numFmtId="164" fontId="43" fillId="0" borderId="0" xfId="5" applyNumberFormat="1" applyFont="1" applyProtection="1">
      <protection locked="0"/>
    </xf>
    <xf numFmtId="164" fontId="42" fillId="0" borderId="0" xfId="5" applyNumberFormat="1" applyFont="1" applyAlignment="1" applyProtection="1">
      <alignment horizontal="center"/>
      <protection locked="0"/>
    </xf>
    <xf numFmtId="167" fontId="43" fillId="0" borderId="0" xfId="8" applyNumberFormat="1" applyFont="1" applyAlignment="1" applyProtection="1">
      <alignment horizontal="right"/>
      <protection locked="0"/>
    </xf>
    <xf numFmtId="0" fontId="31" fillId="0" borderId="0" xfId="6" applyFont="1" applyFill="1" applyAlignment="1" applyProtection="1"/>
    <xf numFmtId="0" fontId="9" fillId="0" borderId="0" xfId="6" applyFont="1" applyFill="1" applyAlignment="1" applyProtection="1"/>
    <xf numFmtId="0" fontId="25" fillId="0" borderId="0" xfId="6" applyFont="1" applyFill="1" applyAlignment="1" applyProtection="1"/>
    <xf numFmtId="0" fontId="34" fillId="0" borderId="0" xfId="8" applyFont="1"/>
    <xf numFmtId="0" fontId="32" fillId="0" borderId="0" xfId="8" applyFont="1"/>
    <xf numFmtId="0" fontId="35" fillId="0" borderId="0" xfId="8" applyFont="1"/>
    <xf numFmtId="0" fontId="1" fillId="0" borderId="0" xfId="13" applyAlignment="1">
      <alignment vertical="center"/>
    </xf>
    <xf numFmtId="168" fontId="1" fillId="0" borderId="0" xfId="13" applyNumberFormat="1" applyAlignment="1">
      <alignment vertical="center"/>
    </xf>
    <xf numFmtId="43" fontId="1" fillId="0" borderId="0" xfId="14" applyFont="1" applyAlignment="1">
      <alignment vertical="center"/>
    </xf>
    <xf numFmtId="43" fontId="1" fillId="0" borderId="0" xfId="13" applyNumberFormat="1" applyAlignment="1">
      <alignment vertical="center"/>
    </xf>
    <xf numFmtId="165" fontId="1" fillId="0" borderId="0" xfId="13" applyNumberFormat="1" applyAlignment="1">
      <alignment vertical="center"/>
    </xf>
    <xf numFmtId="0" fontId="10" fillId="2" borderId="0" xfId="15" applyFont="1" applyFill="1" applyAlignment="1">
      <alignment horizontal="left" vertical="center"/>
    </xf>
    <xf numFmtId="0" fontId="10" fillId="2" borderId="0" xfId="15" applyFont="1" applyFill="1" applyAlignment="1">
      <alignment horizontal="centerContinuous" vertical="center"/>
    </xf>
    <xf numFmtId="0" fontId="15" fillId="0" borderId="0" xfId="15" applyFont="1">
      <alignment vertical="center"/>
    </xf>
    <xf numFmtId="0" fontId="17" fillId="2" borderId="0" xfId="15" applyFont="1" applyFill="1" applyAlignment="1">
      <alignment horizontal="centerContinuous" vertical="center"/>
    </xf>
    <xf numFmtId="0" fontId="2" fillId="0" borderId="0" xfId="15" applyFont="1">
      <alignment vertical="center"/>
    </xf>
    <xf numFmtId="0" fontId="51" fillId="12" borderId="0" xfId="16" applyFont="1" applyFill="1" applyAlignment="1">
      <alignment horizontal="left" vertical="center" indent="1"/>
    </xf>
    <xf numFmtId="0" fontId="51" fillId="12" borderId="0" xfId="16" applyFont="1" applyFill="1" applyAlignment="1">
      <alignment vertical="center"/>
    </xf>
    <xf numFmtId="3" fontId="51" fillId="12" borderId="0" xfId="16" applyNumberFormat="1" applyFont="1" applyFill="1" applyAlignment="1">
      <alignment horizontal="left" vertical="center" wrapText="1"/>
    </xf>
    <xf numFmtId="0" fontId="51" fillId="12" borderId="0" xfId="16" applyFont="1" applyFill="1" applyAlignment="1">
      <alignment horizontal="right" vertical="center" indent="1"/>
    </xf>
    <xf numFmtId="3" fontId="51" fillId="12" borderId="0" xfId="16" applyNumberFormat="1" applyFont="1" applyFill="1" applyAlignment="1">
      <alignment horizontal="right" vertical="center" wrapText="1"/>
    </xf>
    <xf numFmtId="0" fontId="52" fillId="0" borderId="0" xfId="15" applyFont="1">
      <alignment vertical="center"/>
    </xf>
    <xf numFmtId="3" fontId="51" fillId="12" borderId="0" xfId="16" applyNumberFormat="1" applyFont="1" applyFill="1" applyAlignment="1">
      <alignment vertical="center"/>
    </xf>
    <xf numFmtId="0" fontId="51" fillId="12" borderId="0" xfId="16" applyFont="1" applyFill="1" applyAlignment="1">
      <alignment vertical="center" wrapText="1"/>
    </xf>
    <xf numFmtId="4" fontId="51" fillId="12" borderId="0" xfId="16" applyNumberFormat="1" applyFont="1" applyFill="1" applyAlignment="1">
      <alignment horizontal="left" vertical="center" wrapText="1"/>
    </xf>
    <xf numFmtId="3" fontId="51" fillId="12" borderId="0" xfId="16" applyNumberFormat="1" applyFont="1" applyFill="1" applyAlignment="1">
      <alignment horizontal="center" vertical="center" wrapText="1"/>
    </xf>
    <xf numFmtId="164" fontId="53" fillId="12" borderId="0" xfId="4" applyNumberFormat="1" applyFont="1" applyFill="1" applyAlignment="1">
      <alignment vertical="center"/>
    </xf>
    <xf numFmtId="0" fontId="54" fillId="5" borderId="9" xfId="16" applyFont="1" applyFill="1" applyBorder="1" applyAlignment="1">
      <alignment horizontal="centerContinuous" vertical="center" wrapText="1"/>
    </xf>
    <xf numFmtId="0" fontId="54" fillId="5" borderId="10" xfId="16" applyFont="1" applyFill="1" applyBorder="1" applyAlignment="1">
      <alignment vertical="center"/>
    </xf>
    <xf numFmtId="0" fontId="54" fillId="5" borderId="11" xfId="16" applyFont="1" applyFill="1" applyBorder="1" applyAlignment="1">
      <alignment vertical="center"/>
    </xf>
    <xf numFmtId="0" fontId="54" fillId="5" borderId="9" xfId="16" applyFont="1" applyFill="1" applyBorder="1" applyAlignment="1">
      <alignment horizontal="center" vertical="center" wrapText="1"/>
    </xf>
    <xf numFmtId="0" fontId="54" fillId="5" borderId="12" xfId="16" applyFont="1" applyFill="1" applyBorder="1" applyAlignment="1">
      <alignment horizontal="center" vertical="center" wrapText="1"/>
    </xf>
    <xf numFmtId="0" fontId="54" fillId="5" borderId="12" xfId="16" applyFont="1" applyFill="1" applyBorder="1" applyAlignment="1">
      <alignment horizontal="centerContinuous" vertical="center"/>
    </xf>
    <xf numFmtId="0" fontId="54" fillId="5" borderId="13" xfId="16" applyFont="1" applyFill="1" applyBorder="1" applyAlignment="1">
      <alignment horizontal="center" vertical="center" wrapText="1"/>
    </xf>
    <xf numFmtId="0" fontId="55" fillId="0" borderId="0" xfId="13" applyFont="1" applyAlignment="1">
      <alignment vertical="center"/>
    </xf>
    <xf numFmtId="169" fontId="9" fillId="8" borderId="14" xfId="6" applyNumberFormat="1" applyFont="1" applyFill="1" applyBorder="1" applyAlignment="1">
      <alignment horizontal="left" vertical="center"/>
    </xf>
    <xf numFmtId="0" fontId="9" fillId="8" borderId="14" xfId="6" applyFont="1" applyFill="1" applyBorder="1" applyAlignment="1">
      <alignment vertical="center"/>
    </xf>
    <xf numFmtId="0" fontId="9" fillId="8" borderId="0" xfId="6" applyFont="1" applyFill="1" applyBorder="1" applyAlignment="1">
      <alignment vertical="center"/>
    </xf>
    <xf numFmtId="0" fontId="9" fillId="8" borderId="15" xfId="6" applyFont="1" applyFill="1" applyBorder="1" applyAlignment="1">
      <alignment vertical="center"/>
    </xf>
    <xf numFmtId="0" fontId="1" fillId="0" borderId="14" xfId="13" applyBorder="1" applyAlignment="1">
      <alignment vertical="center"/>
    </xf>
    <xf numFmtId="0" fontId="1" fillId="0" borderId="15" xfId="13" applyBorder="1" applyAlignment="1">
      <alignment vertical="center"/>
    </xf>
    <xf numFmtId="0" fontId="56" fillId="0" borderId="5" xfId="13" applyFont="1" applyBorder="1" applyAlignment="1">
      <alignment horizontal="center" vertical="center"/>
    </xf>
    <xf numFmtId="0" fontId="56" fillId="0" borderId="6" xfId="13" applyFont="1" applyBorder="1" applyAlignment="1">
      <alignment vertical="center"/>
    </xf>
    <xf numFmtId="0" fontId="1" fillId="0" borderId="2" xfId="13" applyBorder="1" applyAlignment="1">
      <alignment vertical="center"/>
    </xf>
    <xf numFmtId="0" fontId="1" fillId="0" borderId="8" xfId="13" applyBorder="1" applyAlignment="1">
      <alignment vertical="center"/>
    </xf>
    <xf numFmtId="168" fontId="56" fillId="0" borderId="16" xfId="14" applyNumberFormat="1" applyFont="1" applyBorder="1" applyAlignment="1">
      <alignment vertical="center"/>
    </xf>
    <xf numFmtId="9" fontId="56" fillId="0" borderId="16" xfId="2" applyFont="1" applyBorder="1" applyAlignment="1">
      <alignment horizontal="center" vertical="center"/>
    </xf>
    <xf numFmtId="0" fontId="2" fillId="0" borderId="5" xfId="13" applyFont="1" applyBorder="1" applyAlignment="1">
      <alignment horizontal="center" vertical="center"/>
    </xf>
    <xf numFmtId="0" fontId="56" fillId="0" borderId="2" xfId="13" applyFont="1" applyBorder="1" applyAlignment="1">
      <alignment vertical="center"/>
    </xf>
    <xf numFmtId="0" fontId="2" fillId="0" borderId="2" xfId="13" applyFont="1" applyBorder="1" applyAlignment="1">
      <alignment vertical="center"/>
    </xf>
    <xf numFmtId="0" fontId="2" fillId="0" borderId="8" xfId="13" applyFont="1" applyBorder="1" applyAlignment="1">
      <alignment vertical="center"/>
    </xf>
    <xf numFmtId="168" fontId="56" fillId="0" borderId="4" xfId="14" applyNumberFormat="1" applyFont="1" applyBorder="1" applyAlignment="1">
      <alignment vertical="center"/>
    </xf>
    <xf numFmtId="9" fontId="56" fillId="0" borderId="17" xfId="17" applyFont="1" applyBorder="1" applyAlignment="1">
      <alignment horizontal="center" vertical="center"/>
    </xf>
    <xf numFmtId="0" fontId="2" fillId="0" borderId="0" xfId="13" applyFont="1" applyAlignment="1">
      <alignment vertical="center"/>
    </xf>
    <xf numFmtId="168" fontId="56" fillId="0" borderId="16" xfId="1" applyNumberFormat="1" applyFont="1" applyBorder="1" applyAlignment="1">
      <alignment vertical="center"/>
    </xf>
    <xf numFmtId="0" fontId="1" fillId="0" borderId="5" xfId="13" applyBorder="1" applyAlignment="1">
      <alignment horizontal="center" vertical="center"/>
    </xf>
    <xf numFmtId="0" fontId="57" fillId="0" borderId="6" xfId="13" applyFont="1" applyBorder="1" applyAlignment="1">
      <alignment vertical="center"/>
    </xf>
    <xf numFmtId="0" fontId="57" fillId="0" borderId="2" xfId="13" applyFont="1" applyBorder="1" applyAlignment="1">
      <alignment vertical="center"/>
    </xf>
    <xf numFmtId="0" fontId="58" fillId="0" borderId="2" xfId="13" applyFont="1" applyBorder="1" applyAlignment="1">
      <alignment vertical="center"/>
    </xf>
    <xf numFmtId="168" fontId="57" fillId="0" borderId="16" xfId="14" applyNumberFormat="1" applyFont="1" applyBorder="1" applyAlignment="1">
      <alignment vertical="center"/>
    </xf>
    <xf numFmtId="168" fontId="57" fillId="0" borderId="4" xfId="14" applyNumberFormat="1" applyFont="1" applyBorder="1" applyAlignment="1">
      <alignment vertical="center"/>
    </xf>
    <xf numFmtId="9" fontId="57" fillId="0" borderId="17" xfId="17" applyFont="1" applyBorder="1" applyAlignment="1">
      <alignment horizontal="center" vertical="center"/>
    </xf>
    <xf numFmtId="0" fontId="2" fillId="0" borderId="5" xfId="13" applyFont="1" applyBorder="1" applyAlignment="1">
      <alignment vertical="center"/>
    </xf>
    <xf numFmtId="0" fontId="1" fillId="0" borderId="5" xfId="13" applyBorder="1" applyAlignment="1">
      <alignment vertical="center"/>
    </xf>
    <xf numFmtId="168" fontId="57" fillId="0" borderId="16" xfId="14" applyNumberFormat="1" applyFont="1" applyFill="1" applyBorder="1" applyAlignment="1">
      <alignment vertical="center"/>
    </xf>
    <xf numFmtId="168" fontId="57" fillId="0" borderId="4" xfId="14" applyNumberFormat="1" applyFont="1" applyFill="1" applyBorder="1" applyAlignment="1">
      <alignment vertical="center"/>
    </xf>
    <xf numFmtId="9" fontId="57" fillId="0" borderId="17" xfId="17" applyFont="1" applyFill="1" applyBorder="1" applyAlignment="1">
      <alignment horizontal="center" vertical="center"/>
    </xf>
    <xf numFmtId="0" fontId="56" fillId="0" borderId="18" xfId="13" applyFont="1" applyBorder="1" applyAlignment="1">
      <alignment vertical="center"/>
    </xf>
    <xf numFmtId="0" fontId="56" fillId="0" borderId="19" xfId="13" applyFont="1" applyBorder="1" applyAlignment="1">
      <alignment vertical="center"/>
    </xf>
    <xf numFmtId="0" fontId="59" fillId="0" borderId="19" xfId="13" applyFont="1" applyBorder="1" applyAlignment="1">
      <alignment vertical="center"/>
    </xf>
    <xf numFmtId="168" fontId="56" fillId="0" borderId="16" xfId="14" applyNumberFormat="1" applyFont="1" applyBorder="1" applyAlignment="1">
      <alignment horizontal="right" vertical="center"/>
    </xf>
    <xf numFmtId="0" fontId="17" fillId="13" borderId="16" xfId="13" applyFont="1" applyFill="1" applyBorder="1" applyAlignment="1">
      <alignment vertical="center"/>
    </xf>
    <xf numFmtId="168" fontId="17" fillId="13" borderId="16" xfId="14" applyNumberFormat="1" applyFont="1" applyFill="1" applyBorder="1" applyAlignment="1">
      <alignment vertical="center"/>
    </xf>
    <xf numFmtId="168" fontId="17" fillId="13" borderId="4" xfId="14" applyNumberFormat="1" applyFont="1" applyFill="1" applyBorder="1" applyAlignment="1">
      <alignment vertical="center"/>
    </xf>
    <xf numFmtId="9" fontId="17" fillId="13" borderId="17" xfId="17" applyFont="1" applyFill="1" applyBorder="1" applyAlignment="1">
      <alignment horizontal="center" vertical="center"/>
    </xf>
    <xf numFmtId="0" fontId="1" fillId="10" borderId="5" xfId="13" applyFill="1" applyBorder="1" applyAlignment="1">
      <alignment vertical="center"/>
    </xf>
    <xf numFmtId="0" fontId="1" fillId="10" borderId="6" xfId="13" applyFill="1" applyBorder="1" applyAlignment="1">
      <alignment vertical="center"/>
    </xf>
    <xf numFmtId="0" fontId="57" fillId="10" borderId="2" xfId="13" applyFont="1" applyFill="1" applyBorder="1" applyAlignment="1">
      <alignment vertical="center"/>
    </xf>
    <xf numFmtId="0" fontId="1" fillId="10" borderId="2" xfId="13" applyFill="1" applyBorder="1" applyAlignment="1">
      <alignment vertical="center"/>
    </xf>
    <xf numFmtId="167" fontId="57" fillId="10" borderId="8" xfId="13" applyNumberFormat="1" applyFont="1" applyFill="1" applyBorder="1" applyAlignment="1">
      <alignment vertical="center"/>
    </xf>
    <xf numFmtId="168" fontId="57" fillId="10" borderId="16" xfId="14" applyNumberFormat="1" applyFont="1" applyFill="1" applyBorder="1" applyAlignment="1">
      <alignment vertical="center"/>
    </xf>
    <xf numFmtId="168" fontId="57" fillId="10" borderId="3" xfId="14" applyNumberFormat="1" applyFont="1" applyFill="1" applyBorder="1" applyAlignment="1">
      <alignment vertical="center"/>
    </xf>
    <xf numFmtId="168" fontId="17" fillId="13" borderId="16" xfId="13" applyNumberFormat="1" applyFont="1" applyFill="1" applyBorder="1" applyAlignment="1">
      <alignment vertical="center"/>
    </xf>
    <xf numFmtId="168" fontId="17" fillId="13" borderId="4" xfId="13" applyNumberFormat="1" applyFont="1" applyFill="1" applyBorder="1" applyAlignment="1">
      <alignment vertical="center"/>
    </xf>
    <xf numFmtId="168" fontId="17" fillId="13" borderId="17" xfId="13" applyNumberFormat="1" applyFont="1" applyFill="1" applyBorder="1" applyAlignment="1">
      <alignment vertical="center"/>
    </xf>
    <xf numFmtId="0" fontId="17" fillId="13" borderId="21" xfId="13" applyFont="1" applyFill="1" applyBorder="1" applyAlignment="1">
      <alignment vertical="center"/>
    </xf>
    <xf numFmtId="168" fontId="17" fillId="13" borderId="21" xfId="13" applyNumberFormat="1" applyFont="1" applyFill="1" applyBorder="1" applyAlignment="1">
      <alignment vertical="center"/>
    </xf>
    <xf numFmtId="168" fontId="17" fillId="13" borderId="22" xfId="13" applyNumberFormat="1" applyFont="1" applyFill="1" applyBorder="1" applyAlignment="1">
      <alignment vertical="center"/>
    </xf>
    <xf numFmtId="168" fontId="17" fillId="13" borderId="23" xfId="13" applyNumberFormat="1" applyFont="1" applyFill="1" applyBorder="1" applyAlignment="1">
      <alignment vertical="center"/>
    </xf>
    <xf numFmtId="0" fontId="17" fillId="0" borderId="0" xfId="13" applyFont="1" applyAlignment="1">
      <alignment vertical="center"/>
    </xf>
    <xf numFmtId="0" fontId="26" fillId="0" borderId="0" xfId="16" applyFont="1" applyAlignment="1">
      <alignment horizontal="center" vertical="center"/>
    </xf>
    <xf numFmtId="43" fontId="60" fillId="0" borderId="0" xfId="13" applyNumberFormat="1" applyFont="1" applyAlignment="1">
      <alignment vertical="center"/>
    </xf>
    <xf numFmtId="168" fontId="60" fillId="0" borderId="0" xfId="13" applyNumberFormat="1" applyFont="1" applyAlignment="1">
      <alignment vertical="center"/>
    </xf>
    <xf numFmtId="168" fontId="17" fillId="0" borderId="0" xfId="13" applyNumberFormat="1" applyFont="1" applyAlignment="1">
      <alignment vertical="center"/>
    </xf>
    <xf numFmtId="168" fontId="17" fillId="0" borderId="0" xfId="14" applyNumberFormat="1" applyFont="1" applyFill="1" applyBorder="1" applyAlignment="1">
      <alignment vertical="center"/>
    </xf>
    <xf numFmtId="43" fontId="61" fillId="0" borderId="0" xfId="14" applyFont="1" applyAlignment="1">
      <alignment vertical="center"/>
    </xf>
    <xf numFmtId="0" fontId="30" fillId="0" borderId="0" xfId="16" applyFont="1" applyAlignment="1" applyProtection="1">
      <alignment horizontal="left" vertical="center"/>
      <protection locked="0"/>
    </xf>
    <xf numFmtId="0" fontId="56" fillId="0" borderId="0" xfId="13" applyFont="1" applyAlignment="1" applyProtection="1">
      <alignment vertical="center"/>
      <protection locked="0"/>
    </xf>
    <xf numFmtId="0" fontId="56" fillId="0" borderId="0" xfId="13" applyFont="1" applyAlignment="1">
      <alignment vertical="center"/>
    </xf>
    <xf numFmtId="0" fontId="56" fillId="0" borderId="0" xfId="13" applyFont="1" applyAlignment="1">
      <alignment horizontal="center" vertical="center"/>
    </xf>
    <xf numFmtId="0" fontId="1" fillId="0" borderId="0" xfId="13"/>
    <xf numFmtId="0" fontId="9" fillId="10" borderId="2" xfId="8" applyFont="1" applyFill="1" applyBorder="1" applyAlignment="1">
      <alignment vertical="center"/>
    </xf>
    <xf numFmtId="0" fontId="32" fillId="0" borderId="2" xfId="8" applyFont="1" applyBorder="1" applyAlignment="1" applyProtection="1">
      <alignment vertical="center"/>
      <protection locked="0"/>
    </xf>
    <xf numFmtId="0" fontId="26" fillId="0" borderId="0" xfId="8" applyFont="1" applyAlignment="1">
      <alignment horizontal="center" vertical="center"/>
    </xf>
    <xf numFmtId="0" fontId="26" fillId="0" borderId="0" xfId="8" applyFont="1" applyAlignment="1" applyProtection="1">
      <alignment horizontal="center" vertical="center"/>
      <protection locked="0"/>
    </xf>
    <xf numFmtId="0" fontId="23" fillId="0" borderId="0" xfId="3" applyFont="1" applyAlignment="1">
      <alignment horizontal="left" vertical="center"/>
    </xf>
    <xf numFmtId="0" fontId="24" fillId="4" borderId="0" xfId="3" applyFont="1" applyFill="1" applyAlignment="1">
      <alignment horizontal="left" vertical="center"/>
    </xf>
    <xf numFmtId="0" fontId="23" fillId="0" borderId="0" xfId="3" applyFont="1" applyAlignment="1">
      <alignment vertical="center"/>
    </xf>
    <xf numFmtId="0" fontId="28" fillId="7" borderId="8" xfId="3" applyFont="1" applyFill="1" applyBorder="1" applyAlignment="1" applyProtection="1">
      <alignment horizontal="center" vertical="center"/>
      <protection locked="0"/>
    </xf>
    <xf numFmtId="0" fontId="9" fillId="8" borderId="8" xfId="6" applyFont="1" applyFill="1" applyBorder="1" applyAlignment="1" applyProtection="1">
      <alignment vertical="center"/>
    </xf>
    <xf numFmtId="0" fontId="9" fillId="9" borderId="8" xfId="6" applyFont="1" applyFill="1" applyBorder="1" applyAlignment="1" applyProtection="1">
      <alignment vertical="center"/>
    </xf>
    <xf numFmtId="0" fontId="9" fillId="10" borderId="8" xfId="8" applyFont="1" applyFill="1" applyBorder="1" applyAlignment="1">
      <alignment vertical="center"/>
    </xf>
    <xf numFmtId="0" fontId="32" fillId="0" borderId="8" xfId="8" applyFont="1" applyBorder="1" applyAlignment="1" applyProtection="1">
      <alignment vertical="center"/>
      <protection locked="0"/>
    </xf>
    <xf numFmtId="0" fontId="28" fillId="7" borderId="8" xfId="3" applyFont="1" applyFill="1" applyBorder="1" applyAlignment="1" applyProtection="1">
      <alignment horizontal="left" vertical="center"/>
      <protection locked="0"/>
    </xf>
    <xf numFmtId="0" fontId="24" fillId="11" borderId="8" xfId="12" applyFont="1" applyFill="1" applyBorder="1" applyAlignment="1" applyProtection="1">
      <alignment vertical="center"/>
      <protection locked="0"/>
    </xf>
    <xf numFmtId="0" fontId="28" fillId="0" borderId="2" xfId="3" applyFont="1" applyBorder="1" applyAlignment="1">
      <alignment horizontal="center" vertical="center"/>
    </xf>
    <xf numFmtId="0" fontId="38" fillId="0" borderId="0" xfId="8" applyFont="1" applyAlignment="1" applyProtection="1">
      <alignment horizontal="center" vertical="center"/>
      <protection locked="0"/>
    </xf>
    <xf numFmtId="0" fontId="28" fillId="0" borderId="0" xfId="8" applyFont="1" applyAlignment="1" applyProtection="1">
      <alignment horizontal="center" vertical="center"/>
      <protection locked="0"/>
    </xf>
    <xf numFmtId="0" fontId="12" fillId="0" borderId="0" xfId="3" applyFont="1" applyAlignment="1" applyProtection="1">
      <alignment horizontal="left" vertical="center" indent="1"/>
      <protection locked="0"/>
    </xf>
    <xf numFmtId="0" fontId="12" fillId="0" borderId="0" xfId="3" applyFont="1" applyAlignment="1" applyProtection="1">
      <alignment horizontal="left" vertical="center"/>
      <protection locked="0"/>
    </xf>
    <xf numFmtId="164" fontId="12" fillId="0" borderId="0" xfId="3" applyNumberFormat="1" applyFont="1" applyAlignment="1" applyProtection="1">
      <alignment vertical="center"/>
      <protection locked="0"/>
    </xf>
    <xf numFmtId="0" fontId="9" fillId="0" borderId="0" xfId="4" applyFont="1" applyFill="1" applyAlignment="1" applyProtection="1">
      <alignment vertical="center"/>
      <protection locked="0"/>
    </xf>
    <xf numFmtId="164" fontId="12" fillId="0" borderId="0" xfId="5" applyNumberFormat="1" applyFont="1" applyFill="1" applyAlignment="1" applyProtection="1">
      <alignment vertical="center"/>
      <protection locked="0"/>
    </xf>
    <xf numFmtId="164" fontId="9" fillId="0" borderId="0" xfId="4" applyNumberFormat="1" applyFont="1" applyFill="1" applyAlignment="1" applyProtection="1">
      <alignment vertical="center"/>
      <protection locked="0"/>
    </xf>
    <xf numFmtId="164" fontId="9" fillId="0" borderId="0" xfId="4" applyNumberFormat="1" applyFont="1" applyFill="1" applyAlignment="1" applyProtection="1">
      <alignment horizontal="left" vertical="center"/>
      <protection locked="0"/>
    </xf>
    <xf numFmtId="164" fontId="20" fillId="0" borderId="0" xfId="5" applyNumberFormat="1" applyFont="1" applyFill="1" applyAlignment="1" applyProtection="1">
      <alignment horizontal="center" vertical="center"/>
      <protection locked="0"/>
    </xf>
    <xf numFmtId="167" fontId="12" fillId="0" borderId="0" xfId="3" applyNumberFormat="1" applyFont="1" applyAlignment="1" applyProtection="1">
      <alignment vertical="center"/>
      <protection locked="0"/>
    </xf>
    <xf numFmtId="9" fontId="12" fillId="0" borderId="0" xfId="2" applyFont="1" applyFill="1" applyAlignment="1" applyProtection="1">
      <alignment horizontal="center" vertical="center"/>
      <protection locked="0"/>
    </xf>
    <xf numFmtId="164" fontId="12" fillId="0" borderId="0" xfId="5" applyNumberFormat="1" applyFont="1" applyFill="1" applyAlignment="1" applyProtection="1">
      <alignment horizontal="center" vertical="center"/>
      <protection locked="0"/>
    </xf>
    <xf numFmtId="0" fontId="47" fillId="0" borderId="0" xfId="8" applyFont="1" applyAlignment="1" applyProtection="1">
      <alignment vertical="center"/>
      <protection locked="0"/>
    </xf>
    <xf numFmtId="0" fontId="47" fillId="0" borderId="0" xfId="8" applyFont="1" applyAlignment="1" applyProtection="1">
      <alignment horizontal="left" vertical="center"/>
      <protection locked="0"/>
    </xf>
    <xf numFmtId="0" fontId="62" fillId="0" borderId="0" xfId="8" applyFont="1" applyAlignment="1" applyProtection="1">
      <alignment horizontal="left" vertical="center"/>
      <protection locked="0"/>
    </xf>
    <xf numFmtId="0" fontId="62" fillId="0" borderId="0" xfId="8" applyFont="1" applyAlignment="1" applyProtection="1">
      <alignment vertical="center"/>
      <protection locked="0"/>
    </xf>
    <xf numFmtId="164" fontId="47" fillId="0" borderId="0" xfId="5" applyNumberFormat="1" applyFont="1" applyAlignment="1" applyProtection="1">
      <alignment horizontal="center" vertical="center"/>
      <protection locked="0"/>
    </xf>
    <xf numFmtId="0" fontId="32" fillId="0" borderId="0" xfId="4" applyFont="1" applyAlignment="1" applyProtection="1">
      <alignment horizontal="center" vertical="center"/>
      <protection locked="0"/>
    </xf>
    <xf numFmtId="164" fontId="47" fillId="0" borderId="0" xfId="5" applyNumberFormat="1" applyFont="1" applyAlignment="1" applyProtection="1">
      <alignment vertical="center"/>
      <protection locked="0"/>
    </xf>
    <xf numFmtId="164" fontId="32" fillId="0" borderId="0" xfId="4" applyNumberFormat="1" applyFont="1" applyAlignment="1" applyProtection="1">
      <alignment vertical="center"/>
      <protection locked="0"/>
    </xf>
    <xf numFmtId="167" fontId="47" fillId="0" borderId="0" xfId="8" applyNumberFormat="1" applyFont="1" applyAlignment="1" applyProtection="1">
      <alignment horizontal="right" vertical="center"/>
      <protection locked="0"/>
    </xf>
    <xf numFmtId="0" fontId="45" fillId="0" borderId="0" xfId="8" applyFont="1" applyAlignment="1">
      <alignment vertical="center"/>
    </xf>
    <xf numFmtId="0" fontId="46" fillId="0" borderId="0" xfId="8" applyFont="1" applyAlignment="1">
      <alignment vertical="center"/>
    </xf>
    <xf numFmtId="0" fontId="47" fillId="0" borderId="0" xfId="8" applyFont="1" applyAlignment="1">
      <alignment vertical="center"/>
    </xf>
    <xf numFmtId="0" fontId="46" fillId="0" borderId="0" xfId="8" applyFont="1" applyAlignment="1" applyProtection="1">
      <alignment vertical="center"/>
      <protection locked="0"/>
    </xf>
    <xf numFmtId="164" fontId="62" fillId="0" borderId="0" xfId="5" applyNumberFormat="1" applyFont="1" applyAlignment="1" applyProtection="1">
      <alignment horizontal="center" vertical="center"/>
      <protection locked="0"/>
    </xf>
    <xf numFmtId="0" fontId="9" fillId="0" borderId="0" xfId="4" applyFont="1" applyAlignment="1" applyProtection="1">
      <alignment horizontal="center" vertical="center"/>
      <protection locked="0"/>
    </xf>
    <xf numFmtId="164" fontId="62" fillId="0" borderId="0" xfId="5" applyNumberFormat="1" applyFont="1" applyAlignment="1" applyProtection="1">
      <alignment vertical="center"/>
      <protection locked="0"/>
    </xf>
    <xf numFmtId="164" fontId="9" fillId="0" borderId="0" xfId="4" applyNumberFormat="1" applyFont="1" applyAlignment="1" applyProtection="1">
      <alignment vertical="center"/>
      <protection locked="0"/>
    </xf>
    <xf numFmtId="167" fontId="62" fillId="0" borderId="0" xfId="8" applyNumberFormat="1" applyFont="1" applyAlignment="1" applyProtection="1">
      <alignment horizontal="right" vertical="center"/>
      <protection locked="0"/>
    </xf>
    <xf numFmtId="0" fontId="63" fillId="0" borderId="0" xfId="8" applyFont="1" applyAlignment="1">
      <alignment vertical="center"/>
    </xf>
    <xf numFmtId="0" fontId="64" fillId="0" borderId="0" xfId="8" applyFont="1" applyAlignment="1">
      <alignment vertical="center"/>
    </xf>
    <xf numFmtId="0" fontId="62" fillId="0" borderId="0" xfId="8" applyFont="1" applyAlignment="1">
      <alignment vertical="center"/>
    </xf>
    <xf numFmtId="0" fontId="64" fillId="0" borderId="0" xfId="8" applyFont="1" applyAlignment="1" applyProtection="1">
      <alignment vertical="center"/>
      <protection locked="0"/>
    </xf>
    <xf numFmtId="164" fontId="47" fillId="0" borderId="0" xfId="5" applyNumberFormat="1" applyFont="1" applyAlignment="1" applyProtection="1">
      <alignment horizontal="left" vertical="center"/>
      <protection locked="0"/>
    </xf>
    <xf numFmtId="164" fontId="62" fillId="0" borderId="0" xfId="5" applyNumberFormat="1" applyFont="1" applyAlignment="1" applyProtection="1">
      <alignment horizontal="left" vertical="center"/>
      <protection locked="0"/>
    </xf>
    <xf numFmtId="164" fontId="36" fillId="0" borderId="0" xfId="8" applyNumberFormat="1" applyFont="1"/>
    <xf numFmtId="0" fontId="51" fillId="0" borderId="0" xfId="16" applyFont="1" applyAlignment="1">
      <alignment vertical="center"/>
    </xf>
    <xf numFmtId="164" fontId="53" fillId="0" borderId="0" xfId="4" applyNumberFormat="1" applyFont="1" applyFill="1" applyAlignment="1">
      <alignment vertical="center"/>
    </xf>
    <xf numFmtId="9" fontId="57" fillId="10" borderId="8" xfId="2" applyFont="1" applyFill="1" applyBorder="1" applyAlignment="1">
      <alignment horizontal="right" vertical="center"/>
    </xf>
    <xf numFmtId="0" fontId="1" fillId="0" borderId="0" xfId="13" applyProtection="1">
      <protection locked="0"/>
    </xf>
    <xf numFmtId="9" fontId="1" fillId="0" borderId="0" xfId="13" applyNumberFormat="1"/>
    <xf numFmtId="43" fontId="1" fillId="0" borderId="0" xfId="14" applyFont="1" applyAlignment="1"/>
    <xf numFmtId="43" fontId="1" fillId="0" borderId="0" xfId="13" applyNumberFormat="1"/>
    <xf numFmtId="165" fontId="1" fillId="0" borderId="0" xfId="13" applyNumberFormat="1"/>
    <xf numFmtId="164" fontId="30" fillId="0" borderId="0" xfId="16" applyNumberFormat="1" applyFont="1" applyProtection="1">
      <protection locked="0"/>
    </xf>
    <xf numFmtId="164" fontId="47" fillId="0" borderId="0" xfId="16" applyNumberFormat="1" applyFont="1" applyProtection="1">
      <protection locked="0"/>
    </xf>
    <xf numFmtId="10" fontId="1" fillId="0" borderId="0" xfId="13" applyNumberFormat="1"/>
    <xf numFmtId="0" fontId="2" fillId="0" borderId="0" xfId="13" applyFont="1"/>
    <xf numFmtId="164" fontId="26" fillId="5" borderId="8" xfId="5" applyNumberFormat="1" applyFont="1" applyFill="1" applyBorder="1" applyAlignment="1" applyProtection="1">
      <alignment horizontal="center" vertical="center" wrapText="1"/>
    </xf>
    <xf numFmtId="164" fontId="9" fillId="8" borderId="8" xfId="5" applyNumberFormat="1" applyFont="1" applyFill="1" applyBorder="1" applyAlignment="1" applyProtection="1">
      <alignment horizontal="center" vertical="center"/>
      <protection locked="0"/>
    </xf>
    <xf numFmtId="164" fontId="9" fillId="9" borderId="8" xfId="6" applyNumberFormat="1" applyFont="1" applyFill="1" applyBorder="1" applyAlignment="1" applyProtection="1">
      <alignment horizontal="center" vertical="center"/>
      <protection locked="0"/>
    </xf>
    <xf numFmtId="164" fontId="9" fillId="10" borderId="8" xfId="5" applyNumberFormat="1" applyFont="1" applyFill="1" applyBorder="1" applyAlignment="1" applyProtection="1">
      <alignment horizontal="center" vertical="center"/>
      <protection locked="0"/>
    </xf>
    <xf numFmtId="164" fontId="32" fillId="0" borderId="8" xfId="5" applyNumberFormat="1" applyFont="1" applyBorder="1" applyAlignment="1" applyProtection="1">
      <alignment horizontal="center" vertical="center"/>
      <protection locked="0"/>
    </xf>
    <xf numFmtId="0" fontId="26" fillId="5" borderId="26" xfId="3" applyFont="1" applyFill="1" applyBorder="1" applyAlignment="1">
      <alignment horizontal="centerContinuous" vertical="center" wrapText="1"/>
    </xf>
    <xf numFmtId="0" fontId="26" fillId="5" borderId="11" xfId="3" applyFont="1" applyFill="1" applyBorder="1" applyAlignment="1">
      <alignment horizontal="left" vertical="center"/>
    </xf>
    <xf numFmtId="0" fontId="26" fillId="5" borderId="11" xfId="3" applyFont="1" applyFill="1" applyBorder="1" applyAlignment="1">
      <alignment horizontal="centerContinuous" vertical="center"/>
    </xf>
    <xf numFmtId="0" fontId="26" fillId="5" borderId="27" xfId="3" applyFont="1" applyFill="1" applyBorder="1" applyAlignment="1">
      <alignment horizontal="center" vertical="center"/>
    </xf>
    <xf numFmtId="0" fontId="26" fillId="0" borderId="28" xfId="8" applyFont="1" applyBorder="1" applyAlignment="1">
      <alignment horizontal="center" vertical="center"/>
    </xf>
    <xf numFmtId="164" fontId="26" fillId="6" borderId="12" xfId="9" applyNumberFormat="1" applyFont="1" applyFill="1" applyBorder="1" applyAlignment="1" applyProtection="1">
      <alignment horizontal="center" vertical="center" wrapText="1"/>
    </xf>
    <xf numFmtId="0" fontId="26" fillId="5" borderId="12" xfId="4" applyFont="1" applyFill="1" applyBorder="1" applyAlignment="1" applyProtection="1">
      <alignment horizontal="center" vertical="center" wrapText="1"/>
    </xf>
    <xf numFmtId="164" fontId="26" fillId="5" borderId="12" xfId="5" applyNumberFormat="1" applyFont="1" applyFill="1" applyBorder="1" applyAlignment="1" applyProtection="1">
      <alignment horizontal="center" vertical="center" wrapText="1"/>
    </xf>
    <xf numFmtId="164" fontId="26" fillId="5" borderId="12" xfId="4" applyNumberFormat="1" applyFont="1" applyFill="1" applyBorder="1" applyAlignment="1" applyProtection="1">
      <alignment horizontal="center" vertical="center" wrapText="1"/>
    </xf>
    <xf numFmtId="167" fontId="26" fillId="5" borderId="12" xfId="3" applyNumberFormat="1" applyFont="1" applyFill="1" applyBorder="1" applyAlignment="1">
      <alignment horizontal="center" vertical="center" wrapText="1"/>
    </xf>
    <xf numFmtId="164" fontId="26" fillId="5" borderId="13" xfId="5" applyNumberFormat="1" applyFont="1" applyFill="1" applyBorder="1" applyAlignment="1" applyProtection="1">
      <alignment horizontal="center" vertical="center" wrapText="1"/>
    </xf>
    <xf numFmtId="0" fontId="28" fillId="7" borderId="29" xfId="3" applyFont="1" applyFill="1" applyBorder="1" applyAlignment="1">
      <alignment horizontal="center" vertical="center"/>
    </xf>
    <xf numFmtId="164" fontId="28" fillId="7" borderId="17" xfId="5" applyNumberFormat="1" applyFont="1" applyFill="1" applyBorder="1" applyAlignment="1" applyProtection="1">
      <alignment horizontal="center" vertical="center"/>
    </xf>
    <xf numFmtId="0" fontId="9" fillId="8" borderId="5" xfId="6" applyFont="1" applyFill="1" applyBorder="1" applyAlignment="1" applyProtection="1">
      <alignment horizontal="center" vertical="center"/>
    </xf>
    <xf numFmtId="164" fontId="9" fillId="8" borderId="17" xfId="5" applyNumberFormat="1" applyFont="1" applyFill="1" applyBorder="1" applyAlignment="1" applyProtection="1">
      <alignment horizontal="center" vertical="center"/>
    </xf>
    <xf numFmtId="0" fontId="9" fillId="9" borderId="5" xfId="6" applyFont="1" applyFill="1" applyBorder="1" applyAlignment="1" applyProtection="1">
      <alignment horizontal="center" vertical="center"/>
    </xf>
    <xf numFmtId="164" fontId="9" fillId="9" borderId="17" xfId="5" applyNumberFormat="1" applyFont="1" applyFill="1" applyBorder="1" applyAlignment="1" applyProtection="1">
      <alignment horizontal="center" vertical="center"/>
    </xf>
    <xf numFmtId="0" fontId="9" fillId="10" borderId="5" xfId="8" applyFont="1" applyFill="1" applyBorder="1" applyAlignment="1">
      <alignment horizontal="center" vertical="center"/>
    </xf>
    <xf numFmtId="164" fontId="9" fillId="10" borderId="17" xfId="5" applyNumberFormat="1" applyFont="1" applyFill="1" applyBorder="1" applyAlignment="1" applyProtection="1">
      <alignment horizontal="center" vertical="center"/>
    </xf>
    <xf numFmtId="0" fontId="32" fillId="0" borderId="5" xfId="8" applyFont="1" applyBorder="1" applyAlignment="1" applyProtection="1">
      <alignment horizontal="center" vertical="center"/>
      <protection locked="0"/>
    </xf>
    <xf numFmtId="164" fontId="32" fillId="0" borderId="17" xfId="5" applyNumberFormat="1" applyFont="1" applyBorder="1" applyAlignment="1" applyProtection="1">
      <alignment horizontal="center" vertical="center"/>
      <protection locked="0"/>
    </xf>
    <xf numFmtId="0" fontId="28" fillId="7" borderId="5" xfId="3" applyFont="1" applyFill="1" applyBorder="1" applyAlignment="1" applyProtection="1">
      <alignment horizontal="center" vertical="center"/>
      <protection locked="0"/>
    </xf>
    <xf numFmtId="168" fontId="28" fillId="7" borderId="3" xfId="5" applyNumberFormat="1" applyFont="1" applyFill="1" applyBorder="1" applyAlignment="1" applyProtection="1">
      <alignment horizontal="center" vertical="center"/>
      <protection locked="0"/>
    </xf>
    <xf numFmtId="169" fontId="24" fillId="11" borderId="5" xfId="12" applyNumberFormat="1" applyFont="1" applyFill="1" applyBorder="1" applyAlignment="1" applyProtection="1">
      <alignment horizontal="left" vertical="center"/>
      <protection locked="0"/>
    </xf>
    <xf numFmtId="168" fontId="24" fillId="11" borderId="3" xfId="5" applyNumberFormat="1" applyFont="1" applyFill="1" applyBorder="1" applyAlignment="1" applyProtection="1">
      <alignment vertical="center"/>
      <protection locked="0"/>
    </xf>
    <xf numFmtId="0" fontId="28" fillId="7" borderId="30" xfId="3" applyFont="1" applyFill="1" applyBorder="1" applyAlignment="1" applyProtection="1">
      <alignment horizontal="center" vertical="center"/>
      <protection locked="0"/>
    </xf>
    <xf numFmtId="0" fontId="28" fillId="7" borderId="24" xfId="3" applyFont="1" applyFill="1" applyBorder="1" applyAlignment="1">
      <alignment horizontal="left" vertical="center"/>
    </xf>
    <xf numFmtId="0" fontId="28" fillId="7" borderId="7" xfId="3" applyFont="1" applyFill="1" applyBorder="1" applyAlignment="1">
      <alignment horizontal="left" vertical="center"/>
    </xf>
    <xf numFmtId="0" fontId="28" fillId="7" borderId="7" xfId="3" applyFont="1" applyFill="1" applyBorder="1" applyAlignment="1">
      <alignment horizontal="centerContinuous" vertical="center"/>
    </xf>
    <xf numFmtId="0" fontId="28" fillId="7" borderId="31" xfId="3" applyFont="1" applyFill="1" applyBorder="1" applyAlignment="1" applyProtection="1">
      <alignment horizontal="left" vertical="center"/>
      <protection locked="0"/>
    </xf>
    <xf numFmtId="0" fontId="28" fillId="0" borderId="32" xfId="8" applyFont="1" applyBorder="1" applyAlignment="1" applyProtection="1">
      <alignment horizontal="center" vertical="center"/>
      <protection locked="0"/>
    </xf>
    <xf numFmtId="164" fontId="28" fillId="7" borderId="24" xfId="3" applyNumberFormat="1" applyFont="1" applyFill="1" applyBorder="1" applyAlignment="1" applyProtection="1">
      <alignment horizontal="center" vertical="center"/>
      <protection locked="0"/>
    </xf>
    <xf numFmtId="0" fontId="28" fillId="7" borderId="7" xfId="4" applyFont="1" applyFill="1" applyBorder="1" applyAlignment="1" applyProtection="1">
      <alignment horizontal="center" vertical="center"/>
      <protection locked="0"/>
    </xf>
    <xf numFmtId="164" fontId="28" fillId="7" borderId="7" xfId="5" applyNumberFormat="1" applyFont="1" applyFill="1" applyBorder="1" applyAlignment="1" applyProtection="1">
      <alignment horizontal="center" vertical="center"/>
      <protection locked="0"/>
    </xf>
    <xf numFmtId="164" fontId="28" fillId="7" borderId="7" xfId="4" applyNumberFormat="1" applyFont="1" applyFill="1" applyBorder="1" applyAlignment="1" applyProtection="1">
      <alignment horizontal="center" vertical="center"/>
      <protection locked="0"/>
    </xf>
    <xf numFmtId="168" fontId="28" fillId="7" borderId="31" xfId="5" applyNumberFormat="1" applyFont="1" applyFill="1" applyBorder="1" applyAlignment="1" applyProtection="1">
      <alignment horizontal="center" vertical="center"/>
      <protection locked="0"/>
    </xf>
    <xf numFmtId="167" fontId="28" fillId="7" borderId="31" xfId="3" applyNumberFormat="1" applyFont="1" applyFill="1" applyBorder="1" applyAlignment="1" applyProtection="1">
      <alignment horizontal="right" vertical="center"/>
      <protection locked="0"/>
    </xf>
    <xf numFmtId="168" fontId="28" fillId="7" borderId="33" xfId="5" applyNumberFormat="1" applyFont="1" applyFill="1" applyBorder="1" applyAlignment="1" applyProtection="1">
      <alignment horizontal="center" vertical="center"/>
      <protection locked="0"/>
    </xf>
    <xf numFmtId="0" fontId="32" fillId="0" borderId="2" xfId="8" applyFont="1" applyBorder="1" applyAlignment="1" applyProtection="1">
      <alignment horizontal="left" vertical="center" wrapText="1"/>
      <protection locked="0"/>
    </xf>
    <xf numFmtId="0" fontId="32" fillId="0" borderId="8" xfId="8" applyFont="1" applyBorder="1" applyAlignment="1" applyProtection="1">
      <alignment horizontal="left" vertical="center" wrapText="1"/>
      <protection locked="0"/>
    </xf>
    <xf numFmtId="0" fontId="9" fillId="10" borderId="2" xfId="8" applyFont="1" applyFill="1" applyBorder="1" applyAlignment="1">
      <alignment horizontal="left" vertical="center" wrapText="1"/>
    </xf>
    <xf numFmtId="0" fontId="9" fillId="10" borderId="8" xfId="8" applyFont="1" applyFill="1" applyBorder="1" applyAlignment="1">
      <alignment horizontal="left" vertical="center" wrapText="1"/>
    </xf>
    <xf numFmtId="0" fontId="9" fillId="10" borderId="1" xfId="8" applyFont="1" applyFill="1" applyBorder="1" applyAlignment="1">
      <alignment horizontal="left" vertical="center" wrapText="1"/>
    </xf>
    <xf numFmtId="0" fontId="9" fillId="10" borderId="25" xfId="8" applyFont="1" applyFill="1" applyBorder="1" applyAlignment="1">
      <alignment horizontal="left" vertical="center" wrapText="1"/>
    </xf>
    <xf numFmtId="0" fontId="10" fillId="2" borderId="0" xfId="4" applyFont="1" applyFill="1" applyAlignment="1">
      <alignment horizontal="center" vertical="center"/>
    </xf>
    <xf numFmtId="0" fontId="50" fillId="2" borderId="0" xfId="4" applyFont="1" applyFill="1" applyAlignment="1">
      <alignment horizontal="left" vertical="center"/>
    </xf>
    <xf numFmtId="0" fontId="26" fillId="13" borderId="22" xfId="16" applyFont="1" applyFill="1" applyBorder="1" applyAlignment="1">
      <alignment horizontal="center" vertical="center"/>
    </xf>
    <xf numFmtId="0" fontId="26" fillId="13" borderId="20" xfId="16" applyFont="1" applyFill="1" applyBorder="1" applyAlignment="1">
      <alignment horizontal="center" vertical="center"/>
    </xf>
  </cellXfs>
  <cellStyles count="22">
    <cellStyle name="ColLevel_1" xfId="4" xr:uid="{ADC35A6A-4530-4170-92BB-639F16B76B1B}"/>
    <cellStyle name="Comma" xfId="1" builtinId="3"/>
    <cellStyle name="Comma 11 2" xfId="9" xr:uid="{34046923-7EDE-450D-B16F-B5836AFFD521}"/>
    <cellStyle name="Comma 2" xfId="5" xr:uid="{F518C4C2-E9D4-4B18-A631-5764B94D4BF3}"/>
    <cellStyle name="Comma 4" xfId="14" xr:uid="{56B3F4A0-7BA8-408E-94D0-F516A4A95049}"/>
    <cellStyle name="Comma 4 4" xfId="19" xr:uid="{63FE96BF-64B0-4EF3-A4DF-456D25128FEF}"/>
    <cellStyle name="Normal" xfId="0" builtinId="0"/>
    <cellStyle name="Normal 2" xfId="8" xr:uid="{F7E82921-9360-4A10-9BB9-DA60A65BB027}"/>
    <cellStyle name="Normal 2 3 2" xfId="7" xr:uid="{6E12239C-59F9-45B3-9816-F81D4474C7D1}"/>
    <cellStyle name="Normal 2 3 3" xfId="15" xr:uid="{1EAE397D-2480-4CCA-BE29-F9AF89D09149}"/>
    <cellStyle name="Normal 2 3 3 3" xfId="20" xr:uid="{093A94C1-C3CB-45E2-8AD2-B7082DEF2763}"/>
    <cellStyle name="Normal 6 12 2" xfId="3" xr:uid="{863FE1B8-0031-467D-8BEE-5E8745A889C6}"/>
    <cellStyle name="Normal 6 4" xfId="16" xr:uid="{133DDCE8-1C5F-4638-9790-109A2AB758EF}"/>
    <cellStyle name="Normal 6 4 4" xfId="21" xr:uid="{54283E12-008F-4729-84F8-1D698E39EAA9}"/>
    <cellStyle name="Normal 8" xfId="13" xr:uid="{28FF4A22-ECCB-4254-973B-F12F399905E7}"/>
    <cellStyle name="Normal 8 2" xfId="18" xr:uid="{A4C516EB-2DDF-49EB-84C2-2A37F2EE5347}"/>
    <cellStyle name="Percent" xfId="2" builtinId="5"/>
    <cellStyle name="Percent 2" xfId="10" xr:uid="{0C1DB367-F579-422D-B3FF-9575C1926549}"/>
    <cellStyle name="Percent 3" xfId="11" xr:uid="{DFB70A99-A1C5-44F8-859C-A5314DF8B4F9}"/>
    <cellStyle name="Percent 4" xfId="17" xr:uid="{393EB13E-06AE-4518-89AA-06CAA5A637F1}"/>
    <cellStyle name="RowLevel_1" xfId="6" xr:uid="{F6E235A5-CC8F-4DAC-AB83-F1D929188AC7}"/>
    <cellStyle name="RowLevel_1 2" xfId="12" xr:uid="{0DADB59A-DDE4-4F05-9082-B6EBA6F1B8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5</xdr:col>
      <xdr:colOff>1349073</xdr:colOff>
      <xdr:row>1</xdr:row>
      <xdr:rowOff>60611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778A1D-BD18-4F1B-A196-182771D08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28" t="44941" r="6680" b="44189"/>
        <a:stretch>
          <a:fillRect/>
        </a:stretch>
      </xdr:blipFill>
      <xdr:spPr>
        <a:xfrm>
          <a:off x="1" y="0"/>
          <a:ext cx="3863672" cy="346361"/>
        </a:xfrm>
        <a:prstGeom prst="rect">
          <a:avLst/>
        </a:prstGeom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365760</xdr:colOff>
          <xdr:row>2</xdr:row>
          <xdr:rowOff>152400</xdr:rowOff>
        </xdr:from>
        <xdr:to>
          <xdr:col>27</xdr:col>
          <xdr:colOff>670560</xdr:colOff>
          <xdr:row>3</xdr:row>
          <xdr:rowOff>15240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Setup BCB</a:t>
              </a:r>
            </a:p>
          </xdr:txBody>
        </xdr:sp>
        <xdr:clientData fPrintsWithSheet="0"/>
      </xdr:twoCellAnchor>
    </mc:Choice>
    <mc:Fallback/>
  </mc:AlternateContent>
  <xdr:twoCellAnchor>
    <xdr:from>
      <xdr:col>15</xdr:col>
      <xdr:colOff>76200</xdr:colOff>
      <xdr:row>0</xdr:row>
      <xdr:rowOff>121920</xdr:rowOff>
    </xdr:from>
    <xdr:to>
      <xdr:col>15</xdr:col>
      <xdr:colOff>670560</xdr:colOff>
      <xdr:row>1</xdr:row>
      <xdr:rowOff>53340</xdr:rowOff>
    </xdr:to>
    <xdr:sp macro="" textlink="">
      <xdr:nvSpPr>
        <xdr:cNvPr id="3" name="Button 2" hidden="1">
          <a:extLst>
            <a:ext uri="{63B3BB69-23CF-44E3-9099-C40C66FF867C}">
              <a14:compatExt xmlns:a14="http://schemas.microsoft.com/office/drawing/2010/main" spid="_x0000_s23554"/>
            </a:ext>
            <a:ext uri="{FF2B5EF4-FFF2-40B4-BE49-F238E27FC236}">
              <a16:creationId xmlns:a16="http://schemas.microsoft.com/office/drawing/2014/main" id="{40EA2601-254D-47B6-BD51-A93E65278E5E}"/>
            </a:ext>
          </a:extLst>
        </xdr:cNvPr>
        <xdr:cNvSpPr/>
      </xdr:nvSpPr>
      <xdr:spPr bwMode="auto">
        <a:xfrm>
          <a:off x="19735800" y="123825"/>
          <a:ext cx="590550" cy="219075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Group</a:t>
          </a:r>
        </a:p>
      </xdr:txBody>
    </xdr:sp>
    <xdr:clientData fPrintsWithSheet="0"/>
  </xdr:twoCellAnchor>
  <xdr:twoCellAnchor>
    <xdr:from>
      <xdr:col>15</xdr:col>
      <xdr:colOff>739140</xdr:colOff>
      <xdr:row>0</xdr:row>
      <xdr:rowOff>121920</xdr:rowOff>
    </xdr:from>
    <xdr:to>
      <xdr:col>15</xdr:col>
      <xdr:colOff>1516380</xdr:colOff>
      <xdr:row>1</xdr:row>
      <xdr:rowOff>53340</xdr:rowOff>
    </xdr:to>
    <xdr:sp macro="" textlink="">
      <xdr:nvSpPr>
        <xdr:cNvPr id="4" name="Button 3" hidden="1">
          <a:extLst>
            <a:ext uri="{63B3BB69-23CF-44E3-9099-C40C66FF867C}">
              <a14:compatExt xmlns:a14="http://schemas.microsoft.com/office/drawing/2010/main" spid="_x0000_s23555"/>
            </a:ext>
            <a:ext uri="{FF2B5EF4-FFF2-40B4-BE49-F238E27FC236}">
              <a16:creationId xmlns:a16="http://schemas.microsoft.com/office/drawing/2014/main" id="{8AE3A253-F5A9-4E7A-8AF1-02E7667D1A52}"/>
            </a:ext>
          </a:extLst>
        </xdr:cNvPr>
        <xdr:cNvSpPr/>
      </xdr:nvSpPr>
      <xdr:spPr bwMode="auto">
        <a:xfrm>
          <a:off x="20402550" y="123825"/>
          <a:ext cx="771525" cy="219075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Ungroup</a:t>
          </a:r>
        </a:p>
      </xdr:txBody>
    </xdr:sp>
    <xdr:clientData fPrintsWithSheet="0"/>
  </xdr:twoCellAnchor>
  <xdr:twoCellAnchor>
    <xdr:from>
      <xdr:col>16</xdr:col>
      <xdr:colOff>137160</xdr:colOff>
      <xdr:row>0</xdr:row>
      <xdr:rowOff>137160</xdr:rowOff>
    </xdr:from>
    <xdr:to>
      <xdr:col>16</xdr:col>
      <xdr:colOff>1036320</xdr:colOff>
      <xdr:row>1</xdr:row>
      <xdr:rowOff>60960</xdr:rowOff>
    </xdr:to>
    <xdr:sp macro="" textlink="">
      <xdr:nvSpPr>
        <xdr:cNvPr id="5" name="Button 4" hidden="1">
          <a:extLst>
            <a:ext uri="{63B3BB69-23CF-44E3-9099-C40C66FF867C}">
              <a14:compatExt xmlns:a14="http://schemas.microsoft.com/office/drawing/2010/main" spid="_x0000_s23556"/>
            </a:ext>
            <a:ext uri="{FF2B5EF4-FFF2-40B4-BE49-F238E27FC236}">
              <a16:creationId xmlns:a16="http://schemas.microsoft.com/office/drawing/2014/main" id="{EC015ADF-3199-4367-AEDB-3385A6281B75}"/>
            </a:ext>
          </a:extLst>
        </xdr:cNvPr>
        <xdr:cNvSpPr/>
      </xdr:nvSpPr>
      <xdr:spPr bwMode="auto">
        <a:xfrm>
          <a:off x="21336000" y="133350"/>
          <a:ext cx="904875" cy="209550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Create IBB</a:t>
          </a:r>
        </a:p>
      </xdr:txBody>
    </xdr:sp>
    <xdr:clientData fPrintsWithSheet="0"/>
  </xdr:twoCellAnchor>
  <xdr:twoCellAnchor>
    <xdr:from>
      <xdr:col>15</xdr:col>
      <xdr:colOff>76200</xdr:colOff>
      <xdr:row>0</xdr:row>
      <xdr:rowOff>121920</xdr:rowOff>
    </xdr:from>
    <xdr:to>
      <xdr:col>15</xdr:col>
      <xdr:colOff>670560</xdr:colOff>
      <xdr:row>1</xdr:row>
      <xdr:rowOff>53340</xdr:rowOff>
    </xdr:to>
    <xdr:sp macro="" textlink="">
      <xdr:nvSpPr>
        <xdr:cNvPr id="6" name="Button 5" hidden="1">
          <a:extLst>
            <a:ext uri="{63B3BB69-23CF-44E3-9099-C40C66FF867C}">
              <a14:compatExt xmlns:a14="http://schemas.microsoft.com/office/drawing/2010/main" spid="_x0000_s23557"/>
            </a:ext>
            <a:ext uri="{FF2B5EF4-FFF2-40B4-BE49-F238E27FC236}">
              <a16:creationId xmlns:a16="http://schemas.microsoft.com/office/drawing/2014/main" id="{9C8101BC-19F0-4D81-B483-4EF8E2CA17DA}"/>
            </a:ext>
          </a:extLst>
        </xdr:cNvPr>
        <xdr:cNvSpPr/>
      </xdr:nvSpPr>
      <xdr:spPr bwMode="auto">
        <a:xfrm>
          <a:off x="19735800" y="123825"/>
          <a:ext cx="590550" cy="219075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Group</a:t>
          </a:r>
        </a:p>
      </xdr:txBody>
    </xdr:sp>
    <xdr:clientData fPrintsWithSheet="0"/>
  </xdr:twoCellAnchor>
  <xdr:twoCellAnchor>
    <xdr:from>
      <xdr:col>15</xdr:col>
      <xdr:colOff>739140</xdr:colOff>
      <xdr:row>0</xdr:row>
      <xdr:rowOff>121920</xdr:rowOff>
    </xdr:from>
    <xdr:to>
      <xdr:col>15</xdr:col>
      <xdr:colOff>1516380</xdr:colOff>
      <xdr:row>1</xdr:row>
      <xdr:rowOff>53340</xdr:rowOff>
    </xdr:to>
    <xdr:sp macro="" textlink="">
      <xdr:nvSpPr>
        <xdr:cNvPr id="7" name="Button 6" hidden="1">
          <a:extLst>
            <a:ext uri="{63B3BB69-23CF-44E3-9099-C40C66FF867C}">
              <a14:compatExt xmlns:a14="http://schemas.microsoft.com/office/drawing/2010/main" spid="_x0000_s23558"/>
            </a:ext>
            <a:ext uri="{FF2B5EF4-FFF2-40B4-BE49-F238E27FC236}">
              <a16:creationId xmlns:a16="http://schemas.microsoft.com/office/drawing/2014/main" id="{99658FA2-ED7C-4569-B0D9-278701FB6D99}"/>
            </a:ext>
          </a:extLst>
        </xdr:cNvPr>
        <xdr:cNvSpPr/>
      </xdr:nvSpPr>
      <xdr:spPr bwMode="auto">
        <a:xfrm>
          <a:off x="20402550" y="123825"/>
          <a:ext cx="771525" cy="219075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Ungroup</a:t>
          </a:r>
        </a:p>
      </xdr:txBody>
    </xdr:sp>
    <xdr:clientData fPrintsWithSheet="0"/>
  </xdr:twoCellAnchor>
  <xdr:twoCellAnchor>
    <xdr:from>
      <xdr:col>16</xdr:col>
      <xdr:colOff>137160</xdr:colOff>
      <xdr:row>0</xdr:row>
      <xdr:rowOff>137160</xdr:rowOff>
    </xdr:from>
    <xdr:to>
      <xdr:col>16</xdr:col>
      <xdr:colOff>1036320</xdr:colOff>
      <xdr:row>1</xdr:row>
      <xdr:rowOff>60960</xdr:rowOff>
    </xdr:to>
    <xdr:sp macro="" textlink="">
      <xdr:nvSpPr>
        <xdr:cNvPr id="8" name="Button 7" hidden="1">
          <a:extLst>
            <a:ext uri="{63B3BB69-23CF-44E3-9099-C40C66FF867C}">
              <a14:compatExt xmlns:a14="http://schemas.microsoft.com/office/drawing/2010/main" spid="_x0000_s23559"/>
            </a:ext>
            <a:ext uri="{FF2B5EF4-FFF2-40B4-BE49-F238E27FC236}">
              <a16:creationId xmlns:a16="http://schemas.microsoft.com/office/drawing/2014/main" id="{F660486E-6E1A-4893-8D4B-1D30427D51EF}"/>
            </a:ext>
          </a:extLst>
        </xdr:cNvPr>
        <xdr:cNvSpPr/>
      </xdr:nvSpPr>
      <xdr:spPr bwMode="auto">
        <a:xfrm>
          <a:off x="21336000" y="133350"/>
          <a:ext cx="904875" cy="209550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Create IBB</a:t>
          </a:r>
        </a:p>
      </xdr:txBody>
    </xdr:sp>
    <xdr:clientData fPrintsWithSheet="0"/>
  </xdr:twoCellAnchor>
  <xdr:twoCellAnchor>
    <xdr:from>
      <xdr:col>26</xdr:col>
      <xdr:colOff>365760</xdr:colOff>
      <xdr:row>2</xdr:row>
      <xdr:rowOff>152400</xdr:rowOff>
    </xdr:from>
    <xdr:to>
      <xdr:col>27</xdr:col>
      <xdr:colOff>670560</xdr:colOff>
      <xdr:row>3</xdr:row>
      <xdr:rowOff>7620</xdr:rowOff>
    </xdr:to>
    <xdr:sp macro="" textlink="">
      <xdr:nvSpPr>
        <xdr:cNvPr id="9" name="Button 8" hidden="1">
          <a:extLst>
            <a:ext uri="{63B3BB69-23CF-44E3-9099-C40C66FF867C}">
              <a14:compatExt xmlns:a14="http://schemas.microsoft.com/office/drawing/2010/main" spid="_x0000_s23560"/>
            </a:ext>
            <a:ext uri="{FF2B5EF4-FFF2-40B4-BE49-F238E27FC236}">
              <a16:creationId xmlns:a16="http://schemas.microsoft.com/office/drawing/2014/main" id="{F654A6BB-CECD-4500-8675-52EEDA64D1C1}"/>
            </a:ext>
          </a:extLst>
        </xdr:cNvPr>
        <xdr:cNvSpPr/>
      </xdr:nvSpPr>
      <xdr:spPr bwMode="auto">
        <a:xfrm>
          <a:off x="29346525" y="552450"/>
          <a:ext cx="0" cy="238125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Setup BCB</a:t>
          </a:r>
        </a:p>
      </xdr:txBody>
    </xdr:sp>
    <xdr:clientData fPrintsWithSheet="0"/>
  </xdr:twoCellAnchor>
  <xdr:twoCellAnchor>
    <xdr:from>
      <xdr:col>15</xdr:col>
      <xdr:colOff>76200</xdr:colOff>
      <xdr:row>0</xdr:row>
      <xdr:rowOff>121920</xdr:rowOff>
    </xdr:from>
    <xdr:to>
      <xdr:col>15</xdr:col>
      <xdr:colOff>670560</xdr:colOff>
      <xdr:row>1</xdr:row>
      <xdr:rowOff>53340</xdr:rowOff>
    </xdr:to>
    <xdr:sp macro="" textlink="">
      <xdr:nvSpPr>
        <xdr:cNvPr id="10" name="Button 9" hidden="1">
          <a:extLst>
            <a:ext uri="{63B3BB69-23CF-44E3-9099-C40C66FF867C}">
              <a14:compatExt xmlns:a14="http://schemas.microsoft.com/office/drawing/2010/main" spid="_x0000_s23561"/>
            </a:ext>
            <a:ext uri="{FF2B5EF4-FFF2-40B4-BE49-F238E27FC236}">
              <a16:creationId xmlns:a16="http://schemas.microsoft.com/office/drawing/2014/main" id="{7241F1F1-49B3-4509-BB6A-6C644B401507}"/>
            </a:ext>
          </a:extLst>
        </xdr:cNvPr>
        <xdr:cNvSpPr/>
      </xdr:nvSpPr>
      <xdr:spPr bwMode="auto">
        <a:xfrm>
          <a:off x="19735800" y="123825"/>
          <a:ext cx="590550" cy="219075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Group</a:t>
          </a:r>
        </a:p>
      </xdr:txBody>
    </xdr:sp>
    <xdr:clientData fPrintsWithSheet="0"/>
  </xdr:twoCellAnchor>
  <xdr:twoCellAnchor>
    <xdr:from>
      <xdr:col>15</xdr:col>
      <xdr:colOff>739140</xdr:colOff>
      <xdr:row>0</xdr:row>
      <xdr:rowOff>121920</xdr:rowOff>
    </xdr:from>
    <xdr:to>
      <xdr:col>15</xdr:col>
      <xdr:colOff>1516380</xdr:colOff>
      <xdr:row>1</xdr:row>
      <xdr:rowOff>53340</xdr:rowOff>
    </xdr:to>
    <xdr:sp macro="" textlink="">
      <xdr:nvSpPr>
        <xdr:cNvPr id="11" name="Button 10" hidden="1">
          <a:extLst>
            <a:ext uri="{63B3BB69-23CF-44E3-9099-C40C66FF867C}">
              <a14:compatExt xmlns:a14="http://schemas.microsoft.com/office/drawing/2010/main" spid="_x0000_s23562"/>
            </a:ext>
            <a:ext uri="{FF2B5EF4-FFF2-40B4-BE49-F238E27FC236}">
              <a16:creationId xmlns:a16="http://schemas.microsoft.com/office/drawing/2014/main" id="{52F38B9F-B120-4094-B0A4-E7AA88E60751}"/>
            </a:ext>
          </a:extLst>
        </xdr:cNvPr>
        <xdr:cNvSpPr/>
      </xdr:nvSpPr>
      <xdr:spPr bwMode="auto">
        <a:xfrm>
          <a:off x="20402550" y="123825"/>
          <a:ext cx="771525" cy="219075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Ungroup</a:t>
          </a:r>
        </a:p>
      </xdr:txBody>
    </xdr:sp>
    <xdr:clientData fPrintsWithSheet="0"/>
  </xdr:twoCellAnchor>
  <xdr:twoCellAnchor>
    <xdr:from>
      <xdr:col>16</xdr:col>
      <xdr:colOff>137160</xdr:colOff>
      <xdr:row>0</xdr:row>
      <xdr:rowOff>137160</xdr:rowOff>
    </xdr:from>
    <xdr:to>
      <xdr:col>16</xdr:col>
      <xdr:colOff>1036320</xdr:colOff>
      <xdr:row>1</xdr:row>
      <xdr:rowOff>60960</xdr:rowOff>
    </xdr:to>
    <xdr:sp macro="" textlink="">
      <xdr:nvSpPr>
        <xdr:cNvPr id="12" name="Button 11" hidden="1">
          <a:extLst>
            <a:ext uri="{63B3BB69-23CF-44E3-9099-C40C66FF867C}">
              <a14:compatExt xmlns:a14="http://schemas.microsoft.com/office/drawing/2010/main" spid="_x0000_s23563"/>
            </a:ext>
            <a:ext uri="{FF2B5EF4-FFF2-40B4-BE49-F238E27FC236}">
              <a16:creationId xmlns:a16="http://schemas.microsoft.com/office/drawing/2014/main" id="{2A4A2EBA-B7D0-47DD-9498-CEB760F7875C}"/>
            </a:ext>
          </a:extLst>
        </xdr:cNvPr>
        <xdr:cNvSpPr/>
      </xdr:nvSpPr>
      <xdr:spPr bwMode="auto">
        <a:xfrm>
          <a:off x="21336000" y="133350"/>
          <a:ext cx="904875" cy="209550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Create IBB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365760</xdr:colOff>
          <xdr:row>2</xdr:row>
          <xdr:rowOff>152400</xdr:rowOff>
        </xdr:from>
        <xdr:to>
          <xdr:col>27</xdr:col>
          <xdr:colOff>670560</xdr:colOff>
          <xdr:row>3</xdr:row>
          <xdr:rowOff>15240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Setup BCB</a:t>
              </a:r>
            </a:p>
          </xdr:txBody>
        </xdr:sp>
        <xdr:clientData fPrintsWithSheet="0"/>
      </xdr:twoCellAnchor>
    </mc:Choice>
    <mc:Fallback/>
  </mc:AlternateContent>
  <xdr:twoCellAnchor>
    <xdr:from>
      <xdr:col>15</xdr:col>
      <xdr:colOff>76200</xdr:colOff>
      <xdr:row>0</xdr:row>
      <xdr:rowOff>121920</xdr:rowOff>
    </xdr:from>
    <xdr:to>
      <xdr:col>15</xdr:col>
      <xdr:colOff>670560</xdr:colOff>
      <xdr:row>1</xdr:row>
      <xdr:rowOff>53340</xdr:rowOff>
    </xdr:to>
    <xdr:sp macro="" textlink="">
      <xdr:nvSpPr>
        <xdr:cNvPr id="13" name="Button 13" hidden="1">
          <a:extLst>
            <a:ext uri="{63B3BB69-23CF-44E3-9099-C40C66FF867C}">
              <a14:compatExt xmlns:a14="http://schemas.microsoft.com/office/drawing/2010/main" spid="_x0000_s23565"/>
            </a:ext>
            <a:ext uri="{FF2B5EF4-FFF2-40B4-BE49-F238E27FC236}">
              <a16:creationId xmlns:a16="http://schemas.microsoft.com/office/drawing/2014/main" id="{9D0700A3-6A2F-470E-BCD1-70C8D6615779}"/>
            </a:ext>
          </a:extLst>
        </xdr:cNvPr>
        <xdr:cNvSpPr/>
      </xdr:nvSpPr>
      <xdr:spPr bwMode="auto">
        <a:xfrm>
          <a:off x="19735800" y="123825"/>
          <a:ext cx="590550" cy="219075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Group</a:t>
          </a:r>
        </a:p>
      </xdr:txBody>
    </xdr:sp>
    <xdr:clientData fPrintsWithSheet="0"/>
  </xdr:twoCellAnchor>
  <xdr:twoCellAnchor>
    <xdr:from>
      <xdr:col>15</xdr:col>
      <xdr:colOff>739140</xdr:colOff>
      <xdr:row>0</xdr:row>
      <xdr:rowOff>121920</xdr:rowOff>
    </xdr:from>
    <xdr:to>
      <xdr:col>15</xdr:col>
      <xdr:colOff>1516380</xdr:colOff>
      <xdr:row>1</xdr:row>
      <xdr:rowOff>53340</xdr:rowOff>
    </xdr:to>
    <xdr:sp macro="" textlink="">
      <xdr:nvSpPr>
        <xdr:cNvPr id="14" name="Button 14" hidden="1">
          <a:extLst>
            <a:ext uri="{63B3BB69-23CF-44E3-9099-C40C66FF867C}">
              <a14:compatExt xmlns:a14="http://schemas.microsoft.com/office/drawing/2010/main" spid="_x0000_s23566"/>
            </a:ext>
            <a:ext uri="{FF2B5EF4-FFF2-40B4-BE49-F238E27FC236}">
              <a16:creationId xmlns:a16="http://schemas.microsoft.com/office/drawing/2014/main" id="{7523D37E-66AE-467B-B6D0-D5ECED861C28}"/>
            </a:ext>
          </a:extLst>
        </xdr:cNvPr>
        <xdr:cNvSpPr/>
      </xdr:nvSpPr>
      <xdr:spPr bwMode="auto">
        <a:xfrm>
          <a:off x="20402550" y="123825"/>
          <a:ext cx="771525" cy="219075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Ungroup</a:t>
          </a:r>
        </a:p>
      </xdr:txBody>
    </xdr:sp>
    <xdr:clientData fPrintsWithSheet="0"/>
  </xdr:twoCellAnchor>
  <xdr:twoCellAnchor>
    <xdr:from>
      <xdr:col>16</xdr:col>
      <xdr:colOff>137160</xdr:colOff>
      <xdr:row>0</xdr:row>
      <xdr:rowOff>137160</xdr:rowOff>
    </xdr:from>
    <xdr:to>
      <xdr:col>16</xdr:col>
      <xdr:colOff>1036320</xdr:colOff>
      <xdr:row>1</xdr:row>
      <xdr:rowOff>60960</xdr:rowOff>
    </xdr:to>
    <xdr:sp macro="" textlink="">
      <xdr:nvSpPr>
        <xdr:cNvPr id="15" name="Button 15" hidden="1">
          <a:extLst>
            <a:ext uri="{63B3BB69-23CF-44E3-9099-C40C66FF867C}">
              <a14:compatExt xmlns:a14="http://schemas.microsoft.com/office/drawing/2010/main" spid="_x0000_s23567"/>
            </a:ext>
            <a:ext uri="{FF2B5EF4-FFF2-40B4-BE49-F238E27FC236}">
              <a16:creationId xmlns:a16="http://schemas.microsoft.com/office/drawing/2014/main" id="{6FE56E5A-19AD-470E-BE91-9FE88AE32CA4}"/>
            </a:ext>
          </a:extLst>
        </xdr:cNvPr>
        <xdr:cNvSpPr/>
      </xdr:nvSpPr>
      <xdr:spPr bwMode="auto">
        <a:xfrm>
          <a:off x="21336000" y="133350"/>
          <a:ext cx="904875" cy="209550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Create IBB</a:t>
          </a:r>
        </a:p>
      </xdr:txBody>
    </xdr:sp>
    <xdr:clientData fPrintsWithSheet="0"/>
  </xdr:twoCellAnchor>
  <xdr:twoCellAnchor>
    <xdr:from>
      <xdr:col>26</xdr:col>
      <xdr:colOff>365760</xdr:colOff>
      <xdr:row>2</xdr:row>
      <xdr:rowOff>152400</xdr:rowOff>
    </xdr:from>
    <xdr:to>
      <xdr:col>27</xdr:col>
      <xdr:colOff>670560</xdr:colOff>
      <xdr:row>3</xdr:row>
      <xdr:rowOff>7620</xdr:rowOff>
    </xdr:to>
    <xdr:sp macro="" textlink="">
      <xdr:nvSpPr>
        <xdr:cNvPr id="16" name="Button 16" hidden="1">
          <a:extLst>
            <a:ext uri="{63B3BB69-23CF-44E3-9099-C40C66FF867C}">
              <a14:compatExt xmlns:a14="http://schemas.microsoft.com/office/drawing/2010/main" spid="_x0000_s23568"/>
            </a:ext>
            <a:ext uri="{FF2B5EF4-FFF2-40B4-BE49-F238E27FC236}">
              <a16:creationId xmlns:a16="http://schemas.microsoft.com/office/drawing/2014/main" id="{F99A5F5F-5826-4F19-BFA0-6B3CF383AC60}"/>
            </a:ext>
          </a:extLst>
        </xdr:cNvPr>
        <xdr:cNvSpPr/>
      </xdr:nvSpPr>
      <xdr:spPr bwMode="auto">
        <a:xfrm>
          <a:off x="29346525" y="552450"/>
          <a:ext cx="0" cy="238125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Setup BCB</a:t>
          </a:r>
        </a:p>
      </xdr:txBody>
    </xdr:sp>
    <xdr:clientData fPrintsWithSheet="0"/>
  </xdr:twoCellAnchor>
  <xdr:twoCellAnchor>
    <xdr:from>
      <xdr:col>15</xdr:col>
      <xdr:colOff>76200</xdr:colOff>
      <xdr:row>0</xdr:row>
      <xdr:rowOff>121920</xdr:rowOff>
    </xdr:from>
    <xdr:to>
      <xdr:col>15</xdr:col>
      <xdr:colOff>670560</xdr:colOff>
      <xdr:row>1</xdr:row>
      <xdr:rowOff>53340</xdr:rowOff>
    </xdr:to>
    <xdr:sp macro="" textlink="">
      <xdr:nvSpPr>
        <xdr:cNvPr id="17" name="Button 17" hidden="1">
          <a:extLst>
            <a:ext uri="{63B3BB69-23CF-44E3-9099-C40C66FF867C}">
              <a14:compatExt xmlns:a14="http://schemas.microsoft.com/office/drawing/2010/main" spid="_x0000_s23569"/>
            </a:ext>
            <a:ext uri="{FF2B5EF4-FFF2-40B4-BE49-F238E27FC236}">
              <a16:creationId xmlns:a16="http://schemas.microsoft.com/office/drawing/2014/main" id="{7114E0AF-3391-4808-B568-0B82E3A98F0C}"/>
            </a:ext>
          </a:extLst>
        </xdr:cNvPr>
        <xdr:cNvSpPr/>
      </xdr:nvSpPr>
      <xdr:spPr bwMode="auto">
        <a:xfrm>
          <a:off x="19735800" y="123825"/>
          <a:ext cx="590550" cy="219075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Group</a:t>
          </a:r>
        </a:p>
      </xdr:txBody>
    </xdr:sp>
    <xdr:clientData fPrintsWithSheet="0"/>
  </xdr:twoCellAnchor>
  <xdr:twoCellAnchor>
    <xdr:from>
      <xdr:col>15</xdr:col>
      <xdr:colOff>739140</xdr:colOff>
      <xdr:row>0</xdr:row>
      <xdr:rowOff>121920</xdr:rowOff>
    </xdr:from>
    <xdr:to>
      <xdr:col>15</xdr:col>
      <xdr:colOff>1516380</xdr:colOff>
      <xdr:row>1</xdr:row>
      <xdr:rowOff>53340</xdr:rowOff>
    </xdr:to>
    <xdr:sp macro="" textlink="">
      <xdr:nvSpPr>
        <xdr:cNvPr id="18" name="Button 18" hidden="1">
          <a:extLst>
            <a:ext uri="{63B3BB69-23CF-44E3-9099-C40C66FF867C}">
              <a14:compatExt xmlns:a14="http://schemas.microsoft.com/office/drawing/2010/main" spid="_x0000_s23570"/>
            </a:ext>
            <a:ext uri="{FF2B5EF4-FFF2-40B4-BE49-F238E27FC236}">
              <a16:creationId xmlns:a16="http://schemas.microsoft.com/office/drawing/2014/main" id="{9ADC2607-FCD8-4F0A-9336-B08379461974}"/>
            </a:ext>
          </a:extLst>
        </xdr:cNvPr>
        <xdr:cNvSpPr/>
      </xdr:nvSpPr>
      <xdr:spPr bwMode="auto">
        <a:xfrm>
          <a:off x="20402550" y="123825"/>
          <a:ext cx="771525" cy="219075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Ungroup</a:t>
          </a:r>
        </a:p>
      </xdr:txBody>
    </xdr:sp>
    <xdr:clientData fPrintsWithSheet="0"/>
  </xdr:twoCellAnchor>
  <xdr:twoCellAnchor>
    <xdr:from>
      <xdr:col>16</xdr:col>
      <xdr:colOff>137160</xdr:colOff>
      <xdr:row>0</xdr:row>
      <xdr:rowOff>137160</xdr:rowOff>
    </xdr:from>
    <xdr:to>
      <xdr:col>16</xdr:col>
      <xdr:colOff>1036320</xdr:colOff>
      <xdr:row>1</xdr:row>
      <xdr:rowOff>60960</xdr:rowOff>
    </xdr:to>
    <xdr:sp macro="" textlink="">
      <xdr:nvSpPr>
        <xdr:cNvPr id="19" name="Button 19" hidden="1">
          <a:extLst>
            <a:ext uri="{63B3BB69-23CF-44E3-9099-C40C66FF867C}">
              <a14:compatExt xmlns:a14="http://schemas.microsoft.com/office/drawing/2010/main" spid="_x0000_s23571"/>
            </a:ext>
            <a:ext uri="{FF2B5EF4-FFF2-40B4-BE49-F238E27FC236}">
              <a16:creationId xmlns:a16="http://schemas.microsoft.com/office/drawing/2014/main" id="{CE156CCA-8145-4848-9830-CA689D8CBF92}"/>
            </a:ext>
          </a:extLst>
        </xdr:cNvPr>
        <xdr:cNvSpPr/>
      </xdr:nvSpPr>
      <xdr:spPr bwMode="auto">
        <a:xfrm>
          <a:off x="21336000" y="133350"/>
          <a:ext cx="904875" cy="209550"/>
        </a:xfrm>
        <a:prstGeom prst="rect">
          <a:avLst/>
        </a:prstGeom>
        <a:noFill/>
        <a:ln w="9525"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PH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Create IBB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365760</xdr:colOff>
          <xdr:row>2</xdr:row>
          <xdr:rowOff>152400</xdr:rowOff>
        </xdr:from>
        <xdr:to>
          <xdr:col>27</xdr:col>
          <xdr:colOff>670560</xdr:colOff>
          <xdr:row>3</xdr:row>
          <xdr:rowOff>15240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PH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Setup BCB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70129" cy="557381"/>
    <xdr:pic>
      <xdr:nvPicPr>
        <xdr:cNvPr id="2" name="Picture 1">
          <a:extLst>
            <a:ext uri="{FF2B5EF4-FFF2-40B4-BE49-F238E27FC236}">
              <a16:creationId xmlns:a16="http://schemas.microsoft.com/office/drawing/2014/main" id="{F3AE0AD9-B755-4CEC-ADCF-3F9FEFDA50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28" t="44941" r="6680" b="44189"/>
        <a:stretch/>
      </xdr:blipFill>
      <xdr:spPr>
        <a:xfrm>
          <a:off x="0" y="0"/>
          <a:ext cx="5570129" cy="557381"/>
        </a:xfrm>
        <a:prstGeom prst="rect">
          <a:avLst/>
        </a:prstGeom>
        <a:ln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rotoni\Desktop\MY%20FILES\01%20TENDER\79%204PH%20-%20NHA%20NIA%20Road\004%20Submission\MCC.%20CAC.%20BID.%20BCBo%20Rev%2001%20-%20NIA%20Rd%20Project.%202026%2009%2022%20(Final).xlsm" TargetMode="External"/><Relationship Id="rId1" Type="http://schemas.openxmlformats.org/officeDocument/2006/relationships/externalLinkPath" Target="MCC.%20CAC.%20BID.%20BCBo%20Rev%2001%20-%20NIA%20Rd%20Project.%202026%2009%2022%20(Final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flow"/>
      <sheetName val="Assumptions NIA (2)"/>
      <sheetName val="Instructions"/>
      <sheetName val="Assumptions NIA"/>
      <sheetName val="Assumptions Strevi"/>
      <sheetName val="Exclusions"/>
      <sheetName val="Library"/>
      <sheetName val="Built Up Rates"/>
      <sheetName val="BCB"/>
      <sheetName val="IBB 092226134120"/>
      <sheetName val="BCB Database"/>
      <sheetName val="Bid Summary"/>
      <sheetName val="Summary"/>
      <sheetName val="GenReq Comparison"/>
      <sheetName val="Site Management"/>
      <sheetName val="Support Equipment"/>
      <sheetName val="GenReq Comparison (2)"/>
      <sheetName val="Sheet2"/>
      <sheetName val="MCC. CAC. BID"/>
    </sheetNames>
    <definedNames>
      <definedName name="Button4_Click"/>
    </defined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W1"/>
          <cell r="AJ1"/>
          <cell r="AL1"/>
        </row>
        <row r="2">
          <cell r="W2"/>
          <cell r="AJ2" t="str">
            <v>0,;!,;!,;!</v>
          </cell>
          <cell r="AL2"/>
        </row>
        <row r="3">
          <cell r="W3"/>
          <cell r="AJ3"/>
          <cell r="AL3"/>
          <cell r="AX3" t="str">
            <v>'Library'!AX5:BC614</v>
          </cell>
        </row>
        <row r="4">
          <cell r="W4" t="str">
            <v>Item Description</v>
          </cell>
          <cell r="AJ4"/>
          <cell r="AL4" t="str">
            <v>UoM</v>
          </cell>
        </row>
        <row r="5">
          <cell r="W5"/>
          <cell r="AJ5" t="str">
            <v>GENERAL REQUIREMENTS,;!,;!,;!</v>
          </cell>
          <cell r="AL5" t="str">
            <v>lot</v>
          </cell>
        </row>
        <row r="6">
          <cell r="W6"/>
          <cell r="AJ6" t="str">
            <v>GENERAL REQUIREMENTS,;!Mobilization/Demobilization,;!,;!</v>
          </cell>
          <cell r="AL6" t="str">
            <v>lot</v>
          </cell>
        </row>
        <row r="7">
          <cell r="W7"/>
          <cell r="AJ7" t="str">
            <v>GENERAL REQUIREMENTS,;!Temp. Facil. - Site Devt., Offices &amp; Utilities,;!,;!</v>
          </cell>
          <cell r="AL7" t="str">
            <v>lot</v>
          </cell>
        </row>
        <row r="8">
          <cell r="W8"/>
          <cell r="AJ8" t="str">
            <v>GENERAL REQUIREMENTS,;!Temp. Facil. - Utilities  installed in Bldg,;!,;!</v>
          </cell>
          <cell r="AL8" t="str">
            <v>lot</v>
          </cell>
        </row>
        <row r="9">
          <cell r="W9"/>
          <cell r="AJ9" t="str">
            <v>GENERAL REQUIREMENTS,;!Office Equip &amp; Supplies,;!,;!</v>
          </cell>
          <cell r="AL9" t="str">
            <v>lot</v>
          </cell>
        </row>
        <row r="10">
          <cell r="W10"/>
          <cell r="AJ10" t="str">
            <v>GENERAL REQUIREMENTS,;!Site Management Organization (HR) (No. of Staffs),;!,;!</v>
          </cell>
          <cell r="AL10" t="str">
            <v>lot</v>
          </cell>
        </row>
        <row r="11">
          <cell r="W11"/>
          <cell r="AJ11" t="str">
            <v>GENERAL REQUIREMENTS,;!Support Crew -Admin workers,;!,;!</v>
          </cell>
          <cell r="AL11" t="str">
            <v>lot</v>
          </cell>
        </row>
        <row r="12">
          <cell r="W12"/>
          <cell r="AJ12" t="str">
            <v>GENERAL REQUIREMENTS,;!Utilities (Power/ Water/ Comm),;!,;!</v>
          </cell>
          <cell r="AL12" t="str">
            <v>lot</v>
          </cell>
        </row>
        <row r="13">
          <cell r="W13"/>
          <cell r="AJ13" t="str">
            <v>GENERAL REQUIREMENTS,;!Security Services,;!,;!</v>
          </cell>
          <cell r="AL13" t="str">
            <v>lot</v>
          </cell>
        </row>
        <row r="14">
          <cell r="W14"/>
          <cell r="AJ14" t="str">
            <v>GENERAL REQUIREMENTS,;!Housekeeping &amp; Sanitation Services,;!,;!</v>
          </cell>
          <cell r="AL14" t="str">
            <v>lot</v>
          </cell>
        </row>
        <row r="15">
          <cell r="W15"/>
          <cell r="AJ15" t="str">
            <v>GENERAL REQUIREMENTS,;!Support Equipment,;!,;!</v>
          </cell>
          <cell r="AL15" t="str">
            <v>lot</v>
          </cell>
        </row>
        <row r="16">
          <cell r="W16"/>
          <cell r="AJ16" t="str">
            <v>GENERAL REQUIREMENTS,;!Fuel and Oil,;!,;!</v>
          </cell>
          <cell r="AL16" t="str">
            <v>lot</v>
          </cell>
        </row>
        <row r="17">
          <cell r="W17"/>
          <cell r="AJ17" t="str">
            <v>GENERAL REQUIREMENTS,;!Safety Provisions, Safety Measures and First Aid Support ,;!,;!</v>
          </cell>
          <cell r="AL17" t="str">
            <v>lot</v>
          </cell>
        </row>
        <row r="18">
          <cell r="W18"/>
          <cell r="AJ18" t="str">
            <v>GENERAL REQUIREMENTS,;!Drawing Services,;!,;!</v>
          </cell>
          <cell r="AL18" t="str">
            <v>lot</v>
          </cell>
        </row>
        <row r="19">
          <cell r="W19"/>
          <cell r="AJ19" t="str">
            <v>GENERAL REQUIREMENTS,;!Bonds, Insurances &amp; Permits,;!,;!</v>
          </cell>
          <cell r="AL19" t="str">
            <v>lot</v>
          </cell>
        </row>
        <row r="20">
          <cell r="W20"/>
          <cell r="AJ20" t="str">
            <v>GENERAL REQUIREMENTS,;!Material Testing,;!,;!</v>
          </cell>
          <cell r="AL20" t="str">
            <v>lot</v>
          </cell>
        </row>
        <row r="21">
          <cell r="W21"/>
          <cell r="AJ21" t="str">
            <v>GENERAL REQUIREMENTS,;!Property Damage,;!,;!</v>
          </cell>
          <cell r="AL21" t="str">
            <v>lot</v>
          </cell>
        </row>
        <row r="22">
          <cell r="W22"/>
          <cell r="AJ22" t="str">
            <v>GENERAL REQUIREMENTS,;!Project, Owner and Consultant Details,;!,;!</v>
          </cell>
          <cell r="AL22" t="str">
            <v>lot</v>
          </cell>
        </row>
        <row r="23">
          <cell r="W23"/>
          <cell r="AJ23" t="str">
            <v>STRUCTURAL,;!,;!,;!</v>
          </cell>
          <cell r="AL23" t="str">
            <v>lot</v>
          </cell>
        </row>
        <row r="24">
          <cell r="W24"/>
          <cell r="AJ24" t="str">
            <v>STRUCTURAL,;!Siteworks,;!,;!</v>
          </cell>
          <cell r="AL24" t="str">
            <v>lot</v>
          </cell>
        </row>
        <row r="25">
          <cell r="W25"/>
          <cell r="AJ25" t="str">
            <v>STRUCTURAL,;!Siteworks,;!Excavation Works,;!</v>
          </cell>
          <cell r="AL25" t="str">
            <v>m3</v>
          </cell>
        </row>
        <row r="26">
          <cell r="W26"/>
          <cell r="AJ26" t="str">
            <v>STRUCTURAL,;!Siteworks,;!Backfilling and Compaction,;!</v>
          </cell>
          <cell r="AL26" t="str">
            <v>m3</v>
          </cell>
        </row>
        <row r="27">
          <cell r="W27"/>
          <cell r="AJ27" t="str">
            <v>STRUCTURAL,;!Siteworks,;!Haul-out of Excavated Soil,;!</v>
          </cell>
          <cell r="AL27" t="str">
            <v>m3</v>
          </cell>
        </row>
        <row r="28">
          <cell r="W28"/>
          <cell r="AJ28" t="str">
            <v>STRUCTURAL,;!Siteworks,;!Gravel Bedding,;!</v>
          </cell>
          <cell r="AL28" t="str">
            <v>m3</v>
          </cell>
        </row>
        <row r="29">
          <cell r="W29"/>
          <cell r="AJ29" t="str">
            <v>STRUCTURAL,;!Siteworks,;!Trimming Works,;!</v>
          </cell>
          <cell r="AL29" t="str">
            <v>m2</v>
          </cell>
        </row>
        <row r="30">
          <cell r="W30"/>
          <cell r="AJ30" t="str">
            <v>STRUCTURAL,;!Siteworks,;!Soil Poisoning,;!</v>
          </cell>
          <cell r="AL30" t="str">
            <v>m2</v>
          </cell>
        </row>
        <row r="31">
          <cell r="W31"/>
          <cell r="AJ31" t="str">
            <v>STRUCTURAL,;!Rebar (Grade 80),;!,;!</v>
          </cell>
          <cell r="AL31" t="str">
            <v>lot</v>
          </cell>
        </row>
        <row r="32">
          <cell r="W32"/>
          <cell r="AJ32" t="str">
            <v>STRUCTURAL,;!Rebar (Grade 80),;!Mat Footing,;!</v>
          </cell>
          <cell r="AL32" t="str">
            <v>kgs</v>
          </cell>
        </row>
        <row r="33">
          <cell r="W33"/>
          <cell r="AJ33" t="str">
            <v>STRUCTURAL,;!Rebar (Grade 80),;!Domestic Water Tank (Wall),;!</v>
          </cell>
          <cell r="AL33" t="str">
            <v>kgs</v>
          </cell>
        </row>
        <row r="34">
          <cell r="W34"/>
          <cell r="AJ34" t="str">
            <v>STRUCTURAL,;!Rebar (Grade 80),;!Footing Tie Beam,;!</v>
          </cell>
          <cell r="AL34" t="str">
            <v>kgs</v>
          </cell>
        </row>
        <row r="35">
          <cell r="W35"/>
          <cell r="AJ35" t="str">
            <v>STRUCTURAL,;!Rebar (Grade 80),;!Slab on Grade,;!</v>
          </cell>
          <cell r="AL35" t="str">
            <v>kgs</v>
          </cell>
        </row>
        <row r="36">
          <cell r="W36"/>
          <cell r="AJ36" t="str">
            <v>STRUCTURAL,;!Rebar (Grade 80),;!Shearwall ,;!</v>
          </cell>
          <cell r="AL36" t="str">
            <v>kgs</v>
          </cell>
        </row>
        <row r="37">
          <cell r="W37"/>
          <cell r="AJ37" t="str">
            <v>STRUCTURAL,;!Rebar (Grade 80),;!Gravity Wall,;!</v>
          </cell>
          <cell r="AL37" t="str">
            <v>kgs</v>
          </cell>
        </row>
        <row r="38">
          <cell r="W38"/>
          <cell r="AJ38" t="str">
            <v>STRUCTURAL,;!Rebar (Grade 80),;!Beams &amp; Girder,;!</v>
          </cell>
          <cell r="AL38" t="str">
            <v>kgs</v>
          </cell>
        </row>
        <row r="39">
          <cell r="W39"/>
          <cell r="AJ39" t="str">
            <v>STRUCTURAL,;!Rebar (Grade 80),;!Suspended Slab,;!</v>
          </cell>
          <cell r="AL39" t="str">
            <v>kgs</v>
          </cell>
        </row>
        <row r="40">
          <cell r="W40"/>
          <cell r="AJ40" t="str">
            <v>STRUCTURAL,;!Rebar (Grade 80),;!Flat Slab,;!</v>
          </cell>
          <cell r="AL40" t="str">
            <v>kgs</v>
          </cell>
        </row>
        <row r="41">
          <cell r="W41"/>
          <cell r="AJ41" t="str">
            <v>STRUCTURAL,;!Rebar (Grade 80),;!Column,;!</v>
          </cell>
          <cell r="AL41" t="str">
            <v>kgs</v>
          </cell>
        </row>
        <row r="42">
          <cell r="W42"/>
          <cell r="AJ42" t="str">
            <v>STRUCTURAL,;!Rebar (Grade 80),;!Elevator Pit Wall,;!</v>
          </cell>
          <cell r="AL42" t="str">
            <v>kgs</v>
          </cell>
        </row>
        <row r="43">
          <cell r="W43"/>
          <cell r="AJ43" t="str">
            <v>STRUCTURAL,;!Rebar (Grade 80),;!Stairs,;!</v>
          </cell>
          <cell r="AL43" t="str">
            <v>kgs</v>
          </cell>
        </row>
        <row r="44">
          <cell r="W44"/>
          <cell r="AJ44" t="str">
            <v>STRUCTURAL,;!Rebar (Grade 80),;!Canopy,;!</v>
          </cell>
          <cell r="AL44" t="str">
            <v>kgs</v>
          </cell>
        </row>
        <row r="45">
          <cell r="W45"/>
          <cell r="AJ45" t="str">
            <v>STRUCTURAL,;!Rebar (Grade 80),;!Rebar Consumables,;!</v>
          </cell>
          <cell r="AL45" t="str">
            <v>kgs</v>
          </cell>
        </row>
        <row r="46">
          <cell r="W46"/>
          <cell r="AJ46" t="str">
            <v>STRUCTURAL,;!Rebar (Grade 80),;!Rebar Coupler. 25mmØ,;!</v>
          </cell>
          <cell r="AL46" t="str">
            <v>pcs</v>
          </cell>
        </row>
        <row r="47">
          <cell r="W47"/>
          <cell r="AJ47" t="str">
            <v>STRUCTURAL,;!Rebar (Grade 80),;!SS Mortar,;!</v>
          </cell>
          <cell r="AL47" t="str">
            <v>bags</v>
          </cell>
        </row>
        <row r="48">
          <cell r="W48"/>
          <cell r="AJ48" t="str">
            <v>STRUCTURAL,;!Formworks,;!,;!</v>
          </cell>
          <cell r="AL48" t="str">
            <v>lot</v>
          </cell>
        </row>
        <row r="49">
          <cell r="W49"/>
          <cell r="AJ49" t="str">
            <v>STRUCTURAL,;!Formworks,;!Mat Footing,;!</v>
          </cell>
          <cell r="AL49" t="str">
            <v>m2</v>
          </cell>
        </row>
        <row r="50">
          <cell r="W50"/>
          <cell r="AJ50" t="str">
            <v>STRUCTURAL,;!Formworks,;!Domestic Water Tank (Wall),;!</v>
          </cell>
          <cell r="AL50" t="str">
            <v>m2</v>
          </cell>
        </row>
        <row r="51">
          <cell r="W51"/>
          <cell r="AJ51" t="str">
            <v>STRUCTURAL,;!Formworks,;!Footing Tie Beam,;!</v>
          </cell>
          <cell r="AL51" t="str">
            <v>m2</v>
          </cell>
        </row>
        <row r="52">
          <cell r="W52"/>
          <cell r="AJ52" t="str">
            <v>STRUCTURAL,;!Formworks,;!Slab on Grade,;!</v>
          </cell>
          <cell r="AL52" t="str">
            <v>m2</v>
          </cell>
        </row>
        <row r="53">
          <cell r="W53"/>
          <cell r="AJ53" t="str">
            <v>STRUCTURAL,;!Formworks,;!Shearwall ,;!</v>
          </cell>
          <cell r="AL53" t="str">
            <v>m2</v>
          </cell>
        </row>
        <row r="54">
          <cell r="W54"/>
          <cell r="AJ54" t="str">
            <v>STRUCTURAL,;!Formworks,;!Gravity Wall,;!</v>
          </cell>
          <cell r="AL54" t="str">
            <v>m2</v>
          </cell>
        </row>
        <row r="55">
          <cell r="W55"/>
          <cell r="AJ55" t="str">
            <v>STRUCTURAL,;!Formworks,;!Beams &amp; Girder,;!</v>
          </cell>
          <cell r="AL55" t="str">
            <v>m2</v>
          </cell>
        </row>
        <row r="56">
          <cell r="W56"/>
          <cell r="AJ56" t="str">
            <v>STRUCTURAL,;!Formworks,;!Suspended Slab,;!</v>
          </cell>
          <cell r="AL56" t="str">
            <v>m2</v>
          </cell>
        </row>
        <row r="57">
          <cell r="W57"/>
          <cell r="AJ57" t="str">
            <v>STRUCTURAL,;!Formworks,;!Flat Slab,;!</v>
          </cell>
          <cell r="AL57" t="str">
            <v>m2</v>
          </cell>
        </row>
        <row r="58">
          <cell r="W58"/>
          <cell r="AJ58" t="str">
            <v>STRUCTURAL,;!Formworks,;!Column,;!</v>
          </cell>
          <cell r="AL58" t="str">
            <v>m2</v>
          </cell>
        </row>
        <row r="59">
          <cell r="W59"/>
          <cell r="AJ59" t="str">
            <v>STRUCTURAL,;!Formworks,;!Elevator Pit Wall,;!</v>
          </cell>
          <cell r="AL59" t="str">
            <v>m2</v>
          </cell>
        </row>
        <row r="60">
          <cell r="W60"/>
          <cell r="AJ60" t="str">
            <v>STRUCTURAL,;!Formworks,;!Stairs,;!</v>
          </cell>
          <cell r="AL60" t="str">
            <v>m2</v>
          </cell>
        </row>
        <row r="61">
          <cell r="W61"/>
          <cell r="AJ61" t="str">
            <v>STRUCTURAL,;!Formworks,;!Canopy,;!</v>
          </cell>
          <cell r="AL61" t="str">
            <v>m2</v>
          </cell>
        </row>
        <row r="62">
          <cell r="W62"/>
          <cell r="AJ62" t="str">
            <v>STRUCTURAL,;!Formworks,;!Formworks Consumables,;!</v>
          </cell>
          <cell r="AL62" t="str">
            <v>m2</v>
          </cell>
        </row>
        <row r="63">
          <cell r="W63"/>
          <cell r="AJ63" t="str">
            <v>STRUCTURAL,;!Concrete,;!,;!</v>
          </cell>
          <cell r="AL63" t="str">
            <v>lot</v>
          </cell>
        </row>
        <row r="64">
          <cell r="W64"/>
          <cell r="AJ64" t="str">
            <v>STRUCTURAL,;!Concrete,;!Mat Footing. 6000 psi,;!</v>
          </cell>
          <cell r="AL64" t="str">
            <v>m3</v>
          </cell>
        </row>
        <row r="65">
          <cell r="W65"/>
          <cell r="AJ65" t="str">
            <v>STRUCTURAL,;!Concrete,;!Domestic Water Tank (Wall). 8000 psi,;!</v>
          </cell>
          <cell r="AL65" t="str">
            <v>m3</v>
          </cell>
        </row>
        <row r="66">
          <cell r="W66"/>
          <cell r="AJ66" t="str">
            <v>STRUCTURAL,;!Concrete,;!Footing Tie Beam. 6000 psi,;!</v>
          </cell>
          <cell r="AL66" t="str">
            <v>m3</v>
          </cell>
        </row>
        <row r="67">
          <cell r="W67"/>
          <cell r="AJ67" t="str">
            <v>STRUCTURAL,;!Concrete,;!Slab on Grade. 3000 psi,;!</v>
          </cell>
          <cell r="AL67" t="str">
            <v>m3</v>
          </cell>
        </row>
        <row r="68">
          <cell r="W68"/>
          <cell r="AJ68" t="str">
            <v>STRUCTURAL,;!Concrete,;!Shearwall. 8000 psi,;!</v>
          </cell>
          <cell r="AL68" t="str">
            <v>m3</v>
          </cell>
        </row>
        <row r="69">
          <cell r="W69"/>
          <cell r="AJ69" t="str">
            <v>STRUCTURAL,;!Concrete,;!Gravity Wall. 6000 psi,;!</v>
          </cell>
          <cell r="AL69" t="str">
            <v>m3</v>
          </cell>
        </row>
        <row r="70">
          <cell r="W70"/>
          <cell r="AJ70" t="str">
            <v>STRUCTURAL,;!Concrete,;!Beams &amp; Girder. 6000 psi,;!</v>
          </cell>
          <cell r="AL70" t="str">
            <v>m3</v>
          </cell>
        </row>
        <row r="71">
          <cell r="W71"/>
          <cell r="AJ71" t="str">
            <v>STRUCTURAL,;!Concrete,;!Suspended Slab. 6000 psi,;!</v>
          </cell>
          <cell r="AL71" t="str">
            <v>m3</v>
          </cell>
        </row>
        <row r="72">
          <cell r="W72"/>
          <cell r="AJ72" t="str">
            <v>STRUCTURAL,;!Concrete,;!Flat Slab. 6000 psi,;!</v>
          </cell>
          <cell r="AL72" t="str">
            <v>m3</v>
          </cell>
        </row>
        <row r="73">
          <cell r="W73"/>
          <cell r="AJ73" t="str">
            <v>STRUCTURAL,;!Concrete,;!Column. 6000 psi,;!</v>
          </cell>
          <cell r="AL73" t="str">
            <v>m3</v>
          </cell>
        </row>
        <row r="74">
          <cell r="W74"/>
          <cell r="AJ74" t="str">
            <v>STRUCTURAL,;!Concrete,;!Elevator Pit Wall. 6000 psi,;!</v>
          </cell>
          <cell r="AL74" t="str">
            <v>m3</v>
          </cell>
        </row>
        <row r="75">
          <cell r="W75"/>
          <cell r="AJ75" t="str">
            <v>STRUCTURAL,;!Concrete,;!Stairs. 6000 psi,;!</v>
          </cell>
          <cell r="AL75" t="str">
            <v>m3</v>
          </cell>
        </row>
        <row r="76">
          <cell r="W76"/>
          <cell r="AJ76" t="str">
            <v>STRUCTURAL,;!Concrete,;!Canopy. 6000 psi,;!</v>
          </cell>
          <cell r="AL76" t="str">
            <v>m3</v>
          </cell>
        </row>
        <row r="77">
          <cell r="W77"/>
          <cell r="AJ77" t="str">
            <v>STRUCTURAL,;!Concrete,;!Concrete Consumables,;!</v>
          </cell>
          <cell r="AL77" t="str">
            <v>m3</v>
          </cell>
        </row>
        <row r="78">
          <cell r="W78"/>
          <cell r="AJ78" t="str">
            <v>STRUCTURAL,;!Concrete,;!Concrete Placing (Smooth),;!</v>
          </cell>
          <cell r="AL78" t="str">
            <v>m2</v>
          </cell>
        </row>
        <row r="79">
          <cell r="W79"/>
          <cell r="AJ79" t="str">
            <v>STRUCTURAL,;!Concrete,;!Concrete Placing (Rough),;!</v>
          </cell>
          <cell r="AL79" t="str">
            <v>m2</v>
          </cell>
        </row>
        <row r="80">
          <cell r="W80"/>
          <cell r="AJ80" t="str">
            <v>STRUCTURAL,;!Concrete,;!Concrete Pump Setup. Rental,;!</v>
          </cell>
          <cell r="AL80" t="str">
            <v>m3</v>
          </cell>
        </row>
        <row r="81">
          <cell r="W81"/>
          <cell r="AJ81" t="str">
            <v>ARCHITECTURAL,;!,;!,;!</v>
          </cell>
          <cell r="AL81" t="str">
            <v>lot</v>
          </cell>
        </row>
        <row r="82">
          <cell r="W82"/>
          <cell r="AJ82" t="str">
            <v>ARCHITECTURAL,;!Masonry Works,;!,;!</v>
          </cell>
          <cell r="AL82" t="str">
            <v>lot</v>
          </cell>
        </row>
        <row r="83">
          <cell r="W83"/>
          <cell r="AJ83" t="str">
            <v>ARCHITECTURAL,;!Masonry Works,;!Exterior Wall. Precast Wall Panel. 120mm thk,;!</v>
          </cell>
          <cell r="AL83" t="str">
            <v>m2</v>
          </cell>
        </row>
        <row r="84">
          <cell r="W84"/>
          <cell r="AJ84" t="str">
            <v>ARCHITECTURAL,;!Masonry Works,;!Interior Wall. Precast Wall Panel. 100mm thk,;!</v>
          </cell>
          <cell r="AL84" t="str">
            <v>m2</v>
          </cell>
        </row>
        <row r="85">
          <cell r="W85"/>
          <cell r="AJ85" t="str">
            <v>ARCHITECTURAL,;!Masonry Works,;!CHB Wall. 100mm thk including mortar and lintel,;!</v>
          </cell>
          <cell r="AL85" t="str">
            <v>m2</v>
          </cell>
        </row>
        <row r="86">
          <cell r="W86"/>
          <cell r="AJ86" t="str">
            <v>ARCHITECTURAL,;!Masonry Works,;!AAC Wall. 100mm thk including mortar and lintel,;!</v>
          </cell>
          <cell r="AL86" t="str">
            <v>m2</v>
          </cell>
        </row>
        <row r="87">
          <cell r="W87"/>
          <cell r="AJ87" t="str">
            <v>ARCHITECTURAL,;!Masonry Works,;!Cement Plaster. CHB Wall,;!</v>
          </cell>
          <cell r="AL87" t="str">
            <v>m2</v>
          </cell>
        </row>
        <row r="88">
          <cell r="W88"/>
          <cell r="AJ88" t="str">
            <v>ARCHITECTURAL,;!Masonry Works,;!Sealant Works. Exterior Wall / Exterior side of Bldg,;!</v>
          </cell>
          <cell r="AL88" t="str">
            <v>lm</v>
          </cell>
        </row>
        <row r="89">
          <cell r="W89"/>
          <cell r="AJ89" t="str">
            <v>ARCHITECTURAL,;!Masonry Works,;!Sealant Works. Interior Wall,;!</v>
          </cell>
          <cell r="AL89" t="str">
            <v>lm</v>
          </cell>
        </row>
        <row r="90">
          <cell r="W90"/>
          <cell r="AJ90" t="str">
            <v>ARCHITECTURAL,;!Masonry Works,;!Sealant Works. Door Sealant (3 Corner sides),;!</v>
          </cell>
          <cell r="AL90" t="str">
            <v>lm</v>
          </cell>
        </row>
        <row r="91">
          <cell r="W91"/>
          <cell r="AJ91" t="str">
            <v>ARCHITECTURAL,;!Masonry Works,;!Skimcoating Works. Exterior Walls,;!</v>
          </cell>
          <cell r="AL91" t="str">
            <v>m2</v>
          </cell>
        </row>
        <row r="92">
          <cell r="W92"/>
          <cell r="AJ92" t="str">
            <v>ARCHITECTURAL,;!Masonry Works,;!Skimcoating Works. Interior Walls,;!</v>
          </cell>
          <cell r="AL92" t="str">
            <v>m2</v>
          </cell>
        </row>
        <row r="93">
          <cell r="W93"/>
          <cell r="AJ93" t="str">
            <v>ARCHITECTURAL,;!Masonry Works,;!Skimcoating Works. Underslab,;!</v>
          </cell>
          <cell r="AL93" t="str">
            <v>m2</v>
          </cell>
        </row>
        <row r="94">
          <cell r="W94"/>
          <cell r="AJ94" t="str">
            <v>ARCHITECTURAL,;!Masonry Works,;!Plain Cement Straight to Finish,;!</v>
          </cell>
          <cell r="AL94" t="str">
            <v>m2</v>
          </cell>
        </row>
        <row r="95">
          <cell r="W95"/>
          <cell r="AJ95" t="str">
            <v>ARCHITECTURAL,;!Masonry Works,;!Plain Cement Straight to Finish. Epoxy Painted Finish,;!</v>
          </cell>
          <cell r="AL95" t="str">
            <v>m2</v>
          </cell>
        </row>
        <row r="96">
          <cell r="W96"/>
          <cell r="AJ96" t="str">
            <v>ARCHITECTURAL,;!Masonry Works,;!Plain Cement In Non-Slip Finish with Concrete Hardener and Driveway Markings,;!</v>
          </cell>
          <cell r="AL96" t="str">
            <v>m2</v>
          </cell>
        </row>
        <row r="97">
          <cell r="W97"/>
          <cell r="AJ97" t="str">
            <v>ARCHITECTURAL,;!Masonry Works,;!Plain Cement Concrete, Smooth Finish Concrete Topping with Epoxy Coating,;!</v>
          </cell>
          <cell r="AL97" t="str">
            <v>m2</v>
          </cell>
        </row>
        <row r="98">
          <cell r="W98"/>
          <cell r="AJ98" t="str">
            <v>ARCHITECTURAL,;!Masonry Works,;!Rough Concrete Finish with 12mm U-Groove @ 100mm o.c.,;!</v>
          </cell>
          <cell r="AL98" t="str">
            <v>m2</v>
          </cell>
        </row>
        <row r="99">
          <cell r="W99"/>
          <cell r="AJ99" t="str">
            <v>ARCHITECTURAL,;!Masonry Works,;!Rough Concrete Finish,;!</v>
          </cell>
          <cell r="AL99" t="str">
            <v>m2</v>
          </cell>
        </row>
        <row r="100">
          <cell r="W100"/>
          <cell r="AJ100" t="str">
            <v>ARCHITECTURAL,;!Masonry Works,;!Concrete Polish (Dust Proof),;!</v>
          </cell>
          <cell r="AL100" t="str">
            <v>m2</v>
          </cell>
        </row>
        <row r="101">
          <cell r="W101"/>
          <cell r="AJ101" t="str">
            <v>ARCHITECTURAL,;!Masonry Works,;!Concrete Polish,;!</v>
          </cell>
          <cell r="AL101" t="str">
            <v>m2</v>
          </cell>
        </row>
        <row r="102">
          <cell r="W102"/>
          <cell r="AJ102" t="str">
            <v>ARCHITECTURAL,;!Masonry Works,;!Rubbed Concrete on Exposed Soffit,;!</v>
          </cell>
          <cell r="AL102" t="str">
            <v>m2</v>
          </cell>
        </row>
        <row r="103">
          <cell r="W103"/>
          <cell r="AJ103" t="str">
            <v>ARCHITECTURAL,;!Masonry Works,;!Concrete Topping. 25mm thk,;!</v>
          </cell>
          <cell r="AL103" t="str">
            <v>m2</v>
          </cell>
        </row>
        <row r="104">
          <cell r="W104"/>
          <cell r="AJ104" t="str">
            <v>ARCHITECTURAL,;!Masonry Works,;!Masonry Concrete. Cast in Place Items. Concrete Zocalo,;!</v>
          </cell>
          <cell r="AL104" t="str">
            <v>lm</v>
          </cell>
        </row>
        <row r="105">
          <cell r="W105"/>
          <cell r="AJ105" t="str">
            <v>ARCHITECTURAL,;!Masonry Works,;!Masonry Concrete. Catch Basin,;!</v>
          </cell>
          <cell r="AL105" t="str">
            <v>set/s</v>
          </cell>
        </row>
        <row r="106">
          <cell r="W106"/>
          <cell r="AJ106" t="str">
            <v>ARCHITECTURAL,;!Tiling Works,;!,;!</v>
          </cell>
          <cell r="AL106" t="str">
            <v>lot</v>
          </cell>
        </row>
        <row r="107">
          <cell r="W107"/>
          <cell r="AJ107" t="str">
            <v>ARCHITECTURAL,;!Tiling Works,;!Ceramic Floor Tiles. 600mm x 600mm. Matte Finish,;!</v>
          </cell>
          <cell r="AL107" t="str">
            <v>m2</v>
          </cell>
        </row>
        <row r="108">
          <cell r="W108"/>
          <cell r="AJ108" t="str">
            <v>ARCHITECTURAL,;!Tiling Works,;!Ceramic Floor Tiles. 300mm x 300mm,;!</v>
          </cell>
          <cell r="AL108" t="str">
            <v>m2</v>
          </cell>
        </row>
        <row r="109">
          <cell r="W109"/>
          <cell r="AJ109" t="str">
            <v>ARCHITECTURAL,;!Tiling Works,;!Ceramic Wall Tiles. 300mm x 300mm,;!</v>
          </cell>
          <cell r="AL109" t="str">
            <v>m2</v>
          </cell>
        </row>
        <row r="110">
          <cell r="W110"/>
          <cell r="AJ110" t="str">
            <v>ARCHITECTURAL,;!Tiling Works,;!Tileworks Consumables,;!</v>
          </cell>
          <cell r="AL110" t="str">
            <v>m2</v>
          </cell>
        </row>
        <row r="111">
          <cell r="W111"/>
          <cell r="AJ111" t="str">
            <v>ARCHITECTURAL,;!Drywall &amp; Ceiling,;!,;!</v>
          </cell>
          <cell r="AL111" t="str">
            <v>lot</v>
          </cell>
        </row>
        <row r="112">
          <cell r="W112"/>
          <cell r="AJ112" t="str">
            <v>ARCHITECTURAL,;!Drywall &amp; Ceiling,;!Drywall Partition. 12mm thk Gypsum Board - By Tenant,;!</v>
          </cell>
          <cell r="AL112" t="str">
            <v>m2</v>
          </cell>
        </row>
        <row r="113">
          <cell r="W113"/>
          <cell r="AJ113" t="str">
            <v>ARCHITECTURAL,;!Thermal &amp; Moisture Protection,;!,;!</v>
          </cell>
          <cell r="AL113" t="str">
            <v>lot</v>
          </cell>
        </row>
        <row r="114">
          <cell r="W114"/>
          <cell r="AJ114" t="str">
            <v>ARCHITECTURAL,;!Thermal &amp; Moisture Protection,;!Hydrophobic Pore Blocking Ingredient (HPI) Integral Waterproofing (with Vapor Barrier),;!</v>
          </cell>
          <cell r="AL114" t="str">
            <v>m3</v>
          </cell>
        </row>
        <row r="115">
          <cell r="W115"/>
          <cell r="AJ115" t="str">
            <v>ARCHITECTURAL,;!Thermal &amp; Moisture Protection,;!Flexible Cementitious Waterproofing with Topping/Tiles,;!</v>
          </cell>
          <cell r="AL115" t="str">
            <v>m2</v>
          </cell>
        </row>
        <row r="116">
          <cell r="W116"/>
          <cell r="AJ116" t="str">
            <v>ARCHITECTURAL,;!Thermal &amp; Moisture Protection,;!Polyurethane Waterproofing. Exposed Type,;!</v>
          </cell>
          <cell r="AL116" t="str">
            <v>m2</v>
          </cell>
        </row>
        <row r="117">
          <cell r="W117"/>
          <cell r="AJ117" t="str">
            <v>ARCHITECTURAL,;!Thermal &amp; Moisture Protection,;!Non Toxic Food Grade, Two Component Epoxy Tank Lining,;!</v>
          </cell>
          <cell r="AL117" t="str">
            <v>lm</v>
          </cell>
        </row>
        <row r="118">
          <cell r="W118"/>
          <cell r="AJ118" t="str">
            <v>ARCHITECTURAL,;!Thermal &amp; Moisture Protection,;!Bentonite Strip Water Stopper,;!</v>
          </cell>
          <cell r="AL118" t="str">
            <v>lm</v>
          </cell>
        </row>
        <row r="119">
          <cell r="W119"/>
          <cell r="AJ119" t="str">
            <v>ARCHITECTURAL,;!Thermal &amp; Moisture Protection,;!Damp proofing vapor barrier,;!</v>
          </cell>
          <cell r="AL119" t="str">
            <v>m2</v>
          </cell>
        </row>
        <row r="120">
          <cell r="W120"/>
          <cell r="AJ120" t="str">
            <v>ARCHITECTURAL,;!Thermal &amp; Moisture Protection,;!Crystalline Capillary Waterproofing w/ damp proofing vapor barrier,;!</v>
          </cell>
          <cell r="AL120" t="str">
            <v>m2</v>
          </cell>
        </row>
        <row r="121">
          <cell r="W121"/>
          <cell r="AJ121" t="str">
            <v>ARCHITECTURAL,;!Thermal &amp; Moisture Protection,;!Polyethylene Sheet. Vapor Barrier,;!</v>
          </cell>
          <cell r="AL121" t="str">
            <v>m2</v>
          </cell>
        </row>
        <row r="122">
          <cell r="W122"/>
          <cell r="AJ122" t="str">
            <v>ARCHITECTURAL,;!Doors and Jamb,;!,;!</v>
          </cell>
          <cell r="AL122" t="str">
            <v>lot</v>
          </cell>
        </row>
        <row r="123">
          <cell r="W123"/>
          <cell r="AJ123" t="str">
            <v>ARCHITECTURAL,;!Doors and Jamb,;!Unit Main Door. HDF Semi-Solid Core Swing Door. 900mmW x 2100mmH. D1,;!</v>
          </cell>
          <cell r="AL123" t="str">
            <v>set/s</v>
          </cell>
        </row>
        <row r="124">
          <cell r="W124"/>
          <cell r="AJ124" t="str">
            <v>ARCHITECTURAL,;!Doors and Jamb,;!Unit T&amp;B Door. PVC Door with Louver. 700mmW x 2100mmH. D2,;!</v>
          </cell>
          <cell r="AL124" t="str">
            <v>set/s</v>
          </cell>
        </row>
        <row r="125">
          <cell r="W125"/>
          <cell r="AJ125" t="str">
            <v>ARCHITECTURAL,;!Doors and Jamb,;!Unit Balcony Door. HDF Semi-Solid Core Swing Door. 900mmW x 2100mmH. D1A,;!</v>
          </cell>
          <cell r="AL125" t="str">
            <v>set/s</v>
          </cell>
        </row>
        <row r="126">
          <cell r="W126"/>
          <cell r="AJ126" t="str">
            <v>ARCHITECTURAL,;!Doors and Jamb,;!Fire Exit Door. Fire Rated Galvanized Steel Door. 900mmW x 2100mmH. D3,;!</v>
          </cell>
          <cell r="AL126" t="str">
            <v>set/s</v>
          </cell>
        </row>
        <row r="127">
          <cell r="W127"/>
          <cell r="AJ127" t="str">
            <v>ARCHITECTURAL,;!Doors and Jamb,;!FCC/Storage Door. Galvanized Steel Door. 900mmW x 2100mmH. D4,;!</v>
          </cell>
          <cell r="AL127" t="str">
            <v>set/s</v>
          </cell>
        </row>
        <row r="128">
          <cell r="W128"/>
          <cell r="AJ128" t="str">
            <v>ARCHITECTURAL,;!Doors and Jamb,;!Utility Room Door. Galvanized Steel Door, Full Louvered Inverted Z Louver Blade. 900mmW x 2100mmH. D5,;!</v>
          </cell>
          <cell r="AL128" t="str">
            <v>set/s</v>
          </cell>
        </row>
        <row r="129">
          <cell r="W129"/>
          <cell r="AJ129" t="str">
            <v>ARCHITECTURAL,;!Doors and Jamb,;!Genset Door. Galvanized Steel Door, Full Louvered Storm Louver. 3000mmW x 2100mmH. D6,;!</v>
          </cell>
          <cell r="AL129" t="str">
            <v>set/s</v>
          </cell>
        </row>
        <row r="130">
          <cell r="W130"/>
          <cell r="AJ130" t="str">
            <v>ARCHITECTURAL,;!Doors and Jamb,;!TVR Door. Galvanized Steel Door, Full Louvered Storm Louver. 2000mmW x 2100mmH. D6A,;!</v>
          </cell>
          <cell r="AL130" t="str">
            <v>set/s</v>
          </cell>
        </row>
        <row r="131">
          <cell r="W131"/>
          <cell r="AJ131" t="str">
            <v>ARCHITECTURAL,;!Doors and Jamb,;!Pipe Chase Door. Ficem Board Door. 800mmW x 600mmH. PC1,;!</v>
          </cell>
          <cell r="AL131" t="str">
            <v>set/s</v>
          </cell>
        </row>
        <row r="132">
          <cell r="W132"/>
          <cell r="AJ132" t="str">
            <v>ARCHITECTURAL,;!Doors and Jamb,;!Pipe Chase Door. Ficem Board Door. 680mmW x 600mmH. PC2,;!</v>
          </cell>
          <cell r="AL132" t="str">
            <v>set/s</v>
          </cell>
        </row>
        <row r="133">
          <cell r="W133"/>
          <cell r="AJ133" t="str">
            <v>ARCHITECTURAL,;!Hardwares,;!,;!</v>
          </cell>
          <cell r="AL133" t="str">
            <v>lot</v>
          </cell>
        </row>
        <row r="134">
          <cell r="W134"/>
          <cell r="AJ134" t="str">
            <v>ARCHITECTURAL,;!Hardwares,;!Hinges. 3-4"x4"x3mm x 4BB S/S Hinges,;!</v>
          </cell>
          <cell r="AL134" t="str">
            <v>set/s</v>
          </cell>
        </row>
        <row r="135">
          <cell r="W135"/>
          <cell r="AJ135" t="str">
            <v>ARCHITECTURAL,;!Hardwares,;!Hinges. Piano Hinge,;!</v>
          </cell>
          <cell r="AL135" t="str">
            <v>set/s</v>
          </cell>
        </row>
        <row r="136">
          <cell r="W136"/>
          <cell r="AJ136" t="str">
            <v>ARCHITECTURAL,;!Hardwares,;!Rim Fire Exit Device,;!</v>
          </cell>
          <cell r="AL136" t="str">
            <v>set/s</v>
          </cell>
        </row>
        <row r="137">
          <cell r="W137"/>
          <cell r="AJ137" t="str">
            <v>ARCHITECTURAL,;!Hardwares,;!Tri Pack Door Closer,;!</v>
          </cell>
          <cell r="AL137" t="str">
            <v>set/s</v>
          </cell>
        </row>
        <row r="138">
          <cell r="W138"/>
          <cell r="AJ138" t="str">
            <v>ARCHITECTURAL,;!Hardwares,;!Flush Type Door Handle Lockset,;!</v>
          </cell>
          <cell r="AL138" t="str">
            <v>set/s</v>
          </cell>
        </row>
        <row r="139">
          <cell r="W139"/>
          <cell r="AJ139" t="str">
            <v>ARCHITECTURAL,;!Hardwares,;!Cylindrical Lever Lockset, Storeroom Function, Grade 2, Satin Chrome Finish,;!</v>
          </cell>
          <cell r="AL139" t="str">
            <v>set/s</v>
          </cell>
        </row>
        <row r="140">
          <cell r="W140"/>
          <cell r="AJ140" t="str">
            <v>ARCHITECTURAL,;!Hardwares,;!Cylindrical Lever Lockset, Entrance Function, Grade 2, Satin Chrome Finish,;!</v>
          </cell>
          <cell r="AL140" t="str">
            <v>set/s</v>
          </cell>
        </row>
        <row r="141">
          <cell r="W141"/>
          <cell r="AJ141" t="str">
            <v>ARCHITECTURAL,;!Hardwares,;!Lever Type Lockset, Entrance Function Grade 2, UL Listed Satin Chrome Finish,;!</v>
          </cell>
          <cell r="AL141" t="str">
            <v>set/s</v>
          </cell>
        </row>
        <row r="142">
          <cell r="W142"/>
          <cell r="AJ142" t="str">
            <v>ARCHITECTURAL,;!Hardwares,;!Concealed Door Closer,;!</v>
          </cell>
          <cell r="AL142" t="str">
            <v>set/s</v>
          </cell>
        </row>
        <row r="143">
          <cell r="W143"/>
          <cell r="AJ143" t="str">
            <v>ARCHITECTURAL,;!Hardwares,;!Privacy Function, Thumbturn Inside , Emergency Quick Release Outside, Cylindrical Lever Lockset, Grade 2,;!</v>
          </cell>
          <cell r="AL143" t="str">
            <v>set/s</v>
          </cell>
        </row>
        <row r="144">
          <cell r="W144"/>
          <cell r="AJ144" t="str">
            <v>ARCHITECTURAL,;!Hardwares,;!Camlock (Keyed Type) w/ S.S Automatic Rebound Latch,;!</v>
          </cell>
          <cell r="AL144" t="str">
            <v>set/s</v>
          </cell>
        </row>
        <row r="145">
          <cell r="W145"/>
          <cell r="AJ145" t="str">
            <v>ARCHITECTURAL,;!Hardwares,;!Camlock (Keyed Type),;!</v>
          </cell>
          <cell r="AL145" t="str">
            <v>set/s</v>
          </cell>
        </row>
        <row r="146">
          <cell r="W146"/>
          <cell r="AJ146" t="str">
            <v>ARCHITECTURAL,;!Hardwares,;!S.S Cylindrical Cupboard Knob (Satin Brushed Fin.),;!</v>
          </cell>
          <cell r="AL146" t="str">
            <v>set/s</v>
          </cell>
        </row>
        <row r="147">
          <cell r="W147"/>
          <cell r="AJ147" t="str">
            <v>ARCHITECTURAL,;!Metal Works,;!,;!</v>
          </cell>
          <cell r="AL147" t="str">
            <v>lot</v>
          </cell>
        </row>
        <row r="148">
          <cell r="W148"/>
          <cell r="AJ148" t="str">
            <v>ARCHITECTURAL,;!Metal Works,;!Railings. Floor Mounted. 38 mm dia. G.I Pipe Handrail, 25mm dia Solid Round Bar Diagonal Support, 25mm dia Flat bar Vertical Support, Painted at Fire Exit,;!</v>
          </cell>
          <cell r="AL148" t="str">
            <v>lm</v>
          </cell>
        </row>
        <row r="149">
          <cell r="W149"/>
          <cell r="AJ149" t="str">
            <v>ARCHITECTURAL,;!Metal Works,;!Railings. Wall Mounted. 38 mm dia. G.I Pipe Handrail, 25mm dia Solid Round Bar Diagonal Support, 25mm dia Flat bar Vertical Support, Painted at Fire Exit,;!</v>
          </cell>
          <cell r="AL149" t="str">
            <v>lm</v>
          </cell>
        </row>
        <row r="150">
          <cell r="W150"/>
          <cell r="AJ150" t="str">
            <v>ARCHITECTURAL,;!Metal Works,;!Balcony Railings. Floor Mounted,;!</v>
          </cell>
          <cell r="AL150" t="str">
            <v>lm</v>
          </cell>
        </row>
        <row r="151">
          <cell r="W151"/>
          <cell r="AJ151" t="str">
            <v>ARCHITECTURAL,;!Metal Works,;!ACU Metal Ledge. 75mm Thk x 0.6mW  x 1.5mL (Drip Pan),;!</v>
          </cell>
          <cell r="AL151" t="str">
            <v>set/s</v>
          </cell>
        </row>
        <row r="152">
          <cell r="W152"/>
          <cell r="AJ152" t="str">
            <v>ARCHITECTURAL,;!Metal Works,;!Ladder Rung. 20mmØ Stainless Steel Ladder Rung (Type to 2 No.),;!</v>
          </cell>
          <cell r="AL152" t="str">
            <v>pc/s</v>
          </cell>
        </row>
        <row r="153">
          <cell r="W153"/>
          <cell r="AJ153" t="str">
            <v>ARCHITECTURAL,;!Metal Works,;!Ladder Rung. 16mmØ Hot Dipped Galvanized Round Bar spaced @ 300mm, Painted,;!</v>
          </cell>
          <cell r="AL153" t="str">
            <v>pc/s</v>
          </cell>
        </row>
        <row r="154">
          <cell r="W154"/>
          <cell r="AJ154" t="str">
            <v>ARCHITECTURAL,;!Metal Works,;!Manhole Cover. 600mm x 600mm (Type to 2 No.),;!</v>
          </cell>
          <cell r="AL154" t="str">
            <v>pc/s</v>
          </cell>
        </row>
        <row r="155">
          <cell r="W155"/>
          <cell r="AJ155" t="str">
            <v>ARCHITECTURAL,;!Metal Works,;!Elevator Separator Beam (No detail),;!</v>
          </cell>
          <cell r="AL155" t="str">
            <v>set/s</v>
          </cell>
        </row>
        <row r="156">
          <cell r="W156"/>
          <cell r="AJ156" t="str">
            <v>ARCHITECTURAL,;!Painting Works,;!,;!</v>
          </cell>
          <cell r="AL156" t="str">
            <v>lot</v>
          </cell>
        </row>
        <row r="157">
          <cell r="W157"/>
          <cell r="AJ157" t="str">
            <v>ARCHITECTURAL,;!Painting Works,;!Exterior Wall. Elastomeric Paint Finish ,;!</v>
          </cell>
          <cell r="AL157" t="str">
            <v>m2</v>
          </cell>
        </row>
        <row r="158">
          <cell r="W158"/>
          <cell r="AJ158" t="str">
            <v>ARCHITECTURAL,;!Painting Works,;!Interior Wall. Latex Paint Finish (1 Coat,with Prime),;!</v>
          </cell>
          <cell r="AL158" t="str">
            <v>m2</v>
          </cell>
        </row>
        <row r="159">
          <cell r="W159"/>
          <cell r="AJ159" t="str">
            <v>ARCHITECTURAL,;!Painting Works,;!Interior Ceiling Paint. Latex Paint Finish (1 Coat, with Primer),;!</v>
          </cell>
          <cell r="AL159" t="str">
            <v>m2</v>
          </cell>
        </row>
        <row r="160">
          <cell r="W160"/>
          <cell r="AJ160" t="str">
            <v>ARCHITECTURAL,;!Painting Works,;!Epoxy Paint. Epoxy Primer Lacquer Paint Finish at Railings,;!</v>
          </cell>
          <cell r="AL160" t="str">
            <v>lm</v>
          </cell>
        </row>
        <row r="161">
          <cell r="W161"/>
          <cell r="AJ161" t="str">
            <v>ARCHITECTURAL,;!Aluminum Glass &amp; Glazing Works,;!,;!</v>
          </cell>
          <cell r="AL161" t="str">
            <v>lot</v>
          </cell>
        </row>
        <row r="162">
          <cell r="W162"/>
          <cell r="AJ162" t="str">
            <v>ARCHITECTURAL,;!Aluminum Glass &amp; Glazing Works,;!Unit Balcony. Aluminum Clear Glass Door. Powder Coated Finish. 900mmW x 2100mmH.,;!</v>
          </cell>
          <cell r="AL162" t="str">
            <v>set/s</v>
          </cell>
        </row>
        <row r="163">
          <cell r="W163"/>
          <cell r="AJ163" t="str">
            <v>ARCHITECTURAL,;!Aluminum Glass &amp; Glazing Works,;!Unit Bedroom. Aluminum Framed Fixed and Awning Window. 6-8mm thk Tempered Glass. Powder Coated Finish. 1600mmW x 1500mmH,;!</v>
          </cell>
          <cell r="AL163" t="str">
            <v>set/s</v>
          </cell>
        </row>
        <row r="164">
          <cell r="W164"/>
          <cell r="AJ164" t="str">
            <v>ARCHITECTURAL,;!Aluminum Glass &amp; Glazing Works,;!Elevator Lobby. Aluminum Framed Fixed Open Awning Window. 6-8mm thk Tempered Glass. Powder Coated Finish. 2700mmW x 1500mmH,;!</v>
          </cell>
          <cell r="AL164" t="str">
            <v>set/s</v>
          </cell>
        </row>
        <row r="165">
          <cell r="W165"/>
          <cell r="AJ165" t="str">
            <v>ARCHITECTURAL,;!Cabinetry,;!,;!</v>
          </cell>
          <cell r="AL165" t="str">
            <v>lot</v>
          </cell>
        </row>
        <row r="166">
          <cell r="W166"/>
          <cell r="AJ166" t="str">
            <v>ARCHITECTURAL,;!Cabinetry,;!Kitchen Counter. Precast Concrete Countertop with 30mm x 600mm Tiles and 1-layer splashboard,;!</v>
          </cell>
          <cell r="AL166" t="str">
            <v>set/s</v>
          </cell>
        </row>
        <row r="167">
          <cell r="W167"/>
          <cell r="AJ167" t="str">
            <v>ARCHITECTURAL,;!Specialties,;!,;!</v>
          </cell>
          <cell r="AL167" t="str">
            <v>lot</v>
          </cell>
        </row>
        <row r="168">
          <cell r="W168"/>
          <cell r="AJ168" t="str">
            <v>ARCHITECTURAL,;!Specialties,;!Painted Room Number,;!</v>
          </cell>
          <cell r="AL168" t="str">
            <v>set/s</v>
          </cell>
        </row>
        <row r="169">
          <cell r="W169"/>
          <cell r="AJ169" t="str">
            <v>ARCHITECTURAL,;!Plumbing Fixtures ,;!,;!</v>
          </cell>
          <cell r="AL169" t="str">
            <v>lot</v>
          </cell>
        </row>
        <row r="170">
          <cell r="W170"/>
          <cell r="AJ170" t="str">
            <v>ARCHITECTURAL,;!Plumbing Fixtures ,;!Floor Mounted, Wall Discharge Water Closet with tank, 1 piece (Square-ish design) ,;!</v>
          </cell>
          <cell r="AL170" t="str">
            <v>set/s</v>
          </cell>
        </row>
        <row r="171">
          <cell r="W171"/>
          <cell r="AJ171" t="str">
            <v>ARCHITECTURAL,;!Plumbing Fixtures ,;!Wall Hung Lavatory (Square-ish design) with complete accessories,;!</v>
          </cell>
          <cell r="AL171" t="str">
            <v>set/s</v>
          </cell>
        </row>
        <row r="172">
          <cell r="W172"/>
          <cell r="AJ172" t="str">
            <v>ARCHITECTURAL,;!Plumbing Fixtures ,;!Single Lever, Single line Faucet SS satin or Chrome Finish,;!</v>
          </cell>
          <cell r="AL172" t="str">
            <v>set/s</v>
          </cell>
        </row>
        <row r="173">
          <cell r="W173"/>
          <cell r="AJ173" t="str">
            <v>ARCHITECTURAL,;!Plumbing Fixtures ,;!Stainless steel, handheld telephone-type shower head with shower bar,;!</v>
          </cell>
          <cell r="AL173" t="str">
            <v>set/s</v>
          </cell>
        </row>
        <row r="174">
          <cell r="W174"/>
          <cell r="AJ174" t="str">
            <v>ARCHITECTURAL,;!Plumbing Fixtures ,;!Spray Bidet, Stainless Steel Satin or Chrome finish - By Tenant,;!</v>
          </cell>
          <cell r="AL174" t="str">
            <v>set/s</v>
          </cell>
        </row>
        <row r="175">
          <cell r="W175"/>
          <cell r="AJ175" t="str">
            <v>ARCHITECTURAL,;!Plumbing Fixtures ,;!Toilet Paper Holder, Stainless Steel Satin or Chrome finish,;!</v>
          </cell>
          <cell r="AL175" t="str">
            <v>set/s</v>
          </cell>
        </row>
        <row r="176">
          <cell r="W176"/>
          <cell r="AJ176" t="str">
            <v>ARCHITECTURAL,;!Plumbing Fixtures ,;!Soapholder, Stainless Steel Satin or Chrome finish,;!</v>
          </cell>
          <cell r="AL176" t="str">
            <v>set/s</v>
          </cell>
        </row>
        <row r="177">
          <cell r="W177"/>
          <cell r="AJ177" t="str">
            <v>ARCHITECTURAL,;!Plumbing Fixtures ,;!Kitchen Sink w/ Faucet and accessories,;!</v>
          </cell>
          <cell r="AL177" t="str">
            <v>set/s</v>
          </cell>
        </row>
        <row r="178">
          <cell r="W178"/>
          <cell r="AJ178" t="str">
            <v>MECHANICAL,;!,;!,;!</v>
          </cell>
          <cell r="AL178" t="str">
            <v>lot</v>
          </cell>
        </row>
        <row r="179">
          <cell r="W179"/>
          <cell r="AJ179" t="str">
            <v>MECHANICAL,;!Air Conditioning,;!,;!</v>
          </cell>
          <cell r="AL179" t="str">
            <v>lot</v>
          </cell>
        </row>
        <row r="180">
          <cell r="W180"/>
          <cell r="AJ180" t="str">
            <v>MECHANICAL,;!Air Conditioning,;!FCU/ACCU- GF-FCC 1.0TR, 1.5HP, 230V/1PH/60HZ Split Type Wall Mounted ,;!</v>
          </cell>
          <cell r="AL180" t="str">
            <v>set/s</v>
          </cell>
        </row>
        <row r="181">
          <cell r="W181"/>
          <cell r="AJ181" t="str">
            <v>MECHANICAL,;!Air Conditioning,;!FCU/ACCU- GF-TEL 0.8TR, 1.0HP, 230V/1PH/60HZ Split Type Wall Mounted - By Telco Provider,;!</v>
          </cell>
          <cell r="AL181" t="str">
            <v>set/s</v>
          </cell>
        </row>
        <row r="182">
          <cell r="W182"/>
          <cell r="AJ182" t="str">
            <v>MECHANICAL,;!Air Conditioning,;!WACU-1, 1.2TR, 1.5HP, 230V/1PH/60HZ Window Type - By Tenant,;!</v>
          </cell>
          <cell r="AL182" t="str">
            <v>set/s</v>
          </cell>
        </row>
        <row r="183">
          <cell r="W183"/>
          <cell r="AJ183" t="str">
            <v>MECHANICAL,;!Ventilation Fan,;!,;!</v>
          </cell>
          <cell r="AL183" t="str">
            <v>lot</v>
          </cell>
        </row>
        <row r="184">
          <cell r="W184"/>
          <cell r="AJ184" t="str">
            <v>MECHANICAL,;!Ventilation Fan,;!EF-GF-MRF, 250CFM, 230V/1PH/60HZ, Wall Mounted Propeller,;!</v>
          </cell>
          <cell r="AL184" t="str">
            <v>set/s</v>
          </cell>
        </row>
        <row r="185">
          <cell r="W185"/>
          <cell r="AJ185" t="str">
            <v>MECHANICAL,;!Ventilation Fan,;!EF-GF-STO, 250CFM, 230V/1PH/60HZ, Wall Mounted Propeller,;!</v>
          </cell>
          <cell r="AL185" t="str">
            <v>set/s</v>
          </cell>
        </row>
        <row r="186">
          <cell r="W186"/>
          <cell r="AJ186" t="str">
            <v>MECHANICAL,;!Ventilation Fan,;!EF-GF-PMP, 550CFM, 230V/1PH/60HZ, Wall Mounted Propeller,;!</v>
          </cell>
          <cell r="AL186" t="str">
            <v>set/s</v>
          </cell>
        </row>
        <row r="187">
          <cell r="W187"/>
          <cell r="AJ187" t="str">
            <v>MECHANICAL,;!Ventilation Fan,;!EF-GF-GEN, 1,300CFM, 230V/1PH/60HZ, Wall Mounted Propeller,;!</v>
          </cell>
          <cell r="AL187" t="str">
            <v>set/s</v>
          </cell>
        </row>
        <row r="188">
          <cell r="W188"/>
          <cell r="AJ188" t="str">
            <v>MECHANICAL,;!Ventilation Fan,;!EF-GF-TVR, 2,750CFM, 230V/1PH/60HZ, Tube Axial,;!</v>
          </cell>
          <cell r="AL188" t="str">
            <v>set/s</v>
          </cell>
        </row>
        <row r="189">
          <cell r="W189"/>
          <cell r="AJ189" t="str">
            <v>MECHANICAL,;!Ventilation Fan,;!TEF-1, 50CFM, 230V/1PH/60HZ, Wall Mounted Ducted - By Tenant,;!</v>
          </cell>
          <cell r="AL189" t="str">
            <v>set/s</v>
          </cell>
        </row>
        <row r="190">
          <cell r="W190"/>
          <cell r="AJ190" t="str">
            <v>MECHANICAL,;!Ventilation Fan,;!RH-1, 200CFM, 230V/1PH/60HZ Ducted Rangehood - By Tenant,;!</v>
          </cell>
          <cell r="AL190" t="str">
            <v>set/s</v>
          </cell>
        </row>
        <row r="191">
          <cell r="W191"/>
          <cell r="AJ191" t="str">
            <v>MECHANICAL,;!Ventilation Fan,;!SPF-1/2-DOSW, 15,000CFM, 400V/3PH/60HZ, Centrifugal Floor Mount,;!</v>
          </cell>
          <cell r="AL191" t="str">
            <v>set/s</v>
          </cell>
        </row>
        <row r="192">
          <cell r="W192"/>
          <cell r="AJ192" t="str">
            <v>MECHANICAL,;!Ventilation Fan,;!EPF-DOEL, 9,800CFM, 400V/3PH/60HZ, Centrifugal Floor Mount,;!</v>
          </cell>
          <cell r="AL192" t="str">
            <v>set/s</v>
          </cell>
        </row>
        <row r="193">
          <cell r="W193"/>
          <cell r="AJ193" t="str">
            <v>MECHANICAL,;!Ventilation Fan,;!EP-GF-ES, 3,300CFM, 230V/1PH/60HZ, Wall Mounted Propeller,;!</v>
          </cell>
          <cell r="AL193" t="str">
            <v>set/s</v>
          </cell>
        </row>
        <row r="194">
          <cell r="W194"/>
          <cell r="AJ194" t="str">
            <v>MECHANICAL,;!Ducting Works,;!,;!</v>
          </cell>
          <cell r="AL194" t="str">
            <v>lot</v>
          </cell>
        </row>
        <row r="195">
          <cell r="W195"/>
          <cell r="AJ195" t="str">
            <v>MECHANICAL,;!Ducting Works,;!600mmx350mm EAD - GI Sheet Gauge 22,;!</v>
          </cell>
          <cell r="AL195" t="str">
            <v>lm</v>
          </cell>
        </row>
        <row r="196">
          <cell r="W196"/>
          <cell r="AJ196" t="str">
            <v>MECHANICAL,;!Equipment &amp; Accessories,;!,;!</v>
          </cell>
          <cell r="AL196" t="str">
            <v>lot</v>
          </cell>
        </row>
        <row r="197">
          <cell r="W197"/>
          <cell r="AJ197" t="str">
            <v>MECHANICAL,;!Equipment &amp; Accessories,;!Slave Thermostat,;!</v>
          </cell>
          <cell r="AL197" t="str">
            <v>set/s</v>
          </cell>
        </row>
        <row r="198">
          <cell r="W198"/>
          <cell r="AJ198" t="str">
            <v>MECHANICAL,;!Equipment &amp; Accessories,;!Master Thermostat,;!</v>
          </cell>
          <cell r="AL198" t="str">
            <v>set/s</v>
          </cell>
        </row>
        <row r="199">
          <cell r="W199"/>
          <cell r="AJ199" t="str">
            <v>MECHANICAL,;!Refrigerant Pipe Works,;!,;!</v>
          </cell>
          <cell r="AL199" t="str">
            <v>lot</v>
          </cell>
        </row>
        <row r="200">
          <cell r="W200"/>
          <cell r="AJ200" t="str">
            <v>MECHANICAL,;!Refrigerant Pipe Works,;!Refrigerant Pipe, fittings and Insulation,;!</v>
          </cell>
          <cell r="AL200" t="str">
            <v>lot</v>
          </cell>
        </row>
        <row r="201">
          <cell r="W201"/>
          <cell r="AJ201" t="str">
            <v>MECHANICAL,;!Refrigerant Pipe Works,;!Refrigerant Pipe, fittings and Insulation,;!3/8" Copper Pipe Type L, with fittings/insulation</v>
          </cell>
          <cell r="AL201" t="str">
            <v>lm</v>
          </cell>
        </row>
        <row r="202">
          <cell r="W202"/>
          <cell r="AJ202" t="str">
            <v>MECHANICAL,;!Refrigerant Pipe Works,;!Refrigerant Pipe, fittings and Insulation,;!1/4" Copper Pipe Type L, with fittings/insulation</v>
          </cell>
          <cell r="AL202" t="str">
            <v>lm</v>
          </cell>
        </row>
        <row r="203">
          <cell r="W203"/>
          <cell r="AJ203" t="str">
            <v>MECHANICAL,;!Refrigerant Pipe Works,;!Electrical Works,;!</v>
          </cell>
          <cell r="AL203" t="str">
            <v>lot</v>
          </cell>
        </row>
        <row r="204">
          <cell r="W204"/>
          <cell r="AJ204" t="str">
            <v>MECHANICAL,;!Refrigerant Pipe Works,;!Electrical Works,;!ECB</v>
          </cell>
          <cell r="AL204" t="str">
            <v>assy</v>
          </cell>
        </row>
        <row r="205">
          <cell r="W205"/>
          <cell r="AJ205" t="str">
            <v xml:space="preserve">MECHANICAL,;!Refrigerant Pipe Works,;!Electrical Works,;!3.5mm2 THHN </v>
          </cell>
          <cell r="AL205" t="str">
            <v>lm</v>
          </cell>
        </row>
        <row r="206">
          <cell r="W206"/>
          <cell r="AJ206" t="str">
            <v xml:space="preserve">MECHANICAL,;!Refrigerant Pipe Works,;!Electrical Works,;!20mmØ PVC Pipe  including fittings </v>
          </cell>
          <cell r="AL206" t="str">
            <v>lm</v>
          </cell>
        </row>
        <row r="207">
          <cell r="W207"/>
          <cell r="AJ207" t="str">
            <v>MECHANICAL,;!Toilet Exhaust  Air Duct ,;!,;!</v>
          </cell>
          <cell r="AL207" t="str">
            <v>lot</v>
          </cell>
        </row>
        <row r="208">
          <cell r="W208"/>
          <cell r="AJ208" t="str">
            <v>MECHANICAL,;!Toilet Exhaust  Air Duct ,;!TED - 100mm dia. PVC Pipe ,;!</v>
          </cell>
          <cell r="AL208" t="str">
            <v>lm</v>
          </cell>
        </row>
        <row r="209">
          <cell r="W209"/>
          <cell r="AJ209" t="str">
            <v>MECHANICAL,;!Toilet Exhaust  Air Duct ,;!100Ø Vent Cap w/ S/S Wiremesh Insect Screen,;!</v>
          </cell>
          <cell r="AL209" t="str">
            <v>set/s</v>
          </cell>
        </row>
        <row r="210">
          <cell r="W210"/>
          <cell r="AJ210" t="str">
            <v>MECHANICAL,;!Kitchen Exhaust  Air Duct ,;!,;!</v>
          </cell>
          <cell r="AL210" t="str">
            <v>lot</v>
          </cell>
        </row>
        <row r="211">
          <cell r="W211"/>
          <cell r="AJ211" t="str">
            <v>MECHANICAL,;!Kitchen Exhaust  Air Duct ,;!KED - 150Ø mm Spiral GI Ga. 26 w/ 25mm thk. Fiberglass Insulation,;!</v>
          </cell>
          <cell r="AL211" t="str">
            <v>lm</v>
          </cell>
        </row>
        <row r="212">
          <cell r="W212"/>
          <cell r="AJ212" t="str">
            <v>MECHANICAL,;!Kitchen Exhaust  Air Duct ,;!150Ø Vent Cap w/ S/S Wiremesh Insect Screen,;!</v>
          </cell>
          <cell r="AL212" t="str">
            <v>set/s</v>
          </cell>
        </row>
        <row r="213">
          <cell r="W213"/>
          <cell r="AJ213" t="str">
            <v>MECHANICAL,;!Stair Pressurization Air Duct,;!,;!</v>
          </cell>
          <cell r="AL213" t="str">
            <v>lot</v>
          </cell>
        </row>
        <row r="214">
          <cell r="W214"/>
          <cell r="AJ214" t="str">
            <v>MECHANICAL,;!Stair Pressurization Air Duct,;!Stair Pressurization Duct Riser ,;!</v>
          </cell>
          <cell r="AL214" t="str">
            <v>lot</v>
          </cell>
        </row>
        <row r="215">
          <cell r="W215"/>
          <cell r="AJ215" t="str">
            <v>MECHANICAL,;!Stair Pressurization Air Duct,;!Stair Pressurization Duct Riser ,;!GI Sheet Gauge 22 (700x400mm)</v>
          </cell>
          <cell r="AL215" t="str">
            <v>shts</v>
          </cell>
        </row>
        <row r="216">
          <cell r="W216"/>
          <cell r="AJ216" t="str">
            <v>MECHANICAL,;!Stair Pressurization Air Duct,;!Stair Pressurization Duct Riser ,;!GI Sheet Gauge 22 (900x550mm)</v>
          </cell>
          <cell r="AL216" t="str">
            <v>shts</v>
          </cell>
        </row>
        <row r="217">
          <cell r="W217"/>
          <cell r="AJ217" t="str">
            <v>MECHANICAL,;!Stair Pressurization Air Duct,;!Stair Pressurization Duct Riser ,;!GI Sheet Gauge 22 (900x700mm)</v>
          </cell>
          <cell r="AL217" t="str">
            <v>shts</v>
          </cell>
        </row>
        <row r="218">
          <cell r="W218"/>
          <cell r="AJ218" t="str">
            <v>MECHANICAL,;!Stair Pressurization Air Duct,;!Stair Pressurization Duct Riser ,;!GI Sheet Gauge 22 (900x600mm) - Duct Takeoff</v>
          </cell>
          <cell r="AL218" t="str">
            <v>shts</v>
          </cell>
        </row>
        <row r="219">
          <cell r="W219"/>
          <cell r="AJ219" t="str">
            <v>MECHANICAL,;!Stair Pressurization Air Duct,;!Stair Pressurization Miscellaneous and Accessories ,;!</v>
          </cell>
          <cell r="AL219" t="str">
            <v>lot</v>
          </cell>
        </row>
        <row r="220">
          <cell r="W220"/>
          <cell r="AJ220" t="str">
            <v xml:space="preserve">MECHANICAL,;!Stair Pressurization Air Duct,;!Stair Pressurization Miscellaneous and Accessories ,;!900x900mm Pressurization Supply Air Grille w/ OBVD @ 2500CMH </v>
          </cell>
          <cell r="AL220" t="str">
            <v>set/s</v>
          </cell>
        </row>
        <row r="221">
          <cell r="W221"/>
          <cell r="AJ221" t="str">
            <v>MECHANICAL,;!Stair Pressurization Air Duct,;!Stair Pressurization Miscellaneous and Accessories ,;!1200x900 Relief Air Grille w/ SS 304 Insect Screen and Rangehood</v>
          </cell>
          <cell r="AL221" t="str">
            <v>set/s</v>
          </cell>
        </row>
        <row r="222">
          <cell r="W222"/>
          <cell r="AJ222" t="str">
            <v>MECHANICAL,;!Stair Pressurization Air Duct,;!Stair Pressurization Miscellaneous and Accessories ,;!900x600 Motorized Relief Damper Set with Modulating Type Actuator w/ SS 304 Insect Screen</v>
          </cell>
          <cell r="AL222" t="str">
            <v>set/s</v>
          </cell>
        </row>
        <row r="223">
          <cell r="W223"/>
          <cell r="AJ223" t="str">
            <v>MECHANICAL,;!Stair Pressurization Air Duct,;!Stair Pressurization Miscellaneous and Accessories ,;!Smoke Duct Sensor</v>
          </cell>
          <cell r="AL223" t="str">
            <v>set/s</v>
          </cell>
        </row>
        <row r="224">
          <cell r="W224"/>
          <cell r="AJ224" t="str">
            <v>MECHANICAL,;!Stair Pressurization Air Duct,;!Stair Pressurization Miscellaneous and Accessories ,;!Static Pressure Sensor</v>
          </cell>
          <cell r="AL224" t="str">
            <v>set/s</v>
          </cell>
        </row>
        <row r="225">
          <cell r="W225"/>
          <cell r="AJ225" t="str">
            <v xml:space="preserve">MECHANICAL,;!Stair Pressurization Air Duct,;!Stair Pressurization Miscellaneous and Accessories ,;!Differential Static Pressurization Controller </v>
          </cell>
          <cell r="AL225" t="str">
            <v>set/s</v>
          </cell>
        </row>
        <row r="226">
          <cell r="W226"/>
          <cell r="AJ226" t="str">
            <v xml:space="preserve">MECHANICAL,;!Stair Pressurization Air Duct,;!Stair Pressurization Miscellaneous and Accessories ,;!Wiring Works for Differential Presure Sensor </v>
          </cell>
          <cell r="AL226" t="str">
            <v>lot</v>
          </cell>
        </row>
        <row r="227">
          <cell r="W227"/>
          <cell r="AJ227" t="str">
            <v>MECHANICAL,;!Fireman's Lift Pressurization Ducting Works ,;!,;!</v>
          </cell>
          <cell r="AL227" t="str">
            <v>lot</v>
          </cell>
        </row>
        <row r="228">
          <cell r="W228"/>
          <cell r="AJ228" t="str">
            <v>MECHANICAL,;!Fireman's Lift Pressurization Ducting Works ,;!Fireman's Lift Pressurization Duct Riser ,;!</v>
          </cell>
          <cell r="AL228" t="str">
            <v>lot</v>
          </cell>
        </row>
        <row r="229">
          <cell r="W229"/>
          <cell r="AJ229" t="str">
            <v>MECHANICAL,;!Fireman's Lift Pressurization Ducting Works ,;!Fireman's Lift Pressurization Duct Riser ,;!GI Sheet Gauge 22 (800x500mm)</v>
          </cell>
          <cell r="AL229" t="str">
            <v>shts</v>
          </cell>
        </row>
        <row r="230">
          <cell r="W230"/>
          <cell r="AJ230" t="str">
            <v>MECHANICAL,;!Fireman's Lift Pressurization Ducting Works ,;!Fireman's Lift Pressurization Duct Riser ,;!GI Sheet Gauge 22 (600x500mm) - Duct Takeoff</v>
          </cell>
          <cell r="AL230" t="str">
            <v>shts</v>
          </cell>
        </row>
        <row r="231">
          <cell r="W231"/>
          <cell r="AJ231" t="str">
            <v>MECHANICAL,;!Fireman's Lift Pressurization Ducting Works ,;!Fireman's Lift Pressurization Miscellaneous and Accessories ,;!</v>
          </cell>
          <cell r="AL231" t="str">
            <v>lot</v>
          </cell>
        </row>
        <row r="232">
          <cell r="W232"/>
          <cell r="AJ232" t="str">
            <v>MECHANICAL,;!Fireman's Lift Pressurization Ducting Works ,;!Fireman's Lift Pressurization Miscellaneous and Accessories ,;!1200x650 Relief Air Grille w/ SS 304 Insect Screen and Rangehood</v>
          </cell>
          <cell r="AL232" t="str">
            <v>set/s</v>
          </cell>
        </row>
        <row r="233">
          <cell r="W233"/>
          <cell r="AJ233" t="str">
            <v>MECHANICAL,;!Fireman's Lift Pressurization Ducting Works ,;!Fireman's Lift Pressurization Miscellaneous and Accessories ,;!650x500 Motorized Relief Damper Set with Modulating Type Actuator w/ SS 304 Insect Screen</v>
          </cell>
          <cell r="AL233" t="str">
            <v>set/s</v>
          </cell>
        </row>
        <row r="234">
          <cell r="W234"/>
          <cell r="AJ234" t="str">
            <v>MECHANICAL,;!Fireman's Lift Pressurization Ducting Works ,;!Fireman's Lift Pressurization Miscellaneous and Accessories ,;!Smoke Duct Sensor</v>
          </cell>
          <cell r="AL234" t="str">
            <v>set/s</v>
          </cell>
        </row>
        <row r="235">
          <cell r="W235"/>
          <cell r="AJ235" t="str">
            <v>MECHANICAL,;!Fireman's Lift Pressurization Ducting Works ,;!Fireman's Lift Pressurization Miscellaneous and Accessories ,;!Static Pressure Sensor</v>
          </cell>
          <cell r="AL235" t="str">
            <v>set/s</v>
          </cell>
        </row>
        <row r="236">
          <cell r="W236"/>
          <cell r="AJ236" t="str">
            <v xml:space="preserve">MECHANICAL,;!Fireman's Lift Pressurization Ducting Works ,;!Fireman's Lift Pressurization Miscellaneous and Accessories ,;!Differential Static Pressurization Controller </v>
          </cell>
          <cell r="AL236" t="str">
            <v>set/s</v>
          </cell>
        </row>
        <row r="237">
          <cell r="W237"/>
          <cell r="AJ237" t="str">
            <v xml:space="preserve">MECHANICAL,;!Fireman's Lift Pressurization Ducting Works ,;!Fireman's Lift Pressurization Miscellaneous and Accessories ,;!Wiring Works for Differential Presure Sensor </v>
          </cell>
          <cell r="AL237" t="str">
            <v>lot</v>
          </cell>
        </row>
        <row r="238">
          <cell r="W238"/>
          <cell r="AJ238" t="str">
            <v>MECHANICAL,;!Electrical wiring works and breakers for fans,;!,;!</v>
          </cell>
          <cell r="AL238" t="str">
            <v>lot</v>
          </cell>
        </row>
        <row r="239">
          <cell r="W239"/>
          <cell r="AJ239" t="str">
            <v>MECHANICAL,;!Misc. &amp; Consumables,;!,;!</v>
          </cell>
          <cell r="AL239" t="str">
            <v>lot</v>
          </cell>
        </row>
        <row r="240">
          <cell r="W240"/>
          <cell r="AJ240" t="str">
            <v>MECHANICAL,;!Hangers &amp; Supports,;!,;!</v>
          </cell>
          <cell r="AL240" t="str">
            <v>lot</v>
          </cell>
        </row>
        <row r="241">
          <cell r="W241"/>
          <cell r="AJ241" t="str">
            <v>MECHANICAL,;!Block-out &amp; Pipe Sleeves,;!,;!</v>
          </cell>
          <cell r="AL241" t="str">
            <v>lot</v>
          </cell>
        </row>
        <row r="242">
          <cell r="W242"/>
          <cell r="AJ242" t="str">
            <v>MECHANICAL,;!Testing &amp; Commissioning,;!,;!</v>
          </cell>
          <cell r="AL242" t="str">
            <v>lot</v>
          </cell>
        </row>
        <row r="243">
          <cell r="W243"/>
          <cell r="AJ243" t="str">
            <v>MECHANICAL,;!General Requirements,;!,;!</v>
          </cell>
          <cell r="AL243" t="str">
            <v>lot</v>
          </cell>
        </row>
        <row r="244">
          <cell r="W244"/>
          <cell r="AJ244" t="str">
            <v>ELECTRICAL,;!,;!,;!</v>
          </cell>
          <cell r="AL244" t="str">
            <v>lot</v>
          </cell>
        </row>
        <row r="245">
          <cell r="W245"/>
          <cell r="AJ245" t="str">
            <v>ELECTRICAL,;!Grounding Works,;!,;!</v>
          </cell>
          <cell r="AL245" t="str">
            <v>lot</v>
          </cell>
        </row>
        <row r="246">
          <cell r="W246"/>
          <cell r="AJ246" t="str">
            <v>ELECTRICAL,;!Grounding Works,;!Lightning Arrester w/ 1/2"ø Lightning Rod, w/ Steel Extension Mast &amp; Steel Plate,;!</v>
          </cell>
          <cell r="AL246" t="str">
            <v>set/s</v>
          </cell>
        </row>
        <row r="247">
          <cell r="W247"/>
          <cell r="AJ247" t="str">
            <v>ELECTRICAL,;!Grounding Works,;!Lightning Event Counter,;!</v>
          </cell>
          <cell r="AL247" t="str">
            <v>set/s</v>
          </cell>
        </row>
        <row r="248">
          <cell r="W248"/>
          <cell r="AJ248" t="str">
            <v>ELECTRICAL,;!Grounding Works,;!Aircraft Obstruction Lighting Fixture w/ 100W Bulb, 60Hz, 230V, Obstruction Light Relay and Photoelectric Control,;!</v>
          </cell>
          <cell r="AL248" t="str">
            <v>set/s</v>
          </cell>
        </row>
        <row r="249">
          <cell r="W249"/>
          <cell r="AJ249" t="str">
            <v>ELECTRICAL,;!Grounding Works,;!6"x6" Pullbox,;!</v>
          </cell>
          <cell r="AL249" t="str">
            <v>set/s</v>
          </cell>
        </row>
        <row r="250">
          <cell r="W250"/>
          <cell r="AJ250" t="str">
            <v>ELECTRICAL,;!Grounding Works,;!200 x 200 x 100mm Ground well w/ 6mm Galv. Steel Cover,;!</v>
          </cell>
          <cell r="AL250" t="str">
            <v>pcs</v>
          </cell>
        </row>
        <row r="251">
          <cell r="W251"/>
          <cell r="AJ251" t="str">
            <v>ELECTRICAL,;!Grounding Works,;!60mm² Bare Cu Conductor - Loop Conductor ,;!</v>
          </cell>
          <cell r="AL251" t="str">
            <v>lm</v>
          </cell>
        </row>
        <row r="252">
          <cell r="W252"/>
          <cell r="AJ252" t="str">
            <v>ELECTRICAL,;!Grounding Works,;!50mm² Bare Cu Conductor - Loop Conductor ,;!</v>
          </cell>
          <cell r="AL252" t="str">
            <v>lm</v>
          </cell>
        </row>
        <row r="253">
          <cell r="W253"/>
          <cell r="AJ253" t="str">
            <v>ELECTRICAL,;!Grounding Works,;!30mm² Bare Cu Conductor - Loop Conductor ,;!</v>
          </cell>
          <cell r="AL253" t="str">
            <v>lm</v>
          </cell>
        </row>
        <row r="254">
          <cell r="W254"/>
          <cell r="AJ254" t="str">
            <v>ELECTRICAL,;!Grounding Works,;!14mm² Bare Cu Conductor - Loop Conductor ,;!</v>
          </cell>
          <cell r="AL254" t="str">
            <v>lm</v>
          </cell>
        </row>
        <row r="255">
          <cell r="W255"/>
          <cell r="AJ255" t="str">
            <v>ELECTRICAL,;!Grounding Works,;!Grounding busbar, 50mmHx300mmWx10mmD,;!</v>
          </cell>
          <cell r="AL255" t="str">
            <v>set/s</v>
          </cell>
        </row>
        <row r="256">
          <cell r="W256"/>
          <cell r="AJ256" t="str">
            <v>ELECTRICAL,;!Grounding Works,;!25mmø x 3000mm Length Copper Clad Steel Rod,;!</v>
          </cell>
          <cell r="AL256" t="str">
            <v>pcs</v>
          </cell>
        </row>
        <row r="257">
          <cell r="W257"/>
          <cell r="AJ257" t="str">
            <v>ELECTRICAL,;!Grounding Works,;!32mmØ PVC Pipe  including fittings ,;!</v>
          </cell>
          <cell r="AL257" t="str">
            <v>lm</v>
          </cell>
        </row>
        <row r="258">
          <cell r="W258"/>
          <cell r="AJ258" t="str">
            <v>ELECTRICAL,;!Grounding Works,;!25mmØ PVC Pipe  including fittings ,;!</v>
          </cell>
          <cell r="AL258" t="str">
            <v>lm</v>
          </cell>
        </row>
        <row r="259">
          <cell r="W259"/>
          <cell r="AJ259" t="str">
            <v>ELECTRICAL,;!Power Service Entrance,;!,;!</v>
          </cell>
          <cell r="AL259" t="str">
            <v>lot</v>
          </cell>
        </row>
        <row r="260">
          <cell r="W260"/>
          <cell r="AJ260" t="str">
            <v>ELECTRICAL,;!Power Service Entrance,;!100mmØ PVC Pipe including fittings,;!</v>
          </cell>
          <cell r="AL260" t="str">
            <v>lm</v>
          </cell>
        </row>
        <row r="261">
          <cell r="W261"/>
          <cell r="AJ261" t="str">
            <v>ELECTRICAL,;!Power Service Entrance,;!Concrete Encasement 8-100mmØ PVC Pipe including fittings,;!</v>
          </cell>
          <cell r="AL261" t="str">
            <v>lm</v>
          </cell>
        </row>
        <row r="262">
          <cell r="W262"/>
          <cell r="AJ262" t="str">
            <v>ELECTRICAL,;!Busway System,;!,;!</v>
          </cell>
          <cell r="AL262" t="str">
            <v>lot</v>
          </cell>
        </row>
        <row r="263">
          <cell r="W263"/>
          <cell r="AJ263" t="str">
            <v>ELECTRICAL,;!Busway System,;!Power System Bus Way,;!</v>
          </cell>
          <cell r="AL263" t="str">
            <v>lot</v>
          </cell>
        </row>
        <row r="264">
          <cell r="W264"/>
          <cell r="AJ264" t="str">
            <v>ELECTRICAL,;!Busway System,;!Power System Bus Way,;!Busway - 800A, 400V, 3Ø w/Ground &amp; Neutral Bus Aluminum complete with standard accessories</v>
          </cell>
          <cell r="AL264" t="str">
            <v>lm</v>
          </cell>
        </row>
        <row r="265">
          <cell r="W265"/>
          <cell r="AJ265" t="str">
            <v>ELECTRICAL,;!Busway System,;!Power System Bus Way Accessories ,;!</v>
          </cell>
          <cell r="AL265" t="str">
            <v>lot</v>
          </cell>
        </row>
        <row r="266">
          <cell r="W266"/>
          <cell r="AJ266" t="str">
            <v xml:space="preserve">ELECTRICAL,;!Busway System,;!Power System Bus Way Accessories ,;!Pug-in CB 100AT, 100AF, 4P, 3Ø, 400V, </v>
          </cell>
          <cell r="AL266" t="str">
            <v>set/s</v>
          </cell>
        </row>
        <row r="267">
          <cell r="W267"/>
          <cell r="AJ267" t="str">
            <v>ELECTRICAL,;!Power System Switchboard and Panel board,;!,;!</v>
          </cell>
          <cell r="AL267" t="str">
            <v>lot</v>
          </cell>
        </row>
        <row r="268">
          <cell r="W268"/>
          <cell r="AJ268" t="str">
            <v>ELECTRICAL,;!Power System Switchboard and Panel board,;!PB - 2BR MID UNIT,;!</v>
          </cell>
          <cell r="AL268" t="str">
            <v>set/s</v>
          </cell>
        </row>
        <row r="269">
          <cell r="W269"/>
          <cell r="AJ269" t="str">
            <v>ELECTRICAL,;!Power System Switchboard and Panel board,;!PB - 2BR MID UNIT,;!MAIN: 40AT, 63AF, 2P, 10KAIC, 230V, 60Hz, NEMA 1</v>
          </cell>
          <cell r="AL269" t="str">
            <v>set/s</v>
          </cell>
        </row>
        <row r="270">
          <cell r="W270"/>
          <cell r="AJ270" t="str">
            <v>ELECTRICAL,;!Power System Switchboard and Panel board,;!PB - 2BR MID UNIT,;!BRS: 2 - 15AT, 63AF, 1P, 6KAIC, 230V, 60Hz</v>
          </cell>
          <cell r="AL270"/>
        </row>
        <row r="271">
          <cell r="W271"/>
          <cell r="AJ271" t="str">
            <v>ELECTRICAL,;!Power System Switchboard and Panel board,;!PB - 2BR MID UNIT,;!2 - 25AT, 63AF, 1P, 6KAIC, 230V, 60Hz</v>
          </cell>
          <cell r="AL271"/>
        </row>
        <row r="272">
          <cell r="W272"/>
          <cell r="AJ272" t="str">
            <v>ELECTRICAL,;!Power System Switchboard and Panel board,;!PB - 2BR MID UNIT,;!1 - 6AT, 63AF, (2-2P), 6KAIC, 230V, 60Hz MTS</v>
          </cell>
          <cell r="AL272"/>
        </row>
        <row r="273">
          <cell r="W273"/>
          <cell r="AJ273" t="str">
            <v>ELECTRICAL,;!Power System Switchboard and Panel board,;!PB - 2BR CORNER UNIT,;!</v>
          </cell>
          <cell r="AL273" t="str">
            <v>set/s</v>
          </cell>
        </row>
        <row r="274">
          <cell r="W274"/>
          <cell r="AJ274" t="str">
            <v>ELECTRICAL,;!Power System Switchboard and Panel board,;!PB - 2BR CORNER UNIT,;!MAIN: 40AT, 63AF, 2P, 10KAIC, 230V, 60Hz, NEMA 1</v>
          </cell>
          <cell r="AL274" t="str">
            <v>set/s</v>
          </cell>
        </row>
        <row r="275">
          <cell r="W275"/>
          <cell r="AJ275" t="str">
            <v>ELECTRICAL,;!Power System Switchboard and Panel board,;!PB - 2BR CORNER UNIT,;!BRS: 2 - 15AT, 63AF, 1P, 6KAIC, 230V, 60Hz</v>
          </cell>
          <cell r="AL275"/>
        </row>
        <row r="276">
          <cell r="W276"/>
          <cell r="AJ276" t="str">
            <v>ELECTRICAL,;!Power System Switchboard and Panel board,;!PB - 2BR CORNER UNIT,;!2 - 25AT, 63AF, 1P, 6KAIC, 230V, 60Hz</v>
          </cell>
          <cell r="AL276"/>
        </row>
        <row r="277">
          <cell r="W277"/>
          <cell r="AJ277" t="str">
            <v>ELECTRICAL,;!Power System Switchboard and Panel board,;!PB - 2BR CORNER UNIT,;!1 - 6AT, 63AF, (2-2P), 6KAIC, 230V, 60Hz MTS</v>
          </cell>
          <cell r="AL277"/>
        </row>
        <row r="278">
          <cell r="W278"/>
          <cell r="AJ278" t="str">
            <v>ELECTRICAL,;!Power System Main Distribution Panelboard ,;!,;!</v>
          </cell>
          <cell r="AL278" t="str">
            <v>lot</v>
          </cell>
        </row>
        <row r="279">
          <cell r="W279"/>
          <cell r="AJ279" t="str">
            <v>ELECTRICAL,;!Power System Main Distribution Panelboard ,;!MCB-RES.,;!</v>
          </cell>
          <cell r="AL279" t="str">
            <v>assy</v>
          </cell>
        </row>
        <row r="280">
          <cell r="W280"/>
          <cell r="AJ280" t="str">
            <v>ELECTRICAL,;!Power System Main Distribution Panelboard ,;!MCB-RES.,;!MAIN: Busduct - 800AT, 800AF, 4P, 50KAIC, MCCB, 400V, 60Hz, IP56</v>
          </cell>
          <cell r="AL280" t="str">
            <v>assy</v>
          </cell>
        </row>
        <row r="281">
          <cell r="W281"/>
          <cell r="AJ281" t="str">
            <v>ELECTRICAL,;!Power System Main Distribution Panelboard ,;!MCB-RES.,;!BRS: 11 - 100AT, 100AF, 4P, 36 KAIC, 400V, 60Hz</v>
          </cell>
          <cell r="AL281"/>
        </row>
        <row r="282">
          <cell r="W282"/>
          <cell r="AJ282" t="str">
            <v>ELECTRICAL,;!Power System Main Distribution Panelboard ,;!MCB,;!</v>
          </cell>
          <cell r="AL282" t="str">
            <v>assy</v>
          </cell>
        </row>
        <row r="283">
          <cell r="W283"/>
          <cell r="AJ283" t="str">
            <v>ELECTRICAL,;!Power System Main Distribution Panelboard ,;!MCB,;!MAIN: 1000AT, 1000AF, 4P, 65KAIC, ACB, 400V, 60Hz, NEMA 1</v>
          </cell>
          <cell r="AL283" t="str">
            <v>assy</v>
          </cell>
        </row>
        <row r="284">
          <cell r="W284"/>
          <cell r="AJ284" t="str">
            <v>ELECTRICAL,;!Power System Main Distribution Panelboard ,;!MCB,;!BRS: 1 - Lugs Only</v>
          </cell>
          <cell r="AL284"/>
        </row>
        <row r="285">
          <cell r="W285"/>
          <cell r="AJ285" t="str">
            <v>ELECTRICAL,;!Power System Main Distribution Panelboard ,;!MCB,;!1 - Lugs Only</v>
          </cell>
          <cell r="AL285"/>
        </row>
        <row r="286">
          <cell r="W286"/>
          <cell r="AJ286" t="str">
            <v>ELECTRICAL,;!Power System Main Distribution Panelboard ,;!MCB,;!1 - Space</v>
          </cell>
          <cell r="AL286"/>
        </row>
        <row r="287">
          <cell r="W287"/>
          <cell r="AJ287" t="str">
            <v>ELECTRICAL,;!Power System Main Distribution Panelboard ,;!ADM/MTS (Unitized), NEMA-1 (FREE STANDING),;!</v>
          </cell>
          <cell r="AL287" t="str">
            <v>assy</v>
          </cell>
        </row>
        <row r="288">
          <cell r="W288"/>
          <cell r="AJ288" t="str">
            <v>ELECTRICAL,;!Power System Main Distribution Panelboard ,;!ADM/MTS (Unitized), NEMA-1 (FREE STANDING),;!MAIN: 300AT, 400AF, 4P, 50KAIC, MCCB, 400V, 60Hz, IP56</v>
          </cell>
          <cell r="AL288" t="str">
            <v>assy</v>
          </cell>
        </row>
        <row r="289">
          <cell r="W289"/>
          <cell r="AJ289" t="str">
            <v>ELECTRICAL,;!Power System Main Distribution Panelboard ,;!ADM/MTS (Unitized), NEMA-1 (FREE STANDING),;!BRS: 1 - 70AT, 100AF, 3P, 18 KAIC, 400V, 60Hz</v>
          </cell>
          <cell r="AL289"/>
        </row>
        <row r="290">
          <cell r="W290"/>
          <cell r="AJ290" t="str">
            <v xml:space="preserve">ELECTRICAL,;!Power System Main Distribution Panelboard ,;!ADM/MTS (Unitized), NEMA-1 (FREE STANDING),;!1- 50AT, 100AF, 3P, 18 KAIC, 400V, 60Hz </v>
          </cell>
          <cell r="AL290"/>
        </row>
        <row r="291">
          <cell r="W291"/>
          <cell r="AJ291" t="str">
            <v xml:space="preserve">ELECTRICAL,;!Power System Main Distribution Panelboard ,;!ADM/MTS (Unitized), NEMA-1 (FREE STANDING),;!1- 150AT, 225AF, 3P, 25 KAIC, 400V, 60Hz </v>
          </cell>
          <cell r="AL291"/>
        </row>
        <row r="292">
          <cell r="W292"/>
          <cell r="AJ292" t="str">
            <v xml:space="preserve">ELECTRICAL,;!Power System Main Distribution Panelboard ,;!ADM/MTS (Unitized), NEMA-1 (FREE STANDING),;!1- 100AT, 100AF, 3P, 25KAIC, 400V, 60Hz </v>
          </cell>
          <cell r="AL292"/>
        </row>
        <row r="293">
          <cell r="W293"/>
          <cell r="AJ293" t="str">
            <v>ELECTRICAL,;!Power System Main Distribution Panelboard ,;!ADM/MTS (Unitized), NEMA-1 (FREE STANDING),;!1- 50AT, 100AF, 3P, 10 KAIC, 400V, 60Hz - SPARE</v>
          </cell>
          <cell r="AL293"/>
        </row>
        <row r="294">
          <cell r="W294"/>
          <cell r="AJ294" t="str">
            <v>ELECTRICAL,;!Power System Main Distribution Panelboard ,;!ADM/MTS (Unitized), NEMA-1 (FREE STANDING),;!1- 30AT, 100AF, 3P, 10 KAIC, 400V, 60Hz  - SPARE</v>
          </cell>
          <cell r="AL294"/>
        </row>
        <row r="295">
          <cell r="W295"/>
          <cell r="AJ295" t="str">
            <v>ELECTRICAL,;!Power System Main Distribution Panelboard ,;!MPP,;!</v>
          </cell>
          <cell r="AL295" t="str">
            <v>assy</v>
          </cell>
        </row>
        <row r="296">
          <cell r="W296"/>
          <cell r="AJ296" t="str">
            <v>ELECTRICAL,;!Power System Main Distribution Panelboard ,;!MPP,;!MAIN: 150AT, 225AF, 3P, 25KAIC, MCCB, 400V, 60Hz NEMA 1</v>
          </cell>
          <cell r="AL296" t="str">
            <v>assy</v>
          </cell>
        </row>
        <row r="297">
          <cell r="W297"/>
          <cell r="AJ297" t="str">
            <v>ELECTRICAL,;!Power System Main Distribution Panelboard ,;!MPP,;!BRS: 2 - 60AT, 100AF, 3P, 18 KAIC, 400V, 60Hz</v>
          </cell>
          <cell r="AL297"/>
        </row>
        <row r="298">
          <cell r="W298"/>
          <cell r="AJ298" t="str">
            <v>ELECTRICAL,;!Power System Main Distribution Panelboard ,;!MPP,;!3-30AT, 100AF, 3P, 18 KAIC, 400V, 60Hz</v>
          </cell>
          <cell r="AL298"/>
        </row>
        <row r="299">
          <cell r="W299"/>
          <cell r="AJ299" t="str">
            <v>ELECTRICAL,;!Power System Main Distribution Panelboard ,;!MPP,;!1-50AT, 100AF, 3P, 18 KAIC, 400V, 60Hz</v>
          </cell>
          <cell r="AL299"/>
        </row>
        <row r="300">
          <cell r="W300"/>
          <cell r="AJ300" t="str">
            <v>ELECTRICAL,;!Power System Main Distribution Panelboard ,;!MPP,;!1-40AT, 100AF, 3P, 18 KAIC, 400V, 60Hz - SPARE</v>
          </cell>
          <cell r="AL300"/>
        </row>
        <row r="301">
          <cell r="W301"/>
          <cell r="AJ301" t="str">
            <v>ELECTRICAL,;!Power System Emergency Panel board ,;!,;!</v>
          </cell>
          <cell r="AL301" t="str">
            <v>lot</v>
          </cell>
        </row>
        <row r="302">
          <cell r="W302"/>
          <cell r="AJ302" t="str">
            <v>ELECTRICAL,;!Power System Emergency Panel board ,;!EP6,;!</v>
          </cell>
          <cell r="AL302" t="str">
            <v>set/s</v>
          </cell>
        </row>
        <row r="303">
          <cell r="W303"/>
          <cell r="AJ303" t="str">
            <v>ELECTRICAL,;!Power System Emergency Panel board ,;!EP6,;!MAIN: 175AT, 225AF, 4P, 18KAIC, MCCB, 400V, 60Hz NEMA 1</v>
          </cell>
          <cell r="AL303" t="str">
            <v>set/s</v>
          </cell>
        </row>
        <row r="304">
          <cell r="W304"/>
          <cell r="AJ304" t="str">
            <v>ELECTRICAL,;!Power System Emergency Panel board ,;!EP6,;!BRS: 11 - 50AT, 63AF, 2P, 10 KAIC, 400V, 60Hz</v>
          </cell>
          <cell r="AL304"/>
        </row>
        <row r="305">
          <cell r="W305"/>
          <cell r="AJ305" t="str">
            <v>ELECTRICAL,;!Power System Emergency Panel board ,;!EP6,;!1 - 50AT, 63AF, 2P, 10 KAIC, 400V, 60Hz - SPARE</v>
          </cell>
          <cell r="AL305"/>
        </row>
        <row r="306">
          <cell r="W306"/>
          <cell r="AJ306" t="str">
            <v>ELECTRICAL,;!Power System Lighting Panel Board ,;!,;!</v>
          </cell>
          <cell r="AL306" t="str">
            <v>lot</v>
          </cell>
        </row>
        <row r="307">
          <cell r="W307"/>
          <cell r="AJ307" t="str">
            <v>ELECTRICAL,;!Power System Lighting Panel Board ,;!LP1 @ GF, ,;!</v>
          </cell>
          <cell r="AL307" t="str">
            <v>set/s</v>
          </cell>
        </row>
        <row r="308">
          <cell r="W308"/>
          <cell r="AJ308" t="str">
            <v>ELECTRICAL,;!Power System Lighting Panel Board ,;!LP1 @ GF, ,;!MAIN: 70AT, 100AF, 3P, 18KAIC, MCCB, 400V, 60Hz NEMA 1</v>
          </cell>
          <cell r="AL308" t="str">
            <v>set/s</v>
          </cell>
        </row>
        <row r="309">
          <cell r="W309"/>
          <cell r="AJ309" t="str">
            <v>ELECTRICAL,;!Power System Lighting Panel Board ,;!LP1 @ GF, ,;!BRS: 18 - 15AT, 63AF, 1P, 6 KAIC, 230V, 60Hz</v>
          </cell>
          <cell r="AL309"/>
        </row>
        <row r="310">
          <cell r="W310"/>
          <cell r="AJ310" t="str">
            <v xml:space="preserve">ELECTRICAL,;!Power System Lighting Panel Board ,;!LP1 @ GF, ,;!1- 20AT, 63AF, 1P, 6 KAIC, 230V, 60Hz </v>
          </cell>
          <cell r="AL310"/>
        </row>
        <row r="311">
          <cell r="W311"/>
          <cell r="AJ311" t="str">
            <v xml:space="preserve">ELECTRICAL,;!Power System Lighting Panel Board ,;!LP1 @ GF, ,;!3- 25AT, 63AF, 1P, 10 KAIC, 230V, 60Hz </v>
          </cell>
          <cell r="AL311"/>
        </row>
        <row r="312">
          <cell r="W312"/>
          <cell r="AJ312" t="str">
            <v xml:space="preserve">ELECTRICAL,;!Power System Lighting Panel Board ,;!LP1 @ GF, ,;!2- 25AT, 63AF, 1P, 6 KAIC, 230V, 60Hz </v>
          </cell>
          <cell r="AL312"/>
        </row>
        <row r="313">
          <cell r="W313"/>
          <cell r="AJ313" t="str">
            <v xml:space="preserve">ELECTRICAL,;!Power System Lighting Panel Board ,;!LP1 @ GF, ,;!1- 50AT, 63AF, 1P, 18 KAIC, 230V, 60Hz </v>
          </cell>
          <cell r="AL313"/>
        </row>
        <row r="314">
          <cell r="W314"/>
          <cell r="AJ314" t="str">
            <v>ELECTRICAL,;!Power System Lighting Panel Board ,;!LP1 @ GF, ,;!3- 15AT, 63AF, 1P, 6 KAIC, 230V, 60Hz - SPARE</v>
          </cell>
          <cell r="AL314"/>
        </row>
        <row r="315">
          <cell r="W315"/>
          <cell r="AJ315" t="str">
            <v>ELECTRICAL,;!Power System Lighting Panel Board ,;!LP6 @ 6F,;!</v>
          </cell>
          <cell r="AL315" t="str">
            <v>set/s</v>
          </cell>
        </row>
        <row r="316">
          <cell r="W316"/>
          <cell r="AJ316" t="str">
            <v>ELECTRICAL,;!Power System Lighting Panel Board ,;!LP6 @ 6F,;!MAIN: 50AT, 100AF, 3P, 18KAIC, MCCB, 400V, 60Hz NEMA 1</v>
          </cell>
          <cell r="AL316" t="str">
            <v>set/s</v>
          </cell>
        </row>
        <row r="317">
          <cell r="W317"/>
          <cell r="AJ317" t="str">
            <v>ELECTRICAL,;!Power System Lighting Panel Board ,;!LP6 @ 6F,;!BRS: 9 - 15AT, 63AF, 1P, 6 KAIC, 230V, 60Hz</v>
          </cell>
          <cell r="AL317"/>
        </row>
        <row r="318">
          <cell r="W318"/>
          <cell r="AJ318" t="str">
            <v>ELECTRICAL,;!Power System Lighting Panel Board ,;!LP6 @ 6F,;!3- 15AT, 63AF, 1P, 6 KAIC, 230V, 60Hz - SPARE</v>
          </cell>
          <cell r="AL318"/>
        </row>
        <row r="319">
          <cell r="W319"/>
          <cell r="AJ319" t="str">
            <v>ELECTRICAL,;!Power System Meter Center ,;!,;!</v>
          </cell>
          <cell r="AL319" t="str">
            <v>lot</v>
          </cell>
        </row>
        <row r="320">
          <cell r="W320"/>
          <cell r="AJ320" t="str">
            <v>ELECTRICAL,;!Power System Meter Center ,;!MC-2F to 12F (Typical Flr),;!</v>
          </cell>
          <cell r="AL320" t="str">
            <v>set/s</v>
          </cell>
        </row>
        <row r="321">
          <cell r="W321"/>
          <cell r="AJ321" t="str">
            <v>ELECTRICAL,;!Power System Meter Center ,;!MC-2F to 12F (Typical Flr),;!MAIN: 100AT, 100AF, 4P, 36KAIC, MCCB, 240V, 60Hz NEMA 1</v>
          </cell>
          <cell r="AL321" t="str">
            <v>set/s</v>
          </cell>
        </row>
        <row r="322">
          <cell r="W322"/>
          <cell r="AJ322" t="str">
            <v>ELECTRICAL,;!Power System Meter Center ,;!MC-2F to 12F (Typical Flr),;!BRS: 28 - 40AT, 63AF, 2P, 10KAIC, 230V, 60Hz</v>
          </cell>
          <cell r="AL322"/>
        </row>
        <row r="323">
          <cell r="W323"/>
          <cell r="AJ323" t="str">
            <v>ELECTRICAL,;!Power System Meter Center ,;!KW-hr Meter Base (installation only),;!</v>
          </cell>
          <cell r="AL323" t="str">
            <v>set/s</v>
          </cell>
        </row>
        <row r="324">
          <cell r="W324"/>
          <cell r="AJ324" t="str">
            <v>ELECTRICAL,;!Power System Meter Center ,;!Security Grills (Meter Center &amp; Busduct),;!</v>
          </cell>
          <cell r="AL324" t="str">
            <v>lot</v>
          </cell>
        </row>
        <row r="325">
          <cell r="W325"/>
          <cell r="AJ325" t="str">
            <v>ELECTRICAL,;!Power System Enclosed Circuit Breaker (ECB),;!,;!</v>
          </cell>
          <cell r="AL325" t="str">
            <v>lot</v>
          </cell>
        </row>
        <row r="326">
          <cell r="W326"/>
          <cell r="AJ326" t="str">
            <v>ELECTRICAL,;!Power System Enclosed Circuit Breaker (ECB),;!ECB - 20AT, 2P, 230V in NEMA 3R,;!</v>
          </cell>
          <cell r="AL326" t="str">
            <v>set/s</v>
          </cell>
        </row>
        <row r="327">
          <cell r="W327"/>
          <cell r="AJ327" t="str">
            <v>ELECTRICAL,;!Power System Enclosed Circuit Breaker (ECB),;!ECB - 30AT, 2P, 230V in NEMA 3R,;!</v>
          </cell>
          <cell r="AL327" t="str">
            <v>set/s</v>
          </cell>
        </row>
        <row r="328">
          <cell r="W328"/>
          <cell r="AJ328" t="str">
            <v>ELECTRICAL,;!Power System Enclosed Circuit Breaker (ECB),;!ECB - 100AT, 3P, 400V in NEMA 3R,;!</v>
          </cell>
          <cell r="AL328" t="str">
            <v>set/s</v>
          </cell>
        </row>
        <row r="329">
          <cell r="W329"/>
          <cell r="AJ329" t="str">
            <v>ELECTRICAL,;!Power System Enclosed Circuit Breaker (ECB),;!ECB - 40AT, 3P, 400V in NEMA 3R,;!</v>
          </cell>
          <cell r="AL329" t="str">
            <v>set/s</v>
          </cell>
        </row>
        <row r="330">
          <cell r="W330"/>
          <cell r="AJ330" t="str">
            <v>ELECTRICAL,;!Power System Enclosed Circuit Breaker (ECB),;!ECB - 50AT, 3P, 400V in NEMA 3R,;!</v>
          </cell>
          <cell r="AL330" t="str">
            <v>set/s</v>
          </cell>
        </row>
        <row r="331">
          <cell r="W331"/>
          <cell r="AJ331" t="str">
            <v>ELECTRICAL,;!Power System Enclosed Circuit Breaker (ECB),;!ECB - 60AT, 3P, 400V in NEMA 3R,;!</v>
          </cell>
          <cell r="AL331" t="str">
            <v>set/s</v>
          </cell>
        </row>
        <row r="332">
          <cell r="W332"/>
          <cell r="AJ332" t="str">
            <v>ELECTRICAL,;!Roughing In ,;!,;!</v>
          </cell>
          <cell r="AL332" t="str">
            <v>lot</v>
          </cell>
        </row>
        <row r="333">
          <cell r="W333"/>
          <cell r="AJ333" t="str">
            <v>ELECTRICAL,;!Roughing In ,;!25mmØ IMC Pipe including fittings,;!</v>
          </cell>
          <cell r="AL333" t="str">
            <v>lm</v>
          </cell>
        </row>
        <row r="334">
          <cell r="W334"/>
          <cell r="AJ334" t="str">
            <v>ELECTRICAL,;!Roughing In ,;!32mmØ IMC Pipe including fittings,;!</v>
          </cell>
          <cell r="AL334" t="str">
            <v>lm</v>
          </cell>
        </row>
        <row r="335">
          <cell r="W335"/>
          <cell r="AJ335" t="str">
            <v>ELECTRICAL,;!Roughing In ,;!65mmØ IMC Pipe including fittings,;!</v>
          </cell>
          <cell r="AL335" t="str">
            <v>lm</v>
          </cell>
        </row>
        <row r="336">
          <cell r="W336"/>
          <cell r="AJ336" t="str">
            <v>ELECTRICAL,;!Roughing In ,;!80mmØ IMC Pipe including fittings,;!</v>
          </cell>
          <cell r="AL336" t="str">
            <v>lm</v>
          </cell>
        </row>
        <row r="337">
          <cell r="W337"/>
          <cell r="AJ337" t="str">
            <v>ELECTRICAL,;!Roughing In ,;!100mmØ IMC Pipe including fittings,;!</v>
          </cell>
          <cell r="AL337" t="str">
            <v>lm</v>
          </cell>
        </row>
        <row r="338">
          <cell r="W338"/>
          <cell r="AJ338" t="str">
            <v>ELECTRICAL,;!Roughing In ,;!32mmØ EMT Pipe including fittings,;!</v>
          </cell>
          <cell r="AL338" t="str">
            <v>lm</v>
          </cell>
        </row>
        <row r="339">
          <cell r="W339"/>
          <cell r="AJ339" t="str">
            <v>ELECTRICAL,;!Roughing In ,;!40mmØ EMT Pipe including fittings,;!</v>
          </cell>
          <cell r="AL339" t="str">
            <v>lm</v>
          </cell>
        </row>
        <row r="340">
          <cell r="W340"/>
          <cell r="AJ340" t="str">
            <v>ELECTRICAL,;!Roughing In ,;!50mmØ EMT Pipe including fittings,;!</v>
          </cell>
          <cell r="AL340" t="str">
            <v>lm</v>
          </cell>
        </row>
        <row r="341">
          <cell r="W341"/>
          <cell r="AJ341" t="str">
            <v>ELECTRICAL,;!Roughing In ,;!20mmØ PVC Pipe including fittings,;!</v>
          </cell>
          <cell r="AL341" t="str">
            <v>lm</v>
          </cell>
        </row>
        <row r="342">
          <cell r="W342"/>
          <cell r="AJ342" t="str">
            <v>ELECTRICAL,;!Roughing In ,;!25mmØ PVC Pipe including fittings,;!</v>
          </cell>
          <cell r="AL342" t="str">
            <v>lm</v>
          </cell>
        </row>
        <row r="343">
          <cell r="W343"/>
          <cell r="AJ343" t="str">
            <v>ELECTRICAL,;!Roughing In ,;!32mmØ PVC Pipe including fittings,;!</v>
          </cell>
          <cell r="AL343" t="str">
            <v>lm</v>
          </cell>
        </row>
        <row r="344">
          <cell r="W344"/>
          <cell r="AJ344" t="str">
            <v>ELECTRICAL,;!Roughing In ,;!100mmØ PVC Pipe including fittings,;!</v>
          </cell>
          <cell r="AL344" t="str">
            <v>lm</v>
          </cell>
        </row>
        <row r="345">
          <cell r="W345"/>
          <cell r="AJ345" t="str">
            <v>ELECTRICAL,;!Roughing In ,;!20mmØ Flexible Metal Conduit,;!</v>
          </cell>
          <cell r="AL345" t="str">
            <v>lm</v>
          </cell>
        </row>
        <row r="346">
          <cell r="W346"/>
          <cell r="AJ346" t="str">
            <v>ELECTRICAL,;!Roughing In ,;!20mmØ Liquidtigth Flexible Metal Conduit,;!</v>
          </cell>
          <cell r="AL346" t="str">
            <v>lm</v>
          </cell>
        </row>
        <row r="347">
          <cell r="W347"/>
          <cell r="AJ347" t="str">
            <v>ELECTRICAL,;!Roughing In ,;!40mmØ Liquidtigth Flexible Metal Conduit,;!</v>
          </cell>
          <cell r="AL347" t="str">
            <v>lm</v>
          </cell>
        </row>
        <row r="348">
          <cell r="W348"/>
          <cell r="AJ348" t="str">
            <v>ELECTRICAL,;!Roughing In ,;!2 x 4 Utility Box,;!</v>
          </cell>
          <cell r="AL348" t="str">
            <v>set/s</v>
          </cell>
        </row>
        <row r="349">
          <cell r="W349"/>
          <cell r="AJ349" t="str">
            <v>ELECTRICAL,;!Roughing In ,;!4"x4" Square Box,;!</v>
          </cell>
          <cell r="AL349" t="str">
            <v>set/s</v>
          </cell>
        </row>
        <row r="350">
          <cell r="W350"/>
          <cell r="AJ350" t="str">
            <v>ELECTRICAL,;!Roughing In ,;!3" x 3" Square Box,;!</v>
          </cell>
          <cell r="AL350" t="str">
            <v>set/s</v>
          </cell>
        </row>
        <row r="351">
          <cell r="W351"/>
          <cell r="AJ351" t="str">
            <v>ELECTRICAL,;!Roughing In ,;!4 x 4 Octagonal Junction Box,;!</v>
          </cell>
          <cell r="AL351" t="str">
            <v>set/s</v>
          </cell>
        </row>
        <row r="352">
          <cell r="W352"/>
          <cell r="AJ352" t="str">
            <v>ELECTRICAL,;!Roughing In ,;!Power Provisions/Junction Box, Exhaust Fan, TEF,;!</v>
          </cell>
          <cell r="AL352" t="str">
            <v>set/s</v>
          </cell>
        </row>
        <row r="353">
          <cell r="W353"/>
          <cell r="AJ353" t="str">
            <v>ELECTRICAL,;!Wire Way,;!,;!</v>
          </cell>
          <cell r="AL353" t="str">
            <v>lot</v>
          </cell>
        </row>
        <row r="354">
          <cell r="W354"/>
          <cell r="AJ354" t="str">
            <v>ELECTRICAL,;!Wire Way,;!250mm X 75mm WIREWAY,;!</v>
          </cell>
          <cell r="AL354" t="str">
            <v>lm</v>
          </cell>
        </row>
        <row r="355">
          <cell r="W355"/>
          <cell r="AJ355" t="str">
            <v>ELECTRICAL,;!Wire Way,;!150mm X 75mm WIREWAY,;!</v>
          </cell>
          <cell r="AL355" t="str">
            <v>lm</v>
          </cell>
        </row>
        <row r="356">
          <cell r="W356"/>
          <cell r="AJ356" t="str">
            <v>ELECTRICAL,;!Wiring In,;!,;!</v>
          </cell>
          <cell r="AL356" t="str">
            <v>lot</v>
          </cell>
        </row>
        <row r="357">
          <cell r="W357"/>
          <cell r="AJ357" t="str">
            <v>ELECTRICAL,;!Wiring In,;!8.0mm2 THHN, Copper,;!</v>
          </cell>
          <cell r="AL357" t="str">
            <v>lm</v>
          </cell>
        </row>
        <row r="358">
          <cell r="W358"/>
          <cell r="AJ358" t="str">
            <v>ELECTRICAL,;!Wiring In,;!14mm2 THHN, Copper,;!</v>
          </cell>
          <cell r="AL358" t="str">
            <v>lm</v>
          </cell>
        </row>
        <row r="359">
          <cell r="W359"/>
          <cell r="AJ359" t="str">
            <v>ELECTRICAL,;!Wiring In,;!22mm2 THHN, Copper,;!</v>
          </cell>
          <cell r="AL359" t="str">
            <v>lm</v>
          </cell>
        </row>
        <row r="360">
          <cell r="W360"/>
          <cell r="AJ360" t="str">
            <v>ELECTRICAL,;!Wiring In,;!30mm2 THHN, Copper,;!</v>
          </cell>
          <cell r="AL360" t="str">
            <v>lm</v>
          </cell>
        </row>
        <row r="361">
          <cell r="W361"/>
          <cell r="AJ361" t="str">
            <v>ELECTRICAL,;!Wiring In,;!150mm2 THHN, Copper,;!</v>
          </cell>
          <cell r="AL361" t="str">
            <v>lm</v>
          </cell>
        </row>
        <row r="362">
          <cell r="W362"/>
          <cell r="AJ362" t="str">
            <v>ELECTRICAL,;!Wiring In,;!250mm2 THHN, Copper,;!</v>
          </cell>
          <cell r="AL362" t="str">
            <v>lm</v>
          </cell>
        </row>
        <row r="363">
          <cell r="W363"/>
          <cell r="AJ363" t="str">
            <v>ELECTRICAL,;!Wiring In,;!3.5mm2 THHN, Aluminum ,;!</v>
          </cell>
          <cell r="AL363" t="str">
            <v>lm</v>
          </cell>
        </row>
        <row r="364">
          <cell r="W364"/>
          <cell r="AJ364" t="str">
            <v>ELECTRICAL,;!Wiring In,;!5.5mm2 THHN, Aluminum ,;!</v>
          </cell>
          <cell r="AL364" t="str">
            <v>lm</v>
          </cell>
        </row>
        <row r="365">
          <cell r="W365"/>
          <cell r="AJ365" t="str">
            <v>ELECTRICAL,;!Wiring In,;!8.0mm2 THHN, Aluminum ,;!</v>
          </cell>
          <cell r="AL365" t="str">
            <v>lm</v>
          </cell>
        </row>
        <row r="366">
          <cell r="W366"/>
          <cell r="AJ366" t="str">
            <v>ELECTRICAL,;!Wiring In,;!14mm2 THHN, Aluminum ,;!</v>
          </cell>
          <cell r="AL366" t="str">
            <v>lm</v>
          </cell>
        </row>
        <row r="367">
          <cell r="W367"/>
          <cell r="AJ367" t="str">
            <v>ELECTRICAL,;!Wiring In,;!22mm2 THHN, Aluminum ,;!</v>
          </cell>
          <cell r="AL367" t="str">
            <v>lm</v>
          </cell>
        </row>
        <row r="368">
          <cell r="W368"/>
          <cell r="AJ368" t="str">
            <v>ELECTRICAL,;!Wiring In,;!30mm2 THHN, Aluminum ,;!</v>
          </cell>
          <cell r="AL368" t="str">
            <v>lm</v>
          </cell>
        </row>
        <row r="369">
          <cell r="W369"/>
          <cell r="AJ369" t="str">
            <v>ELECTRICAL,;!Wiring In,;!50mm2 THHN, Aluminum ,;!</v>
          </cell>
          <cell r="AL369" t="str">
            <v>lm</v>
          </cell>
        </row>
        <row r="370">
          <cell r="W370"/>
          <cell r="AJ370" t="str">
            <v>ELECTRICAL,;!Wiring In,;!100mm2 THHN, Aluminum ,;!</v>
          </cell>
          <cell r="AL370" t="str">
            <v>lm</v>
          </cell>
        </row>
        <row r="371">
          <cell r="W371"/>
          <cell r="AJ371" t="str">
            <v>ELECTRICAL,;!Wiring In,;!200mm2 THHN, Aluminum ,;!</v>
          </cell>
          <cell r="AL371" t="str">
            <v>lm</v>
          </cell>
        </row>
        <row r="372">
          <cell r="W372"/>
          <cell r="AJ372" t="str">
            <v>ELECTRICAL,;!Devices,;!,;!</v>
          </cell>
          <cell r="AL372" t="str">
            <v>lot</v>
          </cell>
        </row>
        <row r="373">
          <cell r="W373"/>
          <cell r="AJ373" t="str">
            <v>ELECTRICAL,;!Devices,;!Single Convenience Outlet, Wall Mounted,;!</v>
          </cell>
          <cell r="AL373" t="str">
            <v>set/s</v>
          </cell>
        </row>
        <row r="374">
          <cell r="W374"/>
          <cell r="AJ374" t="str">
            <v>ELECTRICAL,;!Devices,;!Single Convenience Outlet, Wall Mounted, Range,;!</v>
          </cell>
          <cell r="AL374" t="str">
            <v>set/s</v>
          </cell>
        </row>
        <row r="375">
          <cell r="W375"/>
          <cell r="AJ375" t="str">
            <v>ELECTRICAL,;!Devices,;!Single Convenience Outlet, Wall Mounted, Rangehood,;!</v>
          </cell>
          <cell r="AL375" t="str">
            <v>set/s</v>
          </cell>
        </row>
        <row r="376">
          <cell r="W376"/>
          <cell r="AJ376" t="str">
            <v>ELECTRICAL,;!Devices,;!Single Convenience Outlet, Wall Mounted, Washing Machine,;!</v>
          </cell>
          <cell r="AL376" t="str">
            <v>set/s</v>
          </cell>
        </row>
        <row r="377">
          <cell r="W377"/>
          <cell r="AJ377" t="str">
            <v>ELECTRICAL,;!Devices,;!Single Convenience Outlet, Wall Mounted, Ref.,;!</v>
          </cell>
          <cell r="AL377" t="str">
            <v>set/s</v>
          </cell>
        </row>
        <row r="378">
          <cell r="W378"/>
          <cell r="AJ378" t="str">
            <v>ELECTRICAL,;!Devices,;!Duplex Convenience Outlet, Wall Mounted,;!</v>
          </cell>
          <cell r="AL378" t="str">
            <v>set/s</v>
          </cell>
        </row>
        <row r="379">
          <cell r="W379"/>
          <cell r="AJ379" t="str">
            <v>ELECTRICAL,;!Devices,;!Duplex Convenience Outlet, Wall Mounted, CT,;!</v>
          </cell>
          <cell r="AL379" t="str">
            <v>set/s</v>
          </cell>
        </row>
        <row r="380">
          <cell r="W380"/>
          <cell r="AJ380" t="str">
            <v>ELECTRICAL,;!Devices,;!Special Purpose Outlet, Wall Mounted, FCU,;!</v>
          </cell>
          <cell r="AL380" t="str">
            <v>set/s</v>
          </cell>
        </row>
        <row r="381">
          <cell r="W381"/>
          <cell r="AJ381" t="str">
            <v>ELECTRICAL,;!Devices,;!One-gang Switch,;!</v>
          </cell>
          <cell r="AL381" t="str">
            <v>set/s</v>
          </cell>
        </row>
        <row r="382">
          <cell r="W382"/>
          <cell r="AJ382" t="str">
            <v>ELECTRICAL,;!Devices,;!Two-gang Switch,;!</v>
          </cell>
          <cell r="AL382" t="str">
            <v>set/s</v>
          </cell>
        </row>
        <row r="383">
          <cell r="W383"/>
          <cell r="AJ383" t="str">
            <v>ELECTRICAL,;!Devices,;!Swithbank 1, (Sab-exit stairs) - for GF only,;!</v>
          </cell>
          <cell r="AL383" t="str">
            <v>set/s</v>
          </cell>
        </row>
        <row r="384">
          <cell r="W384"/>
          <cell r="AJ384" t="str">
            <v>ELECTRICAL,;!Lighting Fixtures,;!,;!</v>
          </cell>
          <cell r="AL384" t="str">
            <v>lot</v>
          </cell>
        </row>
        <row r="385">
          <cell r="W385"/>
          <cell r="AJ385" t="str">
            <v>ELECTRICAL,;!Lighting Fixtures,;!1x36W Luminaire with Reflector, Suspended via Threaded Rod,;!</v>
          </cell>
          <cell r="AL385" t="str">
            <v>set/s</v>
          </cell>
        </row>
        <row r="386">
          <cell r="W386"/>
          <cell r="AJ386" t="str">
            <v>ELECTRICAL,;!Lighting Fixtures,;!48" Flourescent Tube Light; 23 Watts LED,;!</v>
          </cell>
          <cell r="AL386" t="str">
            <v>set/s</v>
          </cell>
        </row>
        <row r="387">
          <cell r="W387"/>
          <cell r="AJ387" t="str">
            <v>ELECTRICAL,;!Lighting Fixtures,;!18 Watts LED Surface Mounted Pinlight,;!</v>
          </cell>
          <cell r="AL387" t="str">
            <v>set/s</v>
          </cell>
        </row>
        <row r="388">
          <cell r="W388"/>
          <cell r="AJ388" t="str">
            <v>ELECTRICAL,;!Lighting Fixtures,;!Porcelaine Receptacle w/ 9W LED Bulb,;!</v>
          </cell>
          <cell r="AL388" t="str">
            <v>set/s</v>
          </cell>
        </row>
        <row r="389">
          <cell r="W389"/>
          <cell r="AJ389" t="str">
            <v>ELECTRICAL,;!Lighting Fixtures,;!Elevator Shaft Light,;!</v>
          </cell>
          <cell r="AL389" t="str">
            <v>set/s</v>
          </cell>
        </row>
        <row r="390">
          <cell r="W390"/>
          <cell r="AJ390" t="str">
            <v>ELECTRICAL,;!Lighting Fixtures,;!Emergency Light w/ Battery Back-up,;!</v>
          </cell>
          <cell r="AL390" t="str">
            <v>set/s</v>
          </cell>
        </row>
        <row r="391">
          <cell r="W391"/>
          <cell r="AJ391" t="str">
            <v>ELECTRICAL,;!Lighting Fixtures,;!Exit Sign, 2.4V, Battery Back-up,;!</v>
          </cell>
          <cell r="AL391" t="str">
            <v>set/s</v>
          </cell>
        </row>
        <row r="392">
          <cell r="W392"/>
          <cell r="AJ392" t="str">
            <v>ELECTRICAL,;!Lighting Fixtures,;!40 Watts LED Pole Mounted Outdoor Light,;!</v>
          </cell>
          <cell r="AL392" t="str">
            <v>set/s</v>
          </cell>
        </row>
        <row r="393">
          <cell r="W393"/>
          <cell r="AJ393" t="str">
            <v>ELECTRICAL,;!Misc. &amp; Consumables,;!,;!</v>
          </cell>
          <cell r="AL393" t="str">
            <v>lot</v>
          </cell>
        </row>
        <row r="394">
          <cell r="W394"/>
          <cell r="AJ394" t="str">
            <v>ELECTRICAL,;!Hangers &amp; Supports,;!,;!</v>
          </cell>
          <cell r="AL394" t="str">
            <v>lot</v>
          </cell>
        </row>
        <row r="395">
          <cell r="W395"/>
          <cell r="AJ395" t="str">
            <v>ELECTRICAL,;!Block-out &amp; Pipe Sleeves,;!,;!</v>
          </cell>
          <cell r="AL395" t="str">
            <v>lot</v>
          </cell>
        </row>
        <row r="396">
          <cell r="W396"/>
          <cell r="AJ396" t="str">
            <v>ELECTRICAL,;!Testing &amp; Commissioning,;!,;!</v>
          </cell>
          <cell r="AL396" t="str">
            <v>lot</v>
          </cell>
        </row>
        <row r="397">
          <cell r="W397"/>
          <cell r="AJ397" t="str">
            <v>ELECTRICAL,;!General Requirements,;!,;!</v>
          </cell>
          <cell r="AL397" t="str">
            <v>lot</v>
          </cell>
        </row>
        <row r="398">
          <cell r="W398"/>
          <cell r="AJ398" t="str">
            <v>AUXILIARY,;!,;!,;!</v>
          </cell>
          <cell r="AL398" t="str">
            <v>lot</v>
          </cell>
        </row>
        <row r="399">
          <cell r="W399"/>
          <cell r="AJ399" t="str">
            <v>AUXILIARY,;!Fiber To The Home (FTTH) / Telephone /Data System,;!,;!</v>
          </cell>
          <cell r="AL399" t="str">
            <v>lot</v>
          </cell>
        </row>
        <row r="400">
          <cell r="W400"/>
          <cell r="AJ400" t="str">
            <v>AUXILIARY,;!Fiber To The Home (FTTH) / Telephone /Data System,;!Roughing In ,;!</v>
          </cell>
          <cell r="AL400" t="str">
            <v>lot</v>
          </cell>
        </row>
        <row r="401">
          <cell r="W401"/>
          <cell r="AJ401" t="str">
            <v xml:space="preserve">AUXILIARY,;!Fiber To The Home (FTTH) / Telephone /Data System,;!Roughing In ,;!20mmØ PVC Pipe  including fittings </v>
          </cell>
          <cell r="AL401" t="str">
            <v>lm</v>
          </cell>
        </row>
        <row r="402">
          <cell r="W402"/>
          <cell r="AJ402" t="str">
            <v xml:space="preserve">AUXILIARY,;!Fiber To The Home (FTTH) / Telephone /Data System,;!Roughing In ,;!50mmØ PVC Pipe  including fittings </v>
          </cell>
          <cell r="AL402" t="str">
            <v>lm</v>
          </cell>
        </row>
        <row r="403">
          <cell r="W403"/>
          <cell r="AJ403" t="str">
            <v xml:space="preserve">AUXILIARY,;!Fiber To The Home (FTTH) / Telephone /Data System,;!Roughing In ,;!Wire Way 50mnx50mm </v>
          </cell>
          <cell r="AL403" t="str">
            <v>lm</v>
          </cell>
        </row>
        <row r="404">
          <cell r="W404"/>
          <cell r="AJ404" t="str">
            <v>AUXILIARY,;!Fiber To The Home (FTTH) / Telephone /Data System,;!Roughing In ,;!2 x 4 Utility Box</v>
          </cell>
          <cell r="AL404" t="str">
            <v>pcs</v>
          </cell>
        </row>
        <row r="405">
          <cell r="W405"/>
          <cell r="AJ405" t="str">
            <v>AUXILIARY,;!Fiber To The Home (FTTH) / Telephone /Data System,;!Roughing In ,;!4 x 4 Octagonal Junction Box</v>
          </cell>
          <cell r="AL405" t="str">
            <v>pcs</v>
          </cell>
        </row>
        <row r="406">
          <cell r="W406"/>
          <cell r="AJ406" t="str">
            <v>AUXILIARY,;!Fiber To The Home (FTTH) / Telephone /Data System,;!Roughing In ,;!TEL Pull Box</v>
          </cell>
          <cell r="AL406" t="str">
            <v>pcs</v>
          </cell>
        </row>
        <row r="407">
          <cell r="W407"/>
          <cell r="AJ407" t="str">
            <v>AUXILIARY,;!Fiber To The Home (FTTH) / Telephone /Data System,;!Wiring In,;!</v>
          </cell>
          <cell r="AL407" t="str">
            <v>lot</v>
          </cell>
        </row>
        <row r="408">
          <cell r="W408"/>
          <cell r="AJ408" t="str">
            <v>AUXILIARY,;!Fiber To The Home (FTTH) / Telephone /Data System,;!Wiring In,;!Single Mode Fiber Drop Cable - By Sevice  Provider</v>
          </cell>
          <cell r="AL408" t="str">
            <v>lm</v>
          </cell>
        </row>
        <row r="409">
          <cell r="W409"/>
          <cell r="AJ409" t="str">
            <v>AUXILIARY,;!Fiber To The Home (FTTH) / Telephone /Data System,;!Equipment/Devices,;!</v>
          </cell>
          <cell r="AL409" t="str">
            <v>lot</v>
          </cell>
        </row>
        <row r="410">
          <cell r="W410"/>
          <cell r="AJ410" t="str">
            <v>AUXILIARY,;!Fiber To The Home (FTTH) / Telephone /Data System,;!Equipment/Devices,;!IOO - Indoor Optical Outlet - By Service Provider</v>
          </cell>
          <cell r="AL410" t="str">
            <v>sets</v>
          </cell>
        </row>
        <row r="411">
          <cell r="W411"/>
          <cell r="AJ411" t="str">
            <v>AUXILIARY,;!Fiber To The Home (FTTH) / Telephone /Data System,;!Equipment/Devices,;!ONU - Optical Network Unit - By Service Provider</v>
          </cell>
          <cell r="AL411" t="str">
            <v>sets</v>
          </cell>
        </row>
        <row r="412">
          <cell r="W412"/>
          <cell r="AJ412" t="str">
            <v>AUXILIARY,;!Fiber To The Home (FTTH) / Telephone /Data System,;!Equipment/Devices,;!Fiber Distribution Panel - By Service Provider</v>
          </cell>
          <cell r="AL412" t="str">
            <v>sets</v>
          </cell>
        </row>
        <row r="413">
          <cell r="W413"/>
          <cell r="AJ413" t="str">
            <v>AUXILIARY,;!Fiber To The Home (FTTH) / Telephone /Data System,;!Equipment/Devices,;!NAP- Network Access Point Box - By Service Provider</v>
          </cell>
          <cell r="AL413" t="str">
            <v>sets</v>
          </cell>
        </row>
        <row r="414">
          <cell r="W414"/>
          <cell r="AJ414" t="str">
            <v>AUXILIARY,;!Fiber To The Home (FTTH) / Telephone /Data System,;!Equipment/Devices,;!FTTHTC - Fiber to the Home Terminal Cabinet - By Service Provider</v>
          </cell>
          <cell r="AL414" t="str">
            <v>sets</v>
          </cell>
        </row>
        <row r="415">
          <cell r="W415"/>
          <cell r="AJ415" t="str">
            <v>AUXILIARY,;!Closed Circuit Television System (CCTV),;!,;!</v>
          </cell>
          <cell r="AL415" t="str">
            <v>lot</v>
          </cell>
        </row>
        <row r="416">
          <cell r="W416"/>
          <cell r="AJ416" t="str">
            <v>AUXILIARY,;!Closed Circuit Television System (CCTV),;!Roughing In ,;!</v>
          </cell>
          <cell r="AL416" t="str">
            <v>lot</v>
          </cell>
        </row>
        <row r="417">
          <cell r="W417"/>
          <cell r="AJ417" t="str">
            <v xml:space="preserve">AUXILIARY,;!Closed Circuit Television System (CCTV),;!Roughing In ,;!20mmØ PVC Pipe  including fittings </v>
          </cell>
          <cell r="AL417" t="str">
            <v>lm</v>
          </cell>
        </row>
        <row r="418">
          <cell r="W418"/>
          <cell r="AJ418" t="str">
            <v>AUXILIARY,;!Closed Circuit Television System (CCTV),;!Roughing In ,;!4 x 4 Octagonal Junction Box</v>
          </cell>
          <cell r="AL418" t="str">
            <v>pcs</v>
          </cell>
        </row>
        <row r="419">
          <cell r="W419"/>
          <cell r="AJ419" t="str">
            <v>AUXILIARY,;!Closed Circuit Television System (CCTV),;!Roughing In ,;!CCTV Pullbox</v>
          </cell>
          <cell r="AL419" t="str">
            <v>pcs</v>
          </cell>
        </row>
        <row r="420">
          <cell r="W420"/>
          <cell r="AJ420" t="str">
            <v>AUXILIARY,;!Closed Circuit Television System (CCTV),;!Wiring In,;!</v>
          </cell>
          <cell r="AL420" t="str">
            <v>lot</v>
          </cell>
        </row>
        <row r="421">
          <cell r="W421"/>
          <cell r="AJ421" t="str">
            <v>AUXILIARY,;!Closed Circuit Television System (CCTV),;!Wiring In,;!UTP Cable CAT6 4 Pairs</v>
          </cell>
          <cell r="AL421" t="str">
            <v>lm</v>
          </cell>
        </row>
        <row r="422">
          <cell r="W422"/>
          <cell r="AJ422" t="str">
            <v>AUXILIARY,;!Closed Circuit Television System (CCTV),;!Equipment/Devices,;!</v>
          </cell>
          <cell r="AL422" t="str">
            <v>lot</v>
          </cell>
        </row>
        <row r="423">
          <cell r="W423"/>
          <cell r="AJ423" t="str">
            <v>AUXILIARY,;!Closed Circuit Television System (CCTV),;!Equipment/Devices,;!Dome Type IP CCTV Camera</v>
          </cell>
          <cell r="AL423" t="str">
            <v>sets</v>
          </cell>
        </row>
        <row r="424">
          <cell r="W424"/>
          <cell r="AJ424" t="str">
            <v>AUXILIARY,;!Closed Circuit Television System (CCTV),;!Equipment/Devices,;!Power Over Ethernet Switch (POE-Swithch)</v>
          </cell>
          <cell r="AL424" t="str">
            <v>sets</v>
          </cell>
        </row>
        <row r="425">
          <cell r="W425"/>
          <cell r="AJ425" t="str">
            <v>AUXILIARY,;!Closed Circuit Television System (CCTV),;!Equipment/Devices,;!16 Port POE Switch</v>
          </cell>
          <cell r="AL425" t="str">
            <v>sets</v>
          </cell>
        </row>
        <row r="426">
          <cell r="W426"/>
          <cell r="AJ426" t="str">
            <v xml:space="preserve">AUXILIARY,;!Closed Circuit Television System (CCTV),;!Equipment/Devices,;!16 Port Patch Panel </v>
          </cell>
          <cell r="AL426" t="str">
            <v>sets</v>
          </cell>
        </row>
        <row r="427">
          <cell r="W427"/>
          <cell r="AJ427" t="str">
            <v>AUXILIARY,;!Closed Circuit Television System (CCTV),;!Equipment/Devices,;!Patch Cord</v>
          </cell>
          <cell r="AL427" t="str">
            <v>sets</v>
          </cell>
        </row>
        <row r="428">
          <cell r="W428"/>
          <cell r="AJ428" t="str">
            <v>AUXILIARY,;!Closed Circuit Television System (CCTV),;!Equipment/Devices,;!Core Switch</v>
          </cell>
          <cell r="AL428" t="str">
            <v>sets</v>
          </cell>
        </row>
        <row r="429">
          <cell r="W429"/>
          <cell r="AJ429" t="str">
            <v xml:space="preserve">AUXILIARY,;!Closed Circuit Television System (CCTV),;!Equipment/Devices,;!NVR </v>
          </cell>
          <cell r="AL429" t="str">
            <v>sets</v>
          </cell>
        </row>
        <row r="430">
          <cell r="W430"/>
          <cell r="AJ430" t="str">
            <v>AUXILIARY,;!Closed Circuit Television System (CCTV),;!Equipment/Devices,;!Workstation Keyboard + Cotntroller</v>
          </cell>
          <cell r="AL430" t="str">
            <v>sets</v>
          </cell>
        </row>
        <row r="431">
          <cell r="W431"/>
          <cell r="AJ431" t="str">
            <v>AUXILIARY,;!Closed Circuit Television System (CCTV),;!Equipment/Devices,;!CCTV Monitor</v>
          </cell>
          <cell r="AL431" t="str">
            <v>sets</v>
          </cell>
        </row>
        <row r="432">
          <cell r="W432"/>
          <cell r="AJ432" t="str">
            <v>AUXILIARY,;!Closed Circuit Television System (CCTV),;!Equipment/Devices,;!UPS-1Kva</v>
          </cell>
          <cell r="AL432" t="str">
            <v>sets</v>
          </cell>
        </row>
        <row r="433">
          <cell r="W433"/>
          <cell r="AJ433" t="str">
            <v>AUXILIARY,;!Closed Circuit Television System (CCTV),;!Equipment/Devices,;!Power Panel (30VAC/12V)</v>
          </cell>
          <cell r="AL433" t="str">
            <v>sets</v>
          </cell>
        </row>
        <row r="434">
          <cell r="W434"/>
          <cell r="AJ434" t="str">
            <v>AUXILIARY,;!Fire Detection and Alarm System (FDAS),;!,;!</v>
          </cell>
          <cell r="AL434" t="str">
            <v>lot</v>
          </cell>
        </row>
        <row r="435">
          <cell r="W435"/>
          <cell r="AJ435" t="str">
            <v>AUXILIARY,;!Fire Detection and Alarm System (FDAS),;!Roughing In ,;!</v>
          </cell>
          <cell r="AL435" t="str">
            <v>lot</v>
          </cell>
        </row>
        <row r="436">
          <cell r="W436"/>
          <cell r="AJ436" t="str">
            <v xml:space="preserve">AUXILIARY,;!Fire Detection and Alarm System (FDAS),;!Roughing In ,;!20mmØ PVC Pipe  including fittings </v>
          </cell>
          <cell r="AL436" t="str">
            <v>lm</v>
          </cell>
        </row>
        <row r="437">
          <cell r="W437"/>
          <cell r="AJ437" t="str">
            <v>AUXILIARY,;!Fire Detection and Alarm System (FDAS),;!Roughing In ,;!20mmØ Liquidtigth Flexible Metal Conduit</v>
          </cell>
          <cell r="AL437" t="str">
            <v>lm</v>
          </cell>
        </row>
        <row r="438">
          <cell r="W438"/>
          <cell r="AJ438" t="str">
            <v>AUXILIARY,;!Fire Detection and Alarm System (FDAS),;!Roughing In ,;!4 x 4 Octagonal Junction Box</v>
          </cell>
          <cell r="AL438" t="str">
            <v>pcs</v>
          </cell>
        </row>
        <row r="439">
          <cell r="W439"/>
          <cell r="AJ439" t="str">
            <v>AUXILIARY,;!Fire Detection and Alarm System (FDAS),;!Roughing In ,;!4 x 4 Square Box</v>
          </cell>
          <cell r="AL439" t="str">
            <v>pcs</v>
          </cell>
        </row>
        <row r="440">
          <cell r="W440"/>
          <cell r="AJ440" t="str">
            <v>AUXILIARY,;!Fire Detection and Alarm System (FDAS),;!Roughing In ,;!Fire Alarm PullBox 300 x 300 x 150mm</v>
          </cell>
          <cell r="AL440" t="str">
            <v>pcs</v>
          </cell>
        </row>
        <row r="441">
          <cell r="W441"/>
          <cell r="AJ441" t="str">
            <v>AUXILIARY,;!Fire Detection and Alarm System (FDAS),;!Wiring In,;!</v>
          </cell>
          <cell r="AL441" t="str">
            <v>lot</v>
          </cell>
        </row>
        <row r="442">
          <cell r="W442"/>
          <cell r="AJ442" t="str">
            <v>AUXILIARY,;!Fire Detection and Alarm System (FDAS),;!Wiring In,;!1.50mm sq. (16 AWG) Twisted Pair - TF Wire</v>
          </cell>
          <cell r="AL442" t="str">
            <v>lm</v>
          </cell>
        </row>
        <row r="443">
          <cell r="W443"/>
          <cell r="AJ443" t="str">
            <v>AUXILIARY,;!Fire Detection and Alarm System (FDAS),;!Equipment/Devices,;!</v>
          </cell>
          <cell r="AL443" t="str">
            <v>lot</v>
          </cell>
        </row>
        <row r="444">
          <cell r="W444"/>
          <cell r="AJ444" t="str">
            <v>AUXILIARY,;!Fire Detection and Alarm System (FDAS),;!Equipment/Devices,;!Coventional Smoke Detector</v>
          </cell>
          <cell r="AL444" t="str">
            <v>sets</v>
          </cell>
        </row>
        <row r="445">
          <cell r="W445"/>
          <cell r="AJ445" t="str">
            <v>AUXILIARY,;!Fire Detection and Alarm System (FDAS),;!Equipment/Devices,;!Addressable Smoke Detector</v>
          </cell>
          <cell r="AL445" t="str">
            <v>sets</v>
          </cell>
        </row>
        <row r="446">
          <cell r="W446"/>
          <cell r="AJ446" t="str">
            <v>AUXILIARY,;!Fire Detection and Alarm System (FDAS),;!Equipment/Devices,;!Addressable Heat Detector</v>
          </cell>
          <cell r="AL446" t="str">
            <v>sets</v>
          </cell>
        </row>
        <row r="447">
          <cell r="W447"/>
          <cell r="AJ447" t="str">
            <v>AUXILIARY,;!Fire Detection and Alarm System (FDAS),;!Equipment/Devices,;!Manual Pull Station</v>
          </cell>
          <cell r="AL447" t="str">
            <v>sets</v>
          </cell>
        </row>
        <row r="448">
          <cell r="W448"/>
          <cell r="AJ448" t="str">
            <v>AUXILIARY,;!Fire Detection and Alarm System (FDAS),;!Equipment/Devices,;!Speaker Horn Strobe</v>
          </cell>
          <cell r="AL448" t="str">
            <v>sets</v>
          </cell>
        </row>
        <row r="449">
          <cell r="W449"/>
          <cell r="AJ449" t="str">
            <v>AUXILIARY,;!Fire Detection and Alarm System (FDAS),;!Equipment/Devices,;!Graphic Annuciator</v>
          </cell>
          <cell r="AL449" t="str">
            <v>sets</v>
          </cell>
        </row>
        <row r="450">
          <cell r="W450"/>
          <cell r="AJ450" t="str">
            <v>AUXILIARY,;!Fire Detection and Alarm System (FDAS),;!Equipment/Devices,;!Firemans Telephone Jack</v>
          </cell>
          <cell r="AL450" t="str">
            <v>sets</v>
          </cell>
        </row>
        <row r="451">
          <cell r="W451"/>
          <cell r="AJ451" t="str">
            <v>AUXILIARY,;!Fire Detection and Alarm System (FDAS),;!Equipment/Devices,;!Monitor Module for Flow Switch</v>
          </cell>
          <cell r="AL451" t="str">
            <v>sets</v>
          </cell>
        </row>
        <row r="452">
          <cell r="W452"/>
          <cell r="AJ452" t="str">
            <v>AUXILIARY,;!Fire Detection and Alarm System (FDAS),;!Equipment/Devices,;!Monitor Module for Supervisory Switch</v>
          </cell>
          <cell r="AL452" t="str">
            <v>sets</v>
          </cell>
        </row>
        <row r="453">
          <cell r="W453"/>
          <cell r="AJ453" t="str">
            <v>AUXILIARY,;!Fire Detection and Alarm System (FDAS),;!Equipment/Devices,;!End of Line</v>
          </cell>
          <cell r="AL453" t="str">
            <v>sets</v>
          </cell>
        </row>
        <row r="454">
          <cell r="W454"/>
          <cell r="AJ454" t="str">
            <v>AUXILIARY,;!Fire Detection and Alarm System (FDAS),;!Equipment/Devices,;!Addressable  Zone Module for Conventional Detectors</v>
          </cell>
          <cell r="AL454" t="str">
            <v>sets</v>
          </cell>
        </row>
        <row r="455">
          <cell r="W455"/>
          <cell r="AJ455" t="str">
            <v>AUXILIARY,;!Fire Detection and Alarm System (FDAS),;!Equipment/Devices,;!Duct Smoke Detector</v>
          </cell>
          <cell r="AL455" t="str">
            <v>sets</v>
          </cell>
        </row>
        <row r="456">
          <cell r="W456"/>
          <cell r="AJ456" t="str">
            <v>AUXILIARY,;!Fire Detection and Alarm System (FDAS),;!Equipment/Devices,;!Monitor Module</v>
          </cell>
          <cell r="AL456" t="str">
            <v>sets</v>
          </cell>
        </row>
        <row r="457">
          <cell r="W457"/>
          <cell r="AJ457" t="str">
            <v>AUXILIARY,;!Fire Detection and Alarm System (FDAS),;!Equipment/Devices,;!Relay Module</v>
          </cell>
          <cell r="AL457" t="str">
            <v>sets</v>
          </cell>
        </row>
        <row r="458">
          <cell r="W458"/>
          <cell r="AJ458" t="str">
            <v>AUXILIARY,;!Fire Detection and Alarm System (FDAS),;!Equipment/Devices,;!UPS-1Kva</v>
          </cell>
          <cell r="AL458" t="str">
            <v>sets</v>
          </cell>
        </row>
        <row r="459">
          <cell r="W459"/>
          <cell r="AJ459" t="str">
            <v>AUXILIARY,;!Fire Detection and Alarm System (FDAS),;!Equipment/Devices,;!EVAC</v>
          </cell>
          <cell r="AL459" t="str">
            <v>sets</v>
          </cell>
        </row>
        <row r="460">
          <cell r="W460"/>
          <cell r="AJ460" t="str">
            <v xml:space="preserve">AUXILIARY,;!Fire Detection and Alarm System (FDAS),;!Equipment/Devices,;!Addressable Fire Alarm Control Panel (FACP) </v>
          </cell>
          <cell r="AL460" t="str">
            <v>sets</v>
          </cell>
        </row>
        <row r="461">
          <cell r="W461"/>
          <cell r="AJ461" t="str">
            <v>AUXILIARY,;!Misc. &amp; Consumables,;!,;!</v>
          </cell>
          <cell r="AL461" t="str">
            <v>lot</v>
          </cell>
        </row>
        <row r="462">
          <cell r="W462"/>
          <cell r="AJ462" t="str">
            <v>AUXILIARY,;!Hangers &amp; Supports,;!,;!</v>
          </cell>
          <cell r="AL462" t="str">
            <v>lot</v>
          </cell>
        </row>
        <row r="463">
          <cell r="W463"/>
          <cell r="AJ463" t="str">
            <v>AUXILIARY,;!Block-out &amp; Pipe Sleeves,;!,;!</v>
          </cell>
          <cell r="AL463" t="str">
            <v>lot</v>
          </cell>
        </row>
        <row r="464">
          <cell r="W464"/>
          <cell r="AJ464" t="str">
            <v>AUXILIARY,;!Testing &amp; Commissioning,;!,;!</v>
          </cell>
          <cell r="AL464" t="str">
            <v>lot</v>
          </cell>
        </row>
        <row r="465">
          <cell r="W465"/>
          <cell r="AJ465" t="str">
            <v>AUXILIARY,;!General Requirements,;!,;!</v>
          </cell>
          <cell r="AL465" t="str">
            <v>lot</v>
          </cell>
        </row>
        <row r="466">
          <cell r="W466"/>
          <cell r="AJ466" t="str">
            <v>PLUMBING,;!,;!,;!</v>
          </cell>
          <cell r="AL466" t="str">
            <v>lot</v>
          </cell>
        </row>
        <row r="467">
          <cell r="W467"/>
          <cell r="AJ467" t="str">
            <v>PLUMBING,;!Plumbing Fixtures ,;!,;!</v>
          </cell>
          <cell r="AL467" t="str">
            <v>lot</v>
          </cell>
        </row>
        <row r="468">
          <cell r="W468"/>
          <cell r="AJ468" t="str">
            <v>PLUMBING,;!Plumbing Fixtures ,;!Floor Mounted, Wall Discharge Water Closet with tank, 1 piece (Square-ish design) ,;!</v>
          </cell>
          <cell r="AL468" t="str">
            <v>set/s</v>
          </cell>
        </row>
        <row r="469">
          <cell r="W469"/>
          <cell r="AJ469" t="str">
            <v>PLUMBING,;!Plumbing Fixtures ,;!Wall Hung Lavatory (Square-ish design) with complete accessories,;!</v>
          </cell>
          <cell r="AL469" t="str">
            <v>set/s</v>
          </cell>
        </row>
        <row r="470">
          <cell r="W470"/>
          <cell r="AJ470" t="str">
            <v>PLUMBING,;!Plumbing Fixtures ,;!Single Lever, Single line Faucet SS satin or Chrome Finish,;!</v>
          </cell>
          <cell r="AL470" t="str">
            <v>set/s</v>
          </cell>
        </row>
        <row r="471">
          <cell r="W471"/>
          <cell r="AJ471" t="str">
            <v>PLUMBING,;!Plumbing Fixtures ,;!Bath Faucet with hand shower set, gunmetal finish,;!</v>
          </cell>
          <cell r="AL471" t="str">
            <v>set/s</v>
          </cell>
        </row>
        <row r="472">
          <cell r="W472"/>
          <cell r="AJ472" t="str">
            <v>PLUMBING,;!Plumbing Fixtures ,;!Spray Bidet, Stainless Steel Satin or Chrome finish,;!</v>
          </cell>
          <cell r="AL472" t="str">
            <v>set/s</v>
          </cell>
        </row>
        <row r="473">
          <cell r="W473"/>
          <cell r="AJ473" t="str">
            <v>PLUMBING,;!Plumbing Fixtures ,;!Toilet Paper Holder, Stainless Steel Satin or Chrome finish,;!</v>
          </cell>
          <cell r="AL473" t="str">
            <v>set/s</v>
          </cell>
        </row>
        <row r="474">
          <cell r="W474"/>
          <cell r="AJ474" t="str">
            <v>PLUMBING,;!Plumbing Fixtures ,;!Soapholder, Stainless Steel Satin or Chrome finish,;!</v>
          </cell>
          <cell r="AL474" t="str">
            <v>set/s</v>
          </cell>
        </row>
        <row r="475">
          <cell r="W475"/>
          <cell r="AJ475" t="str">
            <v>PLUMBING,;!Plumbing Fixtures ,;!Kitchen Sink w/ Faucet and accessories,;!</v>
          </cell>
          <cell r="AL475" t="str">
            <v>set/s</v>
          </cell>
        </row>
        <row r="476">
          <cell r="W476"/>
          <cell r="AJ476" t="str">
            <v>PLUMBING,;!Plumbing Fixtures ,;!Grease Trap 5GPM ,;!</v>
          </cell>
          <cell r="AL476" t="str">
            <v>set/s</v>
          </cell>
        </row>
        <row r="477">
          <cell r="W477"/>
          <cell r="AJ477" t="str">
            <v>PLUMBING,;!Cold Water line Main Source ,;!,;!</v>
          </cell>
          <cell r="AL477" t="str">
            <v>lot</v>
          </cell>
        </row>
        <row r="478">
          <cell r="W478"/>
          <cell r="AJ478" t="str">
            <v>PLUMBING,;!Cold Water line Main Source ,;!PPR  Pipes (150mm) w/ fittings,;!</v>
          </cell>
          <cell r="AL478" t="str">
            <v>lm</v>
          </cell>
        </row>
        <row r="479">
          <cell r="W479"/>
          <cell r="AJ479" t="str">
            <v>PLUMBING,;!Cold Water line Upfeed ,;!,;!</v>
          </cell>
          <cell r="AL479" t="str">
            <v>lot</v>
          </cell>
        </row>
        <row r="480">
          <cell r="W480"/>
          <cell r="AJ480" t="str">
            <v>PLUMBING,;!Cold Water line Upfeed ,;!PPR  Pipes (150mm) w/ fittings,;!</v>
          </cell>
          <cell r="AL480" t="str">
            <v>lm</v>
          </cell>
        </row>
        <row r="481">
          <cell r="W481"/>
          <cell r="AJ481" t="str">
            <v>PLUMBING,;!Cold Water line Downfeed ,;!,;!</v>
          </cell>
          <cell r="AL481" t="str">
            <v>lot</v>
          </cell>
        </row>
        <row r="482">
          <cell r="W482"/>
          <cell r="AJ482" t="str">
            <v>PLUMBING,;!Cold Water line Downfeed ,;!PPR  Pipes (150mm) w/ fittings,;!</v>
          </cell>
          <cell r="AL482" t="str">
            <v>lm</v>
          </cell>
        </row>
        <row r="483">
          <cell r="W483"/>
          <cell r="AJ483" t="str">
            <v>PLUMBING,;!Cold Water line Downfeed ,;!PPR  Pipes (100mm) w/ fittings,;!</v>
          </cell>
          <cell r="AL483" t="str">
            <v>lm</v>
          </cell>
        </row>
        <row r="484">
          <cell r="W484"/>
          <cell r="AJ484" t="str">
            <v>PLUMBING,;!Cold Water line Downfeed ,;!PPR  Pipes (75mm) w/ fittings,;!</v>
          </cell>
          <cell r="AL484" t="str">
            <v>lm</v>
          </cell>
        </row>
        <row r="485">
          <cell r="W485"/>
          <cell r="AJ485" t="str">
            <v>PLUMBING,;!Cold Water line Downfeed ,;!PPR  Pipes (50mm) w/ fittings,;!</v>
          </cell>
          <cell r="AL485" t="str">
            <v>lm</v>
          </cell>
        </row>
        <row r="486">
          <cell r="W486"/>
          <cell r="AJ486" t="str">
            <v>PLUMBING,;!Cold Water line Downfeed ,;!PPR  Pipes (40mm) w/ fittings,;!</v>
          </cell>
          <cell r="AL486" t="str">
            <v>lm</v>
          </cell>
        </row>
        <row r="487">
          <cell r="W487"/>
          <cell r="AJ487" t="str">
            <v>PLUMBING,;!Cold Water line Downfeed ,;!PPR  Pipes (32mm) w/ fittings,;!</v>
          </cell>
          <cell r="AL487" t="str">
            <v>lm</v>
          </cell>
        </row>
        <row r="488">
          <cell r="W488"/>
          <cell r="AJ488" t="str">
            <v>PLUMBING,;!Cold Water line Downfeed ,;!PPR  Pipes (25mm) w/ fittings,;!</v>
          </cell>
          <cell r="AL488" t="str">
            <v>lm</v>
          </cell>
        </row>
        <row r="489">
          <cell r="W489"/>
          <cell r="AJ489" t="str">
            <v>PLUMBING,;!Cold water line branches - Hallway,;!,;!</v>
          </cell>
          <cell r="AL489" t="str">
            <v>lot</v>
          </cell>
        </row>
        <row r="490">
          <cell r="W490"/>
          <cell r="AJ490" t="str">
            <v>PLUMBING,;!Cold water line branches - Hallway,;!PPR  Pipes (150mm) w/ fittings,;!</v>
          </cell>
          <cell r="AL490" t="str">
            <v>lm</v>
          </cell>
        </row>
        <row r="491">
          <cell r="W491"/>
          <cell r="AJ491" t="str">
            <v>PLUMBING,;!Cold water line branches - Hallway,;!PPR  Pipes (100mm) w/ fittings,;!</v>
          </cell>
          <cell r="AL491" t="str">
            <v>lm</v>
          </cell>
        </row>
        <row r="492">
          <cell r="W492"/>
          <cell r="AJ492" t="str">
            <v>PLUMBING,;!Cold water line branches - Utilities ,;!,;!</v>
          </cell>
          <cell r="AL492" t="str">
            <v>lot</v>
          </cell>
        </row>
        <row r="493">
          <cell r="W493"/>
          <cell r="AJ493" t="str">
            <v>PLUMBING,;!Cold water line branches - Utilities ,;!PPR  Pipes (25mm) w/ fittings,;!</v>
          </cell>
          <cell r="AL493" t="str">
            <v>lm</v>
          </cell>
        </row>
        <row r="494">
          <cell r="W494"/>
          <cell r="AJ494" t="str">
            <v>PLUMBING,;!Cold water line branches - Utilities ,;!PPR  Pipes (20mm) w/ fittings,;!</v>
          </cell>
          <cell r="AL494" t="str">
            <v>lm</v>
          </cell>
        </row>
        <row r="495">
          <cell r="W495"/>
          <cell r="AJ495" t="str">
            <v>PLUMBING,;!Cold water line branches - Utilities ,;!PPR  Pipes (15mm) w/ fittings,;!</v>
          </cell>
          <cell r="AL495" t="str">
            <v>lm</v>
          </cell>
        </row>
        <row r="496">
          <cell r="W496"/>
          <cell r="AJ496" t="str">
            <v>PLUMBING,;!Cold water line Valves &amp; Accessories,;!,;!</v>
          </cell>
          <cell r="AL496" t="str">
            <v>lot</v>
          </cell>
        </row>
        <row r="497">
          <cell r="W497"/>
          <cell r="AJ497" t="str">
            <v>PLUMBING,;!Cold water line Valves &amp; Accessories,;!Gate Valve 150mm,;!</v>
          </cell>
          <cell r="AL497" t="str">
            <v>set/s</v>
          </cell>
        </row>
        <row r="498">
          <cell r="W498"/>
          <cell r="AJ498" t="str">
            <v>PLUMBING,;!Cold water line Valves &amp; Accessories,;!Gate Valve 100mm,;!</v>
          </cell>
          <cell r="AL498" t="str">
            <v>set/s</v>
          </cell>
        </row>
        <row r="499">
          <cell r="W499"/>
          <cell r="AJ499" t="str">
            <v>PLUMBING,;!Cold water line Valves &amp; Accessories,;!Gate Valve 75mm,;!</v>
          </cell>
          <cell r="AL499" t="str">
            <v>set/s</v>
          </cell>
        </row>
        <row r="500">
          <cell r="W500"/>
          <cell r="AJ500" t="str">
            <v>PLUMBING,;!Cold water line Valves &amp; Accessories,;!Gate Valve 50mm,;!</v>
          </cell>
          <cell r="AL500" t="str">
            <v>set/s</v>
          </cell>
        </row>
        <row r="501">
          <cell r="W501"/>
          <cell r="AJ501" t="str">
            <v>PLUMBING,;!Cold water line Valves &amp; Accessories,;!Gate Valve 40mm,;!</v>
          </cell>
          <cell r="AL501" t="str">
            <v>set/s</v>
          </cell>
        </row>
        <row r="502">
          <cell r="W502"/>
          <cell r="AJ502" t="str">
            <v>PLUMBING,;!Cold water line Valves &amp; Accessories,;!Gate Valve 25mm,;!</v>
          </cell>
          <cell r="AL502" t="str">
            <v>set/s</v>
          </cell>
        </row>
        <row r="503">
          <cell r="W503"/>
          <cell r="AJ503" t="str">
            <v>PLUMBING,;!Cold water line Valves &amp; Accessories,;!Gate Valve 15mm,;!</v>
          </cell>
          <cell r="AL503" t="str">
            <v>set/s</v>
          </cell>
        </row>
        <row r="504">
          <cell r="W504"/>
          <cell r="AJ504" t="str">
            <v>PLUMBING,;!Cold water line Valves &amp; Accessories,;!Hose Bibb 15mm,;!</v>
          </cell>
          <cell r="AL504" t="str">
            <v>set/s</v>
          </cell>
        </row>
        <row r="505">
          <cell r="W505"/>
          <cell r="AJ505" t="str">
            <v>PLUMBING,;!Cold water line Valves &amp; Accessories,;!Equalizing Valve 100mm,;!</v>
          </cell>
          <cell r="AL505" t="str">
            <v>set/s</v>
          </cell>
        </row>
        <row r="506">
          <cell r="W506"/>
          <cell r="AJ506" t="str">
            <v>PLUMBING,;!Cold water line Valves &amp; Accessories,;!Y-Strainer 100mm,;!</v>
          </cell>
          <cell r="AL506" t="str">
            <v>set/s</v>
          </cell>
        </row>
        <row r="507">
          <cell r="W507"/>
          <cell r="AJ507" t="str">
            <v>PLUMBING,;!Cold water line Valves &amp; Accessories,;!Y-Strainer 75mm,;!</v>
          </cell>
          <cell r="AL507" t="str">
            <v>set/s</v>
          </cell>
        </row>
        <row r="508">
          <cell r="W508"/>
          <cell r="AJ508" t="str">
            <v>PLUMBING,;!Cold water line Valves &amp; Accessories,;!Flexible Connector 100mm,;!</v>
          </cell>
          <cell r="AL508" t="str">
            <v>set/s</v>
          </cell>
        </row>
        <row r="509">
          <cell r="W509"/>
          <cell r="AJ509" t="str">
            <v>PLUMBING,;!Cold water line Valves &amp; Accessories,;!Flexible Connector 75mm,;!</v>
          </cell>
          <cell r="AL509" t="str">
            <v>set/s</v>
          </cell>
        </row>
        <row r="510">
          <cell r="W510"/>
          <cell r="AJ510" t="str">
            <v>PLUMBING,;!Cold water line Valves &amp; Accessories,;!PRV 75mm,;!</v>
          </cell>
          <cell r="AL510" t="str">
            <v>set/s</v>
          </cell>
        </row>
        <row r="511">
          <cell r="W511"/>
          <cell r="AJ511" t="str">
            <v>PLUMBING,;!Cold water line Valves &amp; Accessories,;!Check Valve 100mm,;!</v>
          </cell>
          <cell r="AL511" t="str">
            <v>set/s</v>
          </cell>
        </row>
        <row r="512">
          <cell r="W512"/>
          <cell r="AJ512" t="str">
            <v>PLUMBING,;!Cold water line Valves &amp; Accessories,;!Check Valve 50mm,;!</v>
          </cell>
          <cell r="AL512" t="str">
            <v>set/s</v>
          </cell>
        </row>
        <row r="513">
          <cell r="W513"/>
          <cell r="AJ513" t="str">
            <v>PLUMBING,;!Cold water line Valves &amp; Accessories,;!Float Valve 100mm,;!</v>
          </cell>
          <cell r="AL513" t="str">
            <v>set/s</v>
          </cell>
        </row>
        <row r="514">
          <cell r="W514"/>
          <cell r="AJ514" t="str">
            <v>PLUMBING,;!Cold water line Valves &amp; Accessories,;!Foot Valve 100mm,;!</v>
          </cell>
          <cell r="AL514" t="str">
            <v>set/s</v>
          </cell>
        </row>
        <row r="515">
          <cell r="W515"/>
          <cell r="AJ515" t="str">
            <v>PLUMBING,;!Cold water line Valves &amp; Accessories,;!Water Meter 100mm,;!</v>
          </cell>
          <cell r="AL515" t="str">
            <v>set/s</v>
          </cell>
        </row>
        <row r="516">
          <cell r="W516"/>
          <cell r="AJ516" t="str">
            <v>PLUMBING,;!Cold water line Valves &amp; Accessories,;!Water Meter 25mm,;!</v>
          </cell>
          <cell r="AL516" t="str">
            <v>set/s</v>
          </cell>
        </row>
        <row r="517">
          <cell r="W517"/>
          <cell r="AJ517" t="str">
            <v>PLUMBING,;!Sanitary Drainage System,;!,;!</v>
          </cell>
          <cell r="AL517" t="str">
            <v>lot</v>
          </cell>
        </row>
        <row r="518">
          <cell r="W518"/>
          <cell r="AJ518" t="str">
            <v>PLUMBING,;!Sanitary Drainage System,;!Soil Pipe - PVC Pipe - 250mm w/ fittings,;!</v>
          </cell>
          <cell r="AL518" t="str">
            <v>lm</v>
          </cell>
        </row>
        <row r="519">
          <cell r="W519"/>
          <cell r="AJ519" t="str">
            <v>PLUMBING,;!Sanitary Drainage System,;!Soil Pipe - PVC Pipe - 200mm w/ fittings,;!</v>
          </cell>
          <cell r="AL519" t="str">
            <v>lm</v>
          </cell>
        </row>
        <row r="520">
          <cell r="W520"/>
          <cell r="AJ520" t="str">
            <v>PLUMBING,;!Sanitary Drainage System,;!Soil Pipe - HDPE Pipe - 100mm w/ fittings,;!</v>
          </cell>
          <cell r="AL520" t="str">
            <v>lm</v>
          </cell>
        </row>
        <row r="521">
          <cell r="W521"/>
          <cell r="AJ521" t="str">
            <v>PLUMBING,;!Sanitary Drainage System,;!Soil Pipe - HDPE Pipe - 50mm w/ fittings,;!</v>
          </cell>
          <cell r="AL521" t="str">
            <v>lm</v>
          </cell>
        </row>
        <row r="522">
          <cell r="W522"/>
          <cell r="AJ522" t="str">
            <v>PLUMBING,;!Sanitary Drainage System,;!Soil Stack Pipe - HDPE Pipe - 100mm w/ fittings,;!</v>
          </cell>
          <cell r="AL522" t="str">
            <v>lm</v>
          </cell>
        </row>
        <row r="523">
          <cell r="W523"/>
          <cell r="AJ523" t="str">
            <v>PLUMBING,;!Sanitary Drainage System,;!Sovent Aerator 100mm,;!</v>
          </cell>
          <cell r="AL523" t="str">
            <v>set/s</v>
          </cell>
        </row>
        <row r="524">
          <cell r="W524"/>
          <cell r="AJ524" t="str">
            <v>PLUMBING,;!Sanitary Drainage System,;!BottomTurn Bend 110mm (Supertube),;!</v>
          </cell>
          <cell r="AL524" t="str">
            <v>pcs</v>
          </cell>
        </row>
        <row r="525">
          <cell r="W525"/>
          <cell r="AJ525" t="str">
            <v>PLUMBING,;!Storm Drainage System  ,;!,;!</v>
          </cell>
          <cell r="AL525" t="str">
            <v>lot</v>
          </cell>
        </row>
        <row r="526">
          <cell r="W526"/>
          <cell r="AJ526" t="str">
            <v>PLUMBING,;!Storm Drainage System  ,;!Drain Pipe -  PVC Pipe - 150mm w/ fittings,;!</v>
          </cell>
          <cell r="AL526" t="str">
            <v>lm</v>
          </cell>
        </row>
        <row r="527">
          <cell r="W527"/>
          <cell r="AJ527" t="str">
            <v>PLUMBING,;!Storm Drainage System  ,;!Drain Pipe -  PVC Pipe - 100mm w/ fittings,;!</v>
          </cell>
          <cell r="AL527" t="str">
            <v>lm</v>
          </cell>
        </row>
        <row r="528">
          <cell r="W528"/>
          <cell r="AJ528" t="str">
            <v>PLUMBING,;!Storm Drainage System  ,;!Drain Pipe -  PVC Pipe - 75mm w/ fittings,;!</v>
          </cell>
          <cell r="AL528" t="str">
            <v>lm</v>
          </cell>
        </row>
        <row r="529">
          <cell r="W529"/>
          <cell r="AJ529" t="str">
            <v>PLUMBING,;!Storm Drainage System  ,;!Discharge Pipe -  BI Pipe - 100mm w/ fittings,;!</v>
          </cell>
          <cell r="AL529" t="str">
            <v>lm</v>
          </cell>
        </row>
        <row r="530">
          <cell r="W530"/>
          <cell r="AJ530" t="str">
            <v>PLUMBING,;!Storm Drainage System  ,;!Discharge Pipe -  BI Pipe - 50mm w/ fittings,;!</v>
          </cell>
          <cell r="AL530" t="str">
            <v>lm</v>
          </cell>
        </row>
        <row r="531">
          <cell r="W531"/>
          <cell r="AJ531" t="str">
            <v>PLUMBING,;!Storm Drainage System  ,;!Drain Pipe -  PVC Pipe - 150mm w/ fittings - Perforated,;!</v>
          </cell>
          <cell r="AL531" t="str">
            <v>lm</v>
          </cell>
        </row>
        <row r="532">
          <cell r="W532"/>
          <cell r="AJ532" t="str">
            <v>PLUMBING,;!Storm Drainage System  ,;!Condensate Drain Pipe -  PVC Pipe - 50mm w/ fittings ,;!</v>
          </cell>
          <cell r="AL532" t="str">
            <v>lm</v>
          </cell>
        </row>
        <row r="533">
          <cell r="W533"/>
          <cell r="AJ533" t="str">
            <v>PLUMBING,;!Storm Drainage System  ,;!Condensate Drain Pipe -  PVC Pipe - 25mm w/ fittings and insulation,;!</v>
          </cell>
          <cell r="AL533" t="str">
            <v>lm</v>
          </cell>
        </row>
        <row r="534">
          <cell r="W534"/>
          <cell r="AJ534" t="str">
            <v>PLUMBING,;!Storm Drainage System  ,;!Condensate Drain Stack -  PVC Pipe - 50mm w/ fittings ,;!</v>
          </cell>
          <cell r="AL534" t="str">
            <v>lm</v>
          </cell>
        </row>
        <row r="535">
          <cell r="W535"/>
          <cell r="AJ535" t="str">
            <v>PLUMBING,;!Storm Drainage System  ,;!Downspout-  PVC Pipe - 75mm w/ fittings,;!</v>
          </cell>
          <cell r="AL535" t="str">
            <v>lm</v>
          </cell>
        </row>
        <row r="536">
          <cell r="W536"/>
          <cell r="AJ536" t="str">
            <v>PLUMBING,;!Drain and Accessories ,;!,;!</v>
          </cell>
          <cell r="AL536" t="str">
            <v>lot</v>
          </cell>
        </row>
        <row r="537">
          <cell r="W537"/>
          <cell r="AJ537" t="str">
            <v>PLUMBING,;!Drain and Accessories ,;!Floor Drain 100mm,;!</v>
          </cell>
          <cell r="AL537" t="str">
            <v>set/s</v>
          </cell>
        </row>
        <row r="538">
          <cell r="W538"/>
          <cell r="AJ538" t="str">
            <v>PLUMBING,;!Drain and Accessories ,;!Floor Drain 50mm,;!</v>
          </cell>
          <cell r="AL538" t="str">
            <v>set/s</v>
          </cell>
        </row>
        <row r="539">
          <cell r="W539"/>
          <cell r="AJ539" t="str">
            <v>PLUMBING,;!Drain and Accessories ,;!Oil Interceptor 30 GPM,;!</v>
          </cell>
          <cell r="AL539" t="str">
            <v>set/s</v>
          </cell>
        </row>
        <row r="540">
          <cell r="W540"/>
          <cell r="AJ540" t="str">
            <v>PLUMBING,;!Drain and Accessories ,;!Oil Interceptor 50 GPM,;!</v>
          </cell>
          <cell r="AL540" t="str">
            <v>set/s</v>
          </cell>
        </row>
        <row r="541">
          <cell r="W541"/>
          <cell r="AJ541" t="str">
            <v>PLUMBING,;!Drain and Accessories ,;!Catch Basin ,;!</v>
          </cell>
          <cell r="AL541" t="str">
            <v>set/s</v>
          </cell>
        </row>
        <row r="542">
          <cell r="W542"/>
          <cell r="AJ542" t="str">
            <v>PLUMBING,;!Drain and Accessories ,;!Deck Drain 75mm,;!</v>
          </cell>
          <cell r="AL542" t="str">
            <v>set/s</v>
          </cell>
        </row>
        <row r="543">
          <cell r="W543"/>
          <cell r="AJ543" t="str">
            <v>PLUMBING,;!Drain and Accessories ,;!Balcony Drain 50mm,;!</v>
          </cell>
          <cell r="AL543" t="str">
            <v>set/s</v>
          </cell>
        </row>
        <row r="544">
          <cell r="W544"/>
          <cell r="AJ544" t="str">
            <v>PLUMBING,;!Pipe Vents System ,;!,;!</v>
          </cell>
          <cell r="AL544" t="str">
            <v>lot</v>
          </cell>
        </row>
        <row r="545">
          <cell r="W545"/>
          <cell r="AJ545" t="str">
            <v>PLUMBING,;!Pipe Vents System ,;!Vent Branches - PVC Pipe 100mm w/ fittings,;!</v>
          </cell>
          <cell r="AL545" t="str">
            <v>lm</v>
          </cell>
        </row>
        <row r="546">
          <cell r="W546"/>
          <cell r="AJ546" t="str">
            <v>PLUMBING,;!Pipe Vents System ,;!Vent Branches - HDPE Pipe 250mm w/ fittings,;!</v>
          </cell>
          <cell r="AL546" t="str">
            <v>lm</v>
          </cell>
        </row>
        <row r="547">
          <cell r="W547"/>
          <cell r="AJ547" t="str">
            <v>PLUMBING,;!Pipe Vents System ,;!Vent Branches - HDPE Pipe 200mm w/ fittings,;!</v>
          </cell>
          <cell r="AL547" t="str">
            <v>lm</v>
          </cell>
        </row>
        <row r="548">
          <cell r="W548"/>
          <cell r="AJ548" t="str">
            <v>PLUMBING,;!Pipe Vents System ,;!Vent Branches - HDPE Pipe 150mm w/ fittings,;!</v>
          </cell>
          <cell r="AL548" t="str">
            <v>lm</v>
          </cell>
        </row>
        <row r="549">
          <cell r="W549"/>
          <cell r="AJ549" t="str">
            <v>PLUMBING,;!Pipe Vents System ,;!Vent Branches - HDPE Pipe 100mm w/ fittings,;!</v>
          </cell>
          <cell r="AL549" t="str">
            <v>lm</v>
          </cell>
        </row>
        <row r="550">
          <cell r="W550"/>
          <cell r="AJ550" t="str">
            <v>PLUMBING,;!Overhead Water Tank (OHP),;!,;!</v>
          </cell>
          <cell r="AL550" t="str">
            <v>lot</v>
          </cell>
        </row>
        <row r="551">
          <cell r="W551"/>
          <cell r="AJ551" t="str">
            <v>PLUMBING,;!Overhead Water Tank (OHP),;!Elevated Water Tank -45 cu.m, 1.5m (W) x 2.0m (D),;!</v>
          </cell>
          <cell r="AL551" t="str">
            <v>set/s</v>
          </cell>
        </row>
        <row r="552">
          <cell r="W552"/>
          <cell r="AJ552" t="str">
            <v>PLUMBING,;!Plumbing Pump and accessories,;!,;!</v>
          </cell>
          <cell r="AL552" t="str">
            <v>lot</v>
          </cell>
        </row>
        <row r="553">
          <cell r="W553"/>
          <cell r="AJ553" t="str">
            <v>PLUMBING,;!Plumbing Pump and accessories,;!Transfer Pump - 250 gpm (each) @ 230Ft TDH, 20Hp, 400V, 3Ø, 60Hz, Triplex Type, w/ Controller &amp; accessories,;!</v>
          </cell>
          <cell r="AL553" t="str">
            <v>set/s</v>
          </cell>
        </row>
        <row r="554">
          <cell r="W554"/>
          <cell r="AJ554" t="str">
            <v>PLUMBING,;!Plumbing Pump and accessories,;!Booster Pump - 130 gpm (each) @ 160Ft TDH, 7.5Hp, 400V, 3Ø, 60Hz, Triplex Type, w/ Controller &amp; accessories,;!</v>
          </cell>
          <cell r="AL554" t="str">
            <v>set/s</v>
          </cell>
        </row>
        <row r="555">
          <cell r="W555"/>
          <cell r="AJ555" t="str">
            <v>PLUMBING,;!Plumbing Pump and accessories,;!Sump Pump - 50 gpm (each) @ 30Ft TDH, 1Hp, 400V, 3Ø, 60Hz, Simplex Type, w/ Controller &amp; accessories,;!</v>
          </cell>
          <cell r="AL555" t="str">
            <v>set/s</v>
          </cell>
        </row>
        <row r="556">
          <cell r="W556"/>
          <cell r="AJ556" t="str">
            <v>PLUMBING,;!Plumbing Pump and accessories,;!Rain Water Sump Pump - 330 gpm (each) @ 30Ft TDH, 3Hp, 230V, 1Ø, 60Hz, Duplex Type, w/ Controller &amp; accessories,;!</v>
          </cell>
          <cell r="AL556" t="str">
            <v>set/s</v>
          </cell>
        </row>
        <row r="557">
          <cell r="W557"/>
          <cell r="AJ557" t="str">
            <v>PLUMBING,;!Plumbing Pump and accessories,;!Elevator Pit Pump - 50 gpm @ 30 ft TDH , 1hp, 230V,1Ø,60Hz,Simplex Type w/ Controller &amp; accessories,;!</v>
          </cell>
          <cell r="AL557" t="str">
            <v>set/s</v>
          </cell>
        </row>
        <row r="558">
          <cell r="W558"/>
          <cell r="AJ558" t="str">
            <v>PLUMBING,;!Plumbing Controllers,;!,;!</v>
          </cell>
          <cell r="AL558" t="str">
            <v>set/s</v>
          </cell>
        </row>
        <row r="559">
          <cell r="W559"/>
          <cell r="AJ559" t="str">
            <v>PLUMBING,;!Misc. &amp; Consumables,;!,;!</v>
          </cell>
          <cell r="AL559" t="str">
            <v>lot</v>
          </cell>
        </row>
        <row r="560">
          <cell r="W560"/>
          <cell r="AJ560" t="str">
            <v>PLUMBING,;!Hangers &amp; Supports,;!,;!</v>
          </cell>
          <cell r="AL560" t="str">
            <v>lot</v>
          </cell>
        </row>
        <row r="561">
          <cell r="W561"/>
          <cell r="AJ561" t="str">
            <v>PLUMBING,;!Block-out &amp; Pipe Sleeves,;!,;!</v>
          </cell>
          <cell r="AL561" t="str">
            <v>lot</v>
          </cell>
        </row>
        <row r="562">
          <cell r="W562"/>
          <cell r="AJ562" t="str">
            <v>PLUMBING,;!Testing &amp; Commissioning,;!,;!</v>
          </cell>
          <cell r="AL562" t="str">
            <v>lot</v>
          </cell>
        </row>
        <row r="563">
          <cell r="W563"/>
          <cell r="AJ563" t="str">
            <v>PLUMBING,;!General Requirements,;!,;!</v>
          </cell>
          <cell r="AL563" t="str">
            <v>lot</v>
          </cell>
        </row>
        <row r="564">
          <cell r="W564"/>
          <cell r="AJ564" t="str">
            <v>FIRE PROTECTION,;!,;!,;!</v>
          </cell>
          <cell r="AL564" t="str">
            <v>lot</v>
          </cell>
        </row>
        <row r="565">
          <cell r="W565"/>
          <cell r="AJ565" t="str">
            <v>FIRE PROTECTION,;!Wet / Dry Stand Pipe Works,;!,;!</v>
          </cell>
          <cell r="AL565" t="str">
            <v>lot</v>
          </cell>
        </row>
        <row r="566">
          <cell r="W566"/>
          <cell r="AJ566" t="str">
            <v>FIRE PROTECTION,;!Wet / Dry Stand Pipe Works,;!Wet / Dry Stand Pipe Riser 150mm BI Pipes w/ fittings,;!</v>
          </cell>
          <cell r="AL566" t="str">
            <v>lm</v>
          </cell>
        </row>
        <row r="567">
          <cell r="W567"/>
          <cell r="AJ567" t="str">
            <v>FIRE PROTECTION,;!Wet / Dry Stand Pipe Works,;!Wet Stand Valves and accessories ,;!</v>
          </cell>
          <cell r="AL567" t="str">
            <v>lot</v>
          </cell>
        </row>
        <row r="568">
          <cell r="W568"/>
          <cell r="AJ568" t="str">
            <v>FIRE PROTECTION,;!Wet / Dry Stand Pipe Works,;!Wet Stand Valves and accessories ,;!65mm Pressure Reducing Fire Hose Valves w/ chain and cap (Brass)</v>
          </cell>
          <cell r="AL568" t="str">
            <v>set/s</v>
          </cell>
        </row>
        <row r="569">
          <cell r="W569"/>
          <cell r="AJ569" t="str">
            <v>FIRE PROTECTION,;!Wet / Dry Stand Pipe Works,;!Wet Stand Valves and accessories ,;!3 x 65mm x 150mm Fire Department Connection</v>
          </cell>
          <cell r="AL569" t="str">
            <v>set/s</v>
          </cell>
        </row>
        <row r="570">
          <cell r="W570"/>
          <cell r="AJ570" t="str">
            <v>FIRE PROTECTION,;!Wet / Dry Stand Pipe Works,;!Wet Stand Valves and accessories ,;!150mm dia Check Valve</v>
          </cell>
          <cell r="AL570" t="str">
            <v>set/s</v>
          </cell>
        </row>
        <row r="571">
          <cell r="W571"/>
          <cell r="AJ571" t="str">
            <v>FIRE PROTECTION,;!Wet / Dry Stand Pipe Works,;!Wet Stand Valves and accessories ,;!150mm dia OS &amp; Y Gate Valve / Control Valve with Supervisory Switch</v>
          </cell>
          <cell r="AL571" t="str">
            <v>set/s</v>
          </cell>
        </row>
        <row r="572">
          <cell r="W572"/>
          <cell r="AJ572" t="str">
            <v xml:space="preserve">FIRE PROTECTION,;!Wet / Dry Stand Pipe Works,;!Wet Stand Valves and accessories ,;!150mm Alarm Check Valve </v>
          </cell>
          <cell r="AL572" t="str">
            <v>set/s</v>
          </cell>
        </row>
        <row r="573">
          <cell r="W573"/>
          <cell r="AJ573" t="str">
            <v xml:space="preserve">FIRE PROTECTION,;!Wet / Dry Stand Pipe Works,;!Wet Stand Valves and accessories ,;!25mm AAV </v>
          </cell>
          <cell r="AL573" t="str">
            <v>set/s</v>
          </cell>
        </row>
        <row r="574">
          <cell r="W574"/>
          <cell r="AJ574" t="str">
            <v xml:space="preserve">FIRE PROTECTION,;!Wet / Dry Stand Pipe Works,;!Wet Stand Valves and accessories ,;!Pressure gauge 300 psi connection including fittings </v>
          </cell>
          <cell r="AL574" t="str">
            <v>set/s</v>
          </cell>
        </row>
        <row r="575">
          <cell r="W575"/>
          <cell r="AJ575" t="str">
            <v>FIRE PROTECTION,;!Wet / Dry Stand Pipe Works,;!Wet Stand Valves and accessories ,;!65mm x 65mm x 150mm Roof Manifold</v>
          </cell>
          <cell r="AL575" t="str">
            <v>set/s</v>
          </cell>
        </row>
        <row r="576">
          <cell r="W576"/>
          <cell r="AJ576" t="str">
            <v>FIRE PROTECTION,;!Feed Main,;!,;!</v>
          </cell>
          <cell r="AL576" t="str">
            <v>lot</v>
          </cell>
        </row>
        <row r="577">
          <cell r="W577"/>
          <cell r="AJ577" t="str">
            <v>FIRE PROTECTION,;!Feed Main,;!Feedmain 100mm CPVC Pipes w/ fittings,;!</v>
          </cell>
          <cell r="AL577" t="str">
            <v>lm</v>
          </cell>
        </row>
        <row r="578">
          <cell r="W578"/>
          <cell r="AJ578" t="str">
            <v>FIRE PROTECTION,;!Feed Main,;!Feedmain Valve and Assembly ,;!</v>
          </cell>
          <cell r="AL578" t="str">
            <v>lot</v>
          </cell>
        </row>
        <row r="579">
          <cell r="W579"/>
          <cell r="AJ579" t="str">
            <v xml:space="preserve">FIRE PROTECTION,;!Feed Main,;!Feedmain Valve and Assembly ,;!100mm diameter FCV, Butterfly Valve.Victaulic. Wafer Type with Built In Supervisory Swith and Tamper Switch.incl fittings </v>
          </cell>
          <cell r="AL579" t="str">
            <v>set/s</v>
          </cell>
        </row>
        <row r="580">
          <cell r="W580"/>
          <cell r="AJ580" t="str">
            <v>FIRE PROTECTION,;!Feed Main,;!Feedmain Valve and Assembly ,;!100mm diameter Water Flow Swith</v>
          </cell>
          <cell r="AL580" t="str">
            <v>set/s</v>
          </cell>
        </row>
        <row r="581">
          <cell r="W581"/>
          <cell r="AJ581" t="str">
            <v>FIRE PROTECTION,;!Feed Main,;!Feedmain Valve and Assembly ,;!100mm dia Check Valve</v>
          </cell>
          <cell r="AL581" t="str">
            <v>set/s</v>
          </cell>
        </row>
        <row r="582">
          <cell r="W582"/>
          <cell r="AJ582" t="str">
            <v xml:space="preserve">FIRE PROTECTION,;!Feed Main,;!Feedmain Valve and Assembly ,;!Pressure gauge 300 psi connection including fittings </v>
          </cell>
          <cell r="AL582" t="str">
            <v>set/s</v>
          </cell>
        </row>
        <row r="583">
          <cell r="W583"/>
          <cell r="AJ583" t="str">
            <v xml:space="preserve">FIRE PROTECTION,;!Feed Main,;!Feedmain Valve and Assembly ,;!25mm Ø Inspector's Test Connection Assembly </v>
          </cell>
          <cell r="AL583" t="str">
            <v>set/s</v>
          </cell>
        </row>
        <row r="584">
          <cell r="W584"/>
          <cell r="AJ584" t="str">
            <v>FIRE PROTECTION,;!Feed Main,;!Feedmain Valve and Assembly ,;!25mm diameter Auxiliary drain including fittings</v>
          </cell>
          <cell r="AL584" t="str">
            <v>set/s</v>
          </cell>
        </row>
        <row r="585">
          <cell r="W585"/>
          <cell r="AJ585" t="str">
            <v>FIRE PROTECTION,;!Crossmain,;!,;!</v>
          </cell>
          <cell r="AL585" t="str">
            <v>lot</v>
          </cell>
        </row>
        <row r="586">
          <cell r="W586"/>
          <cell r="AJ586" t="str">
            <v>FIRE PROTECTION,;!Crossmain,;!Cross Main 80mm CPVC Pipes w/ fittings,;!</v>
          </cell>
          <cell r="AL586" t="str">
            <v>lm</v>
          </cell>
        </row>
        <row r="587">
          <cell r="W587"/>
          <cell r="AJ587" t="str">
            <v>FIRE PROTECTION,;!Branchline,;!,;!</v>
          </cell>
          <cell r="AL587" t="str">
            <v>lot</v>
          </cell>
        </row>
        <row r="588">
          <cell r="W588"/>
          <cell r="AJ588" t="str">
            <v>FIRE PROTECTION,;!Branchline,;!Branch Line 40mm CPVC Pipes w/ fittings,;!</v>
          </cell>
          <cell r="AL588" t="str">
            <v>lm</v>
          </cell>
        </row>
        <row r="589">
          <cell r="W589"/>
          <cell r="AJ589" t="str">
            <v>FIRE PROTECTION,;!Branchline,;!Branch Line 32mm CPVC Pipes w/ fittings,;!</v>
          </cell>
          <cell r="AL589" t="str">
            <v>lm</v>
          </cell>
        </row>
        <row r="590">
          <cell r="W590"/>
          <cell r="AJ590" t="str">
            <v>FIRE PROTECTION,;!Branchline,;!Branch Line 25mm CPVC Pipes w/ fittings,;!</v>
          </cell>
          <cell r="AL590" t="str">
            <v>lm</v>
          </cell>
        </row>
        <row r="591">
          <cell r="W591"/>
          <cell r="AJ591" t="str">
            <v>FIRE PROTECTION,;!Drain Pipe Works ,;!,;!</v>
          </cell>
          <cell r="AL591" t="str">
            <v>lot</v>
          </cell>
        </row>
        <row r="592">
          <cell r="W592"/>
          <cell r="AJ592" t="str">
            <v>FIRE PROTECTION,;!Drain Pipe Works ,;!Drain Pipe Riser 50mm w/ fittings,;!</v>
          </cell>
          <cell r="AL592" t="str">
            <v>lm</v>
          </cell>
        </row>
        <row r="593">
          <cell r="W593"/>
          <cell r="AJ593" t="str">
            <v>FIRE PROTECTION,;!Drain Pipe Works ,;!50mm Drain Valve,;!</v>
          </cell>
          <cell r="AL593" t="str">
            <v>set/s</v>
          </cell>
        </row>
        <row r="594">
          <cell r="W594"/>
          <cell r="AJ594" t="str">
            <v>FIRE PROTECTION,;!Equiptment and Accessories Works ,;!,;!</v>
          </cell>
          <cell r="AL594" t="str">
            <v>lot</v>
          </cell>
        </row>
        <row r="595">
          <cell r="W595"/>
          <cell r="AJ595" t="str">
            <v>FIRE PROTECTION,;!Equiptment and Accessories Works ,;!Upright Sprinkler Head 68°C,;!</v>
          </cell>
          <cell r="AL595" t="str">
            <v>set/s</v>
          </cell>
        </row>
        <row r="596">
          <cell r="W596"/>
          <cell r="AJ596" t="str">
            <v>FIRE PROTECTION,;!Equiptment and Accessories Works ,;!Sidewall Sprinkler Head 68°C,;!</v>
          </cell>
          <cell r="AL596" t="str">
            <v>set/s</v>
          </cell>
        </row>
        <row r="597">
          <cell r="W597"/>
          <cell r="AJ597" t="str">
            <v>FIRE PROTECTION,;!Equiptment and Accessories Works ,;!Sidewall Sprinkler Head 100°C,;!</v>
          </cell>
          <cell r="AL597" t="str">
            <v>set/s</v>
          </cell>
        </row>
        <row r="598">
          <cell r="W598"/>
          <cell r="AJ598" t="str">
            <v>FIRE PROTECTION,;!Equiptment and Accessories Works ,;!FE-1, 4.5Kg. ABC Dry Chemical,;!</v>
          </cell>
          <cell r="AL598" t="str">
            <v>set/s</v>
          </cell>
        </row>
        <row r="599">
          <cell r="W599"/>
          <cell r="AJ599" t="str">
            <v>FIRE PROTECTION,;!Equiptment and Accessories Works ,;!FE-2, 4.5Kg. Dry Chemical Purple K,;!</v>
          </cell>
          <cell r="AL599" t="str">
            <v>set/s</v>
          </cell>
        </row>
        <row r="600">
          <cell r="W600"/>
          <cell r="AJ600" t="str">
            <v>FIRE PROTECTION,;!Equiptment and Accessories Works ,;!FE-3, 22.7Kg. Dry Chemical Purple K,;!</v>
          </cell>
          <cell r="AL600" t="str">
            <v>set/s</v>
          </cell>
        </row>
        <row r="601">
          <cell r="W601"/>
          <cell r="AJ601" t="str">
            <v>FIRE PROTECTION,;!Equiptment and Accessories Works ,;!Fire Hose Cabinet complete with accessories ( Surfaced Mounted Type ),;!</v>
          </cell>
          <cell r="AL601" t="str">
            <v>set/s</v>
          </cell>
        </row>
        <row r="602">
          <cell r="W602"/>
          <cell r="AJ602" t="str">
            <v>FIRE PROTECTION,;!Misc. &amp; Consumables,;!,;!</v>
          </cell>
          <cell r="AL602" t="str">
            <v>lot</v>
          </cell>
        </row>
        <row r="603">
          <cell r="W603"/>
          <cell r="AJ603" t="str">
            <v>FIRE PROTECTION,;!Hangers &amp; Supports,;!,;!</v>
          </cell>
          <cell r="AL603" t="str">
            <v>lot</v>
          </cell>
        </row>
        <row r="604">
          <cell r="W604"/>
          <cell r="AJ604" t="str">
            <v>FIRE PROTECTION,;!Block-out &amp; Pipe Sleeves,;!,;!</v>
          </cell>
          <cell r="AL604" t="str">
            <v>lot</v>
          </cell>
        </row>
        <row r="605">
          <cell r="W605"/>
          <cell r="AJ605" t="str">
            <v>FIRE PROTECTION,;!Testing &amp; Commissioning,;!,;!</v>
          </cell>
          <cell r="AL605" t="str">
            <v>lot</v>
          </cell>
        </row>
        <row r="606">
          <cell r="W606"/>
          <cell r="AJ606" t="str">
            <v>FIRE PROTECTION,;!General Requirements,;!,;!</v>
          </cell>
          <cell r="AL606" t="str">
            <v>lot</v>
          </cell>
        </row>
        <row r="607">
          <cell r="W607"/>
          <cell r="AJ607" t="str">
            <v>ALLIED SERVICES,;!,;!,;!</v>
          </cell>
          <cell r="AL607" t="str">
            <v>lot</v>
          </cell>
        </row>
        <row r="608">
          <cell r="W608"/>
          <cell r="AJ608" t="str">
            <v>ALLIED SERVICES,;!Elevators,;!,;!</v>
          </cell>
          <cell r="AL608" t="str">
            <v>lot</v>
          </cell>
        </row>
        <row r="609">
          <cell r="W609"/>
          <cell r="AJ609" t="str">
            <v>ALLIED SERVICES,;!Elevators,;!Passenger Elevator-01,;!</v>
          </cell>
          <cell r="AL609" t="str">
            <v>units</v>
          </cell>
        </row>
        <row r="610">
          <cell r="W610"/>
          <cell r="AJ610" t="str">
            <v>ALLIED SERVICES,;!Elevators,;!Passenger Elevator-02,;!</v>
          </cell>
          <cell r="AL610" t="str">
            <v>units</v>
          </cell>
        </row>
        <row r="611">
          <cell r="W611"/>
          <cell r="AJ611" t="str">
            <v>ALLIED SERVICES,;!Transformer - By Meralco,;!,;!</v>
          </cell>
          <cell r="AL611" t="str">
            <v>lot</v>
          </cell>
        </row>
        <row r="612">
          <cell r="W612"/>
          <cell r="AJ612" t="str">
            <v>ALLIED SERVICES,;!Generator Set,;!,;!</v>
          </cell>
          <cell r="AL612" t="str">
            <v>lot</v>
          </cell>
        </row>
        <row r="613">
          <cell r="W613"/>
          <cell r="AJ613" t="str">
            <v>ALLIED SERVICES,;!Generator Set,;!Genset -200KVA (160KW), 3P, 4WIRE, 400V, 60Hz,;!</v>
          </cell>
          <cell r="AL613" t="str">
            <v>units</v>
          </cell>
        </row>
        <row r="614">
          <cell r="W614"/>
          <cell r="AJ614" t="str">
            <v>ALLIED SERVICES,;!,;!,;!</v>
          </cell>
          <cell r="AL614"/>
        </row>
        <row r="615">
          <cell r="W615"/>
          <cell r="AJ615"/>
          <cell r="AL615"/>
        </row>
        <row r="616">
          <cell r="W616"/>
          <cell r="AJ616"/>
          <cell r="AL616"/>
        </row>
        <row r="617">
          <cell r="W617"/>
          <cell r="AJ617"/>
          <cell r="AL617"/>
        </row>
        <row r="618">
          <cell r="W618"/>
          <cell r="AJ618"/>
          <cell r="AL618"/>
        </row>
        <row r="619">
          <cell r="W619"/>
          <cell r="AJ619"/>
          <cell r="AL619"/>
        </row>
        <row r="620">
          <cell r="W620"/>
          <cell r="AJ620"/>
          <cell r="AL620"/>
        </row>
        <row r="621">
          <cell r="W621"/>
          <cell r="AJ621"/>
          <cell r="AL621"/>
        </row>
        <row r="622">
          <cell r="W622"/>
          <cell r="AJ622"/>
          <cell r="AL622"/>
        </row>
        <row r="623">
          <cell r="W623"/>
          <cell r="AJ623"/>
          <cell r="AL623"/>
        </row>
        <row r="624">
          <cell r="W624"/>
          <cell r="AJ624"/>
          <cell r="AL624"/>
        </row>
        <row r="625">
          <cell r="W625"/>
          <cell r="AJ625"/>
          <cell r="AL625"/>
        </row>
        <row r="626">
          <cell r="W626"/>
          <cell r="AJ626"/>
          <cell r="AL626"/>
        </row>
        <row r="627">
          <cell r="W627"/>
          <cell r="AJ627"/>
          <cell r="AL627"/>
        </row>
        <row r="628">
          <cell r="W628"/>
          <cell r="AJ628"/>
          <cell r="AL628"/>
        </row>
        <row r="629">
          <cell r="W629"/>
          <cell r="AJ629"/>
          <cell r="AL629"/>
        </row>
        <row r="630">
          <cell r="W630"/>
          <cell r="AJ630"/>
          <cell r="AL630"/>
        </row>
        <row r="631">
          <cell r="W631"/>
          <cell r="AJ631"/>
          <cell r="AL631"/>
        </row>
      </sheetData>
      <sheetData sheetId="7">
        <row r="10">
          <cell r="X10" t="str">
            <v>PMOBIDStart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6DDA-904A-4847-B699-F9386ED6FAA3}">
  <sheetPr codeName="Sheet11">
    <tabColor theme="9"/>
    <outlinePr summaryBelow="0" summaryRight="0"/>
    <pageSetUpPr fitToPage="1"/>
  </sheetPr>
  <dimension ref="A1:AJ1387"/>
  <sheetViews>
    <sheetView showGridLines="0" tabSelected="1" view="pageBreakPreview" zoomScale="55" zoomScaleNormal="55" zoomScaleSheetLayoutView="55" workbookViewId="0">
      <pane xSplit="6" ySplit="13" topLeftCell="G40" activePane="bottomRight" state="frozen"/>
      <selection activeCell="N640" sqref="N640"/>
      <selection pane="topRight" activeCell="N640" sqref="N640"/>
      <selection pane="bottomLeft" activeCell="N640" sqref="N640"/>
      <selection pane="bottomRight" activeCell="F222" sqref="F222"/>
    </sheetView>
  </sheetViews>
  <sheetFormatPr defaultColWidth="14.44140625" defaultRowHeight="20.100000000000001" customHeight="1" outlineLevelRow="2" outlineLevelCol="1"/>
  <cols>
    <col min="1" max="1" width="7.44140625" style="141" customWidth="1"/>
    <col min="2" max="2" width="12.88671875" style="178" customWidth="1"/>
    <col min="3" max="3" width="5.44140625" style="178" customWidth="1"/>
    <col min="4" max="4" width="5.44140625" style="179" customWidth="1"/>
    <col min="5" max="5" width="5.44140625" style="141" customWidth="1"/>
    <col min="6" max="6" width="90.44140625" style="180" customWidth="1"/>
    <col min="7" max="7" width="5.44140625" style="141" customWidth="1"/>
    <col min="8" max="8" width="26.109375" style="181" customWidth="1"/>
    <col min="9" max="9" width="13.44140625" style="182" customWidth="1"/>
    <col min="10" max="10" width="22.44140625" style="183" hidden="1" customWidth="1"/>
    <col min="11" max="11" width="22.44140625" style="184" customWidth="1" outlineLevel="1"/>
    <col min="12" max="12" width="22.44140625" style="185" hidden="1" customWidth="1"/>
    <col min="13" max="13" width="22.44140625" style="184" customWidth="1" outlineLevel="1"/>
    <col min="14" max="14" width="22.44140625" style="183" hidden="1" customWidth="1"/>
    <col min="15" max="15" width="22.44140625" style="184" customWidth="1" outlineLevel="1"/>
    <col min="16" max="16" width="22.44140625" style="186" customWidth="1"/>
    <col min="17" max="17" width="17.109375" style="187" customWidth="1"/>
    <col min="18" max="18" width="25.88671875" style="177" customWidth="1"/>
    <col min="19" max="19" width="25.88671875" style="181" customWidth="1" collapsed="1"/>
    <col min="20" max="20" width="31.44140625" style="181" hidden="1" customWidth="1" outlineLevel="1"/>
    <col min="21" max="21" width="4.109375" style="157" customWidth="1"/>
    <col min="22" max="22" width="14.44140625" style="106" customWidth="1"/>
    <col min="23" max="23" width="14.44140625" style="141" hidden="1" customWidth="1"/>
    <col min="24" max="24" width="13.44140625" style="106" hidden="1" customWidth="1"/>
    <col min="25" max="30" width="14.44140625" style="106" hidden="1" customWidth="1"/>
    <col min="31" max="31" width="14.44140625" style="141" hidden="1" customWidth="1"/>
    <col min="32" max="33" width="14.44140625" style="106" hidden="1" customWidth="1"/>
    <col min="34" max="34" width="241.109375" style="106" hidden="1" customWidth="1"/>
    <col min="35" max="36" width="0" style="106" hidden="1" customWidth="1"/>
    <col min="37" max="16384" width="14.44140625" style="106"/>
  </cols>
  <sheetData>
    <row r="1" spans="1:36" s="12" customFormat="1" ht="22.5" customHeight="1">
      <c r="A1" s="1"/>
      <c r="B1" s="2"/>
      <c r="C1" s="2"/>
      <c r="D1" s="3"/>
      <c r="E1" s="1"/>
      <c r="F1" s="4"/>
      <c r="G1" s="1"/>
      <c r="H1" s="5"/>
      <c r="I1" s="6"/>
      <c r="J1" s="7"/>
      <c r="K1" s="8"/>
      <c r="L1" s="9"/>
      <c r="M1" s="8"/>
      <c r="N1" s="9"/>
      <c r="O1" s="8"/>
      <c r="P1" s="8"/>
      <c r="Q1" s="8"/>
      <c r="R1" s="8"/>
      <c r="S1" s="10"/>
      <c r="T1" s="10"/>
      <c r="U1" s="11"/>
      <c r="W1" s="1"/>
      <c r="X1" s="13"/>
      <c r="Y1" s="13"/>
      <c r="Z1" s="13"/>
      <c r="AA1" s="13"/>
      <c r="AB1" s="13"/>
      <c r="AC1" s="13"/>
      <c r="AD1" s="1"/>
      <c r="AE1" s="1"/>
      <c r="AF1" s="1"/>
      <c r="AG1" s="1"/>
      <c r="AH1" s="1"/>
      <c r="AI1" s="1"/>
      <c r="AJ1" s="1"/>
    </row>
    <row r="2" spans="1:36" s="12" customFormat="1" ht="9" customHeight="1">
      <c r="A2" s="1"/>
      <c r="B2" s="2"/>
      <c r="C2" s="2"/>
      <c r="D2" s="3"/>
      <c r="E2" s="1"/>
      <c r="F2" s="4"/>
      <c r="G2" s="1"/>
      <c r="H2" s="14"/>
      <c r="I2" s="6"/>
      <c r="J2" s="9"/>
      <c r="K2" s="8"/>
      <c r="L2" s="9"/>
      <c r="M2" s="8"/>
      <c r="N2" s="9"/>
      <c r="O2" s="8"/>
      <c r="P2" s="15"/>
      <c r="Q2" s="16"/>
      <c r="R2" s="8"/>
      <c r="S2" s="10"/>
      <c r="T2" s="10"/>
      <c r="U2" s="11"/>
      <c r="W2" s="1"/>
      <c r="X2" s="17"/>
      <c r="Y2" s="17"/>
      <c r="Z2" s="17"/>
      <c r="AA2" s="17"/>
      <c r="AB2" s="17"/>
      <c r="AC2" s="17"/>
      <c r="AD2" s="17">
        <f>IF(X2&lt;&gt;0,IF($X2&gt;=AD$12,AD1,""),Z2)</f>
        <v>0</v>
      </c>
      <c r="AE2" s="17">
        <f>IF(AA2=" ",IF($X2&gt;=AE$12,AE1,""),AA2)</f>
        <v>0</v>
      </c>
      <c r="AF2" s="17">
        <f>IF(AB2=" ",IF($X2&gt;=AF$12,AF1,""),AB2)</f>
        <v>0</v>
      </c>
      <c r="AG2" s="17">
        <f>IF(AC2=" ",IF($X2&gt;=AG$12,AG1,""),AC2)</f>
        <v>0</v>
      </c>
      <c r="AH2" s="18" t="str">
        <f>AD2&amp;",;!"&amp;AE2&amp;",;!"&amp;AF2&amp;",;!"&amp;AG2</f>
        <v>0,;!0,;!0,;!0</v>
      </c>
      <c r="AI2" s="18" t="e">
        <f>INDEX([1]Library!$AL:$AL,MATCH(AH2,[1]Library!$AJ:$AJ,0),1)</f>
        <v>#N/A</v>
      </c>
      <c r="AJ2" s="18" t="e">
        <f>TEXT(INDEX([1]Library!$W:$W,MATCH(AH2,[1]Library!$AJ:$AJ,0),1),"")</f>
        <v>#N/A</v>
      </c>
    </row>
    <row r="3" spans="1:36" s="25" customFormat="1" ht="30" customHeight="1">
      <c r="A3" s="19"/>
      <c r="B3" s="19"/>
      <c r="C3" s="19"/>
      <c r="D3" s="20" t="s">
        <v>0</v>
      </c>
      <c r="E3" s="19"/>
      <c r="F3" s="19"/>
      <c r="G3" s="21"/>
      <c r="H3" s="22"/>
      <c r="I3" s="23"/>
      <c r="J3" s="22"/>
      <c r="K3" s="23"/>
      <c r="L3" s="22"/>
      <c r="M3" s="23"/>
      <c r="N3" s="22"/>
      <c r="O3" s="23"/>
      <c r="P3" s="22"/>
      <c r="Q3" s="22"/>
      <c r="R3" s="23"/>
      <c r="S3" s="22"/>
      <c r="T3" s="22"/>
      <c r="U3" s="24"/>
      <c r="W3" s="26"/>
      <c r="X3" s="27"/>
      <c r="Y3" s="27"/>
      <c r="Z3" s="27"/>
      <c r="AA3" s="27"/>
      <c r="AB3" s="27"/>
      <c r="AC3" s="27"/>
      <c r="AD3" s="26"/>
      <c r="AE3" s="26"/>
      <c r="AF3" s="26"/>
      <c r="AG3" s="26"/>
      <c r="AH3" s="26"/>
      <c r="AI3" s="26"/>
      <c r="AJ3" s="26"/>
    </row>
    <row r="4" spans="1:36" s="34" customFormat="1" ht="15.6" customHeight="1">
      <c r="A4" s="28"/>
      <c r="B4" s="29"/>
      <c r="C4" s="30" t="s">
        <v>1</v>
      </c>
      <c r="D4" s="30"/>
      <c r="E4" s="31"/>
      <c r="F4" s="31"/>
      <c r="G4" s="21"/>
      <c r="H4" s="28"/>
      <c r="I4" s="32"/>
      <c r="J4" s="28"/>
      <c r="K4" s="32"/>
      <c r="L4" s="28"/>
      <c r="M4" s="32"/>
      <c r="N4" s="28"/>
      <c r="O4" s="32"/>
      <c r="P4" s="28"/>
      <c r="Q4" s="28"/>
      <c r="R4" s="32"/>
      <c r="S4" s="28"/>
      <c r="T4" s="28"/>
      <c r="U4" s="33"/>
      <c r="W4" s="35"/>
      <c r="X4" s="36"/>
      <c r="Y4" s="36"/>
      <c r="Z4" s="36"/>
      <c r="AA4" s="36"/>
      <c r="AB4" s="36"/>
      <c r="AC4" s="36"/>
      <c r="AD4" s="35"/>
      <c r="AE4" s="35"/>
      <c r="AF4" s="35"/>
      <c r="AG4" s="35"/>
      <c r="AH4" s="35"/>
      <c r="AI4" s="35"/>
      <c r="AJ4" s="35"/>
    </row>
    <row r="5" spans="1:36" s="50" customFormat="1" ht="20.100000000000001" customHeight="1" outlineLevel="1">
      <c r="A5" s="37" t="s">
        <v>2</v>
      </c>
      <c r="B5" s="38"/>
      <c r="C5" s="38" t="s">
        <v>3</v>
      </c>
      <c r="D5" s="38"/>
      <c r="E5" s="39"/>
      <c r="F5" s="39"/>
      <c r="G5" s="21"/>
      <c r="H5" s="40" t="s">
        <v>4</v>
      </c>
      <c r="I5" s="41">
        <v>12013.11</v>
      </c>
      <c r="J5" s="42" t="s">
        <v>5</v>
      </c>
      <c r="K5" s="43"/>
      <c r="L5" s="44"/>
      <c r="M5" s="43"/>
      <c r="N5" s="44"/>
      <c r="O5" s="45" t="s">
        <v>6</v>
      </c>
      <c r="P5" s="46"/>
      <c r="Q5" s="47"/>
      <c r="R5" s="43"/>
      <c r="S5" s="48"/>
      <c r="T5" s="48"/>
      <c r="U5" s="49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</row>
    <row r="6" spans="1:36" s="50" customFormat="1" ht="20.100000000000001" customHeight="1" outlineLevel="1">
      <c r="A6" s="37" t="s">
        <v>7</v>
      </c>
      <c r="B6" s="38"/>
      <c r="C6" s="38" t="s">
        <v>8</v>
      </c>
      <c r="D6" s="52"/>
      <c r="E6" s="53"/>
      <c r="F6" s="53"/>
      <c r="G6" s="21"/>
      <c r="H6" s="40" t="s">
        <v>9</v>
      </c>
      <c r="I6" s="41">
        <v>27</v>
      </c>
      <c r="J6" s="54" t="s">
        <v>10</v>
      </c>
      <c r="K6" s="55"/>
      <c r="L6" s="56"/>
      <c r="M6" s="55"/>
      <c r="N6" s="56"/>
      <c r="O6" s="45" t="s">
        <v>11</v>
      </c>
      <c r="P6" s="46"/>
      <c r="Q6" s="57"/>
      <c r="R6" s="55"/>
      <c r="S6" s="58"/>
      <c r="T6" s="58"/>
      <c r="U6" s="49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</row>
    <row r="7" spans="1:36" s="50" customFormat="1" ht="20.100000000000001" customHeight="1" outlineLevel="1">
      <c r="A7" s="37" t="s">
        <v>12</v>
      </c>
      <c r="B7" s="38"/>
      <c r="C7" s="38" t="s">
        <v>13</v>
      </c>
      <c r="D7" s="38"/>
      <c r="E7" s="39"/>
      <c r="F7" s="39"/>
      <c r="G7" s="21"/>
      <c r="H7" s="40" t="s">
        <v>14</v>
      </c>
      <c r="I7" s="41">
        <v>308</v>
      </c>
      <c r="J7" s="59" t="s">
        <v>5</v>
      </c>
      <c r="K7" s="43"/>
      <c r="L7" s="44"/>
      <c r="M7" s="43"/>
      <c r="N7" s="44"/>
      <c r="O7" s="45" t="s">
        <v>15</v>
      </c>
      <c r="P7" s="46"/>
      <c r="Q7" s="47"/>
      <c r="R7" s="43"/>
      <c r="S7" s="48"/>
      <c r="T7" s="48"/>
      <c r="U7" s="49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</row>
    <row r="8" spans="1:36" s="50" customFormat="1" ht="20.100000000000001" customHeight="1" outlineLevel="1">
      <c r="A8" s="60"/>
      <c r="B8" s="38"/>
      <c r="C8" s="38"/>
      <c r="D8" s="38"/>
      <c r="E8" s="39"/>
      <c r="F8" s="39"/>
      <c r="G8" s="21"/>
      <c r="H8" s="40" t="s">
        <v>16</v>
      </c>
      <c r="I8" s="41">
        <v>1</v>
      </c>
      <c r="J8" s="44"/>
      <c r="K8" s="43"/>
      <c r="L8" s="44"/>
      <c r="M8" s="43"/>
      <c r="N8" s="44"/>
      <c r="O8" s="45" t="s">
        <v>15</v>
      </c>
      <c r="P8" s="46"/>
      <c r="Q8" s="47"/>
      <c r="R8" s="43"/>
      <c r="S8" s="48"/>
      <c r="T8" s="48"/>
      <c r="U8" s="49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</row>
    <row r="9" spans="1:36" s="50" customFormat="1" ht="20.100000000000001" customHeight="1" outlineLevel="1">
      <c r="A9" s="60"/>
      <c r="B9" s="38"/>
      <c r="C9" s="38"/>
      <c r="D9" s="38"/>
      <c r="E9" s="39"/>
      <c r="F9" s="39"/>
      <c r="G9" s="21"/>
      <c r="H9" s="40"/>
      <c r="I9" s="41"/>
      <c r="J9" s="44"/>
      <c r="K9" s="43"/>
      <c r="L9" s="44"/>
      <c r="M9" s="43"/>
      <c r="N9" s="44"/>
      <c r="O9" s="45"/>
      <c r="P9" s="46"/>
      <c r="Q9" s="47"/>
      <c r="R9" s="43"/>
      <c r="S9" s="48"/>
      <c r="T9" s="48"/>
      <c r="U9" s="49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</row>
    <row r="10" spans="1:36" s="50" customFormat="1" ht="22.8" customHeight="1" outlineLevel="1">
      <c r="A10" s="306"/>
      <c r="B10" s="307"/>
      <c r="C10" s="307"/>
      <c r="D10" s="307"/>
      <c r="E10" s="21"/>
      <c r="F10" s="21"/>
      <c r="G10" s="21"/>
      <c r="H10" s="308"/>
      <c r="I10" s="309"/>
      <c r="J10" s="310"/>
      <c r="K10" s="311"/>
      <c r="L10" s="310"/>
      <c r="M10" s="311"/>
      <c r="N10" s="310"/>
      <c r="O10" s="312"/>
      <c r="P10" s="313"/>
      <c r="Q10" s="314"/>
      <c r="R10" s="311"/>
      <c r="S10" s="315"/>
      <c r="T10" s="316"/>
      <c r="U10" s="49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</row>
    <row r="11" spans="1:36" s="63" customFormat="1" ht="22.8" hidden="1" customHeight="1">
      <c r="A11" s="61"/>
      <c r="B11" s="293"/>
      <c r="C11" s="294" t="s">
        <v>17</v>
      </c>
      <c r="D11" s="294" t="s">
        <v>18</v>
      </c>
      <c r="E11" s="294" t="s">
        <v>19</v>
      </c>
      <c r="F11" s="295"/>
      <c r="G11" s="62"/>
      <c r="H11" s="62"/>
      <c r="I11" s="62"/>
      <c r="J11" s="62"/>
      <c r="K11" s="62">
        <f>'BCB Breakdown'!$P$628/'BCB Breakdown'!$P$623</f>
        <v>1.4895218167994704</v>
      </c>
      <c r="L11" s="62"/>
      <c r="M11" s="62"/>
      <c r="N11" s="62"/>
      <c r="O11" s="62"/>
      <c r="P11" s="62"/>
      <c r="Q11" s="62"/>
      <c r="R11" s="62"/>
      <c r="S11" s="62"/>
      <c r="T11" s="62"/>
      <c r="U11" s="62"/>
      <c r="W11" s="64"/>
      <c r="X11" s="65" t="str">
        <f>[1]Library!AX3</f>
        <v>'Library'!AX5:BC614</v>
      </c>
      <c r="Y11" s="65"/>
      <c r="Z11" s="65"/>
      <c r="AA11" s="65"/>
      <c r="AB11" s="65"/>
      <c r="AC11" s="65"/>
      <c r="AD11" s="64"/>
      <c r="AE11" s="64"/>
      <c r="AF11" s="64"/>
      <c r="AG11" s="64"/>
      <c r="AH11" s="64"/>
      <c r="AI11" s="64"/>
      <c r="AJ11" s="64"/>
    </row>
    <row r="12" spans="1:36" s="67" customFormat="1" ht="30" customHeight="1">
      <c r="A12" s="359"/>
      <c r="B12" s="360"/>
      <c r="C12" s="360"/>
      <c r="D12" s="360" t="s">
        <v>20</v>
      </c>
      <c r="E12" s="361"/>
      <c r="F12" s="362"/>
      <c r="G12" s="363"/>
      <c r="H12" s="364" t="s">
        <v>21</v>
      </c>
      <c r="I12" s="365" t="s">
        <v>22</v>
      </c>
      <c r="J12" s="366" t="s">
        <v>23</v>
      </c>
      <c r="K12" s="367" t="s">
        <v>24</v>
      </c>
      <c r="L12" s="366" t="s">
        <v>25</v>
      </c>
      <c r="M12" s="367" t="s">
        <v>26</v>
      </c>
      <c r="N12" s="366" t="s">
        <v>27</v>
      </c>
      <c r="O12" s="367" t="s">
        <v>28</v>
      </c>
      <c r="P12" s="366" t="s">
        <v>29</v>
      </c>
      <c r="Q12" s="368" t="s">
        <v>30</v>
      </c>
      <c r="R12" s="367" t="s">
        <v>31</v>
      </c>
      <c r="S12" s="369" t="s">
        <v>32</v>
      </c>
      <c r="T12" s="354" t="s">
        <v>33</v>
      </c>
      <c r="U12" s="66"/>
      <c r="W12" s="68"/>
      <c r="X12" s="69" t="e" cm="1">
        <f t="array" aca="1" ref="X12" ca="1">RIGHT(CELL("filename", '[1]Built Up Rates'!X10),LEN(CELL("filename", '[1]Built Up Rates'!X10))-FIND(".xlsm]",CELL("filename", '[1]Built Up Rates'!X10))-5)</f>
        <v>#N/A</v>
      </c>
      <c r="Y12" s="69"/>
      <c r="Z12" s="69"/>
      <c r="AA12" s="69"/>
      <c r="AB12" s="69"/>
      <c r="AC12" s="69"/>
      <c r="AD12" s="68">
        <v>0</v>
      </c>
      <c r="AE12" s="68">
        <v>3</v>
      </c>
      <c r="AF12" s="68">
        <v>4</v>
      </c>
      <c r="AG12" s="68">
        <v>5</v>
      </c>
      <c r="AH12" s="68"/>
      <c r="AI12" s="68"/>
      <c r="AJ12" s="68"/>
    </row>
    <row r="13" spans="1:36" s="80" customFormat="1" ht="25.05" customHeight="1">
      <c r="A13" s="370"/>
      <c r="B13" s="70"/>
      <c r="C13" s="71"/>
      <c r="D13" s="71" t="s">
        <v>34</v>
      </c>
      <c r="E13" s="72"/>
      <c r="F13" s="296"/>
      <c r="G13" s="303"/>
      <c r="H13" s="73">
        <v>1</v>
      </c>
      <c r="I13" s="74" t="s">
        <v>35</v>
      </c>
      <c r="J13" s="75">
        <v>203013424.67585039</v>
      </c>
      <c r="K13" s="76">
        <v>203013424.67585039</v>
      </c>
      <c r="L13" s="75">
        <v>77432900.023488402</v>
      </c>
      <c r="M13" s="76">
        <v>77432900.023488402</v>
      </c>
      <c r="N13" s="75">
        <v>71075884.70680283</v>
      </c>
      <c r="O13" s="76">
        <v>71075884.70680283</v>
      </c>
      <c r="P13" s="77">
        <v>351522209.40614164</v>
      </c>
      <c r="Q13" s="78">
        <f>P13/P$13</f>
        <v>1</v>
      </c>
      <c r="R13" s="76">
        <f>P13/I$5</f>
        <v>29261.549208002059</v>
      </c>
      <c r="S13" s="371">
        <f>P13/I$7</f>
        <v>1141305.874695265</v>
      </c>
      <c r="T13" s="135"/>
      <c r="U13" s="79"/>
      <c r="W13" s="81"/>
      <c r="X13" s="82" t="e">
        <f ca="1">ROWS(INDIRECT(X11))</f>
        <v>#REF!</v>
      </c>
      <c r="Y13" s="82" t="s">
        <v>36</v>
      </c>
      <c r="Z13" s="83" t="s">
        <v>37</v>
      </c>
      <c r="AA13" s="83" t="s">
        <v>19</v>
      </c>
      <c r="AB13" s="83" t="s">
        <v>38</v>
      </c>
      <c r="AC13" s="83" t="s">
        <v>39</v>
      </c>
      <c r="AD13" s="81" t="s">
        <v>37</v>
      </c>
      <c r="AE13" s="81" t="s">
        <v>19</v>
      </c>
      <c r="AF13" s="81" t="s">
        <v>38</v>
      </c>
      <c r="AG13" s="81" t="s">
        <v>39</v>
      </c>
      <c r="AH13" s="81" t="s">
        <v>40</v>
      </c>
      <c r="AI13" s="81" t="s">
        <v>22</v>
      </c>
      <c r="AJ13" s="81" t="s">
        <v>41</v>
      </c>
    </row>
    <row r="14" spans="1:36" s="17" customFormat="1" ht="25.05" customHeight="1">
      <c r="A14" s="372" t="s">
        <v>42</v>
      </c>
      <c r="B14" s="84" t="s">
        <v>43</v>
      </c>
      <c r="C14" s="85"/>
      <c r="D14" s="85"/>
      <c r="E14" s="86"/>
      <c r="F14" s="297"/>
      <c r="G14" s="62"/>
      <c r="H14" s="87">
        <v>1</v>
      </c>
      <c r="I14" s="88" t="s">
        <v>35</v>
      </c>
      <c r="J14" s="89">
        <v>25791745.474712297</v>
      </c>
      <c r="K14" s="90">
        <v>25791745.474712297</v>
      </c>
      <c r="L14" s="89">
        <v>31173369.085496981</v>
      </c>
      <c r="M14" s="90">
        <v>31173369.085496981</v>
      </c>
      <c r="N14" s="89">
        <v>19690517.682379469</v>
      </c>
      <c r="O14" s="90">
        <v>19690517.682379469</v>
      </c>
      <c r="P14" s="91">
        <v>76655632.242588744</v>
      </c>
      <c r="Q14" s="92">
        <f>P14/P$13</f>
        <v>0.21806767877366856</v>
      </c>
      <c r="R14" s="90">
        <f>P14/I$5</f>
        <v>6380.9981131104887</v>
      </c>
      <c r="S14" s="373">
        <f>P14/I$7</f>
        <v>248881.92286554788</v>
      </c>
      <c r="T14" s="355"/>
      <c r="U14" s="93"/>
      <c r="V14" s="18"/>
      <c r="W14" s="94"/>
      <c r="X14" s="17" t="e" cm="1">
        <f t="array" aca="1" ref="X14" ca="1">INDIRECT(X11)</f>
        <v>#REF!</v>
      </c>
      <c r="AD14" s="17" t="e">
        <f t="shared" ref="AD14:AD77" ca="1" si="0">IF(X14&lt;&gt;0,IF($X14&gt;=AD$12,AD13,""),Z14)</f>
        <v>#REF!</v>
      </c>
      <c r="AE14" s="17">
        <f t="shared" ref="AE14:AG29" si="1">IF(AA14=" ",IF($X14&gt;=AE$12,AE13,""),AA14)</f>
        <v>0</v>
      </c>
      <c r="AF14" s="17">
        <f t="shared" si="1"/>
        <v>0</v>
      </c>
      <c r="AG14" s="17">
        <f t="shared" si="1"/>
        <v>0</v>
      </c>
      <c r="AH14" s="18" t="e">
        <f t="shared" ref="AH14:AH77" ca="1" si="2">AD14&amp;",;!"&amp;AE14&amp;",;!"&amp;AF14&amp;",;!"&amp;AG14</f>
        <v>#REF!</v>
      </c>
      <c r="AI14" s="18" t="e">
        <f ca="1">INDEX([1]Library!$AL:$AL,MATCH(AH14,[1]Library!$AJ:$AJ,0),1)</f>
        <v>#REF!</v>
      </c>
      <c r="AJ14" s="18" t="e">
        <f ca="1">TEXT(INDEX([1]Library!$W:$W,MATCH(AH14,[1]Library!$AJ:$AJ,0),1),"")</f>
        <v>#REF!</v>
      </c>
    </row>
    <row r="15" spans="1:36" ht="25.05" customHeight="1" outlineLevel="1">
      <c r="A15" s="374" t="s">
        <v>44</v>
      </c>
      <c r="B15" s="96" t="s">
        <v>44</v>
      </c>
      <c r="C15" s="97" t="s">
        <v>45</v>
      </c>
      <c r="D15" s="97"/>
      <c r="E15" s="98"/>
      <c r="F15" s="298"/>
      <c r="G15" s="62"/>
      <c r="H15" s="99">
        <v>1</v>
      </c>
      <c r="I15" s="100" t="s">
        <v>35</v>
      </c>
      <c r="J15" s="99">
        <v>461724.52093930996</v>
      </c>
      <c r="K15" s="99">
        <v>461724.52093930996</v>
      </c>
      <c r="L15" s="99">
        <v>0</v>
      </c>
      <c r="M15" s="99">
        <v>0</v>
      </c>
      <c r="N15" s="99">
        <v>181120</v>
      </c>
      <c r="O15" s="99">
        <v>181120</v>
      </c>
      <c r="P15" s="101">
        <v>642844.52093930996</v>
      </c>
      <c r="Q15" s="102">
        <f t="shared" ref="Q15:Q31" si="3">P15/P$13</f>
        <v>1.8287451083825559E-3</v>
      </c>
      <c r="R15" s="103">
        <f t="shared" ref="R15:R31" si="4">P15/I$5</f>
        <v>53.511914977829214</v>
      </c>
      <c r="S15" s="375">
        <f t="shared" ref="S15:S31" si="5">P15/I$7</f>
        <v>2087.1575355172399</v>
      </c>
      <c r="T15" s="356"/>
      <c r="U15" s="104"/>
      <c r="V15" s="95"/>
      <c r="W15" s="105"/>
      <c r="X15" s="95"/>
      <c r="Y15" s="95"/>
      <c r="Z15" s="95"/>
      <c r="AA15" s="95"/>
      <c r="AB15" s="95"/>
      <c r="AC15" s="95"/>
      <c r="AD15" s="17">
        <f t="shared" si="0"/>
        <v>0</v>
      </c>
      <c r="AE15" s="17">
        <f t="shared" si="1"/>
        <v>0</v>
      </c>
      <c r="AF15" s="17">
        <f t="shared" si="1"/>
        <v>0</v>
      </c>
      <c r="AG15" s="17">
        <f t="shared" si="1"/>
        <v>0</v>
      </c>
      <c r="AH15" s="18" t="str">
        <f t="shared" si="2"/>
        <v>0,;!0,;!0,;!0</v>
      </c>
      <c r="AI15" s="18" t="e">
        <f>INDEX([1]Library!$AL:$AL,MATCH(AH15,[1]Library!$AJ:$AJ,0),1)</f>
        <v>#N/A</v>
      </c>
      <c r="AJ15" s="18" t="e">
        <f>TEXT(INDEX([1]Library!$W:$W,MATCH(AH15,[1]Library!$AJ:$AJ,0),1),"")</f>
        <v>#N/A</v>
      </c>
    </row>
    <row r="16" spans="1:36" ht="25.05" customHeight="1" outlineLevel="1">
      <c r="A16" s="374" t="s">
        <v>44</v>
      </c>
      <c r="B16" s="96" t="s">
        <v>44</v>
      </c>
      <c r="C16" s="97" t="s">
        <v>46</v>
      </c>
      <c r="D16" s="97"/>
      <c r="E16" s="98"/>
      <c r="F16" s="298"/>
      <c r="G16" s="62"/>
      <c r="H16" s="99">
        <v>1</v>
      </c>
      <c r="I16" s="100" t="s">
        <v>35</v>
      </c>
      <c r="J16" s="99">
        <v>6815919.3395741405</v>
      </c>
      <c r="K16" s="99">
        <v>6815919.3395741405</v>
      </c>
      <c r="L16" s="99">
        <v>461005.90949999995</v>
      </c>
      <c r="M16" s="99">
        <v>461005.90949999995</v>
      </c>
      <c r="N16" s="99">
        <v>778172.98005485791</v>
      </c>
      <c r="O16" s="99">
        <v>778172.98005485791</v>
      </c>
      <c r="P16" s="101">
        <v>8055098.2291289987</v>
      </c>
      <c r="Q16" s="102">
        <f t="shared" si="3"/>
        <v>2.2914905555291108E-2</v>
      </c>
      <c r="R16" s="103">
        <f t="shared" si="4"/>
        <v>670.5256365028705</v>
      </c>
      <c r="S16" s="375">
        <f t="shared" si="5"/>
        <v>26152.916328340903</v>
      </c>
      <c r="T16" s="356"/>
      <c r="U16" s="104"/>
      <c r="V16" s="95"/>
      <c r="W16" s="105"/>
      <c r="X16" s="95"/>
      <c r="Y16" s="95"/>
      <c r="Z16" s="95"/>
      <c r="AA16" s="95"/>
      <c r="AB16" s="95"/>
      <c r="AC16" s="95"/>
      <c r="AD16" s="17">
        <f t="shared" si="0"/>
        <v>0</v>
      </c>
      <c r="AE16" s="17">
        <f t="shared" si="1"/>
        <v>0</v>
      </c>
      <c r="AF16" s="17">
        <f t="shared" si="1"/>
        <v>0</v>
      </c>
      <c r="AG16" s="17">
        <f t="shared" si="1"/>
        <v>0</v>
      </c>
      <c r="AH16" s="18" t="str">
        <f t="shared" si="2"/>
        <v>0,;!0,;!0,;!0</v>
      </c>
      <c r="AI16" s="18" t="e">
        <f>INDEX([1]Library!$AL:$AL,MATCH(AH16,[1]Library!$AJ:$AJ,0),1)</f>
        <v>#N/A</v>
      </c>
      <c r="AJ16" s="18" t="e">
        <f>TEXT(INDEX([1]Library!$W:$W,MATCH(AH16,[1]Library!$AJ:$AJ,0),1),"")</f>
        <v>#N/A</v>
      </c>
    </row>
    <row r="17" spans="1:36" ht="25.05" customHeight="1" outlineLevel="1">
      <c r="A17" s="374" t="s">
        <v>44</v>
      </c>
      <c r="B17" s="96" t="s">
        <v>44</v>
      </c>
      <c r="C17" s="97" t="s">
        <v>47</v>
      </c>
      <c r="D17" s="97"/>
      <c r="E17" s="98"/>
      <c r="F17" s="298"/>
      <c r="G17" s="62"/>
      <c r="H17" s="99">
        <v>1</v>
      </c>
      <c r="I17" s="100" t="s">
        <v>35</v>
      </c>
      <c r="J17" s="99">
        <v>2662081.1287500001</v>
      </c>
      <c r="K17" s="99">
        <v>2662081.1287500001</v>
      </c>
      <c r="L17" s="99">
        <v>0</v>
      </c>
      <c r="M17" s="99">
        <v>0</v>
      </c>
      <c r="N17" s="99">
        <v>0</v>
      </c>
      <c r="O17" s="99">
        <v>0</v>
      </c>
      <c r="P17" s="101">
        <v>2662081.1287500001</v>
      </c>
      <c r="Q17" s="102">
        <f t="shared" si="3"/>
        <v>7.5730097772408042E-3</v>
      </c>
      <c r="R17" s="103">
        <f t="shared" si="4"/>
        <v>221.59799824941251</v>
      </c>
      <c r="S17" s="375">
        <f t="shared" si="5"/>
        <v>8643.1205478896118</v>
      </c>
      <c r="T17" s="356"/>
      <c r="U17" s="104"/>
      <c r="V17" s="95"/>
      <c r="W17" s="105"/>
      <c r="X17" s="95"/>
      <c r="Y17" s="95"/>
      <c r="Z17" s="95"/>
      <c r="AA17" s="95"/>
      <c r="AB17" s="95"/>
      <c r="AC17" s="95"/>
      <c r="AD17" s="17">
        <f t="shared" si="0"/>
        <v>0</v>
      </c>
      <c r="AE17" s="17">
        <f t="shared" si="1"/>
        <v>0</v>
      </c>
      <c r="AF17" s="17">
        <f t="shared" si="1"/>
        <v>0</v>
      </c>
      <c r="AG17" s="17">
        <f t="shared" si="1"/>
        <v>0</v>
      </c>
      <c r="AH17" s="18" t="str">
        <f t="shared" si="2"/>
        <v>0,;!0,;!0,;!0</v>
      </c>
      <c r="AI17" s="18" t="e">
        <f>INDEX([1]Library!$AL:$AL,MATCH(AH17,[1]Library!$AJ:$AJ,0),1)</f>
        <v>#N/A</v>
      </c>
      <c r="AJ17" s="18" t="e">
        <f>TEXT(INDEX([1]Library!$W:$W,MATCH(AH17,[1]Library!$AJ:$AJ,0),1),"")</f>
        <v>#N/A</v>
      </c>
    </row>
    <row r="18" spans="1:36" ht="25.05" customHeight="1" outlineLevel="1">
      <c r="A18" s="374" t="s">
        <v>44</v>
      </c>
      <c r="B18" s="96" t="s">
        <v>44</v>
      </c>
      <c r="C18" s="97" t="s">
        <v>48</v>
      </c>
      <c r="D18" s="97"/>
      <c r="E18" s="98"/>
      <c r="F18" s="298"/>
      <c r="G18" s="62"/>
      <c r="H18" s="99">
        <v>1</v>
      </c>
      <c r="I18" s="100" t="s">
        <v>35</v>
      </c>
      <c r="J18" s="99">
        <v>3022068.7029089802</v>
      </c>
      <c r="K18" s="99">
        <v>3022068.7029089802</v>
      </c>
      <c r="L18" s="99">
        <v>56693.599999999999</v>
      </c>
      <c r="M18" s="99">
        <v>56693.599999999999</v>
      </c>
      <c r="N18" s="99">
        <v>0</v>
      </c>
      <c r="O18" s="99">
        <v>0</v>
      </c>
      <c r="P18" s="101">
        <v>3078762.3029089803</v>
      </c>
      <c r="Q18" s="102">
        <f t="shared" si="3"/>
        <v>8.7583720758646032E-3</v>
      </c>
      <c r="R18" s="103">
        <f t="shared" si="4"/>
        <v>256.28353547990321</v>
      </c>
      <c r="S18" s="375">
        <f t="shared" si="5"/>
        <v>9995.9815029512356</v>
      </c>
      <c r="T18" s="356"/>
      <c r="U18" s="104"/>
      <c r="V18" s="95"/>
      <c r="W18" s="105"/>
      <c r="X18" s="95"/>
      <c r="Y18" s="95"/>
      <c r="Z18" s="95"/>
      <c r="AA18" s="95"/>
      <c r="AB18" s="95"/>
      <c r="AC18" s="95"/>
      <c r="AD18" s="17">
        <f t="shared" si="0"/>
        <v>0</v>
      </c>
      <c r="AE18" s="17">
        <f t="shared" si="1"/>
        <v>0</v>
      </c>
      <c r="AF18" s="17">
        <f t="shared" si="1"/>
        <v>0</v>
      </c>
      <c r="AG18" s="17">
        <f t="shared" si="1"/>
        <v>0</v>
      </c>
      <c r="AH18" s="18" t="str">
        <f t="shared" si="2"/>
        <v>0,;!0,;!0,;!0</v>
      </c>
      <c r="AI18" s="18" t="e">
        <f>INDEX([1]Library!$AL:$AL,MATCH(AH18,[1]Library!$AJ:$AJ,0),1)</f>
        <v>#N/A</v>
      </c>
      <c r="AJ18" s="18" t="e">
        <f>TEXT(INDEX([1]Library!$W:$W,MATCH(AH18,[1]Library!$AJ:$AJ,0),1),"")</f>
        <v>#N/A</v>
      </c>
    </row>
    <row r="19" spans="1:36" ht="25.05" customHeight="1" outlineLevel="1">
      <c r="A19" s="374" t="s">
        <v>44</v>
      </c>
      <c r="B19" s="96" t="s">
        <v>44</v>
      </c>
      <c r="C19" s="97" t="s">
        <v>49</v>
      </c>
      <c r="D19" s="97"/>
      <c r="E19" s="98"/>
      <c r="F19" s="298"/>
      <c r="G19" s="62"/>
      <c r="H19" s="99">
        <v>1</v>
      </c>
      <c r="I19" s="100" t="s">
        <v>35</v>
      </c>
      <c r="J19" s="99">
        <v>0</v>
      </c>
      <c r="K19" s="99">
        <v>0</v>
      </c>
      <c r="L19" s="99">
        <v>23200000</v>
      </c>
      <c r="M19" s="99">
        <v>23200000</v>
      </c>
      <c r="N19" s="99">
        <v>0</v>
      </c>
      <c r="O19" s="99">
        <v>0</v>
      </c>
      <c r="P19" s="101">
        <v>23200000</v>
      </c>
      <c r="Q19" s="102">
        <f t="shared" si="3"/>
        <v>6.5998674846729791E-2</v>
      </c>
      <c r="R19" s="103">
        <f t="shared" si="4"/>
        <v>1931.2234716905114</v>
      </c>
      <c r="S19" s="375">
        <f t="shared" si="5"/>
        <v>75324.675324675321</v>
      </c>
      <c r="T19" s="356"/>
      <c r="U19" s="104"/>
      <c r="V19" s="95"/>
      <c r="W19" s="105"/>
      <c r="X19" s="95"/>
      <c r="Y19" s="95"/>
      <c r="Z19" s="95"/>
      <c r="AA19" s="95"/>
      <c r="AB19" s="95"/>
      <c r="AC19" s="95"/>
      <c r="AD19" s="17">
        <f t="shared" si="0"/>
        <v>0</v>
      </c>
      <c r="AE19" s="17">
        <f t="shared" si="1"/>
        <v>0</v>
      </c>
      <c r="AF19" s="17">
        <f t="shared" si="1"/>
        <v>0</v>
      </c>
      <c r="AG19" s="17">
        <f t="shared" si="1"/>
        <v>0</v>
      </c>
      <c r="AH19" s="18" t="str">
        <f t="shared" si="2"/>
        <v>0,;!0,;!0,;!0</v>
      </c>
      <c r="AI19" s="18" t="e">
        <f>INDEX([1]Library!$AL:$AL,MATCH(AH19,[1]Library!$AJ:$AJ,0),1)</f>
        <v>#N/A</v>
      </c>
      <c r="AJ19" s="18" t="e">
        <f>TEXT(INDEX([1]Library!$W:$W,MATCH(AH19,[1]Library!$AJ:$AJ,0),1),"")</f>
        <v>#N/A</v>
      </c>
    </row>
    <row r="20" spans="1:36" ht="25.05" customHeight="1" outlineLevel="1">
      <c r="A20" s="374" t="s">
        <v>44</v>
      </c>
      <c r="B20" s="96" t="s">
        <v>44</v>
      </c>
      <c r="C20" s="97" t="s">
        <v>50</v>
      </c>
      <c r="D20" s="97"/>
      <c r="E20" s="98"/>
      <c r="F20" s="298"/>
      <c r="G20" s="62"/>
      <c r="H20" s="99">
        <v>1</v>
      </c>
      <c r="I20" s="100" t="s">
        <v>35</v>
      </c>
      <c r="J20" s="99">
        <v>0</v>
      </c>
      <c r="K20" s="99">
        <v>0</v>
      </c>
      <c r="L20" s="99">
        <v>4000000</v>
      </c>
      <c r="M20" s="99">
        <v>4000000</v>
      </c>
      <c r="N20" s="99">
        <v>0</v>
      </c>
      <c r="O20" s="99">
        <v>0</v>
      </c>
      <c r="P20" s="101">
        <v>4000000</v>
      </c>
      <c r="Q20" s="102">
        <f t="shared" si="3"/>
        <v>1.1379081870125825E-2</v>
      </c>
      <c r="R20" s="103">
        <f t="shared" si="4"/>
        <v>332.96956408457095</v>
      </c>
      <c r="S20" s="375">
        <f t="shared" si="5"/>
        <v>12987.012987012988</v>
      </c>
      <c r="T20" s="356"/>
      <c r="U20" s="104"/>
      <c r="V20" s="95"/>
      <c r="W20" s="105"/>
      <c r="X20" s="95"/>
      <c r="Y20" s="95"/>
      <c r="Z20" s="95"/>
      <c r="AA20" s="95"/>
      <c r="AB20" s="95"/>
      <c r="AC20" s="95"/>
      <c r="AD20" s="17">
        <f t="shared" si="0"/>
        <v>0</v>
      </c>
      <c r="AE20" s="17">
        <f t="shared" si="1"/>
        <v>0</v>
      </c>
      <c r="AF20" s="17">
        <f t="shared" si="1"/>
        <v>0</v>
      </c>
      <c r="AG20" s="17">
        <f t="shared" si="1"/>
        <v>0</v>
      </c>
      <c r="AH20" s="18" t="str">
        <f t="shared" si="2"/>
        <v>0,;!0,;!0,;!0</v>
      </c>
      <c r="AI20" s="18" t="e">
        <f>INDEX([1]Library!$AL:$AL,MATCH(AH20,[1]Library!$AJ:$AJ,0),1)</f>
        <v>#N/A</v>
      </c>
      <c r="AJ20" s="18" t="e">
        <f>TEXT(INDEX([1]Library!$W:$W,MATCH(AH20,[1]Library!$AJ:$AJ,0),1),"")</f>
        <v>#N/A</v>
      </c>
    </row>
    <row r="21" spans="1:36" ht="25.05" customHeight="1" outlineLevel="1">
      <c r="A21" s="374" t="s">
        <v>44</v>
      </c>
      <c r="B21" s="96" t="s">
        <v>44</v>
      </c>
      <c r="C21" s="97" t="s">
        <v>51</v>
      </c>
      <c r="D21" s="97"/>
      <c r="E21" s="98"/>
      <c r="F21" s="298"/>
      <c r="G21" s="62"/>
      <c r="H21" s="99">
        <v>1</v>
      </c>
      <c r="I21" s="100" t="s">
        <v>35</v>
      </c>
      <c r="J21" s="99">
        <v>3853488.8</v>
      </c>
      <c r="K21" s="99">
        <v>3853488.8</v>
      </c>
      <c r="L21" s="99">
        <v>0</v>
      </c>
      <c r="M21" s="99">
        <v>0</v>
      </c>
      <c r="N21" s="99">
        <v>0</v>
      </c>
      <c r="O21" s="99">
        <v>0</v>
      </c>
      <c r="P21" s="101">
        <v>3853488.8</v>
      </c>
      <c r="Q21" s="102">
        <f t="shared" si="3"/>
        <v>1.096229113520323E-2</v>
      </c>
      <c r="R21" s="103">
        <f t="shared" si="4"/>
        <v>320.77362148519404</v>
      </c>
      <c r="S21" s="375">
        <f t="shared" si="5"/>
        <v>12511.327272727272</v>
      </c>
      <c r="T21" s="356"/>
      <c r="U21" s="104"/>
      <c r="V21" s="95"/>
      <c r="W21" s="105"/>
      <c r="X21" s="95"/>
      <c r="Y21" s="95"/>
      <c r="Z21" s="95"/>
      <c r="AA21" s="95"/>
      <c r="AB21" s="95"/>
      <c r="AC21" s="95"/>
      <c r="AD21" s="17">
        <f t="shared" si="0"/>
        <v>0</v>
      </c>
      <c r="AE21" s="17">
        <f t="shared" si="1"/>
        <v>0</v>
      </c>
      <c r="AF21" s="17">
        <f t="shared" si="1"/>
        <v>0</v>
      </c>
      <c r="AG21" s="17">
        <f t="shared" si="1"/>
        <v>0</v>
      </c>
      <c r="AH21" s="18" t="str">
        <f t="shared" si="2"/>
        <v>0,;!0,;!0,;!0</v>
      </c>
      <c r="AI21" s="18" t="e">
        <f>INDEX([1]Library!$AL:$AL,MATCH(AH21,[1]Library!$AJ:$AJ,0),1)</f>
        <v>#N/A</v>
      </c>
      <c r="AJ21" s="18" t="e">
        <f>TEXT(INDEX([1]Library!$W:$W,MATCH(AH21,[1]Library!$AJ:$AJ,0),1),"")</f>
        <v>#N/A</v>
      </c>
    </row>
    <row r="22" spans="1:36" ht="25.05" customHeight="1" outlineLevel="1">
      <c r="A22" s="374" t="s">
        <v>44</v>
      </c>
      <c r="B22" s="96" t="s">
        <v>44</v>
      </c>
      <c r="C22" s="97" t="s">
        <v>52</v>
      </c>
      <c r="D22" s="97"/>
      <c r="E22" s="98"/>
      <c r="F22" s="298"/>
      <c r="G22" s="62"/>
      <c r="H22" s="99">
        <v>1</v>
      </c>
      <c r="I22" s="100" t="s">
        <v>35</v>
      </c>
      <c r="J22" s="99">
        <v>0</v>
      </c>
      <c r="K22" s="99">
        <v>0</v>
      </c>
      <c r="L22" s="99">
        <v>2783857.7239999999</v>
      </c>
      <c r="M22" s="99">
        <v>2783857.7239999999</v>
      </c>
      <c r="N22" s="99">
        <v>0</v>
      </c>
      <c r="O22" s="99">
        <v>0</v>
      </c>
      <c r="P22" s="101">
        <v>2783857.7239999999</v>
      </c>
      <c r="Q22" s="102">
        <f t="shared" si="3"/>
        <v>7.9194362390445361E-3</v>
      </c>
      <c r="R22" s="103">
        <f t="shared" si="4"/>
        <v>231.73497320843643</v>
      </c>
      <c r="S22" s="375">
        <f t="shared" si="5"/>
        <v>9038.4991038961034</v>
      </c>
      <c r="T22" s="356"/>
      <c r="U22" s="104"/>
      <c r="V22" s="95"/>
      <c r="W22" s="105"/>
      <c r="X22" s="95"/>
      <c r="Y22" s="95"/>
      <c r="Z22" s="95"/>
      <c r="AA22" s="95"/>
      <c r="AB22" s="95"/>
      <c r="AC22" s="95"/>
      <c r="AD22" s="17">
        <f t="shared" si="0"/>
        <v>0</v>
      </c>
      <c r="AE22" s="17">
        <f t="shared" si="1"/>
        <v>0</v>
      </c>
      <c r="AF22" s="17">
        <f t="shared" si="1"/>
        <v>0</v>
      </c>
      <c r="AG22" s="17">
        <f t="shared" si="1"/>
        <v>0</v>
      </c>
      <c r="AH22" s="18" t="str">
        <f t="shared" si="2"/>
        <v>0,;!0,;!0,;!0</v>
      </c>
      <c r="AI22" s="18" t="e">
        <f>INDEX([1]Library!$AL:$AL,MATCH(AH22,[1]Library!$AJ:$AJ,0),1)</f>
        <v>#N/A</v>
      </c>
      <c r="AJ22" s="18" t="e">
        <f>TEXT(INDEX([1]Library!$W:$W,MATCH(AH22,[1]Library!$AJ:$AJ,0),1),"")</f>
        <v>#N/A</v>
      </c>
    </row>
    <row r="23" spans="1:36" ht="25.05" customHeight="1" outlineLevel="1">
      <c r="A23" s="374" t="s">
        <v>44</v>
      </c>
      <c r="B23" s="96" t="s">
        <v>44</v>
      </c>
      <c r="C23" s="97" t="s">
        <v>53</v>
      </c>
      <c r="D23" s="97"/>
      <c r="E23" s="98"/>
      <c r="F23" s="298"/>
      <c r="G23" s="62"/>
      <c r="H23" s="99">
        <v>1</v>
      </c>
      <c r="I23" s="100" t="s">
        <v>35</v>
      </c>
      <c r="J23" s="99">
        <v>476000</v>
      </c>
      <c r="K23" s="99">
        <v>476000</v>
      </c>
      <c r="L23" s="99">
        <v>324000</v>
      </c>
      <c r="M23" s="99">
        <v>324000</v>
      </c>
      <c r="N23" s="99">
        <v>0</v>
      </c>
      <c r="O23" s="99">
        <v>0</v>
      </c>
      <c r="P23" s="101">
        <v>800000</v>
      </c>
      <c r="Q23" s="102">
        <f t="shared" si="3"/>
        <v>2.275816374025165E-3</v>
      </c>
      <c r="R23" s="103">
        <f t="shared" si="4"/>
        <v>66.593912816914184</v>
      </c>
      <c r="S23" s="375">
        <f t="shared" si="5"/>
        <v>2597.4025974025976</v>
      </c>
      <c r="T23" s="356"/>
      <c r="U23" s="104"/>
      <c r="V23" s="95"/>
      <c r="W23" s="105"/>
      <c r="X23" s="95"/>
      <c r="Y23" s="95"/>
      <c r="Z23" s="95"/>
      <c r="AA23" s="95"/>
      <c r="AB23" s="95"/>
      <c r="AC23" s="95"/>
      <c r="AD23" s="17">
        <f t="shared" si="0"/>
        <v>0</v>
      </c>
      <c r="AE23" s="17">
        <f t="shared" si="1"/>
        <v>0</v>
      </c>
      <c r="AF23" s="17">
        <f t="shared" si="1"/>
        <v>0</v>
      </c>
      <c r="AG23" s="17">
        <f t="shared" si="1"/>
        <v>0</v>
      </c>
      <c r="AH23" s="18" t="str">
        <f t="shared" si="2"/>
        <v>0,;!0,;!0,;!0</v>
      </c>
      <c r="AI23" s="18" t="e">
        <f>INDEX([1]Library!$AL:$AL,MATCH(AH23,[1]Library!$AJ:$AJ,0),1)</f>
        <v>#N/A</v>
      </c>
      <c r="AJ23" s="18" t="e">
        <f>TEXT(INDEX([1]Library!$W:$W,MATCH(AH23,[1]Library!$AJ:$AJ,0),1),"")</f>
        <v>#N/A</v>
      </c>
    </row>
    <row r="24" spans="1:36" ht="25.05" customHeight="1" outlineLevel="1">
      <c r="A24" s="374" t="s">
        <v>44</v>
      </c>
      <c r="B24" s="96" t="s">
        <v>44</v>
      </c>
      <c r="C24" s="97" t="s">
        <v>54</v>
      </c>
      <c r="D24" s="97"/>
      <c r="E24" s="98"/>
      <c r="F24" s="298"/>
      <c r="G24" s="62"/>
      <c r="H24" s="99">
        <v>1</v>
      </c>
      <c r="I24" s="100" t="s">
        <v>35</v>
      </c>
      <c r="J24" s="99">
        <v>0</v>
      </c>
      <c r="K24" s="99">
        <v>0</v>
      </c>
      <c r="L24" s="99">
        <v>0</v>
      </c>
      <c r="M24" s="99">
        <v>0</v>
      </c>
      <c r="N24" s="99">
        <v>14000000</v>
      </c>
      <c r="O24" s="99">
        <v>14000000</v>
      </c>
      <c r="P24" s="101">
        <v>14000000</v>
      </c>
      <c r="Q24" s="102">
        <f t="shared" si="3"/>
        <v>3.982678654544039E-2</v>
      </c>
      <c r="R24" s="103">
        <f t="shared" si="4"/>
        <v>1165.3934742959982</v>
      </c>
      <c r="S24" s="375">
        <f t="shared" si="5"/>
        <v>45454.545454545456</v>
      </c>
      <c r="T24" s="356"/>
      <c r="U24" s="104"/>
      <c r="V24" s="95"/>
      <c r="W24" s="105"/>
      <c r="X24" s="95"/>
      <c r="Y24" s="95"/>
      <c r="Z24" s="95"/>
      <c r="AA24" s="95"/>
      <c r="AB24" s="95"/>
      <c r="AC24" s="95"/>
      <c r="AD24" s="17">
        <f t="shared" si="0"/>
        <v>0</v>
      </c>
      <c r="AE24" s="17">
        <f t="shared" si="1"/>
        <v>0</v>
      </c>
      <c r="AF24" s="17">
        <f t="shared" si="1"/>
        <v>0</v>
      </c>
      <c r="AG24" s="17">
        <f t="shared" si="1"/>
        <v>0</v>
      </c>
      <c r="AH24" s="18" t="str">
        <f t="shared" si="2"/>
        <v>0,;!0,;!0,;!0</v>
      </c>
      <c r="AI24" s="18" t="e">
        <f>INDEX([1]Library!$AL:$AL,MATCH(AH24,[1]Library!$AJ:$AJ,0),1)</f>
        <v>#N/A</v>
      </c>
      <c r="AJ24" s="18" t="e">
        <f>TEXT(INDEX([1]Library!$W:$W,MATCH(AH24,[1]Library!$AJ:$AJ,0),1),"")</f>
        <v>#N/A</v>
      </c>
    </row>
    <row r="25" spans="1:36" ht="25.05" customHeight="1" outlineLevel="1">
      <c r="A25" s="374" t="s">
        <v>44</v>
      </c>
      <c r="B25" s="96" t="s">
        <v>44</v>
      </c>
      <c r="C25" s="97" t="s">
        <v>55</v>
      </c>
      <c r="D25" s="97"/>
      <c r="E25" s="98"/>
      <c r="F25" s="298"/>
      <c r="G25" s="62"/>
      <c r="H25" s="99">
        <v>1</v>
      </c>
      <c r="I25" s="100" t="s">
        <v>35</v>
      </c>
      <c r="J25" s="99">
        <v>3247281.5542857</v>
      </c>
      <c r="K25" s="99">
        <v>3247281.5542857</v>
      </c>
      <c r="L25" s="99">
        <v>0</v>
      </c>
      <c r="M25" s="99">
        <v>0</v>
      </c>
      <c r="N25" s="99">
        <v>0</v>
      </c>
      <c r="O25" s="99">
        <v>0</v>
      </c>
      <c r="P25" s="101">
        <v>3247281.5542857</v>
      </c>
      <c r="Q25" s="102">
        <f t="shared" si="3"/>
        <v>9.237770665391604E-3</v>
      </c>
      <c r="R25" s="103">
        <f t="shared" si="4"/>
        <v>270.31148089759438</v>
      </c>
      <c r="S25" s="375">
        <f t="shared" si="5"/>
        <v>10543.121929499026</v>
      </c>
      <c r="T25" s="356"/>
      <c r="U25" s="104"/>
      <c r="V25" s="95"/>
      <c r="W25" s="105"/>
      <c r="X25" s="95"/>
      <c r="Y25" s="95"/>
      <c r="Z25" s="95"/>
      <c r="AA25" s="95"/>
      <c r="AB25" s="95"/>
      <c r="AC25" s="95"/>
      <c r="AD25" s="17">
        <f t="shared" si="0"/>
        <v>0</v>
      </c>
      <c r="AE25" s="17">
        <f t="shared" si="1"/>
        <v>0</v>
      </c>
      <c r="AF25" s="17">
        <f t="shared" si="1"/>
        <v>0</v>
      </c>
      <c r="AG25" s="17">
        <f t="shared" si="1"/>
        <v>0</v>
      </c>
      <c r="AH25" s="18" t="str">
        <f t="shared" si="2"/>
        <v>0,;!0,;!0,;!0</v>
      </c>
      <c r="AI25" s="18" t="e">
        <f>INDEX([1]Library!$AL:$AL,MATCH(AH25,[1]Library!$AJ:$AJ,0),1)</f>
        <v>#N/A</v>
      </c>
      <c r="AJ25" s="18" t="e">
        <f>TEXT(INDEX([1]Library!$W:$W,MATCH(AH25,[1]Library!$AJ:$AJ,0),1),"")</f>
        <v>#N/A</v>
      </c>
    </row>
    <row r="26" spans="1:36" ht="25.05" customHeight="1" outlineLevel="1">
      <c r="A26" s="374" t="s">
        <v>44</v>
      </c>
      <c r="B26" s="96" t="s">
        <v>44</v>
      </c>
      <c r="C26" s="97" t="s">
        <v>56</v>
      </c>
      <c r="D26" s="97"/>
      <c r="E26" s="98"/>
      <c r="F26" s="298"/>
      <c r="G26" s="62"/>
      <c r="H26" s="99">
        <v>1</v>
      </c>
      <c r="I26" s="100" t="s">
        <v>35</v>
      </c>
      <c r="J26" s="99">
        <v>2452188.1480030203</v>
      </c>
      <c r="K26" s="99">
        <v>2452188.1480030203</v>
      </c>
      <c r="L26" s="99">
        <v>347811.85199698003</v>
      </c>
      <c r="M26" s="99">
        <v>347811.85199698003</v>
      </c>
      <c r="N26" s="99">
        <v>0</v>
      </c>
      <c r="O26" s="99">
        <v>0</v>
      </c>
      <c r="P26" s="101">
        <v>2800000.0000000005</v>
      </c>
      <c r="Q26" s="102">
        <f t="shared" si="3"/>
        <v>7.9653573090880791E-3</v>
      </c>
      <c r="R26" s="103">
        <f t="shared" si="4"/>
        <v>233.07869485919969</v>
      </c>
      <c r="S26" s="375">
        <f t="shared" si="5"/>
        <v>9090.9090909090919</v>
      </c>
      <c r="T26" s="356"/>
      <c r="U26" s="104"/>
      <c r="V26" s="95"/>
      <c r="W26" s="105"/>
      <c r="X26" s="95"/>
      <c r="Y26" s="95"/>
      <c r="Z26" s="95"/>
      <c r="AA26" s="95"/>
      <c r="AB26" s="95"/>
      <c r="AC26" s="95"/>
      <c r="AD26" s="17">
        <f t="shared" si="0"/>
        <v>0</v>
      </c>
      <c r="AE26" s="17">
        <f t="shared" si="1"/>
        <v>0</v>
      </c>
      <c r="AF26" s="17">
        <f t="shared" si="1"/>
        <v>0</v>
      </c>
      <c r="AG26" s="17">
        <f t="shared" si="1"/>
        <v>0</v>
      </c>
      <c r="AH26" s="18" t="str">
        <f t="shared" si="2"/>
        <v>0,;!0,;!0,;!0</v>
      </c>
      <c r="AI26" s="18" t="e">
        <f>INDEX([1]Library!$AL:$AL,MATCH(AH26,[1]Library!$AJ:$AJ,0),1)</f>
        <v>#N/A</v>
      </c>
      <c r="AJ26" s="18" t="e">
        <f>TEXT(INDEX([1]Library!$W:$W,MATCH(AH26,[1]Library!$AJ:$AJ,0),1),"")</f>
        <v>#N/A</v>
      </c>
    </row>
    <row r="27" spans="1:36" ht="25.05" customHeight="1" outlineLevel="1">
      <c r="A27" s="374" t="s">
        <v>44</v>
      </c>
      <c r="B27" s="96" t="s">
        <v>44</v>
      </c>
      <c r="C27" s="97" t="s">
        <v>57</v>
      </c>
      <c r="D27" s="97"/>
      <c r="E27" s="98"/>
      <c r="F27" s="298"/>
      <c r="G27" s="62"/>
      <c r="H27" s="99">
        <v>1</v>
      </c>
      <c r="I27" s="100" t="s">
        <v>35</v>
      </c>
      <c r="J27" s="99">
        <v>0</v>
      </c>
      <c r="K27" s="99">
        <v>0</v>
      </c>
      <c r="L27" s="99">
        <v>0</v>
      </c>
      <c r="M27" s="99">
        <v>0</v>
      </c>
      <c r="N27" s="99">
        <v>4262041.1614285801</v>
      </c>
      <c r="O27" s="99">
        <v>4262041.1614285801</v>
      </c>
      <c r="P27" s="101">
        <v>4262041.1614285801</v>
      </c>
      <c r="Q27" s="102">
        <f t="shared" si="3"/>
        <v>1.2124528827435492E-2</v>
      </c>
      <c r="R27" s="103">
        <f t="shared" si="4"/>
        <v>354.78249690784315</v>
      </c>
      <c r="S27" s="375">
        <f t="shared" si="5"/>
        <v>13837.79597866422</v>
      </c>
      <c r="T27" s="356"/>
      <c r="U27" s="104"/>
      <c r="V27" s="95"/>
      <c r="W27" s="105"/>
      <c r="X27" s="95"/>
      <c r="Y27" s="95"/>
      <c r="Z27" s="95"/>
      <c r="AA27" s="95"/>
      <c r="AB27" s="95"/>
      <c r="AC27" s="95"/>
      <c r="AD27" s="17">
        <f t="shared" si="0"/>
        <v>0</v>
      </c>
      <c r="AE27" s="17">
        <f t="shared" si="1"/>
        <v>0</v>
      </c>
      <c r="AF27" s="17">
        <f t="shared" si="1"/>
        <v>0</v>
      </c>
      <c r="AG27" s="17">
        <f t="shared" si="1"/>
        <v>0</v>
      </c>
      <c r="AH27" s="18" t="str">
        <f t="shared" si="2"/>
        <v>0,;!0,;!0,;!0</v>
      </c>
      <c r="AI27" s="18" t="e">
        <f>INDEX([1]Library!$AL:$AL,MATCH(AH27,[1]Library!$AJ:$AJ,0),1)</f>
        <v>#N/A</v>
      </c>
      <c r="AJ27" s="18" t="e">
        <f>TEXT(INDEX([1]Library!$W:$W,MATCH(AH27,[1]Library!$AJ:$AJ,0),1),"")</f>
        <v>#N/A</v>
      </c>
    </row>
    <row r="28" spans="1:36" ht="25.05" customHeight="1" outlineLevel="1">
      <c r="A28" s="374" t="s">
        <v>44</v>
      </c>
      <c r="B28" s="96" t="s">
        <v>44</v>
      </c>
      <c r="C28" s="97" t="s">
        <v>58</v>
      </c>
      <c r="D28" s="97"/>
      <c r="E28" s="98"/>
      <c r="F28" s="298"/>
      <c r="G28" s="62"/>
      <c r="H28" s="99">
        <v>1</v>
      </c>
      <c r="I28" s="100" t="s">
        <v>35</v>
      </c>
      <c r="J28" s="99">
        <v>1959999.9469178081</v>
      </c>
      <c r="K28" s="99">
        <v>1959999.9469178081</v>
      </c>
      <c r="L28" s="99">
        <v>0</v>
      </c>
      <c r="M28" s="99">
        <v>0</v>
      </c>
      <c r="N28" s="99">
        <v>0</v>
      </c>
      <c r="O28" s="99">
        <v>0</v>
      </c>
      <c r="P28" s="101">
        <v>1959999.9469178081</v>
      </c>
      <c r="Q28" s="102">
        <f t="shared" si="3"/>
        <v>5.5757499653550022E-3</v>
      </c>
      <c r="R28" s="103">
        <f t="shared" si="4"/>
        <v>163.15508198275117</v>
      </c>
      <c r="S28" s="375">
        <f t="shared" si="5"/>
        <v>6363.6361912915845</v>
      </c>
      <c r="T28" s="356"/>
      <c r="U28" s="104"/>
      <c r="V28" s="95"/>
      <c r="W28" s="105"/>
      <c r="X28" s="95"/>
      <c r="Y28" s="95"/>
      <c r="Z28" s="95"/>
      <c r="AA28" s="95"/>
      <c r="AB28" s="95"/>
      <c r="AC28" s="95"/>
      <c r="AD28" s="17">
        <f t="shared" si="0"/>
        <v>0</v>
      </c>
      <c r="AE28" s="17">
        <f t="shared" si="1"/>
        <v>0</v>
      </c>
      <c r="AF28" s="17">
        <f t="shared" si="1"/>
        <v>0</v>
      </c>
      <c r="AG28" s="17">
        <f t="shared" si="1"/>
        <v>0</v>
      </c>
      <c r="AH28" s="18" t="str">
        <f t="shared" si="2"/>
        <v>0,;!0,;!0,;!0</v>
      </c>
      <c r="AI28" s="18" t="e">
        <f>INDEX([1]Library!$AL:$AL,MATCH(AH28,[1]Library!$AJ:$AJ,0),1)</f>
        <v>#N/A</v>
      </c>
      <c r="AJ28" s="18" t="e">
        <f>TEXT(INDEX([1]Library!$W:$W,MATCH(AH28,[1]Library!$AJ:$AJ,0),1),"")</f>
        <v>#N/A</v>
      </c>
    </row>
    <row r="29" spans="1:36" ht="25.05" customHeight="1" outlineLevel="1">
      <c r="A29" s="374" t="s">
        <v>44</v>
      </c>
      <c r="B29" s="96" t="s">
        <v>44</v>
      </c>
      <c r="C29" s="97" t="s">
        <v>59</v>
      </c>
      <c r="D29" s="97"/>
      <c r="E29" s="98"/>
      <c r="F29" s="298"/>
      <c r="G29" s="62"/>
      <c r="H29" s="99">
        <v>1</v>
      </c>
      <c r="I29" s="100" t="s">
        <v>35</v>
      </c>
      <c r="J29" s="99">
        <v>0</v>
      </c>
      <c r="K29" s="99">
        <v>0</v>
      </c>
      <c r="L29" s="99">
        <v>0</v>
      </c>
      <c r="M29" s="99">
        <v>0</v>
      </c>
      <c r="N29" s="99">
        <v>469183.54089603201</v>
      </c>
      <c r="O29" s="99">
        <v>469183.54089603201</v>
      </c>
      <c r="P29" s="101">
        <v>469183.54089603201</v>
      </c>
      <c r="Q29" s="102">
        <f t="shared" si="3"/>
        <v>1.3347194809928691E-3</v>
      </c>
      <c r="R29" s="103">
        <f t="shared" si="4"/>
        <v>39.055959771951805</v>
      </c>
      <c r="S29" s="375">
        <f t="shared" si="5"/>
        <v>1523.3231847273767</v>
      </c>
      <c r="T29" s="356"/>
      <c r="U29" s="104"/>
      <c r="V29" s="95"/>
      <c r="W29" s="105"/>
      <c r="X29" s="95"/>
      <c r="Y29" s="95"/>
      <c r="Z29" s="95"/>
      <c r="AA29" s="95"/>
      <c r="AB29" s="95"/>
      <c r="AC29" s="95"/>
      <c r="AD29" s="17">
        <f t="shared" si="0"/>
        <v>0</v>
      </c>
      <c r="AE29" s="17">
        <f t="shared" si="1"/>
        <v>0</v>
      </c>
      <c r="AF29" s="17">
        <f t="shared" si="1"/>
        <v>0</v>
      </c>
      <c r="AG29" s="17">
        <f t="shared" si="1"/>
        <v>0</v>
      </c>
      <c r="AH29" s="18" t="str">
        <f t="shared" si="2"/>
        <v>0,;!0,;!0,;!0</v>
      </c>
      <c r="AI29" s="18" t="e">
        <f>INDEX([1]Library!$AL:$AL,MATCH(AH29,[1]Library!$AJ:$AJ,0),1)</f>
        <v>#N/A</v>
      </c>
      <c r="AJ29" s="18" t="e">
        <f>TEXT(INDEX([1]Library!$W:$W,MATCH(AH29,[1]Library!$AJ:$AJ,0),1),"")</f>
        <v>#N/A</v>
      </c>
    </row>
    <row r="30" spans="1:36" ht="25.05" customHeight="1" outlineLevel="1">
      <c r="A30" s="374" t="s">
        <v>44</v>
      </c>
      <c r="B30" s="96" t="s">
        <v>44</v>
      </c>
      <c r="C30" s="97" t="s">
        <v>60</v>
      </c>
      <c r="D30" s="97"/>
      <c r="E30" s="98"/>
      <c r="F30" s="298"/>
      <c r="G30" s="62"/>
      <c r="H30" s="99">
        <v>1</v>
      </c>
      <c r="I30" s="100" t="s">
        <v>35</v>
      </c>
      <c r="J30" s="99">
        <v>0</v>
      </c>
      <c r="K30" s="99">
        <v>0</v>
      </c>
      <c r="L30" s="99">
        <v>0</v>
      </c>
      <c r="M30" s="99">
        <v>0</v>
      </c>
      <c r="N30" s="99">
        <v>0</v>
      </c>
      <c r="O30" s="99">
        <v>0</v>
      </c>
      <c r="P30" s="101">
        <v>0</v>
      </c>
      <c r="Q30" s="102">
        <f t="shared" si="3"/>
        <v>0</v>
      </c>
      <c r="R30" s="103">
        <f t="shared" si="4"/>
        <v>0</v>
      </c>
      <c r="S30" s="375">
        <f t="shared" si="5"/>
        <v>0</v>
      </c>
      <c r="T30" s="356"/>
      <c r="U30" s="104"/>
      <c r="V30" s="95"/>
      <c r="W30" s="105"/>
      <c r="X30" s="95"/>
      <c r="Y30" s="95"/>
      <c r="Z30" s="95"/>
      <c r="AA30" s="95"/>
      <c r="AB30" s="95"/>
      <c r="AC30" s="95"/>
      <c r="AD30" s="17">
        <f t="shared" si="0"/>
        <v>0</v>
      </c>
      <c r="AE30" s="17">
        <f t="shared" ref="AE30:AG45" si="6">IF(AA30=" ",IF($X30&gt;=AE$12,AE29,""),AA30)</f>
        <v>0</v>
      </c>
      <c r="AF30" s="17">
        <f t="shared" si="6"/>
        <v>0</v>
      </c>
      <c r="AG30" s="17">
        <f t="shared" si="6"/>
        <v>0</v>
      </c>
      <c r="AH30" s="18" t="str">
        <f t="shared" si="2"/>
        <v>0,;!0,;!0,;!0</v>
      </c>
      <c r="AI30" s="18" t="e">
        <f>INDEX([1]Library!$AL:$AL,MATCH(AH30,[1]Library!$AJ:$AJ,0),1)</f>
        <v>#N/A</v>
      </c>
      <c r="AJ30" s="18" t="e">
        <f>TEXT(INDEX([1]Library!$W:$W,MATCH(AH30,[1]Library!$AJ:$AJ,0),1),"")</f>
        <v>#N/A</v>
      </c>
    </row>
    <row r="31" spans="1:36" ht="25.05" customHeight="1" outlineLevel="1">
      <c r="A31" s="374" t="s">
        <v>44</v>
      </c>
      <c r="B31" s="96" t="s">
        <v>44</v>
      </c>
      <c r="C31" s="97" t="s">
        <v>61</v>
      </c>
      <c r="D31" s="97"/>
      <c r="E31" s="98"/>
      <c r="F31" s="298"/>
      <c r="G31" s="62"/>
      <c r="H31" s="99">
        <v>1</v>
      </c>
      <c r="I31" s="100" t="s">
        <v>35</v>
      </c>
      <c r="J31" s="99">
        <v>840993.33333333395</v>
      </c>
      <c r="K31" s="99">
        <v>840993.33333333395</v>
      </c>
      <c r="L31" s="99">
        <v>0</v>
      </c>
      <c r="M31" s="99">
        <v>0</v>
      </c>
      <c r="N31" s="99">
        <v>0</v>
      </c>
      <c r="O31" s="99">
        <v>0</v>
      </c>
      <c r="P31" s="101">
        <v>840993.33333333395</v>
      </c>
      <c r="Q31" s="102">
        <f t="shared" si="3"/>
        <v>2.3924329980575063E-3</v>
      </c>
      <c r="R31" s="103">
        <f t="shared" si="4"/>
        <v>70.00629589950762</v>
      </c>
      <c r="S31" s="375">
        <f t="shared" si="5"/>
        <v>2730.4978354978375</v>
      </c>
      <c r="T31" s="356"/>
      <c r="U31" s="104"/>
      <c r="V31" s="95"/>
      <c r="W31" s="105"/>
      <c r="X31" s="95"/>
      <c r="Y31" s="95"/>
      <c r="Z31" s="95"/>
      <c r="AA31" s="95"/>
      <c r="AB31" s="95"/>
      <c r="AC31" s="95"/>
      <c r="AD31" s="17">
        <f t="shared" si="0"/>
        <v>0</v>
      </c>
      <c r="AE31" s="17">
        <f t="shared" si="6"/>
        <v>0</v>
      </c>
      <c r="AF31" s="17">
        <f t="shared" si="6"/>
        <v>0</v>
      </c>
      <c r="AG31" s="17">
        <f t="shared" si="6"/>
        <v>0</v>
      </c>
      <c r="AH31" s="18" t="str">
        <f t="shared" si="2"/>
        <v>0,;!0,;!0,;!0</v>
      </c>
      <c r="AI31" s="18" t="e">
        <f>INDEX([1]Library!$AL:$AL,MATCH(AH31,[1]Library!$AJ:$AJ,0),1)</f>
        <v>#N/A</v>
      </c>
      <c r="AJ31" s="18" t="e">
        <f>TEXT(INDEX([1]Library!$W:$W,MATCH(AH31,[1]Library!$AJ:$AJ,0),1),"")</f>
        <v>#N/A</v>
      </c>
    </row>
    <row r="32" spans="1:36" ht="25.05" customHeight="1">
      <c r="A32" s="372" t="s">
        <v>62</v>
      </c>
      <c r="B32" s="84" t="s">
        <v>63</v>
      </c>
      <c r="C32" s="85"/>
      <c r="D32" s="85"/>
      <c r="E32" s="86"/>
      <c r="F32" s="297"/>
      <c r="G32" s="62"/>
      <c r="H32" s="87">
        <v>1</v>
      </c>
      <c r="I32" s="88" t="s">
        <v>35</v>
      </c>
      <c r="J32" s="89">
        <v>87302384.384908959</v>
      </c>
      <c r="K32" s="90">
        <v>87302384.384908959</v>
      </c>
      <c r="L32" s="89">
        <v>20247016.188615944</v>
      </c>
      <c r="M32" s="90">
        <v>20247016.188615944</v>
      </c>
      <c r="N32" s="89">
        <v>261166.32455931234</v>
      </c>
      <c r="O32" s="90">
        <v>261166.32455931234</v>
      </c>
      <c r="P32" s="91">
        <v>107810566.89808422</v>
      </c>
      <c r="Q32" s="92">
        <f>P32/P$13</f>
        <v>0.30669631679949438</v>
      </c>
      <c r="R32" s="90">
        <f>P32/I$5</f>
        <v>8974.4093659413938</v>
      </c>
      <c r="S32" s="373">
        <f>P32/I$7</f>
        <v>350034.30811066309</v>
      </c>
      <c r="T32" s="355"/>
      <c r="U32" s="104"/>
      <c r="V32" s="95"/>
      <c r="W32" s="105"/>
      <c r="X32" s="95"/>
      <c r="Y32" s="95"/>
      <c r="Z32" s="95"/>
      <c r="AA32" s="95"/>
      <c r="AB32" s="95"/>
      <c r="AC32" s="95"/>
      <c r="AD32" s="17">
        <f t="shared" si="0"/>
        <v>0</v>
      </c>
      <c r="AE32" s="17">
        <f t="shared" si="6"/>
        <v>0</v>
      </c>
      <c r="AF32" s="17">
        <f t="shared" si="6"/>
        <v>0</v>
      </c>
      <c r="AG32" s="17">
        <f t="shared" si="6"/>
        <v>0</v>
      </c>
      <c r="AH32" s="18" t="str">
        <f t="shared" si="2"/>
        <v>0,;!0,;!0,;!0</v>
      </c>
      <c r="AI32" s="18" t="e">
        <f>INDEX([1]Library!$AL:$AL,MATCH(AH32,[1]Library!$AJ:$AJ,0),1)</f>
        <v>#N/A</v>
      </c>
      <c r="AJ32" s="18" t="e">
        <f>TEXT(INDEX([1]Library!$W:$W,MATCH(AH32,[1]Library!$AJ:$AJ,0),1),"")</f>
        <v>#N/A</v>
      </c>
    </row>
    <row r="33" spans="1:36" ht="25.05" customHeight="1" outlineLevel="1">
      <c r="A33" s="374" t="s">
        <v>44</v>
      </c>
      <c r="B33" s="96" t="s">
        <v>44</v>
      </c>
      <c r="C33" s="97" t="s">
        <v>64</v>
      </c>
      <c r="D33" s="97"/>
      <c r="E33" s="98"/>
      <c r="F33" s="298"/>
      <c r="G33" s="62"/>
      <c r="H33" s="99">
        <v>1</v>
      </c>
      <c r="I33" s="100" t="s">
        <v>35</v>
      </c>
      <c r="J33" s="99">
        <v>2237859.866696429</v>
      </c>
      <c r="K33" s="99">
        <v>2237859.866696429</v>
      </c>
      <c r="L33" s="99">
        <v>3667076.0961781256</v>
      </c>
      <c r="M33" s="99">
        <v>3667076.0961781256</v>
      </c>
      <c r="N33" s="99">
        <v>261166.32455931234</v>
      </c>
      <c r="O33" s="99">
        <v>261166.32455931234</v>
      </c>
      <c r="P33" s="101">
        <v>6166102.2874338664</v>
      </c>
      <c r="Q33" s="102">
        <f>P33/P$13</f>
        <v>1.754114568707002E-2</v>
      </c>
      <c r="R33" s="103">
        <f>P33/I$5</f>
        <v>513.28109768693253</v>
      </c>
      <c r="S33" s="375">
        <f>P33/I$7</f>
        <v>20019.812621538527</v>
      </c>
      <c r="T33" s="356"/>
      <c r="U33" s="104"/>
      <c r="V33" s="95"/>
      <c r="W33" s="105"/>
      <c r="X33" s="95"/>
      <c r="Y33" s="95"/>
      <c r="Z33" s="95"/>
      <c r="AA33" s="95"/>
      <c r="AB33" s="95"/>
      <c r="AC33" s="95"/>
      <c r="AD33" s="17">
        <f t="shared" si="0"/>
        <v>0</v>
      </c>
      <c r="AE33" s="17">
        <f t="shared" si="6"/>
        <v>0</v>
      </c>
      <c r="AF33" s="17">
        <f t="shared" si="6"/>
        <v>0</v>
      </c>
      <c r="AG33" s="17">
        <f t="shared" si="6"/>
        <v>0</v>
      </c>
      <c r="AH33" s="18" t="str">
        <f t="shared" si="2"/>
        <v>0,;!0,;!0,;!0</v>
      </c>
      <c r="AI33" s="18" t="e">
        <f>INDEX([1]Library!$AL:$AL,MATCH(AH33,[1]Library!$AJ:$AJ,0),1)</f>
        <v>#N/A</v>
      </c>
      <c r="AJ33" s="18" t="e">
        <f>TEXT(INDEX([1]Library!$W:$W,MATCH(AH33,[1]Library!$AJ:$AJ,0),1),"")</f>
        <v>#N/A</v>
      </c>
    </row>
    <row r="34" spans="1:36" ht="25.05" customHeight="1" outlineLevel="2">
      <c r="A34" s="376" t="s">
        <v>44</v>
      </c>
      <c r="B34" s="107" t="s">
        <v>44</v>
      </c>
      <c r="C34" s="108" t="s">
        <v>44</v>
      </c>
      <c r="D34" s="109" t="s">
        <v>65</v>
      </c>
      <c r="E34" s="289"/>
      <c r="F34" s="299"/>
      <c r="G34" s="62"/>
      <c r="H34" s="111">
        <v>5442.8340000000007</v>
      </c>
      <c r="I34" s="112" t="s">
        <v>66</v>
      </c>
      <c r="J34" s="113">
        <v>0</v>
      </c>
      <c r="K34" s="114">
        <v>0</v>
      </c>
      <c r="L34" s="113">
        <v>323.55</v>
      </c>
      <c r="M34" s="114">
        <v>1761028.9407000004</v>
      </c>
      <c r="N34" s="115">
        <v>0</v>
      </c>
      <c r="O34" s="114">
        <v>0</v>
      </c>
      <c r="P34" s="116">
        <v>1761028.9407000004</v>
      </c>
      <c r="Q34" s="117">
        <f t="shared" ref="Q34:Q39" si="7">P34/P$13</f>
        <v>5.009723122971565E-3</v>
      </c>
      <c r="R34" s="114">
        <f t="shared" ref="R34:R39" si="8">P34/I$5</f>
        <v>146.5922596812982</v>
      </c>
      <c r="S34" s="377">
        <f t="shared" ref="S34:S39" si="9">P34/I$7</f>
        <v>5717.6264308441569</v>
      </c>
      <c r="T34" s="357"/>
      <c r="U34" s="104"/>
      <c r="V34" s="95"/>
      <c r="W34" s="105"/>
      <c r="X34" s="95"/>
      <c r="Y34" s="95"/>
      <c r="Z34" s="95"/>
      <c r="AA34" s="95"/>
      <c r="AB34" s="95"/>
      <c r="AC34" s="95"/>
      <c r="AD34" s="17">
        <f t="shared" si="0"/>
        <v>0</v>
      </c>
      <c r="AE34" s="17">
        <f t="shared" si="6"/>
        <v>0</v>
      </c>
      <c r="AF34" s="17">
        <f t="shared" si="6"/>
        <v>0</v>
      </c>
      <c r="AG34" s="17">
        <f t="shared" si="6"/>
        <v>0</v>
      </c>
      <c r="AH34" s="18" t="str">
        <f t="shared" si="2"/>
        <v>0,;!0,;!0,;!0</v>
      </c>
      <c r="AI34" s="18" t="e">
        <f>INDEX([1]Library!$AL:$AL,MATCH(AH34,[1]Library!$AJ:$AJ,0),1)</f>
        <v>#N/A</v>
      </c>
      <c r="AJ34" s="18" t="e">
        <f>TEXT(INDEX([1]Library!$W:$W,MATCH(AH34,[1]Library!$AJ:$AJ,0),1),"")</f>
        <v>#N/A</v>
      </c>
    </row>
    <row r="35" spans="1:36" ht="25.05" customHeight="1" outlineLevel="2">
      <c r="A35" s="376" t="s">
        <v>44</v>
      </c>
      <c r="B35" s="107" t="s">
        <v>44</v>
      </c>
      <c r="C35" s="108" t="s">
        <v>44</v>
      </c>
      <c r="D35" s="109" t="s">
        <v>67</v>
      </c>
      <c r="E35" s="289"/>
      <c r="F35" s="299"/>
      <c r="G35" s="62"/>
      <c r="H35" s="111">
        <v>4830.9194050000015</v>
      </c>
      <c r="I35" s="112" t="s">
        <v>66</v>
      </c>
      <c r="J35" s="113">
        <v>392.85714285714289</v>
      </c>
      <c r="K35" s="114">
        <v>1897861.1948214292</v>
      </c>
      <c r="L35" s="113">
        <v>312.49999999999994</v>
      </c>
      <c r="M35" s="114">
        <v>1509662.3140625001</v>
      </c>
      <c r="N35" s="115">
        <v>0</v>
      </c>
      <c r="O35" s="114">
        <v>0</v>
      </c>
      <c r="P35" s="116">
        <v>3407523.5088839293</v>
      </c>
      <c r="Q35" s="117">
        <f t="shared" si="7"/>
        <v>9.6936222454921638E-3</v>
      </c>
      <c r="R35" s="114">
        <f t="shared" si="8"/>
        <v>283.65040434025235</v>
      </c>
      <c r="S35" s="377">
        <f t="shared" si="9"/>
        <v>11063.388015856914</v>
      </c>
      <c r="T35" s="357"/>
      <c r="U35" s="104"/>
      <c r="V35" s="95"/>
      <c r="W35" s="105"/>
      <c r="X35" s="95"/>
      <c r="Y35" s="95"/>
      <c r="Z35" s="95"/>
      <c r="AA35" s="95"/>
      <c r="AB35" s="95"/>
      <c r="AC35" s="95"/>
      <c r="AD35" s="17">
        <f t="shared" si="0"/>
        <v>0</v>
      </c>
      <c r="AE35" s="17">
        <f t="shared" si="6"/>
        <v>0</v>
      </c>
      <c r="AF35" s="17">
        <f t="shared" si="6"/>
        <v>0</v>
      </c>
      <c r="AG35" s="17">
        <f t="shared" si="6"/>
        <v>0</v>
      </c>
      <c r="AH35" s="18" t="str">
        <f t="shared" si="2"/>
        <v>0,;!0,;!0,;!0</v>
      </c>
      <c r="AI35" s="18" t="e">
        <f>INDEX([1]Library!$AL:$AL,MATCH(AH35,[1]Library!$AJ:$AJ,0),1)</f>
        <v>#N/A</v>
      </c>
      <c r="AJ35" s="18" t="e">
        <f>TEXT(INDEX([1]Library!$W:$W,MATCH(AH35,[1]Library!$AJ:$AJ,0),1),"")</f>
        <v>#N/A</v>
      </c>
    </row>
    <row r="36" spans="1:36" ht="25.05" customHeight="1" outlineLevel="2">
      <c r="A36" s="376" t="s">
        <v>44</v>
      </c>
      <c r="B36" s="107" t="s">
        <v>44</v>
      </c>
      <c r="C36" s="108" t="s">
        <v>44</v>
      </c>
      <c r="D36" s="109" t="s">
        <v>68</v>
      </c>
      <c r="E36" s="289"/>
      <c r="F36" s="299"/>
      <c r="G36" s="62"/>
      <c r="H36" s="111">
        <v>795.48897349999913</v>
      </c>
      <c r="I36" s="112" t="s">
        <v>66</v>
      </c>
      <c r="J36" s="113">
        <v>0</v>
      </c>
      <c r="K36" s="114">
        <v>0</v>
      </c>
      <c r="L36" s="113">
        <v>0</v>
      </c>
      <c r="M36" s="114">
        <v>0</v>
      </c>
      <c r="N36" s="115">
        <v>195.87500000000003</v>
      </c>
      <c r="O36" s="114">
        <v>155816.40268431234</v>
      </c>
      <c r="P36" s="116">
        <v>155816.40268431234</v>
      </c>
      <c r="Q36" s="117">
        <f t="shared" si="7"/>
        <v>4.4326190071332085E-4</v>
      </c>
      <c r="R36" s="114">
        <f t="shared" si="8"/>
        <v>12.970529919755363</v>
      </c>
      <c r="S36" s="377">
        <f t="shared" si="9"/>
        <v>505.89741131270239</v>
      </c>
      <c r="T36" s="357"/>
      <c r="U36" s="104"/>
      <c r="V36" s="95"/>
      <c r="W36" s="105"/>
      <c r="X36" s="95"/>
      <c r="Y36" s="95"/>
      <c r="Z36" s="95"/>
      <c r="AA36" s="95"/>
      <c r="AB36" s="95"/>
      <c r="AC36" s="95"/>
      <c r="AD36" s="17">
        <f t="shared" si="0"/>
        <v>0</v>
      </c>
      <c r="AE36" s="17">
        <f t="shared" si="6"/>
        <v>0</v>
      </c>
      <c r="AF36" s="17">
        <f t="shared" si="6"/>
        <v>0</v>
      </c>
      <c r="AG36" s="17">
        <f t="shared" si="6"/>
        <v>0</v>
      </c>
      <c r="AH36" s="18" t="str">
        <f t="shared" si="2"/>
        <v>0,;!0,;!0,;!0</v>
      </c>
      <c r="AI36" s="18" t="e">
        <f>INDEX([1]Library!$AL:$AL,MATCH(AH36,[1]Library!$AJ:$AJ,0),1)</f>
        <v>#N/A</v>
      </c>
      <c r="AJ36" s="18" t="e">
        <f>TEXT(INDEX([1]Library!$W:$W,MATCH(AH36,[1]Library!$AJ:$AJ,0),1),"")</f>
        <v>#N/A</v>
      </c>
    </row>
    <row r="37" spans="1:36" ht="25.05" customHeight="1" outlineLevel="2">
      <c r="A37" s="376" t="s">
        <v>44</v>
      </c>
      <c r="B37" s="107" t="s">
        <v>44</v>
      </c>
      <c r="C37" s="108" t="s">
        <v>44</v>
      </c>
      <c r="D37" s="109" t="s">
        <v>69</v>
      </c>
      <c r="E37" s="289"/>
      <c r="F37" s="299"/>
      <c r="G37" s="62"/>
      <c r="H37" s="111">
        <v>223.99912499999999</v>
      </c>
      <c r="I37" s="112" t="s">
        <v>66</v>
      </c>
      <c r="J37" s="113">
        <v>1517.8571428571427</v>
      </c>
      <c r="K37" s="114">
        <v>339998.67187499994</v>
      </c>
      <c r="L37" s="113">
        <v>295.52499999999998</v>
      </c>
      <c r="M37" s="114">
        <v>66197.341415624993</v>
      </c>
      <c r="N37" s="115">
        <v>0</v>
      </c>
      <c r="O37" s="114">
        <v>0</v>
      </c>
      <c r="P37" s="116">
        <v>406196.01329062495</v>
      </c>
      <c r="Q37" s="117">
        <f t="shared" si="7"/>
        <v>1.1555344226381848E-3</v>
      </c>
      <c r="R37" s="114">
        <f t="shared" si="8"/>
        <v>33.81272736956749</v>
      </c>
      <c r="S37" s="377">
        <f t="shared" si="9"/>
        <v>1318.8182249695615</v>
      </c>
      <c r="T37" s="357"/>
      <c r="U37" s="104"/>
      <c r="V37" s="95"/>
      <c r="W37" s="105"/>
      <c r="X37" s="95"/>
      <c r="Y37" s="95"/>
      <c r="Z37" s="95"/>
      <c r="AA37" s="95"/>
      <c r="AB37" s="95"/>
      <c r="AC37" s="95"/>
      <c r="AD37" s="17">
        <f t="shared" si="0"/>
        <v>0</v>
      </c>
      <c r="AE37" s="17">
        <f t="shared" si="6"/>
        <v>0</v>
      </c>
      <c r="AF37" s="17">
        <f t="shared" si="6"/>
        <v>0</v>
      </c>
      <c r="AG37" s="17">
        <f t="shared" si="6"/>
        <v>0</v>
      </c>
      <c r="AH37" s="18" t="str">
        <f t="shared" si="2"/>
        <v>0,;!0,;!0,;!0</v>
      </c>
      <c r="AI37" s="18" t="e">
        <f>INDEX([1]Library!$AL:$AL,MATCH(AH37,[1]Library!$AJ:$AJ,0),1)</f>
        <v>#N/A</v>
      </c>
      <c r="AJ37" s="18" t="e">
        <f>TEXT(INDEX([1]Library!$W:$W,MATCH(AH37,[1]Library!$AJ:$AJ,0),1),"")</f>
        <v>#N/A</v>
      </c>
    </row>
    <row r="38" spans="1:36" ht="25.05" customHeight="1" outlineLevel="2">
      <c r="A38" s="376" t="s">
        <v>44</v>
      </c>
      <c r="B38" s="107" t="s">
        <v>44</v>
      </c>
      <c r="C38" s="108" t="s">
        <v>44</v>
      </c>
      <c r="D38" s="109" t="s">
        <v>70</v>
      </c>
      <c r="E38" s="289"/>
      <c r="F38" s="299"/>
      <c r="G38" s="62"/>
      <c r="H38" s="111">
        <v>2935</v>
      </c>
      <c r="I38" s="112" t="s">
        <v>71</v>
      </c>
      <c r="J38" s="113">
        <v>0</v>
      </c>
      <c r="K38" s="114">
        <v>0</v>
      </c>
      <c r="L38" s="113">
        <v>112.49999999999999</v>
      </c>
      <c r="M38" s="114">
        <v>330187.49999999994</v>
      </c>
      <c r="N38" s="115">
        <v>0</v>
      </c>
      <c r="O38" s="114">
        <v>0</v>
      </c>
      <c r="P38" s="116">
        <v>330187.49999999994</v>
      </c>
      <c r="Q38" s="117">
        <f t="shared" si="7"/>
        <v>9.3930764874804249E-4</v>
      </c>
      <c r="R38" s="114">
        <f t="shared" si="8"/>
        <v>27.485596985293562</v>
      </c>
      <c r="S38" s="377">
        <f t="shared" si="9"/>
        <v>1072.0373376623374</v>
      </c>
      <c r="T38" s="357"/>
      <c r="U38" s="104"/>
      <c r="V38" s="95"/>
      <c r="W38" s="105"/>
      <c r="X38" s="95"/>
      <c r="Y38" s="95"/>
      <c r="Z38" s="95"/>
      <c r="AA38" s="95"/>
      <c r="AB38" s="95"/>
      <c r="AC38" s="95"/>
      <c r="AD38" s="17">
        <f t="shared" si="0"/>
        <v>0</v>
      </c>
      <c r="AE38" s="17">
        <f t="shared" si="6"/>
        <v>0</v>
      </c>
      <c r="AF38" s="17">
        <f t="shared" si="6"/>
        <v>0</v>
      </c>
      <c r="AG38" s="17">
        <f t="shared" si="6"/>
        <v>0</v>
      </c>
      <c r="AH38" s="18" t="str">
        <f t="shared" si="2"/>
        <v>0,;!0,;!0,;!0</v>
      </c>
      <c r="AI38" s="18" t="e">
        <f>INDEX([1]Library!$AL:$AL,MATCH(AH38,[1]Library!$AJ:$AJ,0),1)</f>
        <v>#N/A</v>
      </c>
      <c r="AJ38" s="18" t="e">
        <f>TEXT(INDEX([1]Library!$W:$W,MATCH(AH38,[1]Library!$AJ:$AJ,0),1),"")</f>
        <v>#N/A</v>
      </c>
    </row>
    <row r="39" spans="1:36" ht="25.05" customHeight="1" outlineLevel="2">
      <c r="A39" s="376" t="s">
        <v>44</v>
      </c>
      <c r="B39" s="107" t="s">
        <v>44</v>
      </c>
      <c r="C39" s="108" t="s">
        <v>44</v>
      </c>
      <c r="D39" s="109" t="s">
        <v>72</v>
      </c>
      <c r="E39" s="289"/>
      <c r="F39" s="299"/>
      <c r="G39" s="62"/>
      <c r="H39" s="111">
        <v>1021.575</v>
      </c>
      <c r="I39" s="112" t="s">
        <v>71</v>
      </c>
      <c r="J39" s="113">
        <v>0</v>
      </c>
      <c r="K39" s="114">
        <v>0</v>
      </c>
      <c r="L39" s="113">
        <v>0</v>
      </c>
      <c r="M39" s="114">
        <v>0</v>
      </c>
      <c r="N39" s="115">
        <v>103.125</v>
      </c>
      <c r="O39" s="114">
        <v>105349.921875</v>
      </c>
      <c r="P39" s="116">
        <v>105349.921875</v>
      </c>
      <c r="Q39" s="117">
        <f t="shared" si="7"/>
        <v>2.9969634650674616E-4</v>
      </c>
      <c r="R39" s="114">
        <f t="shared" si="8"/>
        <v>8.769579390765589</v>
      </c>
      <c r="S39" s="377">
        <f t="shared" si="9"/>
        <v>342.04520089285717</v>
      </c>
      <c r="T39" s="357"/>
      <c r="U39" s="104"/>
      <c r="V39" s="95"/>
      <c r="W39" s="105"/>
      <c r="X39" s="95"/>
      <c r="Y39" s="95"/>
      <c r="Z39" s="95"/>
      <c r="AA39" s="95"/>
      <c r="AB39" s="95"/>
      <c r="AC39" s="95"/>
      <c r="AD39" s="17">
        <f t="shared" si="0"/>
        <v>0</v>
      </c>
      <c r="AE39" s="17">
        <f t="shared" si="6"/>
        <v>0</v>
      </c>
      <c r="AF39" s="17">
        <f t="shared" si="6"/>
        <v>0</v>
      </c>
      <c r="AG39" s="17">
        <f t="shared" si="6"/>
        <v>0</v>
      </c>
      <c r="AH39" s="18" t="str">
        <f t="shared" si="2"/>
        <v>0,;!0,;!0,;!0</v>
      </c>
      <c r="AI39" s="18" t="e">
        <f>INDEX([1]Library!$AL:$AL,MATCH(AH39,[1]Library!$AJ:$AJ,0),1)</f>
        <v>#N/A</v>
      </c>
      <c r="AJ39" s="18" t="e">
        <f>TEXT(INDEX([1]Library!$W:$W,MATCH(AH39,[1]Library!$AJ:$AJ,0),1),"")</f>
        <v>#N/A</v>
      </c>
    </row>
    <row r="40" spans="1:36" ht="25.05" customHeight="1" outlineLevel="1">
      <c r="A40" s="374" t="s">
        <v>44</v>
      </c>
      <c r="B40" s="96" t="s">
        <v>44</v>
      </c>
      <c r="C40" s="97" t="s">
        <v>73</v>
      </c>
      <c r="D40" s="97"/>
      <c r="E40" s="98"/>
      <c r="F40" s="298"/>
      <c r="G40" s="62"/>
      <c r="H40" s="99">
        <v>1</v>
      </c>
      <c r="I40" s="100" t="s">
        <v>35</v>
      </c>
      <c r="J40" s="99">
        <v>36189696.498535737</v>
      </c>
      <c r="K40" s="99">
        <v>36189696.498535737</v>
      </c>
      <c r="L40" s="99">
        <v>4661081.1328343786</v>
      </c>
      <c r="M40" s="99">
        <v>4661081.1328343786</v>
      </c>
      <c r="N40" s="99">
        <v>0</v>
      </c>
      <c r="O40" s="99">
        <v>0</v>
      </c>
      <c r="P40" s="101">
        <v>40850777.631370112</v>
      </c>
      <c r="Q40" s="102">
        <f>P40/P$13</f>
        <v>0.11621108578141631</v>
      </c>
      <c r="R40" s="103">
        <f>P40/I$5</f>
        <v>3400.5164051082616</v>
      </c>
      <c r="S40" s="375">
        <f>P40/I$7</f>
        <v>132632.39490704582</v>
      </c>
      <c r="T40" s="356"/>
      <c r="U40" s="104"/>
      <c r="V40" s="95"/>
      <c r="W40" s="105"/>
      <c r="X40" s="95"/>
      <c r="Y40" s="95"/>
      <c r="Z40" s="95"/>
      <c r="AA40" s="95"/>
      <c r="AB40" s="95"/>
      <c r="AC40" s="95"/>
      <c r="AD40" s="17">
        <f t="shared" si="0"/>
        <v>0</v>
      </c>
      <c r="AE40" s="17">
        <f t="shared" si="6"/>
        <v>0</v>
      </c>
      <c r="AF40" s="17">
        <f t="shared" si="6"/>
        <v>0</v>
      </c>
      <c r="AG40" s="17">
        <f t="shared" si="6"/>
        <v>0</v>
      </c>
      <c r="AH40" s="18" t="str">
        <f t="shared" si="2"/>
        <v>0,;!0,;!0,;!0</v>
      </c>
      <c r="AI40" s="18" t="e">
        <f>INDEX([1]Library!$AL:$AL,MATCH(AH40,[1]Library!$AJ:$AJ,0),1)</f>
        <v>#N/A</v>
      </c>
      <c r="AJ40" s="18" t="e">
        <f>TEXT(INDEX([1]Library!$W:$W,MATCH(AH40,[1]Library!$AJ:$AJ,0),1),"")</f>
        <v>#N/A</v>
      </c>
    </row>
    <row r="41" spans="1:36" ht="25.05" customHeight="1" outlineLevel="2">
      <c r="A41" s="376" t="s">
        <v>44</v>
      </c>
      <c r="B41" s="107" t="s">
        <v>44</v>
      </c>
      <c r="C41" s="108" t="s">
        <v>44</v>
      </c>
      <c r="D41" s="109" t="s">
        <v>74</v>
      </c>
      <c r="E41" s="289"/>
      <c r="F41" s="299"/>
      <c r="G41" s="62"/>
      <c r="H41" s="111">
        <v>96853.752186860002</v>
      </c>
      <c r="I41" s="112" t="s">
        <v>75</v>
      </c>
      <c r="J41" s="113">
        <v>40.178571428571423</v>
      </c>
      <c r="K41" s="114">
        <v>3891445.4003649103</v>
      </c>
      <c r="L41" s="113">
        <v>5.8928571428571432</v>
      </c>
      <c r="M41" s="114">
        <v>570745.32538685366</v>
      </c>
      <c r="N41" s="115">
        <v>0</v>
      </c>
      <c r="O41" s="114">
        <v>0</v>
      </c>
      <c r="P41" s="116">
        <v>4462190.7257517641</v>
      </c>
      <c r="Q41" s="117">
        <f t="shared" ref="Q41:Q56" si="10">P41/P$13</f>
        <v>1.2693908397111374E-2</v>
      </c>
      <c r="R41" s="114">
        <f t="shared" ref="R41:R56" si="11">P41/I$5</f>
        <v>371.44342520394503</v>
      </c>
      <c r="S41" s="377">
        <f t="shared" ref="S41:S56" si="12">P41/I$7</f>
        <v>14487.632226466767</v>
      </c>
      <c r="T41" s="357"/>
      <c r="U41" s="104"/>
      <c r="V41" s="95"/>
      <c r="W41" s="105"/>
      <c r="X41" s="95"/>
      <c r="Y41" s="95"/>
      <c r="Z41" s="95"/>
      <c r="AA41" s="95"/>
      <c r="AB41" s="95"/>
      <c r="AC41" s="95"/>
      <c r="AD41" s="17">
        <f t="shared" si="0"/>
        <v>0</v>
      </c>
      <c r="AE41" s="17">
        <f t="shared" si="6"/>
        <v>0</v>
      </c>
      <c r="AF41" s="17">
        <f t="shared" si="6"/>
        <v>0</v>
      </c>
      <c r="AG41" s="17">
        <f t="shared" si="6"/>
        <v>0</v>
      </c>
      <c r="AH41" s="18" t="str">
        <f t="shared" si="2"/>
        <v>0,;!0,;!0,;!0</v>
      </c>
      <c r="AI41" s="18" t="e">
        <f>INDEX([1]Library!$AL:$AL,MATCH(AH41,[1]Library!$AJ:$AJ,0),1)</f>
        <v>#N/A</v>
      </c>
      <c r="AJ41" s="18" t="e">
        <f>TEXT(INDEX([1]Library!$W:$W,MATCH(AH41,[1]Library!$AJ:$AJ,0),1),"")</f>
        <v>#N/A</v>
      </c>
    </row>
    <row r="42" spans="1:36" ht="25.05" customHeight="1" outlineLevel="2">
      <c r="A42" s="376" t="s">
        <v>44</v>
      </c>
      <c r="B42" s="107" t="s">
        <v>44</v>
      </c>
      <c r="C42" s="108" t="s">
        <v>44</v>
      </c>
      <c r="D42" s="109" t="s">
        <v>76</v>
      </c>
      <c r="E42" s="289"/>
      <c r="F42" s="299"/>
      <c r="G42" s="62"/>
      <c r="H42" s="111">
        <v>1268.40468724571</v>
      </c>
      <c r="I42" s="112" t="s">
        <v>75</v>
      </c>
      <c r="J42" s="113">
        <v>40.178571428571423</v>
      </c>
      <c r="K42" s="114">
        <v>50962.688326836556</v>
      </c>
      <c r="L42" s="113">
        <v>5.8928571428571432</v>
      </c>
      <c r="M42" s="114">
        <v>7474.5276212693625</v>
      </c>
      <c r="N42" s="115">
        <v>0</v>
      </c>
      <c r="O42" s="114">
        <v>0</v>
      </c>
      <c r="P42" s="116">
        <v>58437.215948105921</v>
      </c>
      <c r="Q42" s="117">
        <f t="shared" si="10"/>
        <v>1.6624046613392994E-4</v>
      </c>
      <c r="R42" s="114">
        <f t="shared" si="11"/>
        <v>4.864453580139191</v>
      </c>
      <c r="S42" s="377">
        <f t="shared" si="12"/>
        <v>189.73122061073352</v>
      </c>
      <c r="T42" s="357"/>
      <c r="U42" s="104"/>
      <c r="V42" s="95"/>
      <c r="W42" s="105"/>
      <c r="X42" s="95"/>
      <c r="Y42" s="95"/>
      <c r="Z42" s="95"/>
      <c r="AA42" s="95"/>
      <c r="AB42" s="95"/>
      <c r="AC42" s="95"/>
      <c r="AD42" s="17">
        <f t="shared" si="0"/>
        <v>0</v>
      </c>
      <c r="AE42" s="17">
        <f t="shared" si="6"/>
        <v>0</v>
      </c>
      <c r="AF42" s="17">
        <f t="shared" si="6"/>
        <v>0</v>
      </c>
      <c r="AG42" s="17">
        <f t="shared" si="6"/>
        <v>0</v>
      </c>
      <c r="AH42" s="18" t="str">
        <f t="shared" si="2"/>
        <v>0,;!0,;!0,;!0</v>
      </c>
      <c r="AI42" s="18" t="e">
        <f>INDEX([1]Library!$AL:$AL,MATCH(AH42,[1]Library!$AJ:$AJ,0),1)</f>
        <v>#N/A</v>
      </c>
      <c r="AJ42" s="18" t="e">
        <f>TEXT(INDEX([1]Library!$W:$W,MATCH(AH42,[1]Library!$AJ:$AJ,0),1),"")</f>
        <v>#N/A</v>
      </c>
    </row>
    <row r="43" spans="1:36" ht="25.05" customHeight="1" outlineLevel="2">
      <c r="A43" s="376" t="s">
        <v>44</v>
      </c>
      <c r="B43" s="107" t="s">
        <v>44</v>
      </c>
      <c r="C43" s="108" t="s">
        <v>44</v>
      </c>
      <c r="D43" s="109" t="s">
        <v>77</v>
      </c>
      <c r="E43" s="289"/>
      <c r="F43" s="299"/>
      <c r="G43" s="62"/>
      <c r="H43" s="111">
        <v>9824.3653833478602</v>
      </c>
      <c r="I43" s="112" t="s">
        <v>75</v>
      </c>
      <c r="J43" s="113">
        <v>40.178571428571423</v>
      </c>
      <c r="K43" s="114">
        <v>394728.96629522648</v>
      </c>
      <c r="L43" s="113">
        <v>5.8928571428571432</v>
      </c>
      <c r="M43" s="114">
        <v>57893.581723299896</v>
      </c>
      <c r="N43" s="115">
        <v>0</v>
      </c>
      <c r="O43" s="114">
        <v>0</v>
      </c>
      <c r="P43" s="116">
        <v>452622.5480185264</v>
      </c>
      <c r="Q43" s="117">
        <f t="shared" si="10"/>
        <v>1.2876072575419423E-3</v>
      </c>
      <c r="R43" s="114">
        <f t="shared" si="11"/>
        <v>37.677383127144125</v>
      </c>
      <c r="S43" s="377">
        <f t="shared" si="12"/>
        <v>1469.553727332878</v>
      </c>
      <c r="T43" s="357"/>
      <c r="U43" s="104"/>
      <c r="V43" s="95"/>
      <c r="W43" s="105"/>
      <c r="X43" s="95"/>
      <c r="Y43" s="95"/>
      <c r="Z43" s="95"/>
      <c r="AA43" s="95"/>
      <c r="AB43" s="95"/>
      <c r="AC43" s="95"/>
      <c r="AD43" s="17">
        <f t="shared" si="0"/>
        <v>0</v>
      </c>
      <c r="AE43" s="17">
        <f t="shared" si="6"/>
        <v>0</v>
      </c>
      <c r="AF43" s="17">
        <f t="shared" si="6"/>
        <v>0</v>
      </c>
      <c r="AG43" s="17">
        <f t="shared" si="6"/>
        <v>0</v>
      </c>
      <c r="AH43" s="18" t="str">
        <f t="shared" si="2"/>
        <v>0,;!0,;!0,;!0</v>
      </c>
      <c r="AI43" s="18" t="e">
        <f>INDEX([1]Library!$AL:$AL,MATCH(AH43,[1]Library!$AJ:$AJ,0),1)</f>
        <v>#N/A</v>
      </c>
      <c r="AJ43" s="18" t="e">
        <f>TEXT(INDEX([1]Library!$W:$W,MATCH(AH43,[1]Library!$AJ:$AJ,0),1),"")</f>
        <v>#N/A</v>
      </c>
    </row>
    <row r="44" spans="1:36" ht="25.05" customHeight="1" outlineLevel="2">
      <c r="A44" s="376" t="s">
        <v>44</v>
      </c>
      <c r="B44" s="107" t="s">
        <v>44</v>
      </c>
      <c r="C44" s="108" t="s">
        <v>44</v>
      </c>
      <c r="D44" s="109" t="s">
        <v>78</v>
      </c>
      <c r="E44" s="289"/>
      <c r="F44" s="299"/>
      <c r="G44" s="62"/>
      <c r="H44" s="111">
        <v>6915.6400444195297</v>
      </c>
      <c r="I44" s="112" t="s">
        <v>75</v>
      </c>
      <c r="J44" s="113">
        <v>40.178571428571423</v>
      </c>
      <c r="K44" s="114">
        <v>277860.53749899892</v>
      </c>
      <c r="L44" s="113">
        <v>5.8928571428571432</v>
      </c>
      <c r="M44" s="114">
        <v>40752.878833186514</v>
      </c>
      <c r="N44" s="115">
        <v>0</v>
      </c>
      <c r="O44" s="114">
        <v>0</v>
      </c>
      <c r="P44" s="116">
        <v>318613.41633218544</v>
      </c>
      <c r="Q44" s="117">
        <f t="shared" si="10"/>
        <v>9.0638203734110564E-4</v>
      </c>
      <c r="R44" s="114">
        <f t="shared" si="11"/>
        <v>26.522142586905925</v>
      </c>
      <c r="S44" s="377">
        <f t="shared" si="12"/>
        <v>1034.459143935667</v>
      </c>
      <c r="T44" s="357"/>
      <c r="U44" s="104"/>
      <c r="V44" s="95"/>
      <c r="W44" s="105"/>
      <c r="X44" s="95"/>
      <c r="Y44" s="95"/>
      <c r="Z44" s="95"/>
      <c r="AA44" s="95"/>
      <c r="AB44" s="95"/>
      <c r="AC44" s="95"/>
      <c r="AD44" s="17">
        <f t="shared" si="0"/>
        <v>0</v>
      </c>
      <c r="AE44" s="17">
        <f t="shared" si="6"/>
        <v>0</v>
      </c>
      <c r="AF44" s="17">
        <f t="shared" si="6"/>
        <v>0</v>
      </c>
      <c r="AG44" s="17">
        <f t="shared" si="6"/>
        <v>0</v>
      </c>
      <c r="AH44" s="18" t="str">
        <f t="shared" si="2"/>
        <v>0,;!0,;!0,;!0</v>
      </c>
      <c r="AI44" s="18" t="e">
        <f>INDEX([1]Library!$AL:$AL,MATCH(AH44,[1]Library!$AJ:$AJ,0),1)</f>
        <v>#N/A</v>
      </c>
      <c r="AJ44" s="18" t="e">
        <f>TEXT(INDEX([1]Library!$W:$W,MATCH(AH44,[1]Library!$AJ:$AJ,0),1),"")</f>
        <v>#N/A</v>
      </c>
    </row>
    <row r="45" spans="1:36" ht="25.05" customHeight="1" outlineLevel="2">
      <c r="A45" s="376" t="s">
        <v>44</v>
      </c>
      <c r="B45" s="107" t="s">
        <v>44</v>
      </c>
      <c r="C45" s="108" t="s">
        <v>44</v>
      </c>
      <c r="D45" s="109" t="s">
        <v>79</v>
      </c>
      <c r="E45" s="289"/>
      <c r="F45" s="299"/>
      <c r="G45" s="62"/>
      <c r="H45" s="111">
        <v>261505.61661429799</v>
      </c>
      <c r="I45" s="112" t="s">
        <v>75</v>
      </c>
      <c r="J45" s="113">
        <v>40.178571428571423</v>
      </c>
      <c r="K45" s="114">
        <v>10506922.096110186</v>
      </c>
      <c r="L45" s="113">
        <v>5.8928571428571432</v>
      </c>
      <c r="M45" s="114">
        <v>1541015.2407628275</v>
      </c>
      <c r="N45" s="115">
        <v>0</v>
      </c>
      <c r="O45" s="114">
        <v>0</v>
      </c>
      <c r="P45" s="116">
        <v>12047937.336873014</v>
      </c>
      <c r="Q45" s="117">
        <f t="shared" si="10"/>
        <v>3.4273616330605931E-2</v>
      </c>
      <c r="R45" s="114">
        <f t="shared" si="11"/>
        <v>1002.8991107942084</v>
      </c>
      <c r="S45" s="377">
        <f t="shared" si="12"/>
        <v>39116.679665172123</v>
      </c>
      <c r="T45" s="357"/>
      <c r="U45" s="104"/>
      <c r="V45" s="95"/>
      <c r="W45" s="105"/>
      <c r="X45" s="95"/>
      <c r="Y45" s="95"/>
      <c r="Z45" s="95"/>
      <c r="AA45" s="95"/>
      <c r="AB45" s="95"/>
      <c r="AC45" s="95"/>
      <c r="AD45" s="17">
        <f t="shared" si="0"/>
        <v>0</v>
      </c>
      <c r="AE45" s="17">
        <f t="shared" si="6"/>
        <v>0</v>
      </c>
      <c r="AF45" s="17">
        <f t="shared" si="6"/>
        <v>0</v>
      </c>
      <c r="AG45" s="17">
        <f t="shared" si="6"/>
        <v>0</v>
      </c>
      <c r="AH45" s="18" t="str">
        <f t="shared" si="2"/>
        <v>0,;!0,;!0,;!0</v>
      </c>
      <c r="AI45" s="18" t="e">
        <f>INDEX([1]Library!$AL:$AL,MATCH(AH45,[1]Library!$AJ:$AJ,0),1)</f>
        <v>#N/A</v>
      </c>
      <c r="AJ45" s="18" t="e">
        <f>TEXT(INDEX([1]Library!$W:$W,MATCH(AH45,[1]Library!$AJ:$AJ,0),1),"")</f>
        <v>#N/A</v>
      </c>
    </row>
    <row r="46" spans="1:36" ht="25.05" customHeight="1" outlineLevel="2">
      <c r="A46" s="376" t="s">
        <v>44</v>
      </c>
      <c r="B46" s="107" t="s">
        <v>44</v>
      </c>
      <c r="C46" s="108" t="s">
        <v>44</v>
      </c>
      <c r="D46" s="109" t="s">
        <v>80</v>
      </c>
      <c r="E46" s="289"/>
      <c r="F46" s="299"/>
      <c r="G46" s="62"/>
      <c r="H46" s="111">
        <v>41227.091145596598</v>
      </c>
      <c r="I46" s="112" t="s">
        <v>75</v>
      </c>
      <c r="J46" s="113">
        <v>40.178571428571423</v>
      </c>
      <c r="K46" s="114">
        <v>1656445.6263855775</v>
      </c>
      <c r="L46" s="113">
        <v>5.8928571428571432</v>
      </c>
      <c r="M46" s="114">
        <v>242945.35853655139</v>
      </c>
      <c r="N46" s="115">
        <v>0</v>
      </c>
      <c r="O46" s="114">
        <v>0</v>
      </c>
      <c r="P46" s="116">
        <v>1899390.984922129</v>
      </c>
      <c r="Q46" s="117">
        <f t="shared" si="10"/>
        <v>5.4033313802019575E-3</v>
      </c>
      <c r="R46" s="114">
        <f t="shared" si="11"/>
        <v>158.10984706892128</v>
      </c>
      <c r="S46" s="377">
        <f t="shared" si="12"/>
        <v>6166.8538471497695</v>
      </c>
      <c r="T46" s="357"/>
      <c r="U46" s="104"/>
      <c r="V46" s="95"/>
      <c r="W46" s="105"/>
      <c r="X46" s="95"/>
      <c r="Y46" s="95"/>
      <c r="Z46" s="95"/>
      <c r="AA46" s="95"/>
      <c r="AB46" s="95"/>
      <c r="AC46" s="95"/>
      <c r="AD46" s="17">
        <f t="shared" si="0"/>
        <v>0</v>
      </c>
      <c r="AE46" s="17">
        <f t="shared" ref="AE46:AG61" si="13">IF(AA46=" ",IF($X46&gt;=AE$12,AE45,""),AA46)</f>
        <v>0</v>
      </c>
      <c r="AF46" s="17">
        <f t="shared" si="13"/>
        <v>0</v>
      </c>
      <c r="AG46" s="17">
        <f t="shared" si="13"/>
        <v>0</v>
      </c>
      <c r="AH46" s="18" t="str">
        <f t="shared" si="2"/>
        <v>0,;!0,;!0,;!0</v>
      </c>
      <c r="AI46" s="18" t="e">
        <f>INDEX([1]Library!$AL:$AL,MATCH(AH46,[1]Library!$AJ:$AJ,0),1)</f>
        <v>#N/A</v>
      </c>
      <c r="AJ46" s="18" t="e">
        <f>TEXT(INDEX([1]Library!$W:$W,MATCH(AH46,[1]Library!$AJ:$AJ,0),1),"")</f>
        <v>#N/A</v>
      </c>
    </row>
    <row r="47" spans="1:36" ht="25.05" customHeight="1" outlineLevel="2">
      <c r="A47" s="376" t="s">
        <v>44</v>
      </c>
      <c r="B47" s="107" t="s">
        <v>44</v>
      </c>
      <c r="C47" s="108" t="s">
        <v>44</v>
      </c>
      <c r="D47" s="109" t="s">
        <v>81</v>
      </c>
      <c r="E47" s="289"/>
      <c r="F47" s="299"/>
      <c r="G47" s="62"/>
      <c r="H47" s="111">
        <v>101751.42582615139</v>
      </c>
      <c r="I47" s="112" t="s">
        <v>75</v>
      </c>
      <c r="J47" s="113">
        <v>40.178571428571423</v>
      </c>
      <c r="K47" s="114">
        <v>4088226.9305150108</v>
      </c>
      <c r="L47" s="113">
        <v>5.8928571428571432</v>
      </c>
      <c r="M47" s="114">
        <v>599606.61647553497</v>
      </c>
      <c r="N47" s="115">
        <v>0</v>
      </c>
      <c r="O47" s="114">
        <v>0</v>
      </c>
      <c r="P47" s="116">
        <v>4687833.5469905455</v>
      </c>
      <c r="Q47" s="117">
        <f t="shared" si="10"/>
        <v>1.3335810431181939E-2</v>
      </c>
      <c r="R47" s="114">
        <f t="shared" si="11"/>
        <v>390.22647316061745</v>
      </c>
      <c r="S47" s="377">
        <f t="shared" si="12"/>
        <v>15220.238788930343</v>
      </c>
      <c r="T47" s="357"/>
      <c r="U47" s="104"/>
      <c r="V47" s="95"/>
      <c r="W47" s="105"/>
      <c r="X47" s="95"/>
      <c r="Y47" s="95"/>
      <c r="Z47" s="95"/>
      <c r="AA47" s="95"/>
      <c r="AB47" s="95"/>
      <c r="AC47" s="95"/>
      <c r="AD47" s="17">
        <f t="shared" si="0"/>
        <v>0</v>
      </c>
      <c r="AE47" s="17">
        <f t="shared" si="13"/>
        <v>0</v>
      </c>
      <c r="AF47" s="17">
        <f t="shared" si="13"/>
        <v>0</v>
      </c>
      <c r="AG47" s="17">
        <f t="shared" si="13"/>
        <v>0</v>
      </c>
      <c r="AH47" s="18" t="str">
        <f t="shared" si="2"/>
        <v>0,;!0,;!0,;!0</v>
      </c>
      <c r="AI47" s="18" t="e">
        <f>INDEX([1]Library!$AL:$AL,MATCH(AH47,[1]Library!$AJ:$AJ,0),1)</f>
        <v>#N/A</v>
      </c>
      <c r="AJ47" s="18" t="e">
        <f>TEXT(INDEX([1]Library!$W:$W,MATCH(AH47,[1]Library!$AJ:$AJ,0),1),"")</f>
        <v>#N/A</v>
      </c>
    </row>
    <row r="48" spans="1:36" ht="25.05" customHeight="1" outlineLevel="2">
      <c r="A48" s="376" t="s">
        <v>44</v>
      </c>
      <c r="B48" s="107" t="s">
        <v>44</v>
      </c>
      <c r="C48" s="108" t="s">
        <v>44</v>
      </c>
      <c r="D48" s="109" t="s">
        <v>82</v>
      </c>
      <c r="E48" s="289"/>
      <c r="F48" s="299"/>
      <c r="G48" s="62"/>
      <c r="H48" s="111">
        <v>10297.337760524701</v>
      </c>
      <c r="I48" s="112" t="s">
        <v>75</v>
      </c>
      <c r="J48" s="113">
        <v>40.178571428571423</v>
      </c>
      <c r="K48" s="114">
        <v>413732.32073536736</v>
      </c>
      <c r="L48" s="113">
        <v>5.8928571428571432</v>
      </c>
      <c r="M48" s="114">
        <v>60680.740374520559</v>
      </c>
      <c r="N48" s="115">
        <v>0</v>
      </c>
      <c r="O48" s="114">
        <v>0</v>
      </c>
      <c r="P48" s="116">
        <v>474413.0611098879</v>
      </c>
      <c r="Q48" s="117">
        <f t="shared" si="10"/>
        <v>1.349596265656605E-3</v>
      </c>
      <c r="R48" s="114">
        <f t="shared" si="11"/>
        <v>39.491277538446568</v>
      </c>
      <c r="S48" s="377">
        <f t="shared" si="12"/>
        <v>1540.302146460675</v>
      </c>
      <c r="T48" s="357"/>
      <c r="U48" s="104"/>
      <c r="V48" s="95"/>
      <c r="W48" s="105"/>
      <c r="X48" s="95"/>
      <c r="Y48" s="95"/>
      <c r="Z48" s="95"/>
      <c r="AA48" s="95"/>
      <c r="AB48" s="95"/>
      <c r="AC48" s="95"/>
      <c r="AD48" s="17">
        <f t="shared" si="0"/>
        <v>0</v>
      </c>
      <c r="AE48" s="17">
        <f t="shared" si="13"/>
        <v>0</v>
      </c>
      <c r="AF48" s="17">
        <f t="shared" si="13"/>
        <v>0</v>
      </c>
      <c r="AG48" s="17">
        <f t="shared" si="13"/>
        <v>0</v>
      </c>
      <c r="AH48" s="18" t="str">
        <f t="shared" si="2"/>
        <v>0,;!0,;!0,;!0</v>
      </c>
      <c r="AI48" s="18" t="e">
        <f>INDEX([1]Library!$AL:$AL,MATCH(AH48,[1]Library!$AJ:$AJ,0),1)</f>
        <v>#N/A</v>
      </c>
      <c r="AJ48" s="18" t="e">
        <f>TEXT(INDEX([1]Library!$W:$W,MATCH(AH48,[1]Library!$AJ:$AJ,0),1),"")</f>
        <v>#N/A</v>
      </c>
    </row>
    <row r="49" spans="1:36" ht="25.05" customHeight="1" outlineLevel="2">
      <c r="A49" s="376" t="s">
        <v>44</v>
      </c>
      <c r="B49" s="107" t="s">
        <v>44</v>
      </c>
      <c r="C49" s="108" t="s">
        <v>44</v>
      </c>
      <c r="D49" s="109" t="s">
        <v>83</v>
      </c>
      <c r="E49" s="289"/>
      <c r="F49" s="299"/>
      <c r="G49" s="62"/>
      <c r="H49" s="111">
        <v>206170.95339569499</v>
      </c>
      <c r="I49" s="112" t="s">
        <v>75</v>
      </c>
      <c r="J49" s="113">
        <v>40.178571428571423</v>
      </c>
      <c r="K49" s="114">
        <v>8283654.3775056014</v>
      </c>
      <c r="L49" s="113">
        <v>5.8928571428571432</v>
      </c>
      <c r="M49" s="114">
        <v>1214935.9753674883</v>
      </c>
      <c r="N49" s="115">
        <v>0</v>
      </c>
      <c r="O49" s="114">
        <v>0</v>
      </c>
      <c r="P49" s="116">
        <v>9498590.3528730907</v>
      </c>
      <c r="Q49" s="117">
        <f t="shared" si="10"/>
        <v>2.7021309319032561E-2</v>
      </c>
      <c r="R49" s="114">
        <f t="shared" si="11"/>
        <v>790.68537230351592</v>
      </c>
      <c r="S49" s="377">
        <f t="shared" si="12"/>
        <v>30839.579067769773</v>
      </c>
      <c r="T49" s="357"/>
      <c r="U49" s="104"/>
      <c r="V49" s="95"/>
      <c r="W49" s="105"/>
      <c r="X49" s="95"/>
      <c r="Y49" s="95"/>
      <c r="Z49" s="95"/>
      <c r="AA49" s="95"/>
      <c r="AB49" s="95"/>
      <c r="AC49" s="95"/>
      <c r="AD49" s="17">
        <f t="shared" si="0"/>
        <v>0</v>
      </c>
      <c r="AE49" s="17">
        <f t="shared" si="13"/>
        <v>0</v>
      </c>
      <c r="AF49" s="17">
        <f t="shared" si="13"/>
        <v>0</v>
      </c>
      <c r="AG49" s="17">
        <f t="shared" si="13"/>
        <v>0</v>
      </c>
      <c r="AH49" s="18" t="str">
        <f t="shared" si="2"/>
        <v>0,;!0,;!0,;!0</v>
      </c>
      <c r="AI49" s="18" t="e">
        <f>INDEX([1]Library!$AL:$AL,MATCH(AH49,[1]Library!$AJ:$AJ,0),1)</f>
        <v>#N/A</v>
      </c>
      <c r="AJ49" s="18" t="e">
        <f>TEXT(INDEX([1]Library!$W:$W,MATCH(AH49,[1]Library!$AJ:$AJ,0),1),"")</f>
        <v>#N/A</v>
      </c>
    </row>
    <row r="50" spans="1:36" ht="25.05" customHeight="1" outlineLevel="2">
      <c r="A50" s="376" t="s">
        <v>44</v>
      </c>
      <c r="B50" s="107" t="s">
        <v>44</v>
      </c>
      <c r="C50" s="108" t="s">
        <v>44</v>
      </c>
      <c r="D50" s="109" t="s">
        <v>84</v>
      </c>
      <c r="E50" s="289"/>
      <c r="F50" s="299"/>
      <c r="G50" s="62"/>
      <c r="H50" s="111">
        <v>472.394098993809</v>
      </c>
      <c r="I50" s="112" t="s">
        <v>75</v>
      </c>
      <c r="J50" s="113">
        <v>40.178571428571423</v>
      </c>
      <c r="K50" s="114">
        <v>18980.120048858396</v>
      </c>
      <c r="L50" s="113">
        <v>5.8928571428571423</v>
      </c>
      <c r="M50" s="114">
        <v>2783.7509404992315</v>
      </c>
      <c r="N50" s="115">
        <v>0</v>
      </c>
      <c r="O50" s="114">
        <v>0</v>
      </c>
      <c r="P50" s="116">
        <v>21763.870989357627</v>
      </c>
      <c r="Q50" s="117">
        <f t="shared" si="10"/>
        <v>6.1913217449689197E-5</v>
      </c>
      <c r="R50" s="114">
        <f t="shared" si="11"/>
        <v>1.8116766590298121</v>
      </c>
      <c r="S50" s="377">
        <f t="shared" si="12"/>
        <v>70.661918796615666</v>
      </c>
      <c r="T50" s="357"/>
      <c r="U50" s="104"/>
      <c r="V50" s="95"/>
      <c r="W50" s="105"/>
      <c r="X50" s="95"/>
      <c r="Y50" s="95"/>
      <c r="Z50" s="95"/>
      <c r="AA50" s="95"/>
      <c r="AB50" s="95"/>
      <c r="AC50" s="95"/>
      <c r="AD50" s="17">
        <f t="shared" si="0"/>
        <v>0</v>
      </c>
      <c r="AE50" s="17">
        <f t="shared" si="13"/>
        <v>0</v>
      </c>
      <c r="AF50" s="17">
        <f t="shared" si="13"/>
        <v>0</v>
      </c>
      <c r="AG50" s="17">
        <f t="shared" si="13"/>
        <v>0</v>
      </c>
      <c r="AH50" s="18" t="str">
        <f t="shared" si="2"/>
        <v>0,;!0,;!0,;!0</v>
      </c>
      <c r="AI50" s="18" t="e">
        <f>INDEX([1]Library!$AL:$AL,MATCH(AH50,[1]Library!$AJ:$AJ,0),1)</f>
        <v>#N/A</v>
      </c>
      <c r="AJ50" s="18" t="e">
        <f>TEXT(INDEX([1]Library!$W:$W,MATCH(AH50,[1]Library!$AJ:$AJ,0),1),"")</f>
        <v>#N/A</v>
      </c>
    </row>
    <row r="51" spans="1:36" ht="25.05" customHeight="1" outlineLevel="2">
      <c r="A51" s="376" t="s">
        <v>44</v>
      </c>
      <c r="B51" s="107" t="s">
        <v>44</v>
      </c>
      <c r="C51" s="108" t="s">
        <v>44</v>
      </c>
      <c r="D51" s="109" t="s">
        <v>85</v>
      </c>
      <c r="E51" s="289"/>
      <c r="F51" s="299"/>
      <c r="G51" s="62"/>
      <c r="H51" s="111">
        <v>215.47565328766399</v>
      </c>
      <c r="I51" s="112" t="s">
        <v>75</v>
      </c>
      <c r="J51" s="113">
        <v>40.178571428571423</v>
      </c>
      <c r="K51" s="114">
        <v>8657.5039267364991</v>
      </c>
      <c r="L51" s="113">
        <v>5.8928571428571432</v>
      </c>
      <c r="M51" s="114">
        <v>1269.7672425880201</v>
      </c>
      <c r="N51" s="115">
        <v>0</v>
      </c>
      <c r="O51" s="114">
        <v>0</v>
      </c>
      <c r="P51" s="116">
        <v>9927.2711693245183</v>
      </c>
      <c r="Q51" s="117">
        <f t="shared" si="10"/>
        <v>2.8240807845670855E-5</v>
      </c>
      <c r="R51" s="114">
        <f t="shared" si="11"/>
        <v>0.82636978844982834</v>
      </c>
      <c r="S51" s="377">
        <f t="shared" si="12"/>
        <v>32.231399900404277</v>
      </c>
      <c r="T51" s="357"/>
      <c r="U51" s="104"/>
      <c r="V51" s="95"/>
      <c r="W51" s="105"/>
      <c r="X51" s="95"/>
      <c r="Y51" s="95"/>
      <c r="Z51" s="95"/>
      <c r="AA51" s="95"/>
      <c r="AB51" s="95"/>
      <c r="AC51" s="95"/>
      <c r="AD51" s="17">
        <f t="shared" si="0"/>
        <v>0</v>
      </c>
      <c r="AE51" s="17">
        <f t="shared" si="13"/>
        <v>0</v>
      </c>
      <c r="AF51" s="17">
        <f t="shared" si="13"/>
        <v>0</v>
      </c>
      <c r="AG51" s="17">
        <f t="shared" si="13"/>
        <v>0</v>
      </c>
      <c r="AH51" s="18" t="str">
        <f t="shared" si="2"/>
        <v>0,;!0,;!0,;!0</v>
      </c>
      <c r="AI51" s="18" t="e">
        <f>INDEX([1]Library!$AL:$AL,MATCH(AH51,[1]Library!$AJ:$AJ,0),1)</f>
        <v>#N/A</v>
      </c>
      <c r="AJ51" s="18" t="e">
        <f>TEXT(INDEX([1]Library!$W:$W,MATCH(AH51,[1]Library!$AJ:$AJ,0),1),"")</f>
        <v>#N/A</v>
      </c>
    </row>
    <row r="52" spans="1:36" ht="25.05" customHeight="1" outlineLevel="2">
      <c r="A52" s="376" t="s">
        <v>44</v>
      </c>
      <c r="B52" s="107" t="s">
        <v>44</v>
      </c>
      <c r="C52" s="108" t="s">
        <v>44</v>
      </c>
      <c r="D52" s="109" t="s">
        <v>86</v>
      </c>
      <c r="E52" s="289"/>
      <c r="F52" s="299"/>
      <c r="G52" s="62"/>
      <c r="H52" s="111">
        <v>4318.8736535804901</v>
      </c>
      <c r="I52" s="112" t="s">
        <v>75</v>
      </c>
      <c r="J52" s="113">
        <v>40.178571428571423</v>
      </c>
      <c r="K52" s="114">
        <v>173526.17358135895</v>
      </c>
      <c r="L52" s="113">
        <v>5.8928571428571432</v>
      </c>
      <c r="M52" s="114">
        <v>25450.505458599317</v>
      </c>
      <c r="N52" s="115">
        <v>0</v>
      </c>
      <c r="O52" s="114">
        <v>0</v>
      </c>
      <c r="P52" s="116">
        <v>198976.67903995825</v>
      </c>
      <c r="Q52" s="117">
        <f t="shared" si="10"/>
        <v>5.6604298026035856E-4</v>
      </c>
      <c r="R52" s="114">
        <f t="shared" si="11"/>
        <v>16.563294520732619</v>
      </c>
      <c r="S52" s="377">
        <f t="shared" si="12"/>
        <v>646.02817870116314</v>
      </c>
      <c r="T52" s="357"/>
      <c r="U52" s="104"/>
      <c r="V52" s="95"/>
      <c r="W52" s="105"/>
      <c r="X52" s="95"/>
      <c r="Y52" s="95"/>
      <c r="Z52" s="95"/>
      <c r="AA52" s="95"/>
      <c r="AB52" s="95"/>
      <c r="AC52" s="95"/>
      <c r="AD52" s="17">
        <f t="shared" si="0"/>
        <v>0</v>
      </c>
      <c r="AE52" s="17">
        <f t="shared" si="13"/>
        <v>0</v>
      </c>
      <c r="AF52" s="17">
        <f t="shared" si="13"/>
        <v>0</v>
      </c>
      <c r="AG52" s="17">
        <f t="shared" si="13"/>
        <v>0</v>
      </c>
      <c r="AH52" s="18" t="str">
        <f t="shared" si="2"/>
        <v>0,;!0,;!0,;!0</v>
      </c>
      <c r="AI52" s="18" t="e">
        <f>INDEX([1]Library!$AL:$AL,MATCH(AH52,[1]Library!$AJ:$AJ,0),1)</f>
        <v>#N/A</v>
      </c>
      <c r="AJ52" s="18" t="e">
        <f>TEXT(INDEX([1]Library!$W:$W,MATCH(AH52,[1]Library!$AJ:$AJ,0),1),"")</f>
        <v>#N/A</v>
      </c>
    </row>
    <row r="53" spans="1:36" ht="25.05" customHeight="1" outlineLevel="2">
      <c r="A53" s="376" t="s">
        <v>44</v>
      </c>
      <c r="B53" s="107" t="s">
        <v>44</v>
      </c>
      <c r="C53" s="108" t="s">
        <v>44</v>
      </c>
      <c r="D53" s="109" t="s">
        <v>87</v>
      </c>
      <c r="E53" s="289"/>
      <c r="F53" s="299"/>
      <c r="G53" s="62"/>
      <c r="H53" s="111">
        <v>1028.8011825000001</v>
      </c>
      <c r="I53" s="112" t="s">
        <v>75</v>
      </c>
      <c r="J53" s="113">
        <v>40.178571428571423</v>
      </c>
      <c r="K53" s="114">
        <v>41335.761796874998</v>
      </c>
      <c r="L53" s="113">
        <v>5.8928571428571432</v>
      </c>
      <c r="M53" s="114">
        <v>6062.5783968750011</v>
      </c>
      <c r="N53" s="115">
        <v>0</v>
      </c>
      <c r="O53" s="114">
        <v>0</v>
      </c>
      <c r="P53" s="116">
        <v>47398.340193750002</v>
      </c>
      <c r="Q53" s="117">
        <f t="shared" si="10"/>
        <v>1.3483739839318922E-4</v>
      </c>
      <c r="R53" s="114">
        <f t="shared" si="11"/>
        <v>3.9455511681612836</v>
      </c>
      <c r="S53" s="377">
        <f t="shared" si="12"/>
        <v>153.89071491477273</v>
      </c>
      <c r="T53" s="357"/>
      <c r="U53" s="104"/>
      <c r="V53" s="95"/>
      <c r="W53" s="105"/>
      <c r="X53" s="95"/>
      <c r="Y53" s="95"/>
      <c r="Z53" s="95"/>
      <c r="AA53" s="95"/>
      <c r="AB53" s="95"/>
      <c r="AC53" s="95"/>
      <c r="AD53" s="17">
        <f t="shared" si="0"/>
        <v>0</v>
      </c>
      <c r="AE53" s="17">
        <f t="shared" si="13"/>
        <v>0</v>
      </c>
      <c r="AF53" s="17">
        <f t="shared" si="13"/>
        <v>0</v>
      </c>
      <c r="AG53" s="17">
        <f t="shared" si="13"/>
        <v>0</v>
      </c>
      <c r="AH53" s="18" t="str">
        <f t="shared" si="2"/>
        <v>0,;!0,;!0,;!0</v>
      </c>
      <c r="AI53" s="18" t="e">
        <f>INDEX([1]Library!$AL:$AL,MATCH(AH53,[1]Library!$AJ:$AJ,0),1)</f>
        <v>#N/A</v>
      </c>
      <c r="AJ53" s="18" t="e">
        <f>TEXT(INDEX([1]Library!$W:$W,MATCH(AH53,[1]Library!$AJ:$AJ,0),1),"")</f>
        <v>#N/A</v>
      </c>
    </row>
    <row r="54" spans="1:36" ht="25.05" customHeight="1" outlineLevel="2">
      <c r="A54" s="376" t="s">
        <v>44</v>
      </c>
      <c r="B54" s="107" t="s">
        <v>44</v>
      </c>
      <c r="C54" s="108" t="s">
        <v>44</v>
      </c>
      <c r="D54" s="109" t="s">
        <v>88</v>
      </c>
      <c r="E54" s="289"/>
      <c r="F54" s="299"/>
      <c r="G54" s="62"/>
      <c r="H54" s="111">
        <v>741850.13163250068</v>
      </c>
      <c r="I54" s="112" t="s">
        <v>75</v>
      </c>
      <c r="J54" s="113">
        <v>2.6785714285714284</v>
      </c>
      <c r="K54" s="114">
        <v>1987098.5668727695</v>
      </c>
      <c r="L54" s="113">
        <v>0</v>
      </c>
      <c r="M54" s="114">
        <v>0</v>
      </c>
      <c r="N54" s="115">
        <v>0</v>
      </c>
      <c r="O54" s="114">
        <v>0</v>
      </c>
      <c r="P54" s="116">
        <v>1987098.5668727695</v>
      </c>
      <c r="Q54" s="117">
        <f t="shared" si="10"/>
        <v>5.6528393191137352E-3</v>
      </c>
      <c r="R54" s="114">
        <f t="shared" si="11"/>
        <v>165.4108359011754</v>
      </c>
      <c r="S54" s="377">
        <f t="shared" si="12"/>
        <v>6451.6187236128881</v>
      </c>
      <c r="T54" s="357"/>
      <c r="U54" s="104"/>
      <c r="V54" s="95"/>
      <c r="W54" s="105"/>
      <c r="X54" s="95"/>
      <c r="Y54" s="95"/>
      <c r="Z54" s="95"/>
      <c r="AA54" s="95"/>
      <c r="AB54" s="95"/>
      <c r="AC54" s="95"/>
      <c r="AD54" s="17">
        <f t="shared" si="0"/>
        <v>0</v>
      </c>
      <c r="AE54" s="17">
        <f t="shared" si="13"/>
        <v>0</v>
      </c>
      <c r="AF54" s="17">
        <f t="shared" si="13"/>
        <v>0</v>
      </c>
      <c r="AG54" s="17">
        <f t="shared" si="13"/>
        <v>0</v>
      </c>
      <c r="AH54" s="18" t="str">
        <f t="shared" si="2"/>
        <v>0,;!0,;!0,;!0</v>
      </c>
      <c r="AI54" s="18" t="e">
        <f>INDEX([1]Library!$AL:$AL,MATCH(AH54,[1]Library!$AJ:$AJ,0),1)</f>
        <v>#N/A</v>
      </c>
      <c r="AJ54" s="18" t="e">
        <f>TEXT(INDEX([1]Library!$W:$W,MATCH(AH54,[1]Library!$AJ:$AJ,0),1),"")</f>
        <v>#N/A</v>
      </c>
    </row>
    <row r="55" spans="1:36" ht="25.05" customHeight="1" outlineLevel="2">
      <c r="A55" s="376" t="s">
        <v>44</v>
      </c>
      <c r="B55" s="107" t="s">
        <v>44</v>
      </c>
      <c r="C55" s="108" t="s">
        <v>44</v>
      </c>
      <c r="D55" s="109" t="s">
        <v>89</v>
      </c>
      <c r="E55" s="289"/>
      <c r="F55" s="299"/>
      <c r="G55" s="62"/>
      <c r="H55" s="111">
        <v>6030</v>
      </c>
      <c r="I55" s="112" t="s">
        <v>90</v>
      </c>
      <c r="J55" s="113">
        <v>632.14285714285711</v>
      </c>
      <c r="K55" s="114">
        <v>3811821.4285714282</v>
      </c>
      <c r="L55" s="113">
        <v>44.642857142857132</v>
      </c>
      <c r="M55" s="114">
        <v>269196.42857142852</v>
      </c>
      <c r="N55" s="115">
        <v>0</v>
      </c>
      <c r="O55" s="114">
        <v>0</v>
      </c>
      <c r="P55" s="116">
        <v>4081017.8571428568</v>
      </c>
      <c r="Q55" s="117">
        <f t="shared" si="10"/>
        <v>1.1609559077468506E-2</v>
      </c>
      <c r="R55" s="114">
        <f t="shared" si="11"/>
        <v>339.7136842285517</v>
      </c>
      <c r="S55" s="377">
        <f t="shared" si="12"/>
        <v>13250.057977736547</v>
      </c>
      <c r="T55" s="357"/>
      <c r="U55" s="104"/>
      <c r="V55" s="95"/>
      <c r="W55" s="105"/>
      <c r="X55" s="95"/>
      <c r="Y55" s="95"/>
      <c r="Z55" s="95"/>
      <c r="AA55" s="95"/>
      <c r="AB55" s="95"/>
      <c r="AC55" s="95"/>
      <c r="AD55" s="17">
        <f t="shared" si="0"/>
        <v>0</v>
      </c>
      <c r="AE55" s="17">
        <f t="shared" si="13"/>
        <v>0</v>
      </c>
      <c r="AF55" s="17">
        <f t="shared" si="13"/>
        <v>0</v>
      </c>
      <c r="AG55" s="17">
        <f t="shared" si="13"/>
        <v>0</v>
      </c>
      <c r="AH55" s="18" t="str">
        <f t="shared" si="2"/>
        <v>0,;!0,;!0,;!0</v>
      </c>
      <c r="AI55" s="18" t="e">
        <f>INDEX([1]Library!$AL:$AL,MATCH(AH55,[1]Library!$AJ:$AJ,0),1)</f>
        <v>#N/A</v>
      </c>
      <c r="AJ55" s="18" t="e">
        <f>TEXT(INDEX([1]Library!$W:$W,MATCH(AH55,[1]Library!$AJ:$AJ,0),1),"")</f>
        <v>#N/A</v>
      </c>
    </row>
    <row r="56" spans="1:36" ht="25.05" customHeight="1" outlineLevel="2">
      <c r="A56" s="376" t="s">
        <v>44</v>
      </c>
      <c r="B56" s="107" t="s">
        <v>44</v>
      </c>
      <c r="C56" s="108" t="s">
        <v>44</v>
      </c>
      <c r="D56" s="109" t="s">
        <v>91</v>
      </c>
      <c r="E56" s="289"/>
      <c r="F56" s="299"/>
      <c r="G56" s="62"/>
      <c r="H56" s="111">
        <v>227</v>
      </c>
      <c r="I56" s="112" t="s">
        <v>92</v>
      </c>
      <c r="J56" s="113">
        <v>2574.0000000000005</v>
      </c>
      <c r="K56" s="114">
        <v>584298.00000000012</v>
      </c>
      <c r="L56" s="113">
        <v>89.285714285714278</v>
      </c>
      <c r="M56" s="114">
        <v>20267.857142857141</v>
      </c>
      <c r="N56" s="115">
        <v>0</v>
      </c>
      <c r="O56" s="114">
        <v>0</v>
      </c>
      <c r="P56" s="116">
        <v>604565.85714285728</v>
      </c>
      <c r="Q56" s="117">
        <f t="shared" si="10"/>
        <v>1.7198510960778418E-3</v>
      </c>
      <c r="R56" s="114">
        <f t="shared" si="11"/>
        <v>50.325507478318045</v>
      </c>
      <c r="S56" s="377">
        <f t="shared" si="12"/>
        <v>1962.8761595547314</v>
      </c>
      <c r="T56" s="357"/>
      <c r="U56" s="104"/>
      <c r="V56" s="95"/>
      <c r="W56" s="105"/>
      <c r="X56" s="95"/>
      <c r="Y56" s="95"/>
      <c r="Z56" s="95"/>
      <c r="AA56" s="95"/>
      <c r="AB56" s="95"/>
      <c r="AC56" s="95"/>
      <c r="AD56" s="17">
        <f t="shared" si="0"/>
        <v>0</v>
      </c>
      <c r="AE56" s="17">
        <f t="shared" si="13"/>
        <v>0</v>
      </c>
      <c r="AF56" s="17">
        <f t="shared" si="13"/>
        <v>0</v>
      </c>
      <c r="AG56" s="17">
        <f t="shared" si="13"/>
        <v>0</v>
      </c>
      <c r="AH56" s="18" t="str">
        <f t="shared" si="2"/>
        <v>0,;!0,;!0,;!0</v>
      </c>
      <c r="AI56" s="18" t="e">
        <f>INDEX([1]Library!$AL:$AL,MATCH(AH56,[1]Library!$AJ:$AJ,0),1)</f>
        <v>#N/A</v>
      </c>
      <c r="AJ56" s="18" t="e">
        <f>TEXT(INDEX([1]Library!$W:$W,MATCH(AH56,[1]Library!$AJ:$AJ,0),1),"")</f>
        <v>#N/A</v>
      </c>
    </row>
    <row r="57" spans="1:36" ht="25.05" customHeight="1" outlineLevel="1">
      <c r="A57" s="374" t="s">
        <v>44</v>
      </c>
      <c r="B57" s="96" t="s">
        <v>44</v>
      </c>
      <c r="C57" s="97" t="s">
        <v>93</v>
      </c>
      <c r="D57" s="97"/>
      <c r="E57" s="98"/>
      <c r="F57" s="298"/>
      <c r="G57" s="62"/>
      <c r="H57" s="99">
        <v>1</v>
      </c>
      <c r="I57" s="100" t="s">
        <v>35</v>
      </c>
      <c r="J57" s="99">
        <v>17483837.370571427</v>
      </c>
      <c r="K57" s="99">
        <v>17483837.370571427</v>
      </c>
      <c r="L57" s="99">
        <v>8464886.0508928578</v>
      </c>
      <c r="M57" s="99">
        <v>8464886.0508928578</v>
      </c>
      <c r="N57" s="99">
        <v>0</v>
      </c>
      <c r="O57" s="99">
        <v>0</v>
      </c>
      <c r="P57" s="101">
        <v>25948723.421464287</v>
      </c>
      <c r="Q57" s="102">
        <f>P57/P$13</f>
        <v>7.3818162059523407E-2</v>
      </c>
      <c r="R57" s="103">
        <f>P57/I$5</f>
        <v>2160.0337815490147</v>
      </c>
      <c r="S57" s="375">
        <f>P57/I$7</f>
        <v>84249.102017741185</v>
      </c>
      <c r="T57" s="356"/>
      <c r="U57" s="104"/>
      <c r="V57" s="95"/>
      <c r="W57" s="105"/>
      <c r="X57" s="95"/>
      <c r="Y57" s="95"/>
      <c r="Z57" s="95"/>
      <c r="AA57" s="95"/>
      <c r="AB57" s="95"/>
      <c r="AC57" s="95"/>
      <c r="AD57" s="17">
        <f t="shared" si="0"/>
        <v>0</v>
      </c>
      <c r="AE57" s="17">
        <f t="shared" si="13"/>
        <v>0</v>
      </c>
      <c r="AF57" s="17">
        <f t="shared" si="13"/>
        <v>0</v>
      </c>
      <c r="AG57" s="17">
        <f t="shared" si="13"/>
        <v>0</v>
      </c>
      <c r="AH57" s="18" t="str">
        <f t="shared" si="2"/>
        <v>0,;!0,;!0,;!0</v>
      </c>
      <c r="AI57" s="18" t="e">
        <f>INDEX([1]Library!$AL:$AL,MATCH(AH57,[1]Library!$AJ:$AJ,0),1)</f>
        <v>#N/A</v>
      </c>
      <c r="AJ57" s="18" t="e">
        <f>TEXT(INDEX([1]Library!$W:$W,MATCH(AH57,[1]Library!$AJ:$AJ,0),1),"")</f>
        <v>#N/A</v>
      </c>
    </row>
    <row r="58" spans="1:36" ht="25.05" customHeight="1" outlineLevel="2">
      <c r="A58" s="376" t="s">
        <v>44</v>
      </c>
      <c r="B58" s="107" t="s">
        <v>44</v>
      </c>
      <c r="C58" s="108" t="s">
        <v>44</v>
      </c>
      <c r="D58" s="109" t="s">
        <v>74</v>
      </c>
      <c r="E58" s="289"/>
      <c r="F58" s="299"/>
      <c r="G58" s="62"/>
      <c r="H58" s="111">
        <v>495.93599999999998</v>
      </c>
      <c r="I58" s="112" t="s">
        <v>71</v>
      </c>
      <c r="J58" s="113">
        <v>400</v>
      </c>
      <c r="K58" s="114">
        <v>198374.39999999999</v>
      </c>
      <c r="L58" s="113">
        <v>245.53571428571428</v>
      </c>
      <c r="M58" s="114">
        <v>121769.99999999999</v>
      </c>
      <c r="N58" s="115">
        <v>0</v>
      </c>
      <c r="O58" s="114">
        <v>0</v>
      </c>
      <c r="P58" s="116">
        <v>320144.39999999997</v>
      </c>
      <c r="Q58" s="117">
        <f t="shared" ref="Q58:Q71" si="14">P58/P$13</f>
        <v>9.1073733446557742E-4</v>
      </c>
      <c r="R58" s="114">
        <f t="shared" ref="R58:R71" si="15">P58/I$5</f>
        <v>26.649585328029126</v>
      </c>
      <c r="S58" s="377">
        <f t="shared" ref="S58:S71" si="16">P58/I$7</f>
        <v>1039.4298701298701</v>
      </c>
      <c r="T58" s="357"/>
      <c r="U58" s="104"/>
      <c r="V58" s="95"/>
      <c r="W58" s="105"/>
      <c r="X58" s="95"/>
      <c r="Y58" s="95"/>
      <c r="Z58" s="95"/>
      <c r="AA58" s="95"/>
      <c r="AB58" s="95"/>
      <c r="AC58" s="95"/>
      <c r="AD58" s="17">
        <f t="shared" si="0"/>
        <v>0</v>
      </c>
      <c r="AE58" s="17">
        <f t="shared" si="13"/>
        <v>0</v>
      </c>
      <c r="AF58" s="17">
        <f t="shared" si="13"/>
        <v>0</v>
      </c>
      <c r="AG58" s="17">
        <f t="shared" si="13"/>
        <v>0</v>
      </c>
      <c r="AH58" s="18" t="str">
        <f t="shared" si="2"/>
        <v>0,;!0,;!0,;!0</v>
      </c>
      <c r="AI58" s="18" t="e">
        <f>INDEX([1]Library!$AL:$AL,MATCH(AH58,[1]Library!$AJ:$AJ,0),1)</f>
        <v>#N/A</v>
      </c>
      <c r="AJ58" s="18" t="e">
        <f>TEXT(INDEX([1]Library!$W:$W,MATCH(AH58,[1]Library!$AJ:$AJ,0),1),"")</f>
        <v>#N/A</v>
      </c>
    </row>
    <row r="59" spans="1:36" ht="25.05" customHeight="1" outlineLevel="2">
      <c r="A59" s="376" t="s">
        <v>44</v>
      </c>
      <c r="B59" s="107" t="s">
        <v>44</v>
      </c>
      <c r="C59" s="108" t="s">
        <v>44</v>
      </c>
      <c r="D59" s="109" t="s">
        <v>76</v>
      </c>
      <c r="E59" s="289"/>
      <c r="F59" s="299"/>
      <c r="G59" s="62"/>
      <c r="H59" s="111">
        <v>204.13890000000001</v>
      </c>
      <c r="I59" s="112" t="s">
        <v>71</v>
      </c>
      <c r="J59" s="113">
        <v>400</v>
      </c>
      <c r="K59" s="114">
        <v>81655.56</v>
      </c>
      <c r="L59" s="113">
        <v>245.53571428571428</v>
      </c>
      <c r="M59" s="114">
        <v>50123.390625</v>
      </c>
      <c r="N59" s="115">
        <v>0</v>
      </c>
      <c r="O59" s="114">
        <v>0</v>
      </c>
      <c r="P59" s="116">
        <v>131778.950625</v>
      </c>
      <c r="Q59" s="117">
        <f t="shared" si="14"/>
        <v>3.7488086698028592E-4</v>
      </c>
      <c r="R59" s="114">
        <f t="shared" si="15"/>
        <v>10.96959493628211</v>
      </c>
      <c r="S59" s="377">
        <f t="shared" si="16"/>
        <v>427.85373579545455</v>
      </c>
      <c r="T59" s="357"/>
      <c r="U59" s="104"/>
      <c r="V59" s="95"/>
      <c r="W59" s="105"/>
      <c r="X59" s="95"/>
      <c r="Y59" s="95"/>
      <c r="Z59" s="95"/>
      <c r="AA59" s="95"/>
      <c r="AB59" s="95"/>
      <c r="AC59" s="95"/>
      <c r="AD59" s="17">
        <f t="shared" si="0"/>
        <v>0</v>
      </c>
      <c r="AE59" s="17">
        <f t="shared" si="13"/>
        <v>0</v>
      </c>
      <c r="AF59" s="17">
        <f t="shared" si="13"/>
        <v>0</v>
      </c>
      <c r="AG59" s="17">
        <f t="shared" si="13"/>
        <v>0</v>
      </c>
      <c r="AH59" s="18" t="str">
        <f t="shared" si="2"/>
        <v>0,;!0,;!0,;!0</v>
      </c>
      <c r="AI59" s="18" t="e">
        <f>INDEX([1]Library!$AL:$AL,MATCH(AH59,[1]Library!$AJ:$AJ,0),1)</f>
        <v>#N/A</v>
      </c>
      <c r="AJ59" s="18" t="e">
        <f>TEXT(INDEX([1]Library!$W:$W,MATCH(AH59,[1]Library!$AJ:$AJ,0),1),"")</f>
        <v>#N/A</v>
      </c>
    </row>
    <row r="60" spans="1:36" ht="25.05" customHeight="1" outlineLevel="2">
      <c r="A60" s="376" t="s">
        <v>44</v>
      </c>
      <c r="B60" s="107" t="s">
        <v>44</v>
      </c>
      <c r="C60" s="108" t="s">
        <v>44</v>
      </c>
      <c r="D60" s="109" t="s">
        <v>77</v>
      </c>
      <c r="E60" s="289"/>
      <c r="F60" s="299"/>
      <c r="G60" s="62"/>
      <c r="H60" s="111">
        <v>418.52159999999998</v>
      </c>
      <c r="I60" s="112" t="s">
        <v>71</v>
      </c>
      <c r="J60" s="113">
        <v>400</v>
      </c>
      <c r="K60" s="114">
        <v>167408.63999999998</v>
      </c>
      <c r="L60" s="113">
        <v>245.53571428571428</v>
      </c>
      <c r="M60" s="114">
        <v>102761.99999999999</v>
      </c>
      <c r="N60" s="115">
        <v>0</v>
      </c>
      <c r="O60" s="114">
        <v>0</v>
      </c>
      <c r="P60" s="116">
        <v>270170.63999999996</v>
      </c>
      <c r="Q60" s="117">
        <f t="shared" si="14"/>
        <v>7.6857345786607257E-4</v>
      </c>
      <c r="R60" s="114">
        <f t="shared" si="15"/>
        <v>22.489650057312382</v>
      </c>
      <c r="S60" s="377">
        <f t="shared" si="16"/>
        <v>877.17740259740242</v>
      </c>
      <c r="T60" s="357"/>
      <c r="U60" s="104"/>
      <c r="V60" s="95"/>
      <c r="W60" s="105"/>
      <c r="X60" s="95"/>
      <c r="Y60" s="95"/>
      <c r="Z60" s="95"/>
      <c r="AA60" s="95"/>
      <c r="AB60" s="95"/>
      <c r="AC60" s="95"/>
      <c r="AD60" s="17">
        <f t="shared" si="0"/>
        <v>0</v>
      </c>
      <c r="AE60" s="17">
        <f t="shared" si="13"/>
        <v>0</v>
      </c>
      <c r="AF60" s="17">
        <f t="shared" si="13"/>
        <v>0</v>
      </c>
      <c r="AG60" s="17">
        <f t="shared" si="13"/>
        <v>0</v>
      </c>
      <c r="AH60" s="18" t="str">
        <f t="shared" si="2"/>
        <v>0,;!0,;!0,;!0</v>
      </c>
      <c r="AI60" s="18" t="e">
        <f>INDEX([1]Library!$AL:$AL,MATCH(AH60,[1]Library!$AJ:$AJ,0),1)</f>
        <v>#N/A</v>
      </c>
      <c r="AJ60" s="18" t="e">
        <f>TEXT(INDEX([1]Library!$W:$W,MATCH(AH60,[1]Library!$AJ:$AJ,0),1),"")</f>
        <v>#N/A</v>
      </c>
    </row>
    <row r="61" spans="1:36" ht="25.05" customHeight="1" outlineLevel="2">
      <c r="A61" s="376" t="s">
        <v>44</v>
      </c>
      <c r="B61" s="107" t="s">
        <v>44</v>
      </c>
      <c r="C61" s="108" t="s">
        <v>44</v>
      </c>
      <c r="D61" s="109" t="s">
        <v>78</v>
      </c>
      <c r="E61" s="289"/>
      <c r="F61" s="299"/>
      <c r="G61" s="62"/>
      <c r="H61" s="111">
        <v>141.8655</v>
      </c>
      <c r="I61" s="112" t="s">
        <v>71</v>
      </c>
      <c r="J61" s="113">
        <v>400</v>
      </c>
      <c r="K61" s="114">
        <v>56746.2</v>
      </c>
      <c r="L61" s="113">
        <v>245.53571428571428</v>
      </c>
      <c r="M61" s="114">
        <v>34833.046875</v>
      </c>
      <c r="N61" s="115">
        <v>0</v>
      </c>
      <c r="O61" s="114">
        <v>0</v>
      </c>
      <c r="P61" s="116">
        <v>91579.246874999997</v>
      </c>
      <c r="Q61" s="117">
        <f t="shared" si="14"/>
        <v>2.6052193694877241E-4</v>
      </c>
      <c r="R61" s="114">
        <f t="shared" si="15"/>
        <v>7.6232754777905134</v>
      </c>
      <c r="S61" s="377">
        <f t="shared" si="16"/>
        <v>297.33521712662338</v>
      </c>
      <c r="T61" s="357"/>
      <c r="U61" s="104"/>
      <c r="V61" s="95"/>
      <c r="W61" s="105"/>
      <c r="X61" s="95"/>
      <c r="Y61" s="95"/>
      <c r="Z61" s="95"/>
      <c r="AA61" s="95"/>
      <c r="AB61" s="95"/>
      <c r="AC61" s="95"/>
      <c r="AD61" s="17">
        <f t="shared" si="0"/>
        <v>0</v>
      </c>
      <c r="AE61" s="17">
        <f t="shared" si="13"/>
        <v>0</v>
      </c>
      <c r="AF61" s="17">
        <f t="shared" si="13"/>
        <v>0</v>
      </c>
      <c r="AG61" s="17">
        <f t="shared" si="13"/>
        <v>0</v>
      </c>
      <c r="AH61" s="18" t="str">
        <f t="shared" si="2"/>
        <v>0,;!0,;!0,;!0</v>
      </c>
      <c r="AI61" s="18" t="e">
        <f>INDEX([1]Library!$AL:$AL,MATCH(AH61,[1]Library!$AJ:$AJ,0),1)</f>
        <v>#N/A</v>
      </c>
      <c r="AJ61" s="18" t="e">
        <f>TEXT(INDEX([1]Library!$W:$W,MATCH(AH61,[1]Library!$AJ:$AJ,0),1),"")</f>
        <v>#N/A</v>
      </c>
    </row>
    <row r="62" spans="1:36" ht="25.05" customHeight="1" outlineLevel="2">
      <c r="A62" s="376" t="s">
        <v>44</v>
      </c>
      <c r="B62" s="107" t="s">
        <v>44</v>
      </c>
      <c r="C62" s="108" t="s">
        <v>44</v>
      </c>
      <c r="D62" s="109" t="s">
        <v>79</v>
      </c>
      <c r="E62" s="289"/>
      <c r="F62" s="299"/>
      <c r="G62" s="62"/>
      <c r="H62" s="111">
        <v>11407.662</v>
      </c>
      <c r="I62" s="112" t="s">
        <v>71</v>
      </c>
      <c r="J62" s="113">
        <v>400</v>
      </c>
      <c r="K62" s="114">
        <v>4563064.8</v>
      </c>
      <c r="L62" s="113">
        <v>245.53571428571428</v>
      </c>
      <c r="M62" s="114">
        <v>2800988.4375</v>
      </c>
      <c r="N62" s="115">
        <v>0</v>
      </c>
      <c r="O62" s="114">
        <v>0</v>
      </c>
      <c r="P62" s="116">
        <v>7364053.2374999998</v>
      </c>
      <c r="Q62" s="117">
        <f t="shared" si="14"/>
        <v>2.094904117136941E-2</v>
      </c>
      <c r="R62" s="114">
        <f t="shared" si="15"/>
        <v>613.00139909648703</v>
      </c>
      <c r="S62" s="377">
        <f t="shared" si="16"/>
        <v>23909.263758116882</v>
      </c>
      <c r="T62" s="357"/>
      <c r="U62" s="104"/>
      <c r="V62" s="95"/>
      <c r="W62" s="105"/>
      <c r="X62" s="95"/>
      <c r="Y62" s="95"/>
      <c r="Z62" s="95"/>
      <c r="AA62" s="95"/>
      <c r="AB62" s="95"/>
      <c r="AC62" s="95"/>
      <c r="AD62" s="17">
        <f t="shared" si="0"/>
        <v>0</v>
      </c>
      <c r="AE62" s="17">
        <f t="shared" ref="AE62:AG77" si="17">IF(AA62=" ",IF($X62&gt;=AE$12,AE61,""),AA62)</f>
        <v>0</v>
      </c>
      <c r="AF62" s="17">
        <f t="shared" si="17"/>
        <v>0</v>
      </c>
      <c r="AG62" s="17">
        <f t="shared" si="17"/>
        <v>0</v>
      </c>
      <c r="AH62" s="18" t="str">
        <f t="shared" si="2"/>
        <v>0,;!0,;!0,;!0</v>
      </c>
      <c r="AI62" s="18" t="e">
        <f>INDEX([1]Library!$AL:$AL,MATCH(AH62,[1]Library!$AJ:$AJ,0),1)</f>
        <v>#N/A</v>
      </c>
      <c r="AJ62" s="18" t="e">
        <f>TEXT(INDEX([1]Library!$W:$W,MATCH(AH62,[1]Library!$AJ:$AJ,0),1),"")</f>
        <v>#N/A</v>
      </c>
    </row>
    <row r="63" spans="1:36" ht="25.05" customHeight="1" outlineLevel="2">
      <c r="A63" s="376" t="s">
        <v>44</v>
      </c>
      <c r="B63" s="107" t="s">
        <v>44</v>
      </c>
      <c r="C63" s="108" t="s">
        <v>44</v>
      </c>
      <c r="D63" s="109" t="s">
        <v>80</v>
      </c>
      <c r="E63" s="289"/>
      <c r="F63" s="299"/>
      <c r="G63" s="62"/>
      <c r="H63" s="111">
        <v>8644.9146000000001</v>
      </c>
      <c r="I63" s="112" t="s">
        <v>71</v>
      </c>
      <c r="J63" s="113">
        <v>400</v>
      </c>
      <c r="K63" s="114">
        <v>3457965.84</v>
      </c>
      <c r="L63" s="113">
        <v>245.53571428571428</v>
      </c>
      <c r="M63" s="114">
        <v>2122635.28125</v>
      </c>
      <c r="N63" s="115">
        <v>0</v>
      </c>
      <c r="O63" s="114">
        <v>0</v>
      </c>
      <c r="P63" s="116">
        <v>5580601.1212499999</v>
      </c>
      <c r="Q63" s="117">
        <f t="shared" si="14"/>
        <v>1.5875529260804929E-2</v>
      </c>
      <c r="R63" s="114">
        <f t="shared" si="15"/>
        <v>464.54258066812002</v>
      </c>
      <c r="S63" s="377">
        <f t="shared" si="16"/>
        <v>18118.834809253247</v>
      </c>
      <c r="T63" s="357"/>
      <c r="U63" s="104"/>
      <c r="V63" s="95"/>
      <c r="W63" s="105"/>
      <c r="X63" s="95"/>
      <c r="Y63" s="95"/>
      <c r="Z63" s="95"/>
      <c r="AA63" s="95"/>
      <c r="AB63" s="95"/>
      <c r="AC63" s="95"/>
      <c r="AD63" s="17">
        <f t="shared" si="0"/>
        <v>0</v>
      </c>
      <c r="AE63" s="17">
        <f t="shared" si="17"/>
        <v>0</v>
      </c>
      <c r="AF63" s="17">
        <f t="shared" si="17"/>
        <v>0</v>
      </c>
      <c r="AG63" s="17">
        <f t="shared" si="17"/>
        <v>0</v>
      </c>
      <c r="AH63" s="18" t="str">
        <f t="shared" si="2"/>
        <v>0,;!0,;!0,;!0</v>
      </c>
      <c r="AI63" s="18" t="e">
        <f>INDEX([1]Library!$AL:$AL,MATCH(AH63,[1]Library!$AJ:$AJ,0),1)</f>
        <v>#N/A</v>
      </c>
      <c r="AJ63" s="18" t="e">
        <f>TEXT(INDEX([1]Library!$W:$W,MATCH(AH63,[1]Library!$AJ:$AJ,0),1),"")</f>
        <v>#N/A</v>
      </c>
    </row>
    <row r="64" spans="1:36" ht="25.05" customHeight="1" outlineLevel="2">
      <c r="A64" s="376" t="s">
        <v>44</v>
      </c>
      <c r="B64" s="107" t="s">
        <v>44</v>
      </c>
      <c r="C64" s="108" t="s">
        <v>44</v>
      </c>
      <c r="D64" s="109" t="s">
        <v>81</v>
      </c>
      <c r="E64" s="289"/>
      <c r="F64" s="299"/>
      <c r="G64" s="62"/>
      <c r="H64" s="111">
        <v>3123.4416249999999</v>
      </c>
      <c r="I64" s="112" t="s">
        <v>71</v>
      </c>
      <c r="J64" s="113">
        <v>400</v>
      </c>
      <c r="K64" s="114">
        <v>1249376.6499999999</v>
      </c>
      <c r="L64" s="113">
        <v>245.53571428571425</v>
      </c>
      <c r="M64" s="114">
        <v>766916.47042410704</v>
      </c>
      <c r="N64" s="115">
        <v>0</v>
      </c>
      <c r="O64" s="114">
        <v>0</v>
      </c>
      <c r="P64" s="116">
        <v>2016293.1204241069</v>
      </c>
      <c r="Q64" s="117">
        <f t="shared" si="14"/>
        <v>5.7358911228693457E-3</v>
      </c>
      <c r="R64" s="114">
        <f t="shared" si="15"/>
        <v>167.84106034358354</v>
      </c>
      <c r="S64" s="377">
        <f t="shared" si="16"/>
        <v>6546.406235143204</v>
      </c>
      <c r="T64" s="357"/>
      <c r="U64" s="104"/>
      <c r="V64" s="95"/>
      <c r="W64" s="105"/>
      <c r="X64" s="95"/>
      <c r="Y64" s="95"/>
      <c r="Z64" s="95"/>
      <c r="AA64" s="95"/>
      <c r="AB64" s="95"/>
      <c r="AC64" s="95"/>
      <c r="AD64" s="17">
        <f t="shared" si="0"/>
        <v>0</v>
      </c>
      <c r="AE64" s="17">
        <f t="shared" si="17"/>
        <v>0</v>
      </c>
      <c r="AF64" s="17">
        <f t="shared" si="17"/>
        <v>0</v>
      </c>
      <c r="AG64" s="17">
        <f t="shared" si="17"/>
        <v>0</v>
      </c>
      <c r="AH64" s="18" t="str">
        <f t="shared" si="2"/>
        <v>0,;!0,;!0,;!0</v>
      </c>
      <c r="AI64" s="18" t="e">
        <f>INDEX([1]Library!$AL:$AL,MATCH(AH64,[1]Library!$AJ:$AJ,0),1)</f>
        <v>#N/A</v>
      </c>
      <c r="AJ64" s="18" t="e">
        <f>TEXT(INDEX([1]Library!$W:$W,MATCH(AH64,[1]Library!$AJ:$AJ,0),1),"")</f>
        <v>#N/A</v>
      </c>
    </row>
    <row r="65" spans="1:36" ht="25.05" customHeight="1" outlineLevel="2">
      <c r="A65" s="376" t="s">
        <v>44</v>
      </c>
      <c r="B65" s="107" t="s">
        <v>44</v>
      </c>
      <c r="C65" s="108" t="s">
        <v>44</v>
      </c>
      <c r="D65" s="109" t="s">
        <v>82</v>
      </c>
      <c r="E65" s="289"/>
      <c r="F65" s="299"/>
      <c r="G65" s="62"/>
      <c r="H65" s="111">
        <v>72.754499999999993</v>
      </c>
      <c r="I65" s="112" t="s">
        <v>71</v>
      </c>
      <c r="J65" s="113">
        <v>400</v>
      </c>
      <c r="K65" s="114">
        <v>29101.799999999996</v>
      </c>
      <c r="L65" s="113">
        <v>245.53571428571425</v>
      </c>
      <c r="M65" s="114">
        <v>17863.828124999996</v>
      </c>
      <c r="N65" s="115">
        <v>0</v>
      </c>
      <c r="O65" s="114">
        <v>0</v>
      </c>
      <c r="P65" s="116">
        <v>46965.628124999988</v>
      </c>
      <c r="Q65" s="117">
        <f t="shared" si="14"/>
        <v>1.3360643187906472E-4</v>
      </c>
      <c r="R65" s="114">
        <f t="shared" si="15"/>
        <v>3.9095311809348274</v>
      </c>
      <c r="S65" s="377">
        <f t="shared" si="16"/>
        <v>152.48580560064931</v>
      </c>
      <c r="T65" s="357"/>
      <c r="U65" s="104"/>
      <c r="V65" s="95"/>
      <c r="W65" s="105"/>
      <c r="X65" s="95"/>
      <c r="Y65" s="95"/>
      <c r="Z65" s="95"/>
      <c r="AA65" s="95"/>
      <c r="AB65" s="95"/>
      <c r="AC65" s="95"/>
      <c r="AD65" s="17">
        <f t="shared" si="0"/>
        <v>0</v>
      </c>
      <c r="AE65" s="17">
        <f t="shared" si="17"/>
        <v>0</v>
      </c>
      <c r="AF65" s="17">
        <f t="shared" si="17"/>
        <v>0</v>
      </c>
      <c r="AG65" s="17">
        <f t="shared" si="17"/>
        <v>0</v>
      </c>
      <c r="AH65" s="18" t="str">
        <f t="shared" si="2"/>
        <v>0,;!0,;!0,;!0</v>
      </c>
      <c r="AI65" s="18" t="e">
        <f>INDEX([1]Library!$AL:$AL,MATCH(AH65,[1]Library!$AJ:$AJ,0),1)</f>
        <v>#N/A</v>
      </c>
      <c r="AJ65" s="18" t="e">
        <f>TEXT(INDEX([1]Library!$W:$W,MATCH(AH65,[1]Library!$AJ:$AJ,0),1),"")</f>
        <v>#N/A</v>
      </c>
    </row>
    <row r="66" spans="1:36" ht="25.05" customHeight="1" outlineLevel="2">
      <c r="A66" s="376" t="s">
        <v>44</v>
      </c>
      <c r="B66" s="107" t="s">
        <v>44</v>
      </c>
      <c r="C66" s="108" t="s">
        <v>44</v>
      </c>
      <c r="D66" s="109" t="s">
        <v>83</v>
      </c>
      <c r="E66" s="289"/>
      <c r="F66" s="299"/>
      <c r="G66" s="62"/>
      <c r="H66" s="111">
        <v>9094.2075000000004</v>
      </c>
      <c r="I66" s="112" t="s">
        <v>71</v>
      </c>
      <c r="J66" s="113">
        <v>400</v>
      </c>
      <c r="K66" s="114">
        <v>3637683</v>
      </c>
      <c r="L66" s="113">
        <v>245.53571428571428</v>
      </c>
      <c r="M66" s="114">
        <v>2232952.734375</v>
      </c>
      <c r="N66" s="115">
        <v>0</v>
      </c>
      <c r="O66" s="114">
        <v>0</v>
      </c>
      <c r="P66" s="116">
        <v>5870635.734375</v>
      </c>
      <c r="Q66" s="117">
        <f t="shared" si="14"/>
        <v>1.6700611162784842E-2</v>
      </c>
      <c r="R66" s="114">
        <f t="shared" si="15"/>
        <v>488.68575534353715</v>
      </c>
      <c r="S66" s="377">
        <f t="shared" si="16"/>
        <v>19060.505631087661</v>
      </c>
      <c r="T66" s="357"/>
      <c r="U66" s="104"/>
      <c r="V66" s="95"/>
      <c r="W66" s="105"/>
      <c r="X66" s="95"/>
      <c r="Y66" s="95"/>
      <c r="Z66" s="95"/>
      <c r="AA66" s="95"/>
      <c r="AB66" s="95"/>
      <c r="AC66" s="95"/>
      <c r="AD66" s="17">
        <f t="shared" si="0"/>
        <v>0</v>
      </c>
      <c r="AE66" s="17">
        <f t="shared" si="17"/>
        <v>0</v>
      </c>
      <c r="AF66" s="17">
        <f t="shared" si="17"/>
        <v>0</v>
      </c>
      <c r="AG66" s="17">
        <f t="shared" si="17"/>
        <v>0</v>
      </c>
      <c r="AH66" s="18" t="str">
        <f t="shared" si="2"/>
        <v>0,;!0,;!0,;!0</v>
      </c>
      <c r="AI66" s="18" t="e">
        <f>INDEX([1]Library!$AL:$AL,MATCH(AH66,[1]Library!$AJ:$AJ,0),1)</f>
        <v>#N/A</v>
      </c>
      <c r="AJ66" s="18" t="e">
        <f>TEXT(INDEX([1]Library!$W:$W,MATCH(AH66,[1]Library!$AJ:$AJ,0),1),"")</f>
        <v>#N/A</v>
      </c>
    </row>
    <row r="67" spans="1:36" ht="25.05" customHeight="1" outlineLevel="2">
      <c r="A67" s="376" t="s">
        <v>44</v>
      </c>
      <c r="B67" s="107" t="s">
        <v>44</v>
      </c>
      <c r="C67" s="108" t="s">
        <v>44</v>
      </c>
      <c r="D67" s="109" t="s">
        <v>84</v>
      </c>
      <c r="E67" s="289"/>
      <c r="F67" s="299"/>
      <c r="G67" s="62"/>
      <c r="H67" s="111">
        <v>35.4375</v>
      </c>
      <c r="I67" s="112" t="s">
        <v>71</v>
      </c>
      <c r="J67" s="113">
        <v>400</v>
      </c>
      <c r="K67" s="114">
        <v>14175</v>
      </c>
      <c r="L67" s="113">
        <v>245.53571428571428</v>
      </c>
      <c r="M67" s="114">
        <v>8701.171875</v>
      </c>
      <c r="N67" s="115">
        <v>0</v>
      </c>
      <c r="O67" s="114">
        <v>0</v>
      </c>
      <c r="P67" s="116">
        <v>22876.171875</v>
      </c>
      <c r="Q67" s="117">
        <f t="shared" si="14"/>
        <v>6.50774581601737E-5</v>
      </c>
      <c r="R67" s="114">
        <f t="shared" si="15"/>
        <v>1.9042672442856179</v>
      </c>
      <c r="S67" s="377">
        <f t="shared" si="16"/>
        <v>74.273285308441558</v>
      </c>
      <c r="T67" s="357"/>
      <c r="U67" s="104"/>
      <c r="V67" s="95"/>
      <c r="W67" s="105"/>
      <c r="X67" s="95"/>
      <c r="Y67" s="95"/>
      <c r="Z67" s="95"/>
      <c r="AA67" s="95"/>
      <c r="AB67" s="95"/>
      <c r="AC67" s="95"/>
      <c r="AD67" s="17">
        <f t="shared" si="0"/>
        <v>0</v>
      </c>
      <c r="AE67" s="17">
        <f t="shared" si="17"/>
        <v>0</v>
      </c>
      <c r="AF67" s="17">
        <f t="shared" si="17"/>
        <v>0</v>
      </c>
      <c r="AG67" s="17">
        <f t="shared" si="17"/>
        <v>0</v>
      </c>
      <c r="AH67" s="18" t="str">
        <f t="shared" si="2"/>
        <v>0,;!0,;!0,;!0</v>
      </c>
      <c r="AI67" s="18" t="e">
        <f>INDEX([1]Library!$AL:$AL,MATCH(AH67,[1]Library!$AJ:$AJ,0),1)</f>
        <v>#N/A</v>
      </c>
      <c r="AJ67" s="18" t="e">
        <f>TEXT(INDEX([1]Library!$W:$W,MATCH(AH67,[1]Library!$AJ:$AJ,0),1),"")</f>
        <v>#N/A</v>
      </c>
    </row>
    <row r="68" spans="1:36" ht="25.05" customHeight="1" outlineLevel="2">
      <c r="A68" s="376" t="s">
        <v>44</v>
      </c>
      <c r="B68" s="107" t="s">
        <v>44</v>
      </c>
      <c r="C68" s="108" t="s">
        <v>44</v>
      </c>
      <c r="D68" s="109" t="s">
        <v>85</v>
      </c>
      <c r="E68" s="289"/>
      <c r="F68" s="299"/>
      <c r="G68" s="62"/>
      <c r="H68" s="111">
        <v>37.484999999999999</v>
      </c>
      <c r="I68" s="112" t="s">
        <v>71</v>
      </c>
      <c r="J68" s="113">
        <v>400</v>
      </c>
      <c r="K68" s="114">
        <v>14994</v>
      </c>
      <c r="L68" s="113">
        <v>245.53571428571428</v>
      </c>
      <c r="M68" s="114">
        <v>9203.90625</v>
      </c>
      <c r="N68" s="115">
        <v>0</v>
      </c>
      <c r="O68" s="114">
        <v>0</v>
      </c>
      <c r="P68" s="116">
        <v>24197.90625</v>
      </c>
      <c r="Q68" s="117">
        <f t="shared" si="14"/>
        <v>6.8837489076094841E-5</v>
      </c>
      <c r="R68" s="114">
        <f t="shared" si="15"/>
        <v>2.0142915739554534</v>
      </c>
      <c r="S68" s="377">
        <f t="shared" si="16"/>
        <v>78.564630681818187</v>
      </c>
      <c r="T68" s="357"/>
      <c r="U68" s="104"/>
      <c r="V68" s="95"/>
      <c r="W68" s="105"/>
      <c r="X68" s="95"/>
      <c r="Y68" s="95"/>
      <c r="Z68" s="95"/>
      <c r="AA68" s="95"/>
      <c r="AB68" s="95"/>
      <c r="AC68" s="95"/>
      <c r="AD68" s="17">
        <f t="shared" si="0"/>
        <v>0</v>
      </c>
      <c r="AE68" s="17">
        <f t="shared" si="17"/>
        <v>0</v>
      </c>
      <c r="AF68" s="17">
        <f t="shared" si="17"/>
        <v>0</v>
      </c>
      <c r="AG68" s="17">
        <f t="shared" si="17"/>
        <v>0</v>
      </c>
      <c r="AH68" s="18" t="str">
        <f t="shared" si="2"/>
        <v>0,;!0,;!0,;!0</v>
      </c>
      <c r="AI68" s="18" t="e">
        <f>INDEX([1]Library!$AL:$AL,MATCH(AH68,[1]Library!$AJ:$AJ,0),1)</f>
        <v>#N/A</v>
      </c>
      <c r="AJ68" s="18" t="e">
        <f>TEXT(INDEX([1]Library!$W:$W,MATCH(AH68,[1]Library!$AJ:$AJ,0),1),"")</f>
        <v>#N/A</v>
      </c>
    </row>
    <row r="69" spans="1:36" ht="25.05" customHeight="1" outlineLevel="2">
      <c r="A69" s="376" t="s">
        <v>44</v>
      </c>
      <c r="B69" s="107" t="s">
        <v>44</v>
      </c>
      <c r="C69" s="108" t="s">
        <v>44</v>
      </c>
      <c r="D69" s="109" t="s">
        <v>86</v>
      </c>
      <c r="E69" s="289"/>
      <c r="F69" s="299"/>
      <c r="G69" s="62"/>
      <c r="H69" s="111">
        <v>632.04230250000001</v>
      </c>
      <c r="I69" s="112" t="s">
        <v>71</v>
      </c>
      <c r="J69" s="113">
        <v>400</v>
      </c>
      <c r="K69" s="114">
        <v>252816.921</v>
      </c>
      <c r="L69" s="113">
        <v>245.53571428571428</v>
      </c>
      <c r="M69" s="114">
        <v>155188.95820312499</v>
      </c>
      <c r="N69" s="115">
        <v>0</v>
      </c>
      <c r="O69" s="114">
        <v>0</v>
      </c>
      <c r="P69" s="116">
        <v>408005.87920312502</v>
      </c>
      <c r="Q69" s="117">
        <f t="shared" si="14"/>
        <v>1.1606830757362567E-3</v>
      </c>
      <c r="R69" s="114">
        <f t="shared" si="15"/>
        <v>33.963384935551659</v>
      </c>
      <c r="S69" s="377">
        <f t="shared" si="16"/>
        <v>1324.6944129971591</v>
      </c>
      <c r="T69" s="357"/>
      <c r="U69" s="104"/>
      <c r="V69" s="95"/>
      <c r="W69" s="105"/>
      <c r="X69" s="95"/>
      <c r="Y69" s="95"/>
      <c r="Z69" s="95"/>
      <c r="AA69" s="95"/>
      <c r="AB69" s="95"/>
      <c r="AC69" s="95"/>
      <c r="AD69" s="17">
        <f t="shared" si="0"/>
        <v>0</v>
      </c>
      <c r="AE69" s="17">
        <f t="shared" si="17"/>
        <v>0</v>
      </c>
      <c r="AF69" s="17">
        <f t="shared" si="17"/>
        <v>0</v>
      </c>
      <c r="AG69" s="17">
        <f t="shared" si="17"/>
        <v>0</v>
      </c>
      <c r="AH69" s="18" t="str">
        <f t="shared" si="2"/>
        <v>0,;!0,;!0,;!0</v>
      </c>
      <c r="AI69" s="18" t="e">
        <f>INDEX([1]Library!$AL:$AL,MATCH(AH69,[1]Library!$AJ:$AJ,0),1)</f>
        <v>#N/A</v>
      </c>
      <c r="AJ69" s="18" t="e">
        <f>TEXT(INDEX([1]Library!$W:$W,MATCH(AH69,[1]Library!$AJ:$AJ,0),1),"")</f>
        <v>#N/A</v>
      </c>
    </row>
    <row r="70" spans="1:36" ht="25.05" customHeight="1" outlineLevel="2">
      <c r="A70" s="376" t="s">
        <v>44</v>
      </c>
      <c r="B70" s="107" t="s">
        <v>44</v>
      </c>
      <c r="C70" s="108" t="s">
        <v>44</v>
      </c>
      <c r="D70" s="109" t="s">
        <v>87</v>
      </c>
      <c r="E70" s="289"/>
      <c r="F70" s="299"/>
      <c r="G70" s="62"/>
      <c r="H70" s="111">
        <v>166.7652525</v>
      </c>
      <c r="I70" s="112" t="s">
        <v>71</v>
      </c>
      <c r="J70" s="113">
        <v>399.99999999999994</v>
      </c>
      <c r="K70" s="114">
        <v>66706.100999999995</v>
      </c>
      <c r="L70" s="113">
        <v>245.53571428571431</v>
      </c>
      <c r="M70" s="114">
        <v>40946.825390625003</v>
      </c>
      <c r="N70" s="115">
        <v>0</v>
      </c>
      <c r="O70" s="114">
        <v>0</v>
      </c>
      <c r="P70" s="116">
        <v>107652.926390625</v>
      </c>
      <c r="Q70" s="117">
        <f t="shared" si="14"/>
        <v>3.0624786573938773E-4</v>
      </c>
      <c r="R70" s="114">
        <f t="shared" si="15"/>
        <v>8.9612869931787014</v>
      </c>
      <c r="S70" s="377">
        <f t="shared" si="16"/>
        <v>349.52248828124999</v>
      </c>
      <c r="T70" s="357"/>
      <c r="U70" s="104"/>
      <c r="V70" s="95"/>
      <c r="W70" s="105"/>
      <c r="X70" s="95"/>
      <c r="Y70" s="95"/>
      <c r="Z70" s="95"/>
      <c r="AA70" s="95"/>
      <c r="AB70" s="95"/>
      <c r="AC70" s="95"/>
      <c r="AD70" s="17">
        <f t="shared" si="0"/>
        <v>0</v>
      </c>
      <c r="AE70" s="17">
        <f t="shared" si="17"/>
        <v>0</v>
      </c>
      <c r="AF70" s="17">
        <f t="shared" si="17"/>
        <v>0</v>
      </c>
      <c r="AG70" s="17">
        <f t="shared" si="17"/>
        <v>0</v>
      </c>
      <c r="AH70" s="18" t="str">
        <f t="shared" si="2"/>
        <v>0,;!0,;!0,;!0</v>
      </c>
      <c r="AI70" s="18" t="e">
        <f>INDEX([1]Library!$AL:$AL,MATCH(AH70,[1]Library!$AJ:$AJ,0),1)</f>
        <v>#N/A</v>
      </c>
      <c r="AJ70" s="18" t="e">
        <f>TEXT(INDEX([1]Library!$W:$W,MATCH(AH70,[1]Library!$AJ:$AJ,0),1),"")</f>
        <v>#N/A</v>
      </c>
    </row>
    <row r="71" spans="1:36" ht="25.05" customHeight="1" outlineLevel="2">
      <c r="A71" s="376" t="s">
        <v>44</v>
      </c>
      <c r="B71" s="107" t="s">
        <v>44</v>
      </c>
      <c r="C71" s="108" t="s">
        <v>44</v>
      </c>
      <c r="D71" s="109" t="s">
        <v>94</v>
      </c>
      <c r="E71" s="289"/>
      <c r="F71" s="299"/>
      <c r="G71" s="62"/>
      <c r="H71" s="111">
        <v>34475.172279999999</v>
      </c>
      <c r="I71" s="112" t="s">
        <v>71</v>
      </c>
      <c r="J71" s="113">
        <v>107.14285714285714</v>
      </c>
      <c r="K71" s="114">
        <v>3693768.4585714284</v>
      </c>
      <c r="L71" s="113">
        <v>0</v>
      </c>
      <c r="M71" s="114">
        <v>0</v>
      </c>
      <c r="N71" s="115">
        <v>0</v>
      </c>
      <c r="O71" s="114">
        <v>0</v>
      </c>
      <c r="P71" s="116">
        <v>3693768.4585714284</v>
      </c>
      <c r="Q71" s="117">
        <f t="shared" si="14"/>
        <v>1.0507923424843189E-2</v>
      </c>
      <c r="R71" s="114">
        <f t="shared" si="15"/>
        <v>307.47811836996652</v>
      </c>
      <c r="S71" s="377">
        <f t="shared" si="16"/>
        <v>11992.75473562152</v>
      </c>
      <c r="T71" s="357"/>
      <c r="U71" s="104"/>
      <c r="V71" s="95"/>
      <c r="W71" s="105"/>
      <c r="X71" s="95"/>
      <c r="Y71" s="95"/>
      <c r="Z71" s="95"/>
      <c r="AA71" s="95"/>
      <c r="AB71" s="95"/>
      <c r="AC71" s="95"/>
      <c r="AD71" s="17">
        <f t="shared" si="0"/>
        <v>0</v>
      </c>
      <c r="AE71" s="17">
        <f t="shared" si="17"/>
        <v>0</v>
      </c>
      <c r="AF71" s="17">
        <f t="shared" si="17"/>
        <v>0</v>
      </c>
      <c r="AG71" s="17">
        <f t="shared" si="17"/>
        <v>0</v>
      </c>
      <c r="AH71" s="18" t="str">
        <f t="shared" si="2"/>
        <v>0,;!0,;!0,;!0</v>
      </c>
      <c r="AI71" s="18" t="e">
        <f>INDEX([1]Library!$AL:$AL,MATCH(AH71,[1]Library!$AJ:$AJ,0),1)</f>
        <v>#N/A</v>
      </c>
      <c r="AJ71" s="18" t="e">
        <f>TEXT(INDEX([1]Library!$W:$W,MATCH(AH71,[1]Library!$AJ:$AJ,0),1),"")</f>
        <v>#N/A</v>
      </c>
    </row>
    <row r="72" spans="1:36" ht="25.05" customHeight="1" outlineLevel="1">
      <c r="A72" s="374" t="s">
        <v>44</v>
      </c>
      <c r="B72" s="96" t="s">
        <v>44</v>
      </c>
      <c r="C72" s="97" t="s">
        <v>95</v>
      </c>
      <c r="D72" s="97"/>
      <c r="E72" s="98"/>
      <c r="F72" s="298"/>
      <c r="G72" s="62"/>
      <c r="H72" s="99">
        <v>1</v>
      </c>
      <c r="I72" s="100" t="s">
        <v>35</v>
      </c>
      <c r="J72" s="99">
        <v>31390990.649105359</v>
      </c>
      <c r="K72" s="99">
        <v>31390990.649105359</v>
      </c>
      <c r="L72" s="99">
        <v>3453972.9087105803</v>
      </c>
      <c r="M72" s="99">
        <v>3453972.9087105803</v>
      </c>
      <c r="N72" s="99">
        <v>0</v>
      </c>
      <c r="O72" s="99">
        <v>0</v>
      </c>
      <c r="P72" s="101">
        <v>34844963.557815939</v>
      </c>
      <c r="Q72" s="102">
        <f>P72/P$13</f>
        <v>9.9125923271484603E-2</v>
      </c>
      <c r="R72" s="103">
        <f>P72/I$5</f>
        <v>2900.5780815971834</v>
      </c>
      <c r="S72" s="375">
        <f>P72/I$7</f>
        <v>113132.99856433747</v>
      </c>
      <c r="T72" s="356"/>
      <c r="U72" s="104"/>
      <c r="V72" s="95"/>
      <c r="W72" s="105"/>
      <c r="X72" s="95"/>
      <c r="Y72" s="95"/>
      <c r="Z72" s="95"/>
      <c r="AA72" s="95"/>
      <c r="AB72" s="95"/>
      <c r="AC72" s="95"/>
      <c r="AD72" s="17">
        <f t="shared" si="0"/>
        <v>0</v>
      </c>
      <c r="AE72" s="17">
        <f t="shared" si="17"/>
        <v>0</v>
      </c>
      <c r="AF72" s="17">
        <f t="shared" si="17"/>
        <v>0</v>
      </c>
      <c r="AG72" s="17">
        <f t="shared" si="17"/>
        <v>0</v>
      </c>
      <c r="AH72" s="18" t="str">
        <f t="shared" si="2"/>
        <v>0,;!0,;!0,;!0</v>
      </c>
      <c r="AI72" s="18" t="e">
        <f>INDEX([1]Library!$AL:$AL,MATCH(AH72,[1]Library!$AJ:$AJ,0),1)</f>
        <v>#N/A</v>
      </c>
      <c r="AJ72" s="18" t="e">
        <f>TEXT(INDEX([1]Library!$W:$W,MATCH(AH72,[1]Library!$AJ:$AJ,0),1),"")</f>
        <v>#N/A</v>
      </c>
    </row>
    <row r="73" spans="1:36" ht="25.05" customHeight="1" outlineLevel="2">
      <c r="A73" s="376" t="s">
        <v>44</v>
      </c>
      <c r="B73" s="107" t="s">
        <v>44</v>
      </c>
      <c r="C73" s="108" t="s">
        <v>44</v>
      </c>
      <c r="D73" s="109" t="s">
        <v>96</v>
      </c>
      <c r="E73" s="289"/>
      <c r="F73" s="299"/>
      <c r="G73" s="62"/>
      <c r="H73" s="111">
        <v>1338.8025</v>
      </c>
      <c r="I73" s="112" t="s">
        <v>66</v>
      </c>
      <c r="J73" s="113">
        <v>5600</v>
      </c>
      <c r="K73" s="114">
        <v>7497294</v>
      </c>
      <c r="L73" s="113">
        <v>245.53571428571428</v>
      </c>
      <c r="M73" s="114">
        <v>328723.828125</v>
      </c>
      <c r="N73" s="115">
        <v>0</v>
      </c>
      <c r="O73" s="114">
        <v>0</v>
      </c>
      <c r="P73" s="116">
        <v>7826017.828125</v>
      </c>
      <c r="Q73" s="117">
        <f t="shared" ref="Q73:Q89" si="18">P73/P$13</f>
        <v>2.2263224395824666E-2</v>
      </c>
      <c r="R73" s="114">
        <f t="shared" ref="R73:R89" si="19">P73/I$5</f>
        <v>651.45643618721544</v>
      </c>
      <c r="S73" s="377">
        <f t="shared" ref="S73:S89" si="20">P73/I$7</f>
        <v>25409.148792613636</v>
      </c>
      <c r="T73" s="357"/>
      <c r="U73" s="104"/>
      <c r="V73" s="95"/>
      <c r="W73" s="105"/>
      <c r="X73" s="95"/>
      <c r="Y73" s="95"/>
      <c r="Z73" s="95"/>
      <c r="AA73" s="95"/>
      <c r="AB73" s="95"/>
      <c r="AC73" s="95"/>
      <c r="AD73" s="17">
        <f t="shared" si="0"/>
        <v>0</v>
      </c>
      <c r="AE73" s="17">
        <f t="shared" si="17"/>
        <v>0</v>
      </c>
      <c r="AF73" s="17">
        <f t="shared" si="17"/>
        <v>0</v>
      </c>
      <c r="AG73" s="17">
        <f t="shared" si="17"/>
        <v>0</v>
      </c>
      <c r="AH73" s="18" t="str">
        <f t="shared" si="2"/>
        <v>0,;!0,;!0,;!0</v>
      </c>
      <c r="AI73" s="18" t="e">
        <f>INDEX([1]Library!$AL:$AL,MATCH(AH73,[1]Library!$AJ:$AJ,0),1)</f>
        <v>#N/A</v>
      </c>
      <c r="AJ73" s="18" t="e">
        <f>TEXT(INDEX([1]Library!$W:$W,MATCH(AH73,[1]Library!$AJ:$AJ,0),1),"")</f>
        <v>#N/A</v>
      </c>
    </row>
    <row r="74" spans="1:36" ht="25.05" customHeight="1" outlineLevel="2">
      <c r="A74" s="376" t="s">
        <v>44</v>
      </c>
      <c r="B74" s="107" t="s">
        <v>44</v>
      </c>
      <c r="C74" s="108" t="s">
        <v>44</v>
      </c>
      <c r="D74" s="109" t="s">
        <v>97</v>
      </c>
      <c r="E74" s="289"/>
      <c r="F74" s="299"/>
      <c r="G74" s="62"/>
      <c r="H74" s="111">
        <v>15.3104175</v>
      </c>
      <c r="I74" s="112" t="s">
        <v>66</v>
      </c>
      <c r="J74" s="113">
        <v>5700</v>
      </c>
      <c r="K74" s="114">
        <v>87269.379749999993</v>
      </c>
      <c r="L74" s="113">
        <v>245.53571428571428</v>
      </c>
      <c r="M74" s="114">
        <v>3759.2542968749999</v>
      </c>
      <c r="N74" s="115">
        <v>0</v>
      </c>
      <c r="O74" s="114">
        <v>0</v>
      </c>
      <c r="P74" s="116">
        <v>91028.634046874999</v>
      </c>
      <c r="Q74" s="117">
        <f t="shared" si="18"/>
        <v>2.5895556983627843E-4</v>
      </c>
      <c r="R74" s="114">
        <f t="shared" si="19"/>
        <v>7.5774411494504745</v>
      </c>
      <c r="S74" s="377">
        <f t="shared" si="20"/>
        <v>295.54751313920457</v>
      </c>
      <c r="T74" s="357"/>
      <c r="U74" s="104"/>
      <c r="V74" s="95"/>
      <c r="W74" s="105"/>
      <c r="X74" s="95"/>
      <c r="Y74" s="95"/>
      <c r="Z74" s="95"/>
      <c r="AA74" s="95"/>
      <c r="AB74" s="95"/>
      <c r="AC74" s="95"/>
      <c r="AD74" s="17">
        <f t="shared" si="0"/>
        <v>0</v>
      </c>
      <c r="AE74" s="17">
        <f t="shared" si="17"/>
        <v>0</v>
      </c>
      <c r="AF74" s="17">
        <f t="shared" si="17"/>
        <v>0</v>
      </c>
      <c r="AG74" s="17">
        <f t="shared" si="17"/>
        <v>0</v>
      </c>
      <c r="AH74" s="18" t="str">
        <f t="shared" si="2"/>
        <v>0,;!0,;!0,;!0</v>
      </c>
      <c r="AI74" s="18" t="e">
        <f>INDEX([1]Library!$AL:$AL,MATCH(AH74,[1]Library!$AJ:$AJ,0),1)</f>
        <v>#N/A</v>
      </c>
      <c r="AJ74" s="18" t="e">
        <f>TEXT(INDEX([1]Library!$W:$W,MATCH(AH74,[1]Library!$AJ:$AJ,0),1),"")</f>
        <v>#N/A</v>
      </c>
    </row>
    <row r="75" spans="1:36" ht="25.05" customHeight="1" outlineLevel="2">
      <c r="A75" s="376" t="s">
        <v>44</v>
      </c>
      <c r="B75" s="107" t="s">
        <v>44</v>
      </c>
      <c r="C75" s="108" t="s">
        <v>44</v>
      </c>
      <c r="D75" s="109" t="s">
        <v>98</v>
      </c>
      <c r="E75" s="289"/>
      <c r="F75" s="299"/>
      <c r="G75" s="62"/>
      <c r="H75" s="111">
        <v>62.778239999999997</v>
      </c>
      <c r="I75" s="112" t="s">
        <v>66</v>
      </c>
      <c r="J75" s="113">
        <v>5600</v>
      </c>
      <c r="K75" s="114">
        <v>351558.14399999997</v>
      </c>
      <c r="L75" s="113">
        <v>245.53571428571428</v>
      </c>
      <c r="M75" s="114">
        <v>15414.3</v>
      </c>
      <c r="N75" s="115">
        <v>0</v>
      </c>
      <c r="O75" s="114">
        <v>0</v>
      </c>
      <c r="P75" s="116">
        <v>366972.44399999996</v>
      </c>
      <c r="Q75" s="117">
        <f t="shared" si="18"/>
        <v>1.0439523710890409E-3</v>
      </c>
      <c r="R75" s="114">
        <f t="shared" si="19"/>
        <v>30.5476636774324</v>
      </c>
      <c r="S75" s="377">
        <f t="shared" si="20"/>
        <v>1191.4689740259739</v>
      </c>
      <c r="T75" s="357"/>
      <c r="U75" s="104"/>
      <c r="V75" s="95"/>
      <c r="W75" s="105"/>
      <c r="X75" s="95"/>
      <c r="Y75" s="95"/>
      <c r="Z75" s="95"/>
      <c r="AA75" s="95"/>
      <c r="AB75" s="95"/>
      <c r="AC75" s="95"/>
      <c r="AD75" s="17">
        <f t="shared" si="0"/>
        <v>0</v>
      </c>
      <c r="AE75" s="17">
        <f t="shared" si="17"/>
        <v>0</v>
      </c>
      <c r="AF75" s="17">
        <f t="shared" si="17"/>
        <v>0</v>
      </c>
      <c r="AG75" s="17">
        <f t="shared" si="17"/>
        <v>0</v>
      </c>
      <c r="AH75" s="18" t="str">
        <f t="shared" si="2"/>
        <v>0,;!0,;!0,;!0</v>
      </c>
      <c r="AI75" s="18" t="e">
        <f>INDEX([1]Library!$AL:$AL,MATCH(AH75,[1]Library!$AJ:$AJ,0),1)</f>
        <v>#N/A</v>
      </c>
      <c r="AJ75" s="18" t="e">
        <f>TEXT(INDEX([1]Library!$W:$W,MATCH(AH75,[1]Library!$AJ:$AJ,0),1),"")</f>
        <v>#N/A</v>
      </c>
    </row>
    <row r="76" spans="1:36" ht="25.05" customHeight="1" outlineLevel="2">
      <c r="A76" s="376" t="s">
        <v>44</v>
      </c>
      <c r="B76" s="107" t="s">
        <v>44</v>
      </c>
      <c r="C76" s="108" t="s">
        <v>44</v>
      </c>
      <c r="D76" s="109" t="s">
        <v>99</v>
      </c>
      <c r="E76" s="289"/>
      <c r="F76" s="299"/>
      <c r="G76" s="62"/>
      <c r="H76" s="111">
        <v>155.003625</v>
      </c>
      <c r="I76" s="112" t="s">
        <v>66</v>
      </c>
      <c r="J76" s="113">
        <v>5100</v>
      </c>
      <c r="K76" s="114">
        <v>790518.48750000005</v>
      </c>
      <c r="L76" s="113">
        <v>0</v>
      </c>
      <c r="M76" s="114">
        <v>0</v>
      </c>
      <c r="N76" s="115">
        <v>0</v>
      </c>
      <c r="O76" s="114">
        <v>0</v>
      </c>
      <c r="P76" s="116">
        <v>790518.48750000005</v>
      </c>
      <c r="Q76" s="117">
        <f t="shared" si="18"/>
        <v>2.2488436472776346E-3</v>
      </c>
      <c r="R76" s="114">
        <f t="shared" si="19"/>
        <v>65.80464904591733</v>
      </c>
      <c r="S76" s="377">
        <f t="shared" si="20"/>
        <v>2566.6184659090909</v>
      </c>
      <c r="T76" s="357"/>
      <c r="U76" s="104"/>
      <c r="V76" s="95"/>
      <c r="W76" s="105"/>
      <c r="X76" s="95"/>
      <c r="Y76" s="95"/>
      <c r="Z76" s="95"/>
      <c r="AA76" s="95"/>
      <c r="AB76" s="95"/>
      <c r="AC76" s="95"/>
      <c r="AD76" s="17">
        <f t="shared" si="0"/>
        <v>0</v>
      </c>
      <c r="AE76" s="17">
        <f t="shared" si="17"/>
        <v>0</v>
      </c>
      <c r="AF76" s="17">
        <f t="shared" si="17"/>
        <v>0</v>
      </c>
      <c r="AG76" s="17">
        <f t="shared" si="17"/>
        <v>0</v>
      </c>
      <c r="AH76" s="18" t="str">
        <f t="shared" si="2"/>
        <v>0,;!0,;!0,;!0</v>
      </c>
      <c r="AI76" s="18" t="e">
        <f>INDEX([1]Library!$AL:$AL,MATCH(AH76,[1]Library!$AJ:$AJ,0),1)</f>
        <v>#N/A</v>
      </c>
      <c r="AJ76" s="18" t="e">
        <f>TEXT(INDEX([1]Library!$W:$W,MATCH(AH76,[1]Library!$AJ:$AJ,0),1),"")</f>
        <v>#N/A</v>
      </c>
    </row>
    <row r="77" spans="1:36" ht="25.05" customHeight="1" outlineLevel="2">
      <c r="A77" s="376" t="s">
        <v>44</v>
      </c>
      <c r="B77" s="107" t="s">
        <v>44</v>
      </c>
      <c r="C77" s="108" t="s">
        <v>44</v>
      </c>
      <c r="D77" s="109" t="s">
        <v>100</v>
      </c>
      <c r="E77" s="289"/>
      <c r="F77" s="299"/>
      <c r="G77" s="62"/>
      <c r="H77" s="111">
        <v>1365.1335075</v>
      </c>
      <c r="I77" s="112" t="s">
        <v>66</v>
      </c>
      <c r="J77" s="113">
        <v>5700</v>
      </c>
      <c r="K77" s="114">
        <v>7781260.9927499993</v>
      </c>
      <c r="L77" s="113">
        <v>245.53571428571428</v>
      </c>
      <c r="M77" s="114">
        <v>335189.03085937497</v>
      </c>
      <c r="N77" s="115">
        <v>0</v>
      </c>
      <c r="O77" s="114">
        <v>0</v>
      </c>
      <c r="P77" s="116">
        <v>8116450.0236093746</v>
      </c>
      <c r="Q77" s="117">
        <f t="shared" si="18"/>
        <v>2.3089437328358938E-2</v>
      </c>
      <c r="R77" s="114">
        <f t="shared" si="19"/>
        <v>675.6327065688547</v>
      </c>
      <c r="S77" s="377">
        <f t="shared" si="20"/>
        <v>26352.110466264203</v>
      </c>
      <c r="T77" s="357"/>
      <c r="U77" s="104"/>
      <c r="V77" s="95"/>
      <c r="W77" s="105"/>
      <c r="X77" s="95"/>
      <c r="Y77" s="95"/>
      <c r="Z77" s="95"/>
      <c r="AA77" s="95"/>
      <c r="AB77" s="95"/>
      <c r="AC77" s="95"/>
      <c r="AD77" s="17">
        <f t="shared" si="0"/>
        <v>0</v>
      </c>
      <c r="AE77" s="17">
        <f t="shared" si="17"/>
        <v>0</v>
      </c>
      <c r="AF77" s="17">
        <f t="shared" si="17"/>
        <v>0</v>
      </c>
      <c r="AG77" s="17">
        <f t="shared" si="17"/>
        <v>0</v>
      </c>
      <c r="AH77" s="18" t="str">
        <f t="shared" si="2"/>
        <v>0,;!0,;!0,;!0</v>
      </c>
      <c r="AI77" s="18" t="e">
        <f>INDEX([1]Library!$AL:$AL,MATCH(AH77,[1]Library!$AJ:$AJ,0),1)</f>
        <v>#N/A</v>
      </c>
      <c r="AJ77" s="18" t="e">
        <f>TEXT(INDEX([1]Library!$W:$W,MATCH(AH77,[1]Library!$AJ:$AJ,0),1),"")</f>
        <v>#N/A</v>
      </c>
    </row>
    <row r="78" spans="1:36" ht="25.05" customHeight="1" outlineLevel="2">
      <c r="A78" s="376" t="s">
        <v>44</v>
      </c>
      <c r="B78" s="107" t="s">
        <v>44</v>
      </c>
      <c r="C78" s="108" t="s">
        <v>44</v>
      </c>
      <c r="D78" s="109" t="s">
        <v>101</v>
      </c>
      <c r="E78" s="289"/>
      <c r="F78" s="299"/>
      <c r="G78" s="62"/>
      <c r="H78" s="111">
        <v>487.27970549999998</v>
      </c>
      <c r="I78" s="112" t="s">
        <v>66</v>
      </c>
      <c r="J78" s="113">
        <v>5600</v>
      </c>
      <c r="K78" s="114">
        <v>2728766.3507999997</v>
      </c>
      <c r="L78" s="113">
        <v>245.53571428571428</v>
      </c>
      <c r="M78" s="114">
        <v>119644.57054687499</v>
      </c>
      <c r="N78" s="115">
        <v>0</v>
      </c>
      <c r="O78" s="114">
        <v>0</v>
      </c>
      <c r="P78" s="116">
        <v>2848410.9213468744</v>
      </c>
      <c r="Q78" s="117">
        <f t="shared" si="18"/>
        <v>8.1030752684416538E-3</v>
      </c>
      <c r="R78" s="114">
        <f t="shared" si="19"/>
        <v>237.10853570364995</v>
      </c>
      <c r="S78" s="377">
        <f t="shared" si="20"/>
        <v>9248.0874069703714</v>
      </c>
      <c r="T78" s="357"/>
      <c r="U78" s="104"/>
      <c r="V78" s="95"/>
      <c r="W78" s="105"/>
      <c r="X78" s="95"/>
      <c r="Y78" s="95"/>
      <c r="Z78" s="95"/>
      <c r="AA78" s="95"/>
      <c r="AB78" s="95"/>
      <c r="AC78" s="95"/>
      <c r="AD78" s="17">
        <f t="shared" ref="AD78:AD141" si="21">IF(X78&lt;&gt;0,IF($X78&gt;=AD$12,AD77,""),Z78)</f>
        <v>0</v>
      </c>
      <c r="AE78" s="17">
        <f t="shared" ref="AE78:AG93" si="22">IF(AA78=" ",IF($X78&gt;=AE$12,AE77,""),AA78)</f>
        <v>0</v>
      </c>
      <c r="AF78" s="17">
        <f t="shared" si="22"/>
        <v>0</v>
      </c>
      <c r="AG78" s="17">
        <f t="shared" si="22"/>
        <v>0</v>
      </c>
      <c r="AH78" s="18" t="str">
        <f t="shared" ref="AH78:AH141" si="23">AD78&amp;",;!"&amp;AE78&amp;",;!"&amp;AF78&amp;",;!"&amp;AG78</f>
        <v>0,;!0,;!0,;!0</v>
      </c>
      <c r="AI78" s="18" t="e">
        <f>INDEX([1]Library!$AL:$AL,MATCH(AH78,[1]Library!$AJ:$AJ,0),1)</f>
        <v>#N/A</v>
      </c>
      <c r="AJ78" s="18" t="e">
        <f>TEXT(INDEX([1]Library!$W:$W,MATCH(AH78,[1]Library!$AJ:$AJ,0),1),"")</f>
        <v>#N/A</v>
      </c>
    </row>
    <row r="79" spans="1:36" ht="25.05" customHeight="1" outlineLevel="2">
      <c r="A79" s="376" t="s">
        <v>44</v>
      </c>
      <c r="B79" s="107" t="s">
        <v>44</v>
      </c>
      <c r="C79" s="108" t="s">
        <v>44</v>
      </c>
      <c r="D79" s="109" t="s">
        <v>102</v>
      </c>
      <c r="E79" s="289"/>
      <c r="F79" s="299"/>
      <c r="G79" s="62"/>
      <c r="H79" s="111">
        <v>358.25762250000002</v>
      </c>
      <c r="I79" s="112" t="s">
        <v>66</v>
      </c>
      <c r="J79" s="113">
        <v>5600</v>
      </c>
      <c r="K79" s="114">
        <v>2006242.6860000002</v>
      </c>
      <c r="L79" s="113">
        <v>245.53571428571428</v>
      </c>
      <c r="M79" s="114">
        <v>87965.041238839287</v>
      </c>
      <c r="N79" s="115">
        <v>0</v>
      </c>
      <c r="O79" s="114">
        <v>0</v>
      </c>
      <c r="P79" s="116">
        <v>2094207.7272388395</v>
      </c>
      <c r="Q79" s="117">
        <f t="shared" si="18"/>
        <v>5.9575402953252216E-3</v>
      </c>
      <c r="R79" s="114">
        <f t="shared" si="19"/>
        <v>174.32685851031411</v>
      </c>
      <c r="S79" s="377">
        <f t="shared" si="20"/>
        <v>6799.3757377884403</v>
      </c>
      <c r="T79" s="357"/>
      <c r="U79" s="104"/>
      <c r="V79" s="95"/>
      <c r="W79" s="105"/>
      <c r="X79" s="95"/>
      <c r="Y79" s="95"/>
      <c r="Z79" s="95"/>
      <c r="AA79" s="95"/>
      <c r="AB79" s="95"/>
      <c r="AC79" s="95"/>
      <c r="AD79" s="17">
        <f t="shared" si="21"/>
        <v>0</v>
      </c>
      <c r="AE79" s="17">
        <f t="shared" si="22"/>
        <v>0</v>
      </c>
      <c r="AF79" s="17">
        <f t="shared" si="22"/>
        <v>0</v>
      </c>
      <c r="AG79" s="17">
        <f t="shared" si="22"/>
        <v>0</v>
      </c>
      <c r="AH79" s="18" t="str">
        <f t="shared" si="23"/>
        <v>0,;!0,;!0,;!0</v>
      </c>
      <c r="AI79" s="18" t="e">
        <f>INDEX([1]Library!$AL:$AL,MATCH(AH79,[1]Library!$AJ:$AJ,0),1)</f>
        <v>#N/A</v>
      </c>
      <c r="AJ79" s="18" t="e">
        <f>TEXT(INDEX([1]Library!$W:$W,MATCH(AH79,[1]Library!$AJ:$AJ,0),1),"")</f>
        <v>#N/A</v>
      </c>
    </row>
    <row r="80" spans="1:36" ht="25.05" customHeight="1" outlineLevel="2">
      <c r="A80" s="376" t="s">
        <v>44</v>
      </c>
      <c r="B80" s="107" t="s">
        <v>44</v>
      </c>
      <c r="C80" s="108" t="s">
        <v>44</v>
      </c>
      <c r="D80" s="109" t="s">
        <v>103</v>
      </c>
      <c r="E80" s="289"/>
      <c r="F80" s="299"/>
      <c r="G80" s="62"/>
      <c r="H80" s="111">
        <v>10.913175000000001</v>
      </c>
      <c r="I80" s="112" t="s">
        <v>66</v>
      </c>
      <c r="J80" s="113">
        <v>5600</v>
      </c>
      <c r="K80" s="114">
        <v>61113.780000000006</v>
      </c>
      <c r="L80" s="113">
        <v>0</v>
      </c>
      <c r="M80" s="114">
        <v>0</v>
      </c>
      <c r="N80" s="115">
        <v>0</v>
      </c>
      <c r="O80" s="114">
        <v>0</v>
      </c>
      <c r="P80" s="116">
        <v>61113.780000000006</v>
      </c>
      <c r="Q80" s="117">
        <f t="shared" si="18"/>
        <v>1.7385467650321456E-4</v>
      </c>
      <c r="R80" s="114">
        <f t="shared" si="19"/>
        <v>5.0872571715400925</v>
      </c>
      <c r="S80" s="377">
        <f t="shared" si="20"/>
        <v>198.42136363636365</v>
      </c>
      <c r="T80" s="357"/>
      <c r="U80" s="104"/>
      <c r="V80" s="95"/>
      <c r="W80" s="105"/>
      <c r="X80" s="95"/>
      <c r="Y80" s="95"/>
      <c r="Z80" s="95"/>
      <c r="AA80" s="95"/>
      <c r="AB80" s="95"/>
      <c r="AC80" s="95"/>
      <c r="AD80" s="17">
        <f t="shared" si="21"/>
        <v>0</v>
      </c>
      <c r="AE80" s="17">
        <f t="shared" si="22"/>
        <v>0</v>
      </c>
      <c r="AF80" s="17">
        <f t="shared" si="22"/>
        <v>0</v>
      </c>
      <c r="AG80" s="17">
        <f t="shared" si="22"/>
        <v>0</v>
      </c>
      <c r="AH80" s="18" t="str">
        <f t="shared" si="23"/>
        <v>0,;!0,;!0,;!0</v>
      </c>
      <c r="AI80" s="18" t="e">
        <f>INDEX([1]Library!$AL:$AL,MATCH(AH80,[1]Library!$AJ:$AJ,0),1)</f>
        <v>#N/A</v>
      </c>
      <c r="AJ80" s="18" t="e">
        <f>TEXT(INDEX([1]Library!$W:$W,MATCH(AH80,[1]Library!$AJ:$AJ,0),1),"")</f>
        <v>#N/A</v>
      </c>
    </row>
    <row r="81" spans="1:36" ht="25.05" customHeight="1" outlineLevel="2">
      <c r="A81" s="376" t="s">
        <v>44</v>
      </c>
      <c r="B81" s="107" t="s">
        <v>44</v>
      </c>
      <c r="C81" s="108" t="s">
        <v>44</v>
      </c>
      <c r="D81" s="109" t="s">
        <v>104</v>
      </c>
      <c r="E81" s="289"/>
      <c r="F81" s="299"/>
      <c r="G81" s="62"/>
      <c r="H81" s="111">
        <v>1591.4863124999999</v>
      </c>
      <c r="I81" s="112" t="s">
        <v>66</v>
      </c>
      <c r="J81" s="113">
        <v>5600</v>
      </c>
      <c r="K81" s="114">
        <v>8912323.3499999996</v>
      </c>
      <c r="L81" s="113">
        <v>0</v>
      </c>
      <c r="M81" s="114">
        <v>0</v>
      </c>
      <c r="N81" s="115">
        <v>0</v>
      </c>
      <c r="O81" s="114">
        <v>0</v>
      </c>
      <c r="P81" s="116">
        <v>8912323.3499999996</v>
      </c>
      <c r="Q81" s="117">
        <f t="shared" si="18"/>
        <v>2.5353514263171013E-2</v>
      </c>
      <c r="R81" s="114">
        <f t="shared" si="19"/>
        <v>741.88310520756067</v>
      </c>
      <c r="S81" s="377">
        <f t="shared" si="20"/>
        <v>28936.114772727273</v>
      </c>
      <c r="T81" s="357"/>
      <c r="U81" s="104"/>
      <c r="V81" s="95"/>
      <c r="W81" s="105"/>
      <c r="X81" s="95"/>
      <c r="Y81" s="95"/>
      <c r="Z81" s="95"/>
      <c r="AA81" s="95"/>
      <c r="AB81" s="95"/>
      <c r="AC81" s="95"/>
      <c r="AD81" s="17">
        <f t="shared" si="21"/>
        <v>0</v>
      </c>
      <c r="AE81" s="17">
        <f t="shared" si="22"/>
        <v>0</v>
      </c>
      <c r="AF81" s="17">
        <f t="shared" si="22"/>
        <v>0</v>
      </c>
      <c r="AG81" s="17">
        <f t="shared" si="22"/>
        <v>0</v>
      </c>
      <c r="AH81" s="18" t="str">
        <f t="shared" si="23"/>
        <v>0,;!0,;!0,;!0</v>
      </c>
      <c r="AI81" s="18" t="e">
        <f>INDEX([1]Library!$AL:$AL,MATCH(AH81,[1]Library!$AJ:$AJ,0),1)</f>
        <v>#N/A</v>
      </c>
      <c r="AJ81" s="18" t="e">
        <f>TEXT(INDEX([1]Library!$W:$W,MATCH(AH81,[1]Library!$AJ:$AJ,0),1),"")</f>
        <v>#N/A</v>
      </c>
    </row>
    <row r="82" spans="1:36" ht="25.05" customHeight="1" outlineLevel="2">
      <c r="A82" s="376" t="s">
        <v>44</v>
      </c>
      <c r="B82" s="107" t="s">
        <v>44</v>
      </c>
      <c r="C82" s="108" t="s">
        <v>44</v>
      </c>
      <c r="D82" s="109" t="s">
        <v>105</v>
      </c>
      <c r="E82" s="289"/>
      <c r="F82" s="299"/>
      <c r="G82" s="62"/>
      <c r="H82" s="111">
        <v>1.7718750000000001</v>
      </c>
      <c r="I82" s="112" t="s">
        <v>66</v>
      </c>
      <c r="J82" s="113">
        <v>5600</v>
      </c>
      <c r="K82" s="114">
        <v>9922.5</v>
      </c>
      <c r="L82" s="113">
        <v>245.53571428571428</v>
      </c>
      <c r="M82" s="114">
        <v>435.05859375</v>
      </c>
      <c r="N82" s="115">
        <v>0</v>
      </c>
      <c r="O82" s="114">
        <v>0</v>
      </c>
      <c r="P82" s="116">
        <v>10357.55859375</v>
      </c>
      <c r="Q82" s="117">
        <f t="shared" si="18"/>
        <v>2.946487680322664E-5</v>
      </c>
      <c r="R82" s="114">
        <f t="shared" si="19"/>
        <v>0.8621879424853347</v>
      </c>
      <c r="S82" s="377">
        <f t="shared" si="20"/>
        <v>33.628436992694802</v>
      </c>
      <c r="T82" s="357"/>
      <c r="U82" s="104"/>
      <c r="V82" s="95"/>
      <c r="W82" s="105"/>
      <c r="X82" s="95"/>
      <c r="Y82" s="95"/>
      <c r="Z82" s="95"/>
      <c r="AA82" s="95"/>
      <c r="AB82" s="95"/>
      <c r="AC82" s="95"/>
      <c r="AD82" s="17">
        <f t="shared" si="21"/>
        <v>0</v>
      </c>
      <c r="AE82" s="17">
        <f t="shared" si="22"/>
        <v>0</v>
      </c>
      <c r="AF82" s="17">
        <f t="shared" si="22"/>
        <v>0</v>
      </c>
      <c r="AG82" s="17">
        <f t="shared" si="22"/>
        <v>0</v>
      </c>
      <c r="AH82" s="18" t="str">
        <f t="shared" si="23"/>
        <v>0,;!0,;!0,;!0</v>
      </c>
      <c r="AI82" s="18" t="e">
        <f>INDEX([1]Library!$AL:$AL,MATCH(AH82,[1]Library!$AJ:$AJ,0),1)</f>
        <v>#N/A</v>
      </c>
      <c r="AJ82" s="18" t="e">
        <f>TEXT(INDEX([1]Library!$W:$W,MATCH(AH82,[1]Library!$AJ:$AJ,0),1),"")</f>
        <v>#N/A</v>
      </c>
    </row>
    <row r="83" spans="1:36" ht="25.05" customHeight="1" outlineLevel="2">
      <c r="A83" s="376" t="s">
        <v>44</v>
      </c>
      <c r="B83" s="107" t="s">
        <v>44</v>
      </c>
      <c r="C83" s="108" t="s">
        <v>44</v>
      </c>
      <c r="D83" s="109" t="s">
        <v>106</v>
      </c>
      <c r="E83" s="289"/>
      <c r="F83" s="299"/>
      <c r="G83" s="62"/>
      <c r="H83" s="111">
        <v>5.6227499999999999</v>
      </c>
      <c r="I83" s="112" t="s">
        <v>66</v>
      </c>
      <c r="J83" s="113">
        <v>5600</v>
      </c>
      <c r="K83" s="114">
        <v>31487.399999999998</v>
      </c>
      <c r="L83" s="113">
        <v>245.53571428571428</v>
      </c>
      <c r="M83" s="114">
        <v>1380.5859375</v>
      </c>
      <c r="N83" s="115">
        <v>0</v>
      </c>
      <c r="O83" s="114">
        <v>0</v>
      </c>
      <c r="P83" s="116">
        <v>32867.985937499994</v>
      </c>
      <c r="Q83" s="117">
        <f t="shared" si="18"/>
        <v>9.3501875722239188E-5</v>
      </c>
      <c r="R83" s="114">
        <f t="shared" si="19"/>
        <v>2.7360097374867949</v>
      </c>
      <c r="S83" s="377">
        <f t="shared" si="20"/>
        <v>106.71424005681817</v>
      </c>
      <c r="T83" s="357"/>
      <c r="U83" s="104"/>
      <c r="V83" s="95"/>
      <c r="W83" s="105"/>
      <c r="X83" s="95"/>
      <c r="Y83" s="95"/>
      <c r="Z83" s="95"/>
      <c r="AA83" s="95"/>
      <c r="AB83" s="95"/>
      <c r="AC83" s="95"/>
      <c r="AD83" s="17">
        <f t="shared" si="21"/>
        <v>0</v>
      </c>
      <c r="AE83" s="17">
        <f t="shared" si="22"/>
        <v>0</v>
      </c>
      <c r="AF83" s="17">
        <f t="shared" si="22"/>
        <v>0</v>
      </c>
      <c r="AG83" s="17">
        <f t="shared" si="22"/>
        <v>0</v>
      </c>
      <c r="AH83" s="18" t="str">
        <f t="shared" si="23"/>
        <v>0,;!0,;!0,;!0</v>
      </c>
      <c r="AI83" s="18" t="e">
        <f>INDEX([1]Library!$AL:$AL,MATCH(AH83,[1]Library!$AJ:$AJ,0),1)</f>
        <v>#N/A</v>
      </c>
      <c r="AJ83" s="18" t="e">
        <f>TEXT(INDEX([1]Library!$W:$W,MATCH(AH83,[1]Library!$AJ:$AJ,0),1),"")</f>
        <v>#N/A</v>
      </c>
    </row>
    <row r="84" spans="1:36" ht="25.05" customHeight="1" outlineLevel="2">
      <c r="A84" s="376" t="s">
        <v>44</v>
      </c>
      <c r="B84" s="107" t="s">
        <v>44</v>
      </c>
      <c r="C84" s="108" t="s">
        <v>44</v>
      </c>
      <c r="D84" s="109" t="s">
        <v>107</v>
      </c>
      <c r="E84" s="289"/>
      <c r="F84" s="299"/>
      <c r="G84" s="62"/>
      <c r="H84" s="111">
        <v>89.416939499999998</v>
      </c>
      <c r="I84" s="112" t="s">
        <v>66</v>
      </c>
      <c r="J84" s="113">
        <v>5600</v>
      </c>
      <c r="K84" s="114">
        <v>500734.86119999998</v>
      </c>
      <c r="L84" s="113">
        <v>245.53571428571428</v>
      </c>
      <c r="M84" s="114">
        <v>21955.052109374999</v>
      </c>
      <c r="N84" s="115">
        <v>0</v>
      </c>
      <c r="O84" s="114">
        <v>0</v>
      </c>
      <c r="P84" s="116">
        <v>522689.913309375</v>
      </c>
      <c r="Q84" s="117">
        <f t="shared" si="18"/>
        <v>1.4869328290590871E-3</v>
      </c>
      <c r="R84" s="114">
        <f t="shared" si="19"/>
        <v>43.509958146506193</v>
      </c>
      <c r="S84" s="377">
        <f t="shared" si="20"/>
        <v>1697.0451730823863</v>
      </c>
      <c r="T84" s="357"/>
      <c r="U84" s="104"/>
      <c r="V84" s="95"/>
      <c r="W84" s="105"/>
      <c r="X84" s="95"/>
      <c r="Y84" s="95"/>
      <c r="Z84" s="95"/>
      <c r="AA84" s="95"/>
      <c r="AB84" s="95"/>
      <c r="AC84" s="95"/>
      <c r="AD84" s="17">
        <f t="shared" si="21"/>
        <v>0</v>
      </c>
      <c r="AE84" s="17">
        <f t="shared" si="22"/>
        <v>0</v>
      </c>
      <c r="AF84" s="17">
        <f t="shared" si="22"/>
        <v>0</v>
      </c>
      <c r="AG84" s="17">
        <f t="shared" si="22"/>
        <v>0</v>
      </c>
      <c r="AH84" s="18" t="str">
        <f t="shared" si="23"/>
        <v>0,;!0,;!0,;!0</v>
      </c>
      <c r="AI84" s="18" t="e">
        <f>INDEX([1]Library!$AL:$AL,MATCH(AH84,[1]Library!$AJ:$AJ,0),1)</f>
        <v>#N/A</v>
      </c>
      <c r="AJ84" s="18" t="e">
        <f>TEXT(INDEX([1]Library!$W:$W,MATCH(AH84,[1]Library!$AJ:$AJ,0),1),"")</f>
        <v>#N/A</v>
      </c>
    </row>
    <row r="85" spans="1:36" ht="25.05" customHeight="1" outlineLevel="2">
      <c r="A85" s="376" t="s">
        <v>44</v>
      </c>
      <c r="B85" s="107" t="s">
        <v>44</v>
      </c>
      <c r="C85" s="108" t="s">
        <v>44</v>
      </c>
      <c r="D85" s="109" t="s">
        <v>108</v>
      </c>
      <c r="E85" s="289"/>
      <c r="F85" s="299"/>
      <c r="G85" s="62"/>
      <c r="H85" s="111">
        <v>7.9138552500000001</v>
      </c>
      <c r="I85" s="112" t="s">
        <v>66</v>
      </c>
      <c r="J85" s="113">
        <v>5600</v>
      </c>
      <c r="K85" s="114">
        <v>44317.589399999997</v>
      </c>
      <c r="L85" s="113">
        <v>245.53571428571428</v>
      </c>
      <c r="M85" s="114">
        <v>1943.1341015625001</v>
      </c>
      <c r="N85" s="115">
        <v>0</v>
      </c>
      <c r="O85" s="114">
        <v>0</v>
      </c>
      <c r="P85" s="116">
        <v>46260.723501562497</v>
      </c>
      <c r="Q85" s="117">
        <f t="shared" si="18"/>
        <v>1.3160114002388337E-4</v>
      </c>
      <c r="R85" s="114">
        <f t="shared" si="19"/>
        <v>3.8508532346380324</v>
      </c>
      <c r="S85" s="377">
        <f t="shared" si="20"/>
        <v>150.19715422585227</v>
      </c>
      <c r="T85" s="357"/>
      <c r="U85" s="104"/>
      <c r="V85" s="95"/>
      <c r="W85" s="105"/>
      <c r="X85" s="95"/>
      <c r="Y85" s="95"/>
      <c r="Z85" s="95"/>
      <c r="AA85" s="95"/>
      <c r="AB85" s="95"/>
      <c r="AC85" s="95"/>
      <c r="AD85" s="17">
        <f t="shared" si="21"/>
        <v>0</v>
      </c>
      <c r="AE85" s="17">
        <f t="shared" si="22"/>
        <v>0</v>
      </c>
      <c r="AF85" s="17">
        <f t="shared" si="22"/>
        <v>0</v>
      </c>
      <c r="AG85" s="17">
        <f t="shared" si="22"/>
        <v>0</v>
      </c>
      <c r="AH85" s="18" t="str">
        <f t="shared" si="23"/>
        <v>0,;!0,;!0,;!0</v>
      </c>
      <c r="AI85" s="18" t="e">
        <f>INDEX([1]Library!$AL:$AL,MATCH(AH85,[1]Library!$AJ:$AJ,0),1)</f>
        <v>#N/A</v>
      </c>
      <c r="AJ85" s="18" t="e">
        <f>TEXT(INDEX([1]Library!$W:$W,MATCH(AH85,[1]Library!$AJ:$AJ,0),1),"")</f>
        <v>#N/A</v>
      </c>
    </row>
    <row r="86" spans="1:36" ht="25.05" customHeight="1" outlineLevel="2">
      <c r="A86" s="376" t="s">
        <v>44</v>
      </c>
      <c r="B86" s="107" t="s">
        <v>44</v>
      </c>
      <c r="C86" s="108" t="s">
        <v>44</v>
      </c>
      <c r="D86" s="109" t="s">
        <v>109</v>
      </c>
      <c r="E86" s="289"/>
      <c r="F86" s="299"/>
      <c r="G86" s="62"/>
      <c r="H86" s="111">
        <v>5489.690525250001</v>
      </c>
      <c r="I86" s="112" t="s">
        <v>66</v>
      </c>
      <c r="J86" s="113">
        <v>107.14285714285715</v>
      </c>
      <c r="K86" s="114">
        <v>588181.12770535727</v>
      </c>
      <c r="L86" s="113">
        <v>0</v>
      </c>
      <c r="M86" s="114">
        <v>0</v>
      </c>
      <c r="N86" s="115">
        <v>0</v>
      </c>
      <c r="O86" s="114">
        <v>0</v>
      </c>
      <c r="P86" s="116">
        <v>588181.12770535727</v>
      </c>
      <c r="Q86" s="117">
        <f t="shared" si="18"/>
        <v>1.6732403016555483E-3</v>
      </c>
      <c r="R86" s="114">
        <f t="shared" si="19"/>
        <v>48.961603423706038</v>
      </c>
      <c r="S86" s="377">
        <f t="shared" si="20"/>
        <v>1909.6789860563547</v>
      </c>
      <c r="T86" s="357"/>
      <c r="U86" s="104"/>
      <c r="V86" s="95"/>
      <c r="W86" s="105"/>
      <c r="X86" s="95"/>
      <c r="Y86" s="95"/>
      <c r="Z86" s="95"/>
      <c r="AA86" s="95"/>
      <c r="AB86" s="95"/>
      <c r="AC86" s="95"/>
      <c r="AD86" s="17">
        <f t="shared" si="21"/>
        <v>0</v>
      </c>
      <c r="AE86" s="17">
        <f t="shared" si="22"/>
        <v>0</v>
      </c>
      <c r="AF86" s="17">
        <f t="shared" si="22"/>
        <v>0</v>
      </c>
      <c r="AG86" s="17">
        <f t="shared" si="22"/>
        <v>0</v>
      </c>
      <c r="AH86" s="18" t="str">
        <f t="shared" si="23"/>
        <v>0,;!0,;!0,;!0</v>
      </c>
      <c r="AI86" s="18" t="e">
        <f>INDEX([1]Library!$AL:$AL,MATCH(AH86,[1]Library!$AJ:$AJ,0),1)</f>
        <v>#N/A</v>
      </c>
      <c r="AJ86" s="18" t="e">
        <f>TEXT(INDEX([1]Library!$W:$W,MATCH(AH86,[1]Library!$AJ:$AJ,0),1),"")</f>
        <v>#N/A</v>
      </c>
    </row>
    <row r="87" spans="1:36" ht="25.05" customHeight="1" outlineLevel="2">
      <c r="A87" s="376" t="s">
        <v>44</v>
      </c>
      <c r="B87" s="107" t="s">
        <v>44</v>
      </c>
      <c r="C87" s="108" t="s">
        <v>44</v>
      </c>
      <c r="D87" s="109" t="s">
        <v>110</v>
      </c>
      <c r="E87" s="289"/>
      <c r="F87" s="299"/>
      <c r="G87" s="62"/>
      <c r="H87" s="111">
        <v>10855.816999999999</v>
      </c>
      <c r="I87" s="112" t="s">
        <v>71</v>
      </c>
      <c r="J87" s="113">
        <v>0</v>
      </c>
      <c r="K87" s="114">
        <v>0</v>
      </c>
      <c r="L87" s="113">
        <v>66.964285714285708</v>
      </c>
      <c r="M87" s="114">
        <v>726952.03124999988</v>
      </c>
      <c r="N87" s="115">
        <v>0</v>
      </c>
      <c r="O87" s="114">
        <v>0</v>
      </c>
      <c r="P87" s="116">
        <v>726952.03124999988</v>
      </c>
      <c r="Q87" s="117">
        <f t="shared" si="18"/>
        <v>2.0680116698120038E-3</v>
      </c>
      <c r="R87" s="114">
        <f t="shared" si="19"/>
        <v>60.513225238926459</v>
      </c>
      <c r="S87" s="377">
        <f t="shared" si="20"/>
        <v>2360.2338676948048</v>
      </c>
      <c r="T87" s="357"/>
      <c r="U87" s="104"/>
      <c r="V87" s="95"/>
      <c r="W87" s="105"/>
      <c r="X87" s="95"/>
      <c r="Y87" s="95"/>
      <c r="Z87" s="95"/>
      <c r="AA87" s="95"/>
      <c r="AB87" s="95"/>
      <c r="AC87" s="95"/>
      <c r="AD87" s="17">
        <f t="shared" si="21"/>
        <v>0</v>
      </c>
      <c r="AE87" s="17">
        <f t="shared" si="22"/>
        <v>0</v>
      </c>
      <c r="AF87" s="17">
        <f t="shared" si="22"/>
        <v>0</v>
      </c>
      <c r="AG87" s="17">
        <f t="shared" si="22"/>
        <v>0</v>
      </c>
      <c r="AH87" s="18" t="str">
        <f t="shared" si="23"/>
        <v>0,;!0,;!0,;!0</v>
      </c>
      <c r="AI87" s="18" t="e">
        <f>INDEX([1]Library!$AL:$AL,MATCH(AH87,[1]Library!$AJ:$AJ,0),1)</f>
        <v>#N/A</v>
      </c>
      <c r="AJ87" s="18" t="e">
        <f>TEXT(INDEX([1]Library!$W:$W,MATCH(AH87,[1]Library!$AJ:$AJ,0),1),"")</f>
        <v>#N/A</v>
      </c>
    </row>
    <row r="88" spans="1:36" ht="25.05" customHeight="1" outlineLevel="2">
      <c r="A88" s="376" t="s">
        <v>44</v>
      </c>
      <c r="B88" s="107" t="s">
        <v>44</v>
      </c>
      <c r="C88" s="108" t="s">
        <v>44</v>
      </c>
      <c r="D88" s="109" t="s">
        <v>111</v>
      </c>
      <c r="E88" s="289"/>
      <c r="F88" s="299"/>
      <c r="G88" s="62"/>
      <c r="H88" s="111">
        <v>1006.321</v>
      </c>
      <c r="I88" s="112" t="s">
        <v>71</v>
      </c>
      <c r="J88" s="113">
        <v>0</v>
      </c>
      <c r="K88" s="114">
        <v>0</v>
      </c>
      <c r="L88" s="113">
        <v>53.571428571428569</v>
      </c>
      <c r="M88" s="114">
        <v>53910.053571428572</v>
      </c>
      <c r="N88" s="115">
        <v>0</v>
      </c>
      <c r="O88" s="114">
        <v>0</v>
      </c>
      <c r="P88" s="116">
        <v>53910.053571428572</v>
      </c>
      <c r="Q88" s="117">
        <f t="shared" si="18"/>
        <v>1.533617283030387E-4</v>
      </c>
      <c r="R88" s="114">
        <f t="shared" si="19"/>
        <v>4.4876017593636091</v>
      </c>
      <c r="S88" s="377">
        <f t="shared" si="20"/>
        <v>175.03264146567719</v>
      </c>
      <c r="T88" s="357"/>
      <c r="U88" s="104"/>
      <c r="V88" s="95"/>
      <c r="W88" s="105"/>
      <c r="X88" s="95"/>
      <c r="Y88" s="95"/>
      <c r="Z88" s="95"/>
      <c r="AA88" s="95"/>
      <c r="AB88" s="95"/>
      <c r="AC88" s="95"/>
      <c r="AD88" s="17">
        <f t="shared" si="21"/>
        <v>0</v>
      </c>
      <c r="AE88" s="17">
        <f t="shared" si="22"/>
        <v>0</v>
      </c>
      <c r="AF88" s="17">
        <f t="shared" si="22"/>
        <v>0</v>
      </c>
      <c r="AG88" s="17">
        <f t="shared" si="22"/>
        <v>0</v>
      </c>
      <c r="AH88" s="18" t="str">
        <f t="shared" si="23"/>
        <v>0,;!0,;!0,;!0</v>
      </c>
      <c r="AI88" s="18" t="e">
        <f>INDEX([1]Library!$AL:$AL,MATCH(AH88,[1]Library!$AJ:$AJ,0),1)</f>
        <v>#N/A</v>
      </c>
      <c r="AJ88" s="18" t="e">
        <f>TEXT(INDEX([1]Library!$W:$W,MATCH(AH88,[1]Library!$AJ:$AJ,0),1),"")</f>
        <v>#N/A</v>
      </c>
    </row>
    <row r="89" spans="1:36" ht="25.05" customHeight="1" outlineLevel="2">
      <c r="A89" s="376" t="s">
        <v>44</v>
      </c>
      <c r="B89" s="107" t="s">
        <v>44</v>
      </c>
      <c r="C89" s="108" t="s">
        <v>44</v>
      </c>
      <c r="D89" s="109" t="s">
        <v>112</v>
      </c>
      <c r="E89" s="289"/>
      <c r="F89" s="299"/>
      <c r="G89" s="62"/>
      <c r="H89" s="111">
        <v>5489.690525250001</v>
      </c>
      <c r="I89" s="112" t="s">
        <v>66</v>
      </c>
      <c r="J89" s="113">
        <v>0</v>
      </c>
      <c r="K89" s="114">
        <v>0</v>
      </c>
      <c r="L89" s="113">
        <v>320</v>
      </c>
      <c r="M89" s="114">
        <v>1756700.9680800003</v>
      </c>
      <c r="N89" s="115">
        <v>0</v>
      </c>
      <c r="O89" s="114">
        <v>0</v>
      </c>
      <c r="P89" s="116">
        <v>1756700.9680800003</v>
      </c>
      <c r="Q89" s="117">
        <f t="shared" si="18"/>
        <v>4.9974110342779036E-3</v>
      </c>
      <c r="R89" s="114">
        <f t="shared" si="19"/>
        <v>146.23198889213535</v>
      </c>
      <c r="S89" s="377">
        <f t="shared" si="20"/>
        <v>5703.5745716883121</v>
      </c>
      <c r="T89" s="357"/>
      <c r="U89" s="104"/>
      <c r="V89" s="95"/>
      <c r="W89" s="105"/>
      <c r="X89" s="95"/>
      <c r="Y89" s="95"/>
      <c r="Z89" s="95"/>
      <c r="AA89" s="95"/>
      <c r="AB89" s="95"/>
      <c r="AC89" s="95"/>
      <c r="AD89" s="17">
        <f t="shared" si="21"/>
        <v>0</v>
      </c>
      <c r="AE89" s="17">
        <f t="shared" si="22"/>
        <v>0</v>
      </c>
      <c r="AF89" s="17">
        <f t="shared" si="22"/>
        <v>0</v>
      </c>
      <c r="AG89" s="17">
        <f t="shared" si="22"/>
        <v>0</v>
      </c>
      <c r="AH89" s="18" t="str">
        <f t="shared" si="23"/>
        <v>0,;!0,;!0,;!0</v>
      </c>
      <c r="AI89" s="18" t="e">
        <f>INDEX([1]Library!$AL:$AL,MATCH(AH89,[1]Library!$AJ:$AJ,0),1)</f>
        <v>#N/A</v>
      </c>
      <c r="AJ89" s="18" t="e">
        <f>TEXT(INDEX([1]Library!$W:$W,MATCH(AH89,[1]Library!$AJ:$AJ,0),1),"")</f>
        <v>#N/A</v>
      </c>
    </row>
    <row r="90" spans="1:36" ht="25.05" customHeight="1">
      <c r="A90" s="372" t="s">
        <v>113</v>
      </c>
      <c r="B90" s="84" t="s">
        <v>114</v>
      </c>
      <c r="C90" s="85"/>
      <c r="D90" s="85"/>
      <c r="E90" s="86"/>
      <c r="F90" s="297"/>
      <c r="G90" s="62"/>
      <c r="H90" s="87">
        <v>1</v>
      </c>
      <c r="I90" s="88" t="s">
        <v>35</v>
      </c>
      <c r="J90" s="89">
        <v>44707532.466523677</v>
      </c>
      <c r="K90" s="90">
        <v>44707532.466523677</v>
      </c>
      <c r="L90" s="89">
        <v>13332679.58392857</v>
      </c>
      <c r="M90" s="90">
        <v>13332679.58392857</v>
      </c>
      <c r="N90" s="89">
        <v>34823892.968042493</v>
      </c>
      <c r="O90" s="90">
        <v>34823892.968042493</v>
      </c>
      <c r="P90" s="91">
        <v>92864105.01849474</v>
      </c>
      <c r="Q90" s="92">
        <f>P90/P$13</f>
        <v>0.26417706345035352</v>
      </c>
      <c r="R90" s="90">
        <f>P90/I$5</f>
        <v>7730.2301417780018</v>
      </c>
      <c r="S90" s="373">
        <f>P90/I$7</f>
        <v>301506.83447563229</v>
      </c>
      <c r="T90" s="355"/>
      <c r="U90" s="104"/>
      <c r="V90" s="95"/>
      <c r="W90" s="105"/>
      <c r="X90" s="95"/>
      <c r="Y90" s="95"/>
      <c r="Z90" s="95"/>
      <c r="AA90" s="95"/>
      <c r="AB90" s="95"/>
      <c r="AC90" s="95"/>
      <c r="AD90" s="17">
        <f t="shared" si="21"/>
        <v>0</v>
      </c>
      <c r="AE90" s="17">
        <f t="shared" si="22"/>
        <v>0</v>
      </c>
      <c r="AF90" s="17">
        <f t="shared" si="22"/>
        <v>0</v>
      </c>
      <c r="AG90" s="17">
        <f t="shared" si="22"/>
        <v>0</v>
      </c>
      <c r="AH90" s="18" t="str">
        <f t="shared" si="23"/>
        <v>0,;!0,;!0,;!0</v>
      </c>
      <c r="AI90" s="18" t="e">
        <f>INDEX([1]Library!$AL:$AL,MATCH(AH90,[1]Library!$AJ:$AJ,0),1)</f>
        <v>#N/A</v>
      </c>
      <c r="AJ90" s="18" t="e">
        <f>TEXT(INDEX([1]Library!$W:$W,MATCH(AH90,[1]Library!$AJ:$AJ,0),1),"")</f>
        <v>#N/A</v>
      </c>
    </row>
    <row r="91" spans="1:36" ht="25.05" customHeight="1" outlineLevel="1">
      <c r="A91" s="374" t="s">
        <v>44</v>
      </c>
      <c r="B91" s="96" t="s">
        <v>44</v>
      </c>
      <c r="C91" s="97" t="s">
        <v>115</v>
      </c>
      <c r="D91" s="97"/>
      <c r="E91" s="98"/>
      <c r="F91" s="298"/>
      <c r="G91" s="62"/>
      <c r="H91" s="99">
        <v>1</v>
      </c>
      <c r="I91" s="100" t="s">
        <v>35</v>
      </c>
      <c r="J91" s="99">
        <v>27680151.165452253</v>
      </c>
      <c r="K91" s="99">
        <v>27680151.165452253</v>
      </c>
      <c r="L91" s="99">
        <v>9903056.1999999974</v>
      </c>
      <c r="M91" s="99">
        <v>9903056.1999999974</v>
      </c>
      <c r="N91" s="99">
        <v>2261621.9024553569</v>
      </c>
      <c r="O91" s="99">
        <v>2261621.9024553569</v>
      </c>
      <c r="P91" s="101">
        <v>39844829.267907612</v>
      </c>
      <c r="Q91" s="102">
        <f>P91/P$13</f>
        <v>0.11334939358517658</v>
      </c>
      <c r="R91" s="103">
        <f>P91/I$5</f>
        <v>3316.7788580898377</v>
      </c>
      <c r="S91" s="375">
        <f>P91/I$7</f>
        <v>129366.32879190783</v>
      </c>
      <c r="T91" s="356"/>
      <c r="U91" s="104"/>
      <c r="V91" s="95"/>
      <c r="W91" s="105"/>
      <c r="X91" s="95"/>
      <c r="Y91" s="95"/>
      <c r="Z91" s="95"/>
      <c r="AA91" s="95"/>
      <c r="AB91" s="95"/>
      <c r="AC91" s="95"/>
      <c r="AD91" s="17">
        <f t="shared" si="21"/>
        <v>0</v>
      </c>
      <c r="AE91" s="17">
        <f t="shared" si="22"/>
        <v>0</v>
      </c>
      <c r="AF91" s="17">
        <f t="shared" si="22"/>
        <v>0</v>
      </c>
      <c r="AG91" s="17">
        <f t="shared" si="22"/>
        <v>0</v>
      </c>
      <c r="AH91" s="18" t="str">
        <f t="shared" si="23"/>
        <v>0,;!0,;!0,;!0</v>
      </c>
      <c r="AI91" s="18" t="e">
        <f>INDEX([1]Library!$AL:$AL,MATCH(AH91,[1]Library!$AJ:$AJ,0),1)</f>
        <v>#N/A</v>
      </c>
      <c r="AJ91" s="18" t="e">
        <f>TEXT(INDEX([1]Library!$W:$W,MATCH(AH91,[1]Library!$AJ:$AJ,0),1),"")</f>
        <v>#N/A</v>
      </c>
    </row>
    <row r="92" spans="1:36" ht="25.05" customHeight="1" outlineLevel="2">
      <c r="A92" s="376" t="s">
        <v>44</v>
      </c>
      <c r="B92" s="107" t="s">
        <v>44</v>
      </c>
      <c r="C92" s="108" t="s">
        <v>44</v>
      </c>
      <c r="D92" s="109" t="s">
        <v>116</v>
      </c>
      <c r="E92" s="289"/>
      <c r="F92" s="299"/>
      <c r="G92" s="62"/>
      <c r="H92" s="111">
        <v>2297.5527999999999</v>
      </c>
      <c r="I92" s="112" t="s">
        <v>71</v>
      </c>
      <c r="J92" s="113">
        <v>3150</v>
      </c>
      <c r="K92" s="114">
        <v>7237291.3200000003</v>
      </c>
      <c r="L92" s="113">
        <v>223.21428571428569</v>
      </c>
      <c r="M92" s="114">
        <v>512846.6071428571</v>
      </c>
      <c r="N92" s="115">
        <v>0</v>
      </c>
      <c r="O92" s="114">
        <v>0</v>
      </c>
      <c r="P92" s="116">
        <v>7750137.9271428576</v>
      </c>
      <c r="Q92" s="117">
        <f t="shared" ref="Q92:Q114" si="24">P92/P$13</f>
        <v>2.2047363494431458E-2</v>
      </c>
      <c r="R92" s="114">
        <f t="shared" ref="R92:R114" si="25">P92/I$5</f>
        <v>645.14001179901436</v>
      </c>
      <c r="S92" s="377">
        <f t="shared" ref="S92:S114" si="26">P92/I$7</f>
        <v>25162.78547773655</v>
      </c>
      <c r="T92" s="357"/>
      <c r="U92" s="104"/>
      <c r="V92" s="95"/>
      <c r="W92" s="105"/>
      <c r="X92" s="95"/>
      <c r="Y92" s="95"/>
      <c r="Z92" s="95"/>
      <c r="AA92" s="95"/>
      <c r="AB92" s="95"/>
      <c r="AC92" s="95"/>
      <c r="AD92" s="17">
        <f t="shared" si="21"/>
        <v>0</v>
      </c>
      <c r="AE92" s="17">
        <f t="shared" si="22"/>
        <v>0</v>
      </c>
      <c r="AF92" s="17">
        <f t="shared" si="22"/>
        <v>0</v>
      </c>
      <c r="AG92" s="17">
        <f t="shared" si="22"/>
        <v>0</v>
      </c>
      <c r="AH92" s="18" t="str">
        <f t="shared" si="23"/>
        <v>0,;!0,;!0,;!0</v>
      </c>
      <c r="AI92" s="18" t="e">
        <f>INDEX([1]Library!$AL:$AL,MATCH(AH92,[1]Library!$AJ:$AJ,0),1)</f>
        <v>#N/A</v>
      </c>
      <c r="AJ92" s="18" t="e">
        <f>TEXT(INDEX([1]Library!$W:$W,MATCH(AH92,[1]Library!$AJ:$AJ,0),1),"")</f>
        <v>#N/A</v>
      </c>
    </row>
    <row r="93" spans="1:36" ht="25.05" customHeight="1" outlineLevel="2">
      <c r="A93" s="376" t="s">
        <v>44</v>
      </c>
      <c r="B93" s="107" t="s">
        <v>44</v>
      </c>
      <c r="C93" s="108" t="s">
        <v>44</v>
      </c>
      <c r="D93" s="109" t="s">
        <v>117</v>
      </c>
      <c r="E93" s="289"/>
      <c r="F93" s="299"/>
      <c r="G93" s="62"/>
      <c r="H93" s="111">
        <v>5099.2343999999994</v>
      </c>
      <c r="I93" s="112" t="s">
        <v>71</v>
      </c>
      <c r="J93" s="113">
        <v>2317.5</v>
      </c>
      <c r="K93" s="114">
        <v>11817475.721999999</v>
      </c>
      <c r="L93" s="113">
        <v>223.21428571428569</v>
      </c>
      <c r="M93" s="114">
        <v>1138221.9642857141</v>
      </c>
      <c r="N93" s="115">
        <v>0</v>
      </c>
      <c r="O93" s="114">
        <v>0</v>
      </c>
      <c r="P93" s="116">
        <v>12955697.686285714</v>
      </c>
      <c r="Q93" s="117">
        <f t="shared" si="24"/>
        <v>3.6855986164211214E-2</v>
      </c>
      <c r="R93" s="114">
        <f t="shared" si="25"/>
        <v>1078.4632527535096</v>
      </c>
      <c r="S93" s="377">
        <f t="shared" si="26"/>
        <v>42063.953526901671</v>
      </c>
      <c r="T93" s="357"/>
      <c r="U93" s="104"/>
      <c r="V93" s="95"/>
      <c r="W93" s="105"/>
      <c r="X93" s="95"/>
      <c r="Y93" s="95"/>
      <c r="Z93" s="95"/>
      <c r="AA93" s="95"/>
      <c r="AB93" s="95"/>
      <c r="AC93" s="95"/>
      <c r="AD93" s="17">
        <f t="shared" si="21"/>
        <v>0</v>
      </c>
      <c r="AE93" s="17">
        <f t="shared" si="22"/>
        <v>0</v>
      </c>
      <c r="AF93" s="17">
        <f t="shared" si="22"/>
        <v>0</v>
      </c>
      <c r="AG93" s="17">
        <f t="shared" si="22"/>
        <v>0</v>
      </c>
      <c r="AH93" s="18" t="str">
        <f t="shared" si="23"/>
        <v>0,;!0,;!0,;!0</v>
      </c>
      <c r="AI93" s="18" t="e">
        <f>INDEX([1]Library!$AL:$AL,MATCH(AH93,[1]Library!$AJ:$AJ,0),1)</f>
        <v>#N/A</v>
      </c>
      <c r="AJ93" s="18" t="e">
        <f>TEXT(INDEX([1]Library!$W:$W,MATCH(AH93,[1]Library!$AJ:$AJ,0),1),"")</f>
        <v>#N/A</v>
      </c>
    </row>
    <row r="94" spans="1:36" ht="25.05" customHeight="1" outlineLevel="2">
      <c r="A94" s="376" t="s">
        <v>44</v>
      </c>
      <c r="B94" s="107" t="s">
        <v>44</v>
      </c>
      <c r="C94" s="108" t="s">
        <v>44</v>
      </c>
      <c r="D94" s="109" t="s">
        <v>118</v>
      </c>
      <c r="E94" s="289"/>
      <c r="F94" s="299"/>
      <c r="G94" s="62"/>
      <c r="H94" s="111">
        <v>1195.6046999999999</v>
      </c>
      <c r="I94" s="112" t="s">
        <v>71</v>
      </c>
      <c r="J94" s="113">
        <v>2451.9486078486107</v>
      </c>
      <c r="K94" s="114">
        <v>2931561.2797022555</v>
      </c>
      <c r="L94" s="113">
        <v>455.35714285714283</v>
      </c>
      <c r="M94" s="114">
        <v>544427.14017857134</v>
      </c>
      <c r="N94" s="115">
        <v>0</v>
      </c>
      <c r="O94" s="114">
        <v>0</v>
      </c>
      <c r="P94" s="116">
        <v>3475988.419880827</v>
      </c>
      <c r="Q94" s="117">
        <f t="shared" si="24"/>
        <v>9.8883892023583081E-3</v>
      </c>
      <c r="R94" s="114">
        <f t="shared" si="25"/>
        <v>289.34958723268386</v>
      </c>
      <c r="S94" s="377">
        <f t="shared" si="26"/>
        <v>11285.676687924763</v>
      </c>
      <c r="T94" s="357"/>
      <c r="U94" s="104"/>
      <c r="V94" s="95"/>
      <c r="W94" s="105"/>
      <c r="X94" s="95"/>
      <c r="Y94" s="95"/>
      <c r="Z94" s="95"/>
      <c r="AA94" s="95"/>
      <c r="AB94" s="95"/>
      <c r="AC94" s="95"/>
      <c r="AD94" s="17">
        <f t="shared" si="21"/>
        <v>0</v>
      </c>
      <c r="AE94" s="17">
        <f t="shared" ref="AE94:AG109" si="27">IF(AA94=" ",IF($X94&gt;=AE$12,AE93,""),AA94)</f>
        <v>0</v>
      </c>
      <c r="AF94" s="17">
        <f t="shared" si="27"/>
        <v>0</v>
      </c>
      <c r="AG94" s="17">
        <f t="shared" si="27"/>
        <v>0</v>
      </c>
      <c r="AH94" s="18" t="str">
        <f t="shared" si="23"/>
        <v>0,;!0,;!0,;!0</v>
      </c>
      <c r="AI94" s="18" t="e">
        <f>INDEX([1]Library!$AL:$AL,MATCH(AH94,[1]Library!$AJ:$AJ,0),1)</f>
        <v>#N/A</v>
      </c>
      <c r="AJ94" s="18" t="e">
        <f>TEXT(INDEX([1]Library!$W:$W,MATCH(AH94,[1]Library!$AJ:$AJ,0),1),"")</f>
        <v>#N/A</v>
      </c>
    </row>
    <row r="95" spans="1:36" ht="25.05" customHeight="1" outlineLevel="2">
      <c r="A95" s="376" t="s">
        <v>44</v>
      </c>
      <c r="B95" s="107" t="s">
        <v>44</v>
      </c>
      <c r="C95" s="108" t="s">
        <v>44</v>
      </c>
      <c r="D95" s="109" t="s">
        <v>119</v>
      </c>
      <c r="E95" s="289"/>
      <c r="F95" s="299"/>
      <c r="G95" s="62"/>
      <c r="H95" s="111">
        <v>47.4816</v>
      </c>
      <c r="I95" s="112" t="s">
        <v>71</v>
      </c>
      <c r="J95" s="113">
        <v>2053.5714285714284</v>
      </c>
      <c r="K95" s="114">
        <v>97506.857142857145</v>
      </c>
      <c r="L95" s="113">
        <v>312.49999999999994</v>
      </c>
      <c r="M95" s="114">
        <v>14837.999999999998</v>
      </c>
      <c r="N95" s="115">
        <v>0</v>
      </c>
      <c r="O95" s="114">
        <v>0</v>
      </c>
      <c r="P95" s="116">
        <v>112344.85714285714</v>
      </c>
      <c r="Q95" s="117">
        <f t="shared" si="24"/>
        <v>3.1959533177904038E-4</v>
      </c>
      <c r="R95" s="114">
        <f t="shared" si="25"/>
        <v>9.3518545275001337</v>
      </c>
      <c r="S95" s="377">
        <f t="shared" si="26"/>
        <v>364.75602968460112</v>
      </c>
      <c r="T95" s="357"/>
      <c r="U95" s="104"/>
      <c r="V95" s="95"/>
      <c r="W95" s="105"/>
      <c r="X95" s="95"/>
      <c r="Y95" s="95"/>
      <c r="Z95" s="95"/>
      <c r="AA95" s="95"/>
      <c r="AB95" s="95"/>
      <c r="AC95" s="95"/>
      <c r="AD95" s="17">
        <f t="shared" si="21"/>
        <v>0</v>
      </c>
      <c r="AE95" s="17">
        <f t="shared" si="27"/>
        <v>0</v>
      </c>
      <c r="AF95" s="17">
        <f t="shared" si="27"/>
        <v>0</v>
      </c>
      <c r="AG95" s="17">
        <f t="shared" si="27"/>
        <v>0</v>
      </c>
      <c r="AH95" s="18" t="str">
        <f t="shared" si="23"/>
        <v>0,;!0,;!0,;!0</v>
      </c>
      <c r="AI95" s="18" t="e">
        <f>INDEX([1]Library!$AL:$AL,MATCH(AH95,[1]Library!$AJ:$AJ,0),1)</f>
        <v>#N/A</v>
      </c>
      <c r="AJ95" s="18" t="e">
        <f>TEXT(INDEX([1]Library!$W:$W,MATCH(AH95,[1]Library!$AJ:$AJ,0),1),"")</f>
        <v>#N/A</v>
      </c>
    </row>
    <row r="96" spans="1:36" ht="25.05" customHeight="1" outlineLevel="2">
      <c r="A96" s="376" t="s">
        <v>44</v>
      </c>
      <c r="B96" s="107" t="s">
        <v>44</v>
      </c>
      <c r="C96" s="108" t="s">
        <v>44</v>
      </c>
      <c r="D96" s="109" t="s">
        <v>120</v>
      </c>
      <c r="E96" s="289"/>
      <c r="F96" s="299"/>
      <c r="G96" s="62"/>
      <c r="H96" s="111">
        <v>2391.2093999999997</v>
      </c>
      <c r="I96" s="112" t="s">
        <v>71</v>
      </c>
      <c r="J96" s="113">
        <v>133.92857142857144</v>
      </c>
      <c r="K96" s="114">
        <v>320251.25892857142</v>
      </c>
      <c r="L96" s="113">
        <v>267.85714285714289</v>
      </c>
      <c r="M96" s="114">
        <v>640502.51785714284</v>
      </c>
      <c r="N96" s="115">
        <v>0</v>
      </c>
      <c r="O96" s="114">
        <v>0</v>
      </c>
      <c r="P96" s="116">
        <v>960753.77678571432</v>
      </c>
      <c r="Q96" s="117">
        <f t="shared" si="24"/>
        <v>2.7331239707693088E-3</v>
      </c>
      <c r="R96" s="114">
        <f t="shared" si="25"/>
        <v>79.975441562236114</v>
      </c>
      <c r="S96" s="377">
        <f t="shared" si="26"/>
        <v>3119.330444109462</v>
      </c>
      <c r="T96" s="357"/>
      <c r="U96" s="104"/>
      <c r="V96" s="95"/>
      <c r="W96" s="105"/>
      <c r="X96" s="95"/>
      <c r="Y96" s="95"/>
      <c r="Z96" s="95"/>
      <c r="AA96" s="95"/>
      <c r="AB96" s="95"/>
      <c r="AC96" s="95"/>
      <c r="AD96" s="17">
        <f t="shared" si="21"/>
        <v>0</v>
      </c>
      <c r="AE96" s="17">
        <f t="shared" si="27"/>
        <v>0</v>
      </c>
      <c r="AF96" s="17">
        <f t="shared" si="27"/>
        <v>0</v>
      </c>
      <c r="AG96" s="17">
        <f t="shared" si="27"/>
        <v>0</v>
      </c>
      <c r="AH96" s="18" t="str">
        <f t="shared" si="23"/>
        <v>0,;!0,;!0,;!0</v>
      </c>
      <c r="AI96" s="18" t="e">
        <f>INDEX([1]Library!$AL:$AL,MATCH(AH96,[1]Library!$AJ:$AJ,0),1)</f>
        <v>#N/A</v>
      </c>
      <c r="AJ96" s="18" t="e">
        <f>TEXT(INDEX([1]Library!$W:$W,MATCH(AH96,[1]Library!$AJ:$AJ,0),1),"")</f>
        <v>#N/A</v>
      </c>
    </row>
    <row r="97" spans="1:36" ht="25.05" customHeight="1" outlineLevel="2">
      <c r="A97" s="376" t="s">
        <v>44</v>
      </c>
      <c r="B97" s="107" t="s">
        <v>44</v>
      </c>
      <c r="C97" s="108" t="s">
        <v>44</v>
      </c>
      <c r="D97" s="109" t="s">
        <v>121</v>
      </c>
      <c r="E97" s="289"/>
      <c r="F97" s="299"/>
      <c r="G97" s="62"/>
      <c r="H97" s="111">
        <v>4016.2919999999999</v>
      </c>
      <c r="I97" s="112" t="s">
        <v>122</v>
      </c>
      <c r="J97" s="113">
        <v>86.309523809523796</v>
      </c>
      <c r="K97" s="114">
        <v>346644.24999999994</v>
      </c>
      <c r="L97" s="113">
        <v>80.357142857142847</v>
      </c>
      <c r="M97" s="114">
        <v>322737.74999999994</v>
      </c>
      <c r="N97" s="115">
        <v>0</v>
      </c>
      <c r="O97" s="114">
        <v>0</v>
      </c>
      <c r="P97" s="116">
        <v>669381.99999999988</v>
      </c>
      <c r="Q97" s="117">
        <f t="shared" si="24"/>
        <v>1.9042381450971408E-3</v>
      </c>
      <c r="R97" s="114">
        <f t="shared" si="25"/>
        <v>55.720958186514551</v>
      </c>
      <c r="S97" s="377">
        <f t="shared" si="26"/>
        <v>2173.3181818181815</v>
      </c>
      <c r="T97" s="357"/>
      <c r="U97" s="104"/>
      <c r="V97" s="95"/>
      <c r="W97" s="105"/>
      <c r="X97" s="95"/>
      <c r="Y97" s="95"/>
      <c r="Z97" s="95"/>
      <c r="AA97" s="95"/>
      <c r="AB97" s="95"/>
      <c r="AC97" s="95"/>
      <c r="AD97" s="17">
        <f t="shared" si="21"/>
        <v>0</v>
      </c>
      <c r="AE97" s="17">
        <f t="shared" si="27"/>
        <v>0</v>
      </c>
      <c r="AF97" s="17">
        <f t="shared" si="27"/>
        <v>0</v>
      </c>
      <c r="AG97" s="17">
        <f t="shared" si="27"/>
        <v>0</v>
      </c>
      <c r="AH97" s="18" t="str">
        <f t="shared" si="23"/>
        <v>0,;!0,;!0,;!0</v>
      </c>
      <c r="AI97" s="18" t="e">
        <f>INDEX([1]Library!$AL:$AL,MATCH(AH97,[1]Library!$AJ:$AJ,0),1)</f>
        <v>#N/A</v>
      </c>
      <c r="AJ97" s="18" t="e">
        <f>TEXT(INDEX([1]Library!$W:$W,MATCH(AH97,[1]Library!$AJ:$AJ,0),1),"")</f>
        <v>#N/A</v>
      </c>
    </row>
    <row r="98" spans="1:36" ht="25.05" customHeight="1" outlineLevel="2">
      <c r="A98" s="376" t="s">
        <v>44</v>
      </c>
      <c r="B98" s="107" t="s">
        <v>44</v>
      </c>
      <c r="C98" s="108" t="s">
        <v>44</v>
      </c>
      <c r="D98" s="109" t="s">
        <v>123</v>
      </c>
      <c r="E98" s="289"/>
      <c r="F98" s="299"/>
      <c r="G98" s="62"/>
      <c r="H98" s="111">
        <v>19804.696000000004</v>
      </c>
      <c r="I98" s="112" t="s">
        <v>122</v>
      </c>
      <c r="J98" s="113">
        <v>86.309523809523796</v>
      </c>
      <c r="K98" s="114">
        <v>1709333.8809523811</v>
      </c>
      <c r="L98" s="113">
        <v>80.357142857142847</v>
      </c>
      <c r="M98" s="114">
        <v>1591448.7857142857</v>
      </c>
      <c r="N98" s="115">
        <v>0</v>
      </c>
      <c r="O98" s="114">
        <v>0</v>
      </c>
      <c r="P98" s="116">
        <v>3300782.666666667</v>
      </c>
      <c r="Q98" s="117">
        <f t="shared" si="24"/>
        <v>9.3899690498730603E-3</v>
      </c>
      <c r="R98" s="114">
        <f t="shared" si="25"/>
        <v>274.76504141447691</v>
      </c>
      <c r="S98" s="377">
        <f t="shared" si="26"/>
        <v>10716.826839826841</v>
      </c>
      <c r="T98" s="357"/>
      <c r="U98" s="104"/>
      <c r="V98" s="95"/>
      <c r="W98" s="105"/>
      <c r="X98" s="95"/>
      <c r="Y98" s="95"/>
      <c r="Z98" s="95"/>
      <c r="AA98" s="95"/>
      <c r="AB98" s="95"/>
      <c r="AC98" s="95"/>
      <c r="AD98" s="17">
        <f t="shared" si="21"/>
        <v>0</v>
      </c>
      <c r="AE98" s="17">
        <f t="shared" si="27"/>
        <v>0</v>
      </c>
      <c r="AF98" s="17">
        <f t="shared" si="27"/>
        <v>0</v>
      </c>
      <c r="AG98" s="17">
        <f t="shared" si="27"/>
        <v>0</v>
      </c>
      <c r="AH98" s="18" t="str">
        <f t="shared" si="23"/>
        <v>0,;!0,;!0,;!0</v>
      </c>
      <c r="AI98" s="18" t="e">
        <f>INDEX([1]Library!$AL:$AL,MATCH(AH98,[1]Library!$AJ:$AJ,0),1)</f>
        <v>#N/A</v>
      </c>
      <c r="AJ98" s="18" t="e">
        <f>TEXT(INDEX([1]Library!$W:$W,MATCH(AH98,[1]Library!$AJ:$AJ,0),1),"")</f>
        <v>#N/A</v>
      </c>
    </row>
    <row r="99" spans="1:36" ht="25.05" customHeight="1" outlineLevel="2">
      <c r="A99" s="376" t="s">
        <v>44</v>
      </c>
      <c r="B99" s="107" t="s">
        <v>44</v>
      </c>
      <c r="C99" s="108" t="s">
        <v>44</v>
      </c>
      <c r="D99" s="109" t="s">
        <v>124</v>
      </c>
      <c r="E99" s="289"/>
      <c r="F99" s="299"/>
      <c r="G99" s="62"/>
      <c r="H99" s="111">
        <v>10281.799999999999</v>
      </c>
      <c r="I99" s="112" t="s">
        <v>122</v>
      </c>
      <c r="J99" s="113">
        <v>86.309523809523796</v>
      </c>
      <c r="K99" s="114">
        <v>887417.26190476166</v>
      </c>
      <c r="L99" s="113">
        <v>80.357142857142847</v>
      </c>
      <c r="M99" s="114">
        <v>826216.07142857125</v>
      </c>
      <c r="N99" s="115">
        <v>0</v>
      </c>
      <c r="O99" s="114">
        <v>0</v>
      </c>
      <c r="P99" s="116">
        <v>1713633.333333333</v>
      </c>
      <c r="Q99" s="117">
        <f t="shared" si="24"/>
        <v>4.8748934988441534E-3</v>
      </c>
      <c r="R99" s="114">
        <f t="shared" si="25"/>
        <v>142.64693600019754</v>
      </c>
      <c r="S99" s="377">
        <f t="shared" si="26"/>
        <v>5563.7445887445874</v>
      </c>
      <c r="T99" s="357"/>
      <c r="U99" s="104"/>
      <c r="V99" s="95"/>
      <c r="W99" s="105"/>
      <c r="X99" s="95"/>
      <c r="Y99" s="95"/>
      <c r="Z99" s="95"/>
      <c r="AA99" s="95"/>
      <c r="AB99" s="95"/>
      <c r="AC99" s="95"/>
      <c r="AD99" s="17">
        <f t="shared" si="21"/>
        <v>0</v>
      </c>
      <c r="AE99" s="17">
        <f t="shared" si="27"/>
        <v>0</v>
      </c>
      <c r="AF99" s="17">
        <f t="shared" si="27"/>
        <v>0</v>
      </c>
      <c r="AG99" s="17">
        <f t="shared" si="27"/>
        <v>0</v>
      </c>
      <c r="AH99" s="18" t="str">
        <f t="shared" si="23"/>
        <v>0,;!0,;!0,;!0</v>
      </c>
      <c r="AI99" s="18" t="e">
        <f>INDEX([1]Library!$AL:$AL,MATCH(AH99,[1]Library!$AJ:$AJ,0),1)</f>
        <v>#N/A</v>
      </c>
      <c r="AJ99" s="18" t="e">
        <f>TEXT(INDEX([1]Library!$W:$W,MATCH(AH99,[1]Library!$AJ:$AJ,0),1),"")</f>
        <v>#N/A</v>
      </c>
    </row>
    <row r="100" spans="1:36" ht="25.05" customHeight="1" outlineLevel="2">
      <c r="A100" s="376" t="s">
        <v>44</v>
      </c>
      <c r="B100" s="107" t="s">
        <v>44</v>
      </c>
      <c r="C100" s="108" t="s">
        <v>44</v>
      </c>
      <c r="D100" s="109" t="s">
        <v>125</v>
      </c>
      <c r="E100" s="289"/>
      <c r="F100" s="299"/>
      <c r="G100" s="62"/>
      <c r="H100" s="111">
        <v>5997.0984000000008</v>
      </c>
      <c r="I100" s="112" t="s">
        <v>71</v>
      </c>
      <c r="J100" s="113">
        <v>44.642857142857132</v>
      </c>
      <c r="K100" s="114">
        <v>267727.6071428571</v>
      </c>
      <c r="L100" s="113">
        <v>107.14285714285714</v>
      </c>
      <c r="M100" s="114">
        <v>642546.25714285718</v>
      </c>
      <c r="N100" s="115">
        <v>0</v>
      </c>
      <c r="O100" s="114">
        <v>0</v>
      </c>
      <c r="P100" s="116">
        <v>910273.86428571423</v>
      </c>
      <c r="Q100" s="117">
        <f t="shared" si="24"/>
        <v>2.5895202064857366E-3</v>
      </c>
      <c r="R100" s="114">
        <f t="shared" si="25"/>
        <v>75.773372947198041</v>
      </c>
      <c r="S100" s="377">
        <f t="shared" si="26"/>
        <v>2955.4346243042669</v>
      </c>
      <c r="T100" s="357"/>
      <c r="U100" s="104"/>
      <c r="V100" s="95"/>
      <c r="W100" s="105"/>
      <c r="X100" s="95"/>
      <c r="Y100" s="95"/>
      <c r="Z100" s="95"/>
      <c r="AA100" s="95"/>
      <c r="AB100" s="95"/>
      <c r="AC100" s="95"/>
      <c r="AD100" s="17">
        <f t="shared" si="21"/>
        <v>0</v>
      </c>
      <c r="AE100" s="17">
        <f t="shared" si="27"/>
        <v>0</v>
      </c>
      <c r="AF100" s="17">
        <f t="shared" si="27"/>
        <v>0</v>
      </c>
      <c r="AG100" s="17">
        <f t="shared" si="27"/>
        <v>0</v>
      </c>
      <c r="AH100" s="18" t="str">
        <f t="shared" si="23"/>
        <v>0,;!0,;!0,;!0</v>
      </c>
      <c r="AI100" s="18" t="e">
        <f>INDEX([1]Library!$AL:$AL,MATCH(AH100,[1]Library!$AJ:$AJ,0),1)</f>
        <v>#N/A</v>
      </c>
      <c r="AJ100" s="18" t="e">
        <f>TEXT(INDEX([1]Library!$W:$W,MATCH(AH100,[1]Library!$AJ:$AJ,0),1),"")</f>
        <v>#N/A</v>
      </c>
    </row>
    <row r="101" spans="1:36" ht="25.05" customHeight="1" outlineLevel="2">
      <c r="A101" s="376" t="s">
        <v>44</v>
      </c>
      <c r="B101" s="107" t="s">
        <v>44</v>
      </c>
      <c r="C101" s="108" t="s">
        <v>44</v>
      </c>
      <c r="D101" s="109" t="s">
        <v>126</v>
      </c>
      <c r="E101" s="289"/>
      <c r="F101" s="299"/>
      <c r="G101" s="62"/>
      <c r="H101" s="111">
        <v>22594.7657</v>
      </c>
      <c r="I101" s="112" t="s">
        <v>71</v>
      </c>
      <c r="J101" s="113">
        <v>44.642857142857139</v>
      </c>
      <c r="K101" s="114">
        <v>1008694.8973214285</v>
      </c>
      <c r="L101" s="113">
        <v>107.14285714285715</v>
      </c>
      <c r="M101" s="114">
        <v>2420867.7535714288</v>
      </c>
      <c r="N101" s="115">
        <v>0</v>
      </c>
      <c r="O101" s="114">
        <v>0</v>
      </c>
      <c r="P101" s="116">
        <v>3429562.6508928575</v>
      </c>
      <c r="Q101" s="117">
        <f t="shared" si="24"/>
        <v>9.7563185458088945E-3</v>
      </c>
      <c r="R101" s="114">
        <f t="shared" si="25"/>
        <v>285.48499521713006</v>
      </c>
      <c r="S101" s="377">
        <f t="shared" si="26"/>
        <v>11134.943671730056</v>
      </c>
      <c r="T101" s="357"/>
      <c r="U101" s="104"/>
      <c r="V101" s="95"/>
      <c r="W101" s="105"/>
      <c r="X101" s="95"/>
      <c r="Y101" s="95"/>
      <c r="Z101" s="95"/>
      <c r="AA101" s="95"/>
      <c r="AB101" s="95"/>
      <c r="AC101" s="95"/>
      <c r="AD101" s="17">
        <f t="shared" si="21"/>
        <v>0</v>
      </c>
      <c r="AE101" s="17">
        <f t="shared" si="27"/>
        <v>0</v>
      </c>
      <c r="AF101" s="17">
        <f t="shared" si="27"/>
        <v>0</v>
      </c>
      <c r="AG101" s="17">
        <f t="shared" si="27"/>
        <v>0</v>
      </c>
      <c r="AH101" s="18" t="str">
        <f t="shared" si="23"/>
        <v>0,;!0,;!0,;!0</v>
      </c>
      <c r="AI101" s="18" t="e">
        <f>INDEX([1]Library!$AL:$AL,MATCH(AH101,[1]Library!$AJ:$AJ,0),1)</f>
        <v>#N/A</v>
      </c>
      <c r="AJ101" s="18" t="e">
        <f>TEXT(INDEX([1]Library!$W:$W,MATCH(AH101,[1]Library!$AJ:$AJ,0),1),"")</f>
        <v>#N/A</v>
      </c>
    </row>
    <row r="102" spans="1:36" ht="25.05" customHeight="1" outlineLevel="2">
      <c r="A102" s="376" t="s">
        <v>44</v>
      </c>
      <c r="B102" s="107" t="s">
        <v>44</v>
      </c>
      <c r="C102" s="108" t="s">
        <v>44</v>
      </c>
      <c r="D102" s="109" t="s">
        <v>127</v>
      </c>
      <c r="E102" s="289"/>
      <c r="F102" s="299"/>
      <c r="G102" s="62"/>
      <c r="H102" s="111">
        <v>8965.7289999999994</v>
      </c>
      <c r="I102" s="112" t="s">
        <v>71</v>
      </c>
      <c r="J102" s="113">
        <v>44.642857142857139</v>
      </c>
      <c r="K102" s="114">
        <v>400255.75892857136</v>
      </c>
      <c r="L102" s="113">
        <v>107.14285714285715</v>
      </c>
      <c r="M102" s="114">
        <v>960613.82142857148</v>
      </c>
      <c r="N102" s="115">
        <v>0</v>
      </c>
      <c r="O102" s="114">
        <v>0</v>
      </c>
      <c r="P102" s="116">
        <v>1360869.5803571427</v>
      </c>
      <c r="Q102" s="117">
        <f t="shared" si="24"/>
        <v>3.8713615923619254E-3</v>
      </c>
      <c r="R102" s="114">
        <f t="shared" si="25"/>
        <v>113.28203773686769</v>
      </c>
      <c r="S102" s="377">
        <f t="shared" si="26"/>
        <v>4418.4077284322811</v>
      </c>
      <c r="T102" s="357"/>
      <c r="U102" s="104"/>
      <c r="V102" s="95"/>
      <c r="W102" s="105"/>
      <c r="X102" s="95"/>
      <c r="Y102" s="95"/>
      <c r="Z102" s="95"/>
      <c r="AA102" s="95"/>
      <c r="AB102" s="95"/>
      <c r="AC102" s="95"/>
      <c r="AD102" s="17">
        <f t="shared" si="21"/>
        <v>0</v>
      </c>
      <c r="AE102" s="17">
        <f t="shared" si="27"/>
        <v>0</v>
      </c>
      <c r="AF102" s="17">
        <f t="shared" si="27"/>
        <v>0</v>
      </c>
      <c r="AG102" s="17">
        <f t="shared" si="27"/>
        <v>0</v>
      </c>
      <c r="AH102" s="18" t="str">
        <f t="shared" si="23"/>
        <v>0,;!0,;!0,;!0</v>
      </c>
      <c r="AI102" s="18" t="e">
        <f>INDEX([1]Library!$AL:$AL,MATCH(AH102,[1]Library!$AJ:$AJ,0),1)</f>
        <v>#N/A</v>
      </c>
      <c r="AJ102" s="18" t="e">
        <f>TEXT(INDEX([1]Library!$W:$W,MATCH(AH102,[1]Library!$AJ:$AJ,0),1),"")</f>
        <v>#N/A</v>
      </c>
    </row>
    <row r="103" spans="1:36" ht="25.05" customHeight="1" outlineLevel="2">
      <c r="A103" s="376" t="s">
        <v>44</v>
      </c>
      <c r="B103" s="107" t="s">
        <v>44</v>
      </c>
      <c r="C103" s="108" t="s">
        <v>44</v>
      </c>
      <c r="D103" s="109" t="s">
        <v>128</v>
      </c>
      <c r="E103" s="289"/>
      <c r="F103" s="299"/>
      <c r="G103" s="62"/>
      <c r="H103" s="111">
        <v>10396.09895</v>
      </c>
      <c r="I103" s="112" t="s">
        <v>71</v>
      </c>
      <c r="J103" s="113">
        <v>0</v>
      </c>
      <c r="K103" s="114">
        <v>0</v>
      </c>
      <c r="L103" s="113">
        <v>0</v>
      </c>
      <c r="M103" s="114">
        <v>0</v>
      </c>
      <c r="N103" s="115">
        <v>75.892857142857139</v>
      </c>
      <c r="O103" s="114">
        <v>788989.65245535714</v>
      </c>
      <c r="P103" s="116">
        <v>788989.65245535714</v>
      </c>
      <c r="Q103" s="117">
        <f t="shared" si="24"/>
        <v>2.2444944624929073E-3</v>
      </c>
      <c r="R103" s="114">
        <f t="shared" si="25"/>
        <v>65.677385161324338</v>
      </c>
      <c r="S103" s="377">
        <f t="shared" si="26"/>
        <v>2561.6547157641467</v>
      </c>
      <c r="T103" s="357"/>
      <c r="U103" s="104"/>
      <c r="V103" s="95"/>
      <c r="W103" s="105"/>
      <c r="X103" s="95"/>
      <c r="Y103" s="95"/>
      <c r="Z103" s="95"/>
      <c r="AA103" s="95"/>
      <c r="AB103" s="95"/>
      <c r="AC103" s="95"/>
      <c r="AD103" s="17">
        <f t="shared" si="21"/>
        <v>0</v>
      </c>
      <c r="AE103" s="17">
        <f t="shared" si="27"/>
        <v>0</v>
      </c>
      <c r="AF103" s="17">
        <f t="shared" si="27"/>
        <v>0</v>
      </c>
      <c r="AG103" s="17">
        <f t="shared" si="27"/>
        <v>0</v>
      </c>
      <c r="AH103" s="18" t="str">
        <f t="shared" si="23"/>
        <v>0,;!0,;!0,;!0</v>
      </c>
      <c r="AI103" s="18" t="e">
        <f>INDEX([1]Library!$AL:$AL,MATCH(AH103,[1]Library!$AJ:$AJ,0),1)</f>
        <v>#N/A</v>
      </c>
      <c r="AJ103" s="18" t="e">
        <f>TEXT(INDEX([1]Library!$W:$W,MATCH(AH103,[1]Library!$AJ:$AJ,0),1),"")</f>
        <v>#N/A</v>
      </c>
    </row>
    <row r="104" spans="1:36" ht="25.05" customHeight="1" outlineLevel="2">
      <c r="A104" s="376" t="s">
        <v>44</v>
      </c>
      <c r="B104" s="107" t="s">
        <v>44</v>
      </c>
      <c r="C104" s="108" t="s">
        <v>44</v>
      </c>
      <c r="D104" s="109" t="s">
        <v>129</v>
      </c>
      <c r="E104" s="289"/>
      <c r="F104" s="299"/>
      <c r="G104" s="62"/>
      <c r="H104" s="111">
        <v>963.32799999999997</v>
      </c>
      <c r="I104" s="112" t="s">
        <v>71</v>
      </c>
      <c r="J104" s="113">
        <v>0</v>
      </c>
      <c r="K104" s="114">
        <v>0</v>
      </c>
      <c r="L104" s="113">
        <v>0</v>
      </c>
      <c r="M104" s="114">
        <v>0</v>
      </c>
      <c r="N104" s="115">
        <v>687.49999999999989</v>
      </c>
      <c r="O104" s="114">
        <v>662287.99999999988</v>
      </c>
      <c r="P104" s="116">
        <v>662287.99999999988</v>
      </c>
      <c r="Q104" s="117">
        <f t="shared" si="24"/>
        <v>1.8840573434004727E-3</v>
      </c>
      <c r="R104" s="114">
        <f t="shared" si="25"/>
        <v>55.130436664610571</v>
      </c>
      <c r="S104" s="377">
        <f t="shared" si="26"/>
        <v>2150.2857142857138</v>
      </c>
      <c r="T104" s="357"/>
      <c r="U104" s="104"/>
      <c r="V104" s="95"/>
      <c r="W104" s="105"/>
      <c r="X104" s="95"/>
      <c r="Y104" s="95"/>
      <c r="Z104" s="95"/>
      <c r="AA104" s="95"/>
      <c r="AB104" s="95"/>
      <c r="AC104" s="95"/>
      <c r="AD104" s="17">
        <f t="shared" si="21"/>
        <v>0</v>
      </c>
      <c r="AE104" s="17">
        <f t="shared" si="27"/>
        <v>0</v>
      </c>
      <c r="AF104" s="17">
        <f t="shared" si="27"/>
        <v>0</v>
      </c>
      <c r="AG104" s="17">
        <f t="shared" si="27"/>
        <v>0</v>
      </c>
      <c r="AH104" s="18" t="str">
        <f t="shared" si="23"/>
        <v>0,;!0,;!0,;!0</v>
      </c>
      <c r="AI104" s="18" t="e">
        <f>INDEX([1]Library!$AL:$AL,MATCH(AH104,[1]Library!$AJ:$AJ,0),1)</f>
        <v>#N/A</v>
      </c>
      <c r="AJ104" s="18" t="e">
        <f>TEXT(INDEX([1]Library!$W:$W,MATCH(AH104,[1]Library!$AJ:$AJ,0),1),"")</f>
        <v>#N/A</v>
      </c>
    </row>
    <row r="105" spans="1:36" ht="25.05" customHeight="1" outlineLevel="2">
      <c r="A105" s="376" t="s">
        <v>44</v>
      </c>
      <c r="B105" s="107" t="s">
        <v>44</v>
      </c>
      <c r="C105" s="108" t="s">
        <v>44</v>
      </c>
      <c r="D105" s="109" t="s">
        <v>130</v>
      </c>
      <c r="E105" s="289"/>
      <c r="F105" s="299"/>
      <c r="G105" s="62"/>
      <c r="H105" s="111">
        <v>708.26300000000003</v>
      </c>
      <c r="I105" s="112" t="s">
        <v>71</v>
      </c>
      <c r="J105" s="113">
        <v>0</v>
      </c>
      <c r="K105" s="114">
        <v>0</v>
      </c>
      <c r="L105" s="113">
        <v>0</v>
      </c>
      <c r="M105" s="114">
        <v>0</v>
      </c>
      <c r="N105" s="115">
        <v>714.28571428571422</v>
      </c>
      <c r="O105" s="114">
        <v>505902.14285714284</v>
      </c>
      <c r="P105" s="116">
        <v>505902.14285714284</v>
      </c>
      <c r="Q105" s="117">
        <f t="shared" si="24"/>
        <v>1.4391754754608799E-3</v>
      </c>
      <c r="R105" s="114">
        <f t="shared" si="25"/>
        <v>42.112503994148291</v>
      </c>
      <c r="S105" s="377">
        <f t="shared" si="26"/>
        <v>1642.5394248608534</v>
      </c>
      <c r="T105" s="357"/>
      <c r="U105" s="104"/>
      <c r="V105" s="95"/>
      <c r="W105" s="105"/>
      <c r="X105" s="95"/>
      <c r="Y105" s="95"/>
      <c r="Z105" s="95"/>
      <c r="AA105" s="95"/>
      <c r="AB105" s="95"/>
      <c r="AC105" s="95"/>
      <c r="AD105" s="17">
        <f t="shared" si="21"/>
        <v>0</v>
      </c>
      <c r="AE105" s="17">
        <f t="shared" si="27"/>
        <v>0</v>
      </c>
      <c r="AF105" s="17">
        <f t="shared" si="27"/>
        <v>0</v>
      </c>
      <c r="AG105" s="17">
        <f t="shared" si="27"/>
        <v>0</v>
      </c>
      <c r="AH105" s="18" t="str">
        <f t="shared" si="23"/>
        <v>0,;!0,;!0,;!0</v>
      </c>
      <c r="AI105" s="18" t="e">
        <f>INDEX([1]Library!$AL:$AL,MATCH(AH105,[1]Library!$AJ:$AJ,0),1)</f>
        <v>#N/A</v>
      </c>
      <c r="AJ105" s="18" t="e">
        <f>TEXT(INDEX([1]Library!$W:$W,MATCH(AH105,[1]Library!$AJ:$AJ,0),1),"")</f>
        <v>#N/A</v>
      </c>
    </row>
    <row r="106" spans="1:36" ht="25.05" customHeight="1" outlineLevel="2">
      <c r="A106" s="376" t="s">
        <v>44</v>
      </c>
      <c r="B106" s="107" t="s">
        <v>44</v>
      </c>
      <c r="C106" s="108" t="s">
        <v>44</v>
      </c>
      <c r="D106" s="109" t="s">
        <v>131</v>
      </c>
      <c r="E106" s="289"/>
      <c r="F106" s="299"/>
      <c r="G106" s="62"/>
      <c r="H106" s="111">
        <v>44.119</v>
      </c>
      <c r="I106" s="112" t="s">
        <v>71</v>
      </c>
      <c r="J106" s="113">
        <v>0</v>
      </c>
      <c r="K106" s="114">
        <v>0</v>
      </c>
      <c r="L106" s="113">
        <v>0</v>
      </c>
      <c r="M106" s="114">
        <v>0</v>
      </c>
      <c r="N106" s="115">
        <v>749.99999999999989</v>
      </c>
      <c r="O106" s="114">
        <v>33089.249999999993</v>
      </c>
      <c r="P106" s="116">
        <v>33089.249999999993</v>
      </c>
      <c r="Q106" s="117">
        <f t="shared" si="24"/>
        <v>9.4131321192765212E-5</v>
      </c>
      <c r="R106" s="114">
        <f t="shared" si="25"/>
        <v>2.7544282870963466</v>
      </c>
      <c r="S106" s="377">
        <f t="shared" si="26"/>
        <v>107.43262987012984</v>
      </c>
      <c r="T106" s="357"/>
      <c r="U106" s="104"/>
      <c r="V106" s="95"/>
      <c r="W106" s="105"/>
      <c r="X106" s="95"/>
      <c r="Y106" s="95"/>
      <c r="Z106" s="95"/>
      <c r="AA106" s="95"/>
      <c r="AB106" s="95"/>
      <c r="AC106" s="95"/>
      <c r="AD106" s="17">
        <f t="shared" si="21"/>
        <v>0</v>
      </c>
      <c r="AE106" s="17">
        <f t="shared" si="27"/>
        <v>0</v>
      </c>
      <c r="AF106" s="17">
        <f t="shared" si="27"/>
        <v>0</v>
      </c>
      <c r="AG106" s="17">
        <f t="shared" si="27"/>
        <v>0</v>
      </c>
      <c r="AH106" s="18" t="str">
        <f t="shared" si="23"/>
        <v>0,;!0,;!0,;!0</v>
      </c>
      <c r="AI106" s="18" t="e">
        <f>INDEX([1]Library!$AL:$AL,MATCH(AH106,[1]Library!$AJ:$AJ,0),1)</f>
        <v>#N/A</v>
      </c>
      <c r="AJ106" s="18" t="e">
        <f>TEXT(INDEX([1]Library!$W:$W,MATCH(AH106,[1]Library!$AJ:$AJ,0),1),"")</f>
        <v>#N/A</v>
      </c>
    </row>
    <row r="107" spans="1:36" ht="24.6" customHeight="1" outlineLevel="2">
      <c r="A107" s="376" t="s">
        <v>44</v>
      </c>
      <c r="B107" s="107" t="s">
        <v>44</v>
      </c>
      <c r="C107" s="108" t="s">
        <v>44</v>
      </c>
      <c r="D107" s="109" t="s">
        <v>132</v>
      </c>
      <c r="E107" s="289"/>
      <c r="F107" s="299"/>
      <c r="G107" s="62"/>
      <c r="H107" s="111">
        <v>18.61</v>
      </c>
      <c r="I107" s="112" t="s">
        <v>71</v>
      </c>
      <c r="J107" s="113">
        <v>0</v>
      </c>
      <c r="K107" s="114">
        <v>0</v>
      </c>
      <c r="L107" s="113">
        <v>71.428571428571416</v>
      </c>
      <c r="M107" s="114">
        <v>1329.285714285714</v>
      </c>
      <c r="N107" s="115">
        <v>0</v>
      </c>
      <c r="O107" s="114">
        <v>0</v>
      </c>
      <c r="P107" s="116">
        <v>1329.285714285714</v>
      </c>
      <c r="Q107" s="117">
        <f t="shared" si="24"/>
        <v>3.7815127429114561E-6</v>
      </c>
      <c r="R107" s="114">
        <f t="shared" si="25"/>
        <v>0.11065292120739043</v>
      </c>
      <c r="S107" s="377">
        <f t="shared" si="26"/>
        <v>4.3158627087198509</v>
      </c>
      <c r="T107" s="357"/>
      <c r="U107" s="104"/>
      <c r="V107" s="95"/>
      <c r="W107" s="105"/>
      <c r="X107" s="95"/>
      <c r="Y107" s="95"/>
      <c r="Z107" s="95"/>
      <c r="AA107" s="95"/>
      <c r="AB107" s="95"/>
      <c r="AC107" s="95"/>
      <c r="AD107" s="17">
        <f t="shared" si="21"/>
        <v>0</v>
      </c>
      <c r="AE107" s="17">
        <f t="shared" si="27"/>
        <v>0</v>
      </c>
      <c r="AF107" s="17">
        <f t="shared" si="27"/>
        <v>0</v>
      </c>
      <c r="AG107" s="17">
        <f t="shared" si="27"/>
        <v>0</v>
      </c>
      <c r="AH107" s="18" t="str">
        <f t="shared" si="23"/>
        <v>0,;!0,;!0,;!0</v>
      </c>
      <c r="AI107" s="18" t="e">
        <f>INDEX([1]Library!$AL:$AL,MATCH(AH107,[1]Library!$AJ:$AJ,0),1)</f>
        <v>#N/A</v>
      </c>
      <c r="AJ107" s="18" t="e">
        <f>TEXT(INDEX([1]Library!$W:$W,MATCH(AH107,[1]Library!$AJ:$AJ,0),1),"")</f>
        <v>#N/A</v>
      </c>
    </row>
    <row r="108" spans="1:36" ht="25.05" customHeight="1" outlineLevel="2">
      <c r="A108" s="376" t="s">
        <v>44</v>
      </c>
      <c r="B108" s="107" t="s">
        <v>44</v>
      </c>
      <c r="C108" s="108" t="s">
        <v>44</v>
      </c>
      <c r="D108" s="109" t="s">
        <v>133</v>
      </c>
      <c r="E108" s="289"/>
      <c r="F108" s="299"/>
      <c r="G108" s="62"/>
      <c r="H108" s="111">
        <v>0</v>
      </c>
      <c r="I108" s="112" t="s">
        <v>71</v>
      </c>
      <c r="J108" s="113">
        <v>0</v>
      </c>
      <c r="K108" s="114">
        <v>0</v>
      </c>
      <c r="L108" s="113">
        <v>0</v>
      </c>
      <c r="M108" s="114">
        <v>0</v>
      </c>
      <c r="N108" s="115">
        <v>0</v>
      </c>
      <c r="O108" s="114">
        <v>0</v>
      </c>
      <c r="P108" s="116">
        <v>0</v>
      </c>
      <c r="Q108" s="117">
        <f t="shared" si="24"/>
        <v>0</v>
      </c>
      <c r="R108" s="114">
        <f t="shared" si="25"/>
        <v>0</v>
      </c>
      <c r="S108" s="377">
        <f t="shared" si="26"/>
        <v>0</v>
      </c>
      <c r="T108" s="357"/>
      <c r="U108" s="104"/>
      <c r="V108" s="95"/>
      <c r="W108" s="105"/>
      <c r="X108" s="95"/>
      <c r="Y108" s="95"/>
      <c r="Z108" s="95"/>
      <c r="AA108" s="95"/>
      <c r="AB108" s="95"/>
      <c r="AC108" s="95"/>
      <c r="AD108" s="17">
        <f t="shared" si="21"/>
        <v>0</v>
      </c>
      <c r="AE108" s="17">
        <f t="shared" si="27"/>
        <v>0</v>
      </c>
      <c r="AF108" s="17">
        <f t="shared" si="27"/>
        <v>0</v>
      </c>
      <c r="AG108" s="17">
        <f t="shared" si="27"/>
        <v>0</v>
      </c>
      <c r="AH108" s="18" t="str">
        <f t="shared" si="23"/>
        <v>0,;!0,;!0,;!0</v>
      </c>
      <c r="AI108" s="18" t="e">
        <f>INDEX([1]Library!$AL:$AL,MATCH(AH108,[1]Library!$AJ:$AJ,0),1)</f>
        <v>#N/A</v>
      </c>
      <c r="AJ108" s="18" t="e">
        <f>TEXT(INDEX([1]Library!$W:$W,MATCH(AH108,[1]Library!$AJ:$AJ,0),1),"")</f>
        <v>#N/A</v>
      </c>
    </row>
    <row r="109" spans="1:36" ht="25.05" customHeight="1" outlineLevel="2">
      <c r="A109" s="376" t="s">
        <v>44</v>
      </c>
      <c r="B109" s="107" t="s">
        <v>44</v>
      </c>
      <c r="C109" s="108" t="s">
        <v>44</v>
      </c>
      <c r="D109" s="109" t="s">
        <v>134</v>
      </c>
      <c r="E109" s="289"/>
      <c r="F109" s="299"/>
      <c r="G109" s="62"/>
      <c r="H109" s="111">
        <v>0</v>
      </c>
      <c r="I109" s="112" t="s">
        <v>71</v>
      </c>
      <c r="J109" s="113">
        <v>0</v>
      </c>
      <c r="K109" s="114">
        <v>0</v>
      </c>
      <c r="L109" s="113">
        <v>0</v>
      </c>
      <c r="M109" s="114">
        <v>0</v>
      </c>
      <c r="N109" s="115">
        <v>0</v>
      </c>
      <c r="O109" s="114">
        <v>0</v>
      </c>
      <c r="P109" s="116">
        <v>0</v>
      </c>
      <c r="Q109" s="117">
        <f t="shared" si="24"/>
        <v>0</v>
      </c>
      <c r="R109" s="114">
        <f t="shared" si="25"/>
        <v>0</v>
      </c>
      <c r="S109" s="377">
        <f t="shared" si="26"/>
        <v>0</v>
      </c>
      <c r="T109" s="357"/>
      <c r="U109" s="104"/>
      <c r="V109" s="95"/>
      <c r="W109" s="105"/>
      <c r="X109" s="95"/>
      <c r="Y109" s="95"/>
      <c r="Z109" s="95"/>
      <c r="AA109" s="95"/>
      <c r="AB109" s="95"/>
      <c r="AC109" s="95"/>
      <c r="AD109" s="17">
        <f t="shared" si="21"/>
        <v>0</v>
      </c>
      <c r="AE109" s="17">
        <f t="shared" si="27"/>
        <v>0</v>
      </c>
      <c r="AF109" s="17">
        <f t="shared" si="27"/>
        <v>0</v>
      </c>
      <c r="AG109" s="17">
        <f t="shared" si="27"/>
        <v>0</v>
      </c>
      <c r="AH109" s="18" t="str">
        <f t="shared" si="23"/>
        <v>0,;!0,;!0,;!0</v>
      </c>
      <c r="AI109" s="18" t="e">
        <f>INDEX([1]Library!$AL:$AL,MATCH(AH109,[1]Library!$AJ:$AJ,0),1)</f>
        <v>#N/A</v>
      </c>
      <c r="AJ109" s="18" t="e">
        <f>TEXT(INDEX([1]Library!$W:$W,MATCH(AH109,[1]Library!$AJ:$AJ,0),1),"")</f>
        <v>#N/A</v>
      </c>
    </row>
    <row r="110" spans="1:36" ht="25.05" customHeight="1" outlineLevel="2">
      <c r="A110" s="376" t="s">
        <v>44</v>
      </c>
      <c r="B110" s="107" t="s">
        <v>44</v>
      </c>
      <c r="C110" s="108" t="s">
        <v>44</v>
      </c>
      <c r="D110" s="109" t="s">
        <v>135</v>
      </c>
      <c r="E110" s="289"/>
      <c r="F110" s="299"/>
      <c r="G110" s="62"/>
      <c r="H110" s="111">
        <v>0</v>
      </c>
      <c r="I110" s="112" t="s">
        <v>71</v>
      </c>
      <c r="J110" s="113">
        <v>0</v>
      </c>
      <c r="K110" s="114">
        <v>0</v>
      </c>
      <c r="L110" s="113">
        <v>0</v>
      </c>
      <c r="M110" s="114">
        <v>0</v>
      </c>
      <c r="N110" s="115">
        <v>0</v>
      </c>
      <c r="O110" s="114">
        <v>0</v>
      </c>
      <c r="P110" s="116">
        <v>0</v>
      </c>
      <c r="Q110" s="117">
        <f t="shared" si="24"/>
        <v>0</v>
      </c>
      <c r="R110" s="114">
        <f t="shared" si="25"/>
        <v>0</v>
      </c>
      <c r="S110" s="377">
        <f t="shared" si="26"/>
        <v>0</v>
      </c>
      <c r="T110" s="357"/>
      <c r="U110" s="104"/>
      <c r="V110" s="95"/>
      <c r="W110" s="105"/>
      <c r="X110" s="95"/>
      <c r="Y110" s="95"/>
      <c r="Z110" s="95"/>
      <c r="AA110" s="95"/>
      <c r="AB110" s="95"/>
      <c r="AC110" s="95"/>
      <c r="AD110" s="17">
        <f t="shared" si="21"/>
        <v>0</v>
      </c>
      <c r="AE110" s="17">
        <f t="shared" ref="AE110:AG125" si="28">IF(AA110=" ",IF($X110&gt;=AE$12,AE109,""),AA110)</f>
        <v>0</v>
      </c>
      <c r="AF110" s="17">
        <f t="shared" si="28"/>
        <v>0</v>
      </c>
      <c r="AG110" s="17">
        <f t="shared" si="28"/>
        <v>0</v>
      </c>
      <c r="AH110" s="18" t="str">
        <f t="shared" si="23"/>
        <v>0,;!0,;!0,;!0</v>
      </c>
      <c r="AI110" s="18" t="e">
        <f>INDEX([1]Library!$AL:$AL,MATCH(AH110,[1]Library!$AJ:$AJ,0),1)</f>
        <v>#N/A</v>
      </c>
      <c r="AJ110" s="18" t="e">
        <f>TEXT(INDEX([1]Library!$W:$W,MATCH(AH110,[1]Library!$AJ:$AJ,0),1),"")</f>
        <v>#N/A</v>
      </c>
    </row>
    <row r="111" spans="1:36" ht="25.05" customHeight="1" outlineLevel="2">
      <c r="A111" s="376" t="s">
        <v>44</v>
      </c>
      <c r="B111" s="107" t="s">
        <v>44</v>
      </c>
      <c r="C111" s="108" t="s">
        <v>44</v>
      </c>
      <c r="D111" s="109" t="s">
        <v>136</v>
      </c>
      <c r="E111" s="289"/>
      <c r="F111" s="299"/>
      <c r="G111" s="62"/>
      <c r="H111" s="111">
        <v>14.914999999999999</v>
      </c>
      <c r="I111" s="112" t="s">
        <v>71</v>
      </c>
      <c r="J111" s="113">
        <v>0</v>
      </c>
      <c r="K111" s="114">
        <v>0</v>
      </c>
      <c r="L111" s="113">
        <v>58.035714285714278</v>
      </c>
      <c r="M111" s="114">
        <v>865.60267857142844</v>
      </c>
      <c r="N111" s="115">
        <v>0</v>
      </c>
      <c r="O111" s="114">
        <v>0</v>
      </c>
      <c r="P111" s="116">
        <v>865.60267857142844</v>
      </c>
      <c r="Q111" s="117">
        <f t="shared" si="24"/>
        <v>2.4624409366161235E-6</v>
      </c>
      <c r="R111" s="114">
        <f t="shared" si="25"/>
        <v>7.2054836638591371E-2</v>
      </c>
      <c r="S111" s="377">
        <f t="shared" si="26"/>
        <v>2.8103983070500922</v>
      </c>
      <c r="T111" s="357"/>
      <c r="U111" s="104"/>
      <c r="V111" s="95"/>
      <c r="W111" s="105"/>
      <c r="X111" s="95"/>
      <c r="Y111" s="95"/>
      <c r="Z111" s="95"/>
      <c r="AA111" s="95"/>
      <c r="AB111" s="95"/>
      <c r="AC111" s="95"/>
      <c r="AD111" s="17">
        <f t="shared" si="21"/>
        <v>0</v>
      </c>
      <c r="AE111" s="17">
        <f t="shared" si="28"/>
        <v>0</v>
      </c>
      <c r="AF111" s="17">
        <f t="shared" si="28"/>
        <v>0</v>
      </c>
      <c r="AG111" s="17">
        <f t="shared" si="28"/>
        <v>0</v>
      </c>
      <c r="AH111" s="18" t="str">
        <f t="shared" si="23"/>
        <v>0,;!0,;!0,;!0</v>
      </c>
      <c r="AI111" s="18" t="e">
        <f>INDEX([1]Library!$AL:$AL,MATCH(AH111,[1]Library!$AJ:$AJ,0),1)</f>
        <v>#N/A</v>
      </c>
      <c r="AJ111" s="18" t="e">
        <f>TEXT(INDEX([1]Library!$W:$W,MATCH(AH111,[1]Library!$AJ:$AJ,0),1),"")</f>
        <v>#N/A</v>
      </c>
    </row>
    <row r="112" spans="1:36" ht="25.05" customHeight="1" outlineLevel="2">
      <c r="A112" s="376" t="s">
        <v>44</v>
      </c>
      <c r="B112" s="107" t="s">
        <v>44</v>
      </c>
      <c r="C112" s="108" t="s">
        <v>44</v>
      </c>
      <c r="D112" s="109" t="s">
        <v>137</v>
      </c>
      <c r="E112" s="289"/>
      <c r="F112" s="299"/>
      <c r="G112" s="62"/>
      <c r="H112" s="111">
        <v>759.78800000000001</v>
      </c>
      <c r="I112" s="112" t="s">
        <v>71</v>
      </c>
      <c r="J112" s="113">
        <v>0</v>
      </c>
      <c r="K112" s="114">
        <v>0</v>
      </c>
      <c r="L112" s="113">
        <v>0</v>
      </c>
      <c r="M112" s="114">
        <v>0</v>
      </c>
      <c r="N112" s="115">
        <v>357.14285714285711</v>
      </c>
      <c r="O112" s="114">
        <v>271352.8571428571</v>
      </c>
      <c r="P112" s="116">
        <v>271352.8571428571</v>
      </c>
      <c r="Q112" s="117">
        <f t="shared" si="24"/>
        <v>7.7193659428028208E-4</v>
      </c>
      <c r="R112" s="114">
        <f t="shared" si="25"/>
        <v>22.588060638989994</v>
      </c>
      <c r="S112" s="377">
        <f t="shared" si="26"/>
        <v>881.01576994434129</v>
      </c>
      <c r="T112" s="357"/>
      <c r="U112" s="104"/>
      <c r="V112" s="95"/>
      <c r="W112" s="105"/>
      <c r="X112" s="95"/>
      <c r="Y112" s="95"/>
      <c r="Z112" s="95"/>
      <c r="AA112" s="95"/>
      <c r="AB112" s="95"/>
      <c r="AC112" s="95"/>
      <c r="AD112" s="17">
        <f t="shared" si="21"/>
        <v>0</v>
      </c>
      <c r="AE112" s="17">
        <f t="shared" si="28"/>
        <v>0</v>
      </c>
      <c r="AF112" s="17">
        <f t="shared" si="28"/>
        <v>0</v>
      </c>
      <c r="AG112" s="17">
        <f t="shared" si="28"/>
        <v>0</v>
      </c>
      <c r="AH112" s="18" t="str">
        <f t="shared" si="23"/>
        <v>0,;!0,;!0,;!0</v>
      </c>
      <c r="AI112" s="18" t="e">
        <f>INDEX([1]Library!$AL:$AL,MATCH(AH112,[1]Library!$AJ:$AJ,0),1)</f>
        <v>#N/A</v>
      </c>
      <c r="AJ112" s="18" t="e">
        <f>TEXT(INDEX([1]Library!$W:$W,MATCH(AH112,[1]Library!$AJ:$AJ,0),1),"")</f>
        <v>#N/A</v>
      </c>
    </row>
    <row r="113" spans="1:36" ht="25.05" customHeight="1" outlineLevel="2">
      <c r="A113" s="376" t="s">
        <v>44</v>
      </c>
      <c r="B113" s="107" t="s">
        <v>44</v>
      </c>
      <c r="C113" s="108" t="s">
        <v>44</v>
      </c>
      <c r="D113" s="109" t="s">
        <v>138</v>
      </c>
      <c r="E113" s="289"/>
      <c r="F113" s="299"/>
      <c r="G113" s="62"/>
      <c r="H113" s="111">
        <v>1326.04</v>
      </c>
      <c r="I113" s="112" t="s">
        <v>122</v>
      </c>
      <c r="J113" s="113">
        <v>223.21428571428572</v>
      </c>
      <c r="K113" s="114">
        <v>295991.07142857142</v>
      </c>
      <c r="L113" s="113">
        <v>133.92857142857139</v>
      </c>
      <c r="M113" s="114">
        <v>177594.64285714281</v>
      </c>
      <c r="N113" s="115">
        <v>0</v>
      </c>
      <c r="O113" s="114">
        <v>0</v>
      </c>
      <c r="P113" s="116">
        <v>473585.7142857142</v>
      </c>
      <c r="Q113" s="117">
        <f t="shared" si="24"/>
        <v>1.3472426538447897E-3</v>
      </c>
      <c r="R113" s="114">
        <f t="shared" si="25"/>
        <v>39.4224072105986</v>
      </c>
      <c r="S113" s="377">
        <f t="shared" si="26"/>
        <v>1537.615955473098</v>
      </c>
      <c r="T113" s="357"/>
      <c r="U113" s="104"/>
      <c r="V113" s="95"/>
      <c r="W113" s="105"/>
      <c r="X113" s="95"/>
      <c r="Y113" s="95"/>
      <c r="Z113" s="95"/>
      <c r="AA113" s="95"/>
      <c r="AB113" s="95"/>
      <c r="AC113" s="95"/>
      <c r="AD113" s="17">
        <f t="shared" si="21"/>
        <v>0</v>
      </c>
      <c r="AE113" s="17">
        <f t="shared" si="28"/>
        <v>0</v>
      </c>
      <c r="AF113" s="17">
        <f t="shared" si="28"/>
        <v>0</v>
      </c>
      <c r="AG113" s="17">
        <f t="shared" si="28"/>
        <v>0</v>
      </c>
      <c r="AH113" s="18" t="str">
        <f t="shared" si="23"/>
        <v>0,;!0,;!0,;!0</v>
      </c>
      <c r="AI113" s="18" t="e">
        <f>INDEX([1]Library!$AL:$AL,MATCH(AH113,[1]Library!$AJ:$AJ,0),1)</f>
        <v>#N/A</v>
      </c>
      <c r="AJ113" s="18" t="e">
        <f>TEXT(INDEX([1]Library!$W:$W,MATCH(AH113,[1]Library!$AJ:$AJ,0),1),"")</f>
        <v>#N/A</v>
      </c>
    </row>
    <row r="114" spans="1:36" ht="25.05" customHeight="1" outlineLevel="2">
      <c r="A114" s="376" t="s">
        <v>44</v>
      </c>
      <c r="B114" s="107" t="s">
        <v>44</v>
      </c>
      <c r="C114" s="108" t="s">
        <v>44</v>
      </c>
      <c r="D114" s="109" t="s">
        <v>139</v>
      </c>
      <c r="E114" s="289"/>
      <c r="F114" s="299"/>
      <c r="G114" s="62"/>
      <c r="H114" s="111">
        <v>8</v>
      </c>
      <c r="I114" s="112" t="s">
        <v>140</v>
      </c>
      <c r="J114" s="113">
        <v>45000</v>
      </c>
      <c r="K114" s="114">
        <v>360000</v>
      </c>
      <c r="L114" s="113">
        <v>13500</v>
      </c>
      <c r="M114" s="114">
        <v>108000</v>
      </c>
      <c r="N114" s="115">
        <v>0</v>
      </c>
      <c r="O114" s="114">
        <v>0</v>
      </c>
      <c r="P114" s="116">
        <v>468000</v>
      </c>
      <c r="Q114" s="117">
        <f t="shared" si="24"/>
        <v>1.3313525788047214E-3</v>
      </c>
      <c r="R114" s="114">
        <f t="shared" si="25"/>
        <v>38.957438997894798</v>
      </c>
      <c r="S114" s="377">
        <f t="shared" si="26"/>
        <v>1519.4805194805194</v>
      </c>
      <c r="T114" s="357"/>
      <c r="U114" s="104"/>
      <c r="V114" s="95"/>
      <c r="W114" s="105"/>
      <c r="X114" s="95"/>
      <c r="Y114" s="95"/>
      <c r="Z114" s="95"/>
      <c r="AA114" s="95"/>
      <c r="AB114" s="95"/>
      <c r="AC114" s="95"/>
      <c r="AD114" s="17">
        <f t="shared" si="21"/>
        <v>0</v>
      </c>
      <c r="AE114" s="17">
        <f t="shared" si="28"/>
        <v>0</v>
      </c>
      <c r="AF114" s="17">
        <f t="shared" si="28"/>
        <v>0</v>
      </c>
      <c r="AG114" s="17">
        <f t="shared" si="28"/>
        <v>0</v>
      </c>
      <c r="AH114" s="18" t="str">
        <f t="shared" si="23"/>
        <v>0,;!0,;!0,;!0</v>
      </c>
      <c r="AI114" s="18" t="e">
        <f>INDEX([1]Library!$AL:$AL,MATCH(AH114,[1]Library!$AJ:$AJ,0),1)</f>
        <v>#N/A</v>
      </c>
      <c r="AJ114" s="18" t="e">
        <f>TEXT(INDEX([1]Library!$W:$W,MATCH(AH114,[1]Library!$AJ:$AJ,0),1),"")</f>
        <v>#N/A</v>
      </c>
    </row>
    <row r="115" spans="1:36" ht="25.05" customHeight="1" outlineLevel="1">
      <c r="A115" s="374" t="s">
        <v>44</v>
      </c>
      <c r="B115" s="96" t="s">
        <v>44</v>
      </c>
      <c r="C115" s="97" t="s">
        <v>141</v>
      </c>
      <c r="D115" s="97"/>
      <c r="E115" s="98"/>
      <c r="F115" s="298"/>
      <c r="G115" s="62"/>
      <c r="H115" s="99">
        <v>1</v>
      </c>
      <c r="I115" s="100" t="s">
        <v>35</v>
      </c>
      <c r="J115" s="99">
        <v>2146134.2217857139</v>
      </c>
      <c r="K115" s="99">
        <v>2146134.2217857139</v>
      </c>
      <c r="L115" s="99">
        <v>1356415.794642857</v>
      </c>
      <c r="M115" s="99">
        <v>1356415.794642857</v>
      </c>
      <c r="N115" s="99">
        <v>0</v>
      </c>
      <c r="O115" s="99">
        <v>0</v>
      </c>
      <c r="P115" s="101">
        <v>3502550.0164285712</v>
      </c>
      <c r="Q115" s="102">
        <f>P115/P$13</f>
        <v>9.9639508477878166E-3</v>
      </c>
      <c r="R115" s="103">
        <f>P115/I$5</f>
        <v>291.56063803865703</v>
      </c>
      <c r="S115" s="375">
        <f>P115/I$7</f>
        <v>11371.915637755101</v>
      </c>
      <c r="T115" s="356"/>
      <c r="U115" s="104"/>
      <c r="V115" s="95"/>
      <c r="W115" s="105"/>
      <c r="X115" s="95"/>
      <c r="Y115" s="95"/>
      <c r="Z115" s="95"/>
      <c r="AA115" s="95"/>
      <c r="AB115" s="95"/>
      <c r="AC115" s="95"/>
      <c r="AD115" s="17">
        <f t="shared" si="21"/>
        <v>0</v>
      </c>
      <c r="AE115" s="17">
        <f t="shared" si="28"/>
        <v>0</v>
      </c>
      <c r="AF115" s="17">
        <f t="shared" si="28"/>
        <v>0</v>
      </c>
      <c r="AG115" s="17">
        <f t="shared" si="28"/>
        <v>0</v>
      </c>
      <c r="AH115" s="18" t="str">
        <f t="shared" si="23"/>
        <v>0,;!0,;!0,;!0</v>
      </c>
      <c r="AI115" s="18" t="e">
        <f>INDEX([1]Library!$AL:$AL,MATCH(AH115,[1]Library!$AJ:$AJ,0),1)</f>
        <v>#N/A</v>
      </c>
      <c r="AJ115" s="18" t="e">
        <f>TEXT(INDEX([1]Library!$W:$W,MATCH(AH115,[1]Library!$AJ:$AJ,0),1),"")</f>
        <v>#N/A</v>
      </c>
    </row>
    <row r="116" spans="1:36" ht="25.05" customHeight="1" outlineLevel="2">
      <c r="A116" s="376" t="s">
        <v>44</v>
      </c>
      <c r="B116" s="107" t="s">
        <v>44</v>
      </c>
      <c r="C116" s="108" t="s">
        <v>44</v>
      </c>
      <c r="D116" s="109" t="s">
        <v>142</v>
      </c>
      <c r="E116" s="289"/>
      <c r="F116" s="299"/>
      <c r="G116" s="62"/>
      <c r="H116" s="111">
        <v>1469.5649999999998</v>
      </c>
      <c r="I116" s="112" t="s">
        <v>71</v>
      </c>
      <c r="J116" s="113">
        <v>461.30952380952385</v>
      </c>
      <c r="K116" s="114">
        <v>677924.33035714284</v>
      </c>
      <c r="L116" s="113">
        <v>294.64285714285711</v>
      </c>
      <c r="M116" s="114">
        <v>432996.83035714278</v>
      </c>
      <c r="N116" s="115">
        <v>0</v>
      </c>
      <c r="O116" s="114">
        <v>0</v>
      </c>
      <c r="P116" s="116">
        <v>1110921.1607142857</v>
      </c>
      <c r="Q116" s="117">
        <f t="shared" ref="Q116:Q119" si="29">P116/P$13</f>
        <v>3.1603157097557667E-3</v>
      </c>
      <c r="R116" s="114">
        <f t="shared" ref="R116:R119" si="30">P116/I$5</f>
        <v>92.475733653840308</v>
      </c>
      <c r="S116" s="377">
        <f t="shared" ref="S116:S119" si="31">P116/I$7</f>
        <v>3606.8868854359926</v>
      </c>
      <c r="T116" s="357"/>
      <c r="U116" s="104"/>
      <c r="V116" s="95"/>
      <c r="W116" s="105"/>
      <c r="X116" s="95"/>
      <c r="Y116" s="95"/>
      <c r="Z116" s="95"/>
      <c r="AA116" s="95"/>
      <c r="AB116" s="95"/>
      <c r="AC116" s="95"/>
      <c r="AD116" s="17">
        <f t="shared" si="21"/>
        <v>0</v>
      </c>
      <c r="AE116" s="17">
        <f t="shared" si="28"/>
        <v>0</v>
      </c>
      <c r="AF116" s="17">
        <f t="shared" si="28"/>
        <v>0</v>
      </c>
      <c r="AG116" s="17">
        <f t="shared" si="28"/>
        <v>0</v>
      </c>
      <c r="AH116" s="18" t="str">
        <f t="shared" si="23"/>
        <v>0,;!0,;!0,;!0</v>
      </c>
      <c r="AI116" s="18" t="e">
        <f>INDEX([1]Library!$AL:$AL,MATCH(AH116,[1]Library!$AJ:$AJ,0),1)</f>
        <v>#N/A</v>
      </c>
      <c r="AJ116" s="18" t="e">
        <f>TEXT(INDEX([1]Library!$W:$W,MATCH(AH116,[1]Library!$AJ:$AJ,0),1),"")</f>
        <v>#N/A</v>
      </c>
    </row>
    <row r="117" spans="1:36" ht="25.05" customHeight="1" outlineLevel="2">
      <c r="A117" s="376" t="s">
        <v>44</v>
      </c>
      <c r="B117" s="107" t="s">
        <v>44</v>
      </c>
      <c r="C117" s="108" t="s">
        <v>44</v>
      </c>
      <c r="D117" s="109" t="s">
        <v>143</v>
      </c>
      <c r="E117" s="289"/>
      <c r="F117" s="299"/>
      <c r="G117" s="62"/>
      <c r="H117" s="111">
        <v>759.78800000000001</v>
      </c>
      <c r="I117" s="112" t="s">
        <v>71</v>
      </c>
      <c r="J117" s="113">
        <v>337.32142857142856</v>
      </c>
      <c r="K117" s="114">
        <v>256292.77357142855</v>
      </c>
      <c r="L117" s="113">
        <v>294.64285714285711</v>
      </c>
      <c r="M117" s="114">
        <v>223866.1071428571</v>
      </c>
      <c r="N117" s="115">
        <v>0</v>
      </c>
      <c r="O117" s="114">
        <v>0</v>
      </c>
      <c r="P117" s="116">
        <v>480158.88071428565</v>
      </c>
      <c r="Q117" s="117">
        <f t="shared" si="29"/>
        <v>1.3659418035789591E-3</v>
      </c>
      <c r="R117" s="114">
        <f t="shared" si="30"/>
        <v>39.969573300692794</v>
      </c>
      <c r="S117" s="377">
        <f t="shared" si="31"/>
        <v>1558.9574049165119</v>
      </c>
      <c r="T117" s="357"/>
      <c r="U117" s="104"/>
      <c r="V117" s="95"/>
      <c r="W117" s="105"/>
      <c r="X117" s="95"/>
      <c r="Y117" s="95"/>
      <c r="Z117" s="95"/>
      <c r="AA117" s="95"/>
      <c r="AB117" s="95"/>
      <c r="AC117" s="95"/>
      <c r="AD117" s="17">
        <f t="shared" si="21"/>
        <v>0</v>
      </c>
      <c r="AE117" s="17">
        <f t="shared" si="28"/>
        <v>0</v>
      </c>
      <c r="AF117" s="17">
        <f t="shared" si="28"/>
        <v>0</v>
      </c>
      <c r="AG117" s="17">
        <f t="shared" si="28"/>
        <v>0</v>
      </c>
      <c r="AH117" s="18" t="str">
        <f t="shared" si="23"/>
        <v>0,;!0,;!0,;!0</v>
      </c>
      <c r="AI117" s="18" t="e">
        <f>INDEX([1]Library!$AL:$AL,MATCH(AH117,[1]Library!$AJ:$AJ,0),1)</f>
        <v>#N/A</v>
      </c>
      <c r="AJ117" s="18" t="e">
        <f>TEXT(INDEX([1]Library!$W:$W,MATCH(AH117,[1]Library!$AJ:$AJ,0),1),"")</f>
        <v>#N/A</v>
      </c>
    </row>
    <row r="118" spans="1:36" ht="25.05" customHeight="1" outlineLevel="2">
      <c r="A118" s="376" t="s">
        <v>44</v>
      </c>
      <c r="B118" s="107" t="s">
        <v>44</v>
      </c>
      <c r="C118" s="108" t="s">
        <v>44</v>
      </c>
      <c r="D118" s="109" t="s">
        <v>144</v>
      </c>
      <c r="E118" s="289"/>
      <c r="F118" s="299"/>
      <c r="G118" s="62"/>
      <c r="H118" s="111">
        <v>2374.2399999999998</v>
      </c>
      <c r="I118" s="112" t="s">
        <v>71</v>
      </c>
      <c r="J118" s="113">
        <v>337.32142857142856</v>
      </c>
      <c r="K118" s="114">
        <v>800882.0285714285</v>
      </c>
      <c r="L118" s="113">
        <v>294.64285714285711</v>
      </c>
      <c r="M118" s="114">
        <v>699552.85714285704</v>
      </c>
      <c r="N118" s="115">
        <v>0</v>
      </c>
      <c r="O118" s="114">
        <v>0</v>
      </c>
      <c r="P118" s="116">
        <v>1500434.8857142855</v>
      </c>
      <c r="Q118" s="117">
        <f t="shared" si="29"/>
        <v>4.268392851333935E-3</v>
      </c>
      <c r="R118" s="114">
        <f t="shared" si="30"/>
        <v>124.89978745839217</v>
      </c>
      <c r="S118" s="377">
        <f t="shared" si="31"/>
        <v>4871.5418367346929</v>
      </c>
      <c r="T118" s="357"/>
      <c r="U118" s="104"/>
      <c r="V118" s="95"/>
      <c r="W118" s="105"/>
      <c r="X118" s="95"/>
      <c r="Y118" s="95"/>
      <c r="Z118" s="95"/>
      <c r="AA118" s="95"/>
      <c r="AB118" s="95"/>
      <c r="AC118" s="95"/>
      <c r="AD118" s="17">
        <f t="shared" si="21"/>
        <v>0</v>
      </c>
      <c r="AE118" s="17">
        <f t="shared" si="28"/>
        <v>0</v>
      </c>
      <c r="AF118" s="17">
        <f t="shared" si="28"/>
        <v>0</v>
      </c>
      <c r="AG118" s="17">
        <f t="shared" si="28"/>
        <v>0</v>
      </c>
      <c r="AH118" s="18" t="str">
        <f t="shared" si="23"/>
        <v>0,;!0,;!0,;!0</v>
      </c>
      <c r="AI118" s="18" t="e">
        <f>INDEX([1]Library!$AL:$AL,MATCH(AH118,[1]Library!$AJ:$AJ,0),1)</f>
        <v>#N/A</v>
      </c>
      <c r="AJ118" s="18" t="e">
        <f>TEXT(INDEX([1]Library!$W:$W,MATCH(AH118,[1]Library!$AJ:$AJ,0),1),"")</f>
        <v>#N/A</v>
      </c>
    </row>
    <row r="119" spans="1:36" ht="25.05" customHeight="1" outlineLevel="2">
      <c r="A119" s="376" t="s">
        <v>44</v>
      </c>
      <c r="B119" s="107" t="s">
        <v>44</v>
      </c>
      <c r="C119" s="108" t="s">
        <v>44</v>
      </c>
      <c r="D119" s="109" t="s">
        <v>145</v>
      </c>
      <c r="E119" s="289"/>
      <c r="F119" s="299"/>
      <c r="G119" s="62"/>
      <c r="H119" s="111">
        <v>4603.5929999999998</v>
      </c>
      <c r="I119" s="112" t="s">
        <v>71</v>
      </c>
      <c r="J119" s="113">
        <v>89.285714285714278</v>
      </c>
      <c r="K119" s="114">
        <v>411035.08928571426</v>
      </c>
      <c r="L119" s="113">
        <v>0</v>
      </c>
      <c r="M119" s="114">
        <v>0</v>
      </c>
      <c r="N119" s="115">
        <v>0</v>
      </c>
      <c r="O119" s="114">
        <v>0</v>
      </c>
      <c r="P119" s="116">
        <v>411035.08928571426</v>
      </c>
      <c r="Q119" s="117">
        <f t="shared" si="29"/>
        <v>1.1693004831191552E-3</v>
      </c>
      <c r="R119" s="114">
        <f t="shared" si="30"/>
        <v>34.21554362573174</v>
      </c>
      <c r="S119" s="377">
        <f t="shared" si="31"/>
        <v>1334.5295106679034</v>
      </c>
      <c r="T119" s="357"/>
      <c r="U119" s="104"/>
      <c r="V119" s="95"/>
      <c r="W119" s="105"/>
      <c r="X119" s="95"/>
      <c r="Y119" s="95"/>
      <c r="Z119" s="95"/>
      <c r="AA119" s="95"/>
      <c r="AB119" s="95"/>
      <c r="AC119" s="95"/>
      <c r="AD119" s="17">
        <f t="shared" si="21"/>
        <v>0</v>
      </c>
      <c r="AE119" s="17">
        <f t="shared" si="28"/>
        <v>0</v>
      </c>
      <c r="AF119" s="17">
        <f t="shared" si="28"/>
        <v>0</v>
      </c>
      <c r="AG119" s="17">
        <f t="shared" si="28"/>
        <v>0</v>
      </c>
      <c r="AH119" s="18" t="str">
        <f t="shared" si="23"/>
        <v>0,;!0,;!0,;!0</v>
      </c>
      <c r="AI119" s="18" t="e">
        <f>INDEX([1]Library!$AL:$AL,MATCH(AH119,[1]Library!$AJ:$AJ,0),1)</f>
        <v>#N/A</v>
      </c>
      <c r="AJ119" s="18" t="e">
        <f>TEXT(INDEX([1]Library!$W:$W,MATCH(AH119,[1]Library!$AJ:$AJ,0),1),"")</f>
        <v>#N/A</v>
      </c>
    </row>
    <row r="120" spans="1:36" ht="25.05" customHeight="1" outlineLevel="1">
      <c r="A120" s="374" t="s">
        <v>44</v>
      </c>
      <c r="B120" s="96" t="s">
        <v>44</v>
      </c>
      <c r="C120" s="97" t="s">
        <v>146</v>
      </c>
      <c r="D120" s="97"/>
      <c r="E120" s="98"/>
      <c r="F120" s="298"/>
      <c r="G120" s="62"/>
      <c r="H120" s="99">
        <v>1</v>
      </c>
      <c r="I120" s="100" t="s">
        <v>35</v>
      </c>
      <c r="J120" s="99">
        <v>0</v>
      </c>
      <c r="K120" s="99">
        <v>0</v>
      </c>
      <c r="L120" s="99">
        <v>0</v>
      </c>
      <c r="M120" s="99">
        <v>0</v>
      </c>
      <c r="N120" s="99">
        <v>0</v>
      </c>
      <c r="O120" s="99">
        <v>0</v>
      </c>
      <c r="P120" s="101">
        <v>0</v>
      </c>
      <c r="Q120" s="102">
        <f>P120/P$13</f>
        <v>0</v>
      </c>
      <c r="R120" s="103">
        <f>P120/I$5</f>
        <v>0</v>
      </c>
      <c r="S120" s="375">
        <f>P120/I$7</f>
        <v>0</v>
      </c>
      <c r="T120" s="356"/>
      <c r="U120" s="104"/>
      <c r="V120" s="95"/>
      <c r="W120" s="105"/>
      <c r="X120" s="95"/>
      <c r="Y120" s="95"/>
      <c r="Z120" s="95"/>
      <c r="AA120" s="95"/>
      <c r="AB120" s="95"/>
      <c r="AC120" s="95"/>
      <c r="AD120" s="17">
        <f t="shared" si="21"/>
        <v>0</v>
      </c>
      <c r="AE120" s="17">
        <f t="shared" si="28"/>
        <v>0</v>
      </c>
      <c r="AF120" s="17">
        <f t="shared" si="28"/>
        <v>0</v>
      </c>
      <c r="AG120" s="17">
        <f t="shared" si="28"/>
        <v>0</v>
      </c>
      <c r="AH120" s="18" t="str">
        <f t="shared" si="23"/>
        <v>0,;!0,;!0,;!0</v>
      </c>
      <c r="AI120" s="18" t="e">
        <f>INDEX([1]Library!$AL:$AL,MATCH(AH120,[1]Library!$AJ:$AJ,0),1)</f>
        <v>#N/A</v>
      </c>
      <c r="AJ120" s="18" t="e">
        <f>TEXT(INDEX([1]Library!$W:$W,MATCH(AH120,[1]Library!$AJ:$AJ,0),1),"")</f>
        <v>#N/A</v>
      </c>
    </row>
    <row r="121" spans="1:36" ht="25.05" customHeight="1" outlineLevel="2">
      <c r="A121" s="376" t="s">
        <v>44</v>
      </c>
      <c r="B121" s="107" t="s">
        <v>44</v>
      </c>
      <c r="C121" s="108" t="s">
        <v>44</v>
      </c>
      <c r="D121" s="109" t="s">
        <v>147</v>
      </c>
      <c r="E121" s="289"/>
      <c r="F121" s="299"/>
      <c r="G121" s="62"/>
      <c r="H121" s="111">
        <v>4236.8919999999998</v>
      </c>
      <c r="I121" s="112" t="s">
        <v>71</v>
      </c>
      <c r="J121" s="113">
        <v>0</v>
      </c>
      <c r="K121" s="114">
        <v>0</v>
      </c>
      <c r="L121" s="113">
        <v>0</v>
      </c>
      <c r="M121" s="114">
        <v>0</v>
      </c>
      <c r="N121" s="115">
        <v>0</v>
      </c>
      <c r="O121" s="114">
        <v>0</v>
      </c>
      <c r="P121" s="116">
        <v>0</v>
      </c>
      <c r="Q121" s="117">
        <f>P121/P$13</f>
        <v>0</v>
      </c>
      <c r="R121" s="114">
        <f>P121/I$5</f>
        <v>0</v>
      </c>
      <c r="S121" s="377">
        <f>P121/I$7</f>
        <v>0</v>
      </c>
      <c r="T121" s="357"/>
      <c r="U121" s="104"/>
      <c r="V121" s="95"/>
      <c r="W121" s="105"/>
      <c r="X121" s="95"/>
      <c r="Y121" s="95"/>
      <c r="Z121" s="95"/>
      <c r="AA121" s="95"/>
      <c r="AB121" s="95"/>
      <c r="AC121" s="95"/>
      <c r="AD121" s="17">
        <f t="shared" si="21"/>
        <v>0</v>
      </c>
      <c r="AE121" s="17">
        <f t="shared" si="28"/>
        <v>0</v>
      </c>
      <c r="AF121" s="17">
        <f t="shared" si="28"/>
        <v>0</v>
      </c>
      <c r="AG121" s="17">
        <f t="shared" si="28"/>
        <v>0</v>
      </c>
      <c r="AH121" s="18" t="str">
        <f t="shared" si="23"/>
        <v>0,;!0,;!0,;!0</v>
      </c>
      <c r="AI121" s="18" t="e">
        <f>INDEX([1]Library!$AL:$AL,MATCH(AH121,[1]Library!$AJ:$AJ,0),1)</f>
        <v>#N/A</v>
      </c>
      <c r="AJ121" s="18" t="e">
        <f>TEXT(INDEX([1]Library!$W:$W,MATCH(AH121,[1]Library!$AJ:$AJ,0),1),"")</f>
        <v>#N/A</v>
      </c>
    </row>
    <row r="122" spans="1:36" ht="25.05" customHeight="1" outlineLevel="1">
      <c r="A122" s="374" t="s">
        <v>44</v>
      </c>
      <c r="B122" s="96" t="s">
        <v>44</v>
      </c>
      <c r="C122" s="97" t="s">
        <v>148</v>
      </c>
      <c r="D122" s="97"/>
      <c r="E122" s="98"/>
      <c r="F122" s="298"/>
      <c r="G122" s="62"/>
      <c r="H122" s="99">
        <v>1</v>
      </c>
      <c r="I122" s="100" t="s">
        <v>35</v>
      </c>
      <c r="J122" s="99">
        <v>0</v>
      </c>
      <c r="K122" s="99">
        <v>0</v>
      </c>
      <c r="L122" s="99">
        <v>0</v>
      </c>
      <c r="M122" s="99">
        <v>0</v>
      </c>
      <c r="N122" s="99">
        <v>2380816.8143749996</v>
      </c>
      <c r="O122" s="99">
        <v>2380816.8143749996</v>
      </c>
      <c r="P122" s="101">
        <v>2380816.8143749996</v>
      </c>
      <c r="Q122" s="102">
        <f>P122/P$13</f>
        <v>6.7728773621363201E-3</v>
      </c>
      <c r="R122" s="103">
        <f>P122/I$5</f>
        <v>198.18488421191512</v>
      </c>
      <c r="S122" s="375">
        <f>P122/I$7</f>
        <v>7729.9247219967519</v>
      </c>
      <c r="T122" s="356"/>
      <c r="U122" s="104"/>
      <c r="V122" s="95"/>
      <c r="W122" s="105"/>
      <c r="X122" s="95"/>
      <c r="Y122" s="95"/>
      <c r="Z122" s="95"/>
      <c r="AA122" s="95"/>
      <c r="AB122" s="95"/>
      <c r="AC122" s="95"/>
      <c r="AD122" s="17">
        <f t="shared" si="21"/>
        <v>0</v>
      </c>
      <c r="AE122" s="17">
        <f t="shared" si="28"/>
        <v>0</v>
      </c>
      <c r="AF122" s="17">
        <f t="shared" si="28"/>
        <v>0</v>
      </c>
      <c r="AG122" s="17">
        <f t="shared" si="28"/>
        <v>0</v>
      </c>
      <c r="AH122" s="18" t="str">
        <f t="shared" si="23"/>
        <v>0,;!0,;!0,;!0</v>
      </c>
      <c r="AI122" s="18" t="e">
        <f>INDEX([1]Library!$AL:$AL,MATCH(AH122,[1]Library!$AJ:$AJ,0),1)</f>
        <v>#N/A</v>
      </c>
      <c r="AJ122" s="18" t="e">
        <f>TEXT(INDEX([1]Library!$W:$W,MATCH(AH122,[1]Library!$AJ:$AJ,0),1),"")</f>
        <v>#N/A</v>
      </c>
    </row>
    <row r="123" spans="1:36" ht="25.05" customHeight="1" outlineLevel="2">
      <c r="A123" s="376" t="s">
        <v>44</v>
      </c>
      <c r="B123" s="107" t="s">
        <v>44</v>
      </c>
      <c r="C123" s="108" t="s">
        <v>44</v>
      </c>
      <c r="D123" s="109" t="s">
        <v>149</v>
      </c>
      <c r="E123" s="289"/>
      <c r="F123" s="299"/>
      <c r="G123" s="62"/>
      <c r="H123" s="111">
        <v>77.797587499999992</v>
      </c>
      <c r="I123" s="112" t="s">
        <v>66</v>
      </c>
      <c r="J123" s="113">
        <v>0</v>
      </c>
      <c r="K123" s="114">
        <v>0</v>
      </c>
      <c r="L123" s="113">
        <v>0</v>
      </c>
      <c r="M123" s="114">
        <v>0</v>
      </c>
      <c r="N123" s="115">
        <v>750</v>
      </c>
      <c r="O123" s="114">
        <v>58348.190624999996</v>
      </c>
      <c r="P123" s="116">
        <v>58348.190624999996</v>
      </c>
      <c r="Q123" s="117">
        <f t="shared" ref="Q123:Q130" si="32">P123/P$13</f>
        <v>1.6598720952389577E-4</v>
      </c>
      <c r="R123" s="114">
        <f t="shared" ref="R123:R130" si="33">P123/I$5</f>
        <v>4.8570428993824244</v>
      </c>
      <c r="S123" s="377">
        <f t="shared" ref="S123:S130" si="34">P123/I$7</f>
        <v>189.44217735389608</v>
      </c>
      <c r="T123" s="357"/>
      <c r="U123" s="104"/>
      <c r="V123" s="95"/>
      <c r="W123" s="105"/>
      <c r="X123" s="95"/>
      <c r="Y123" s="95"/>
      <c r="Z123" s="95"/>
      <c r="AA123" s="95"/>
      <c r="AB123" s="95"/>
      <c r="AC123" s="95"/>
      <c r="AD123" s="17">
        <f t="shared" si="21"/>
        <v>0</v>
      </c>
      <c r="AE123" s="17">
        <f t="shared" si="28"/>
        <v>0</v>
      </c>
      <c r="AF123" s="17">
        <f t="shared" si="28"/>
        <v>0</v>
      </c>
      <c r="AG123" s="17">
        <f t="shared" si="28"/>
        <v>0</v>
      </c>
      <c r="AH123" s="18" t="str">
        <f t="shared" si="23"/>
        <v>0,;!0,;!0,;!0</v>
      </c>
      <c r="AI123" s="18" t="e">
        <f>INDEX([1]Library!$AL:$AL,MATCH(AH123,[1]Library!$AJ:$AJ,0),1)</f>
        <v>#N/A</v>
      </c>
      <c r="AJ123" s="18" t="e">
        <f>TEXT(INDEX([1]Library!$W:$W,MATCH(AH123,[1]Library!$AJ:$AJ,0),1),"")</f>
        <v>#N/A</v>
      </c>
    </row>
    <row r="124" spans="1:36" ht="25.05" customHeight="1" outlineLevel="2">
      <c r="A124" s="376" t="s">
        <v>44</v>
      </c>
      <c r="B124" s="107" t="s">
        <v>44</v>
      </c>
      <c r="C124" s="108" t="s">
        <v>44</v>
      </c>
      <c r="D124" s="109" t="s">
        <v>150</v>
      </c>
      <c r="E124" s="289"/>
      <c r="F124" s="299"/>
      <c r="G124" s="62"/>
      <c r="H124" s="111">
        <v>1298.5279999999998</v>
      </c>
      <c r="I124" s="112" t="s">
        <v>71</v>
      </c>
      <c r="J124" s="113">
        <v>0</v>
      </c>
      <c r="K124" s="114">
        <v>0</v>
      </c>
      <c r="L124" s="113">
        <v>0</v>
      </c>
      <c r="M124" s="114">
        <v>0</v>
      </c>
      <c r="N124" s="115">
        <v>366.07142857142861</v>
      </c>
      <c r="O124" s="114">
        <v>475354</v>
      </c>
      <c r="P124" s="116">
        <v>475354</v>
      </c>
      <c r="Q124" s="117">
        <f t="shared" si="32"/>
        <v>1.3522730208229477E-3</v>
      </c>
      <c r="R124" s="114">
        <f t="shared" si="33"/>
        <v>39.569603541464282</v>
      </c>
      <c r="S124" s="377">
        <f t="shared" si="34"/>
        <v>1543.3571428571429</v>
      </c>
      <c r="T124" s="357"/>
      <c r="U124" s="104"/>
      <c r="V124" s="95"/>
      <c r="W124" s="105"/>
      <c r="X124" s="95"/>
      <c r="Y124" s="95"/>
      <c r="Z124" s="95"/>
      <c r="AA124" s="95"/>
      <c r="AB124" s="95"/>
      <c r="AC124" s="95"/>
      <c r="AD124" s="17">
        <f t="shared" si="21"/>
        <v>0</v>
      </c>
      <c r="AE124" s="17">
        <f t="shared" si="28"/>
        <v>0</v>
      </c>
      <c r="AF124" s="17">
        <f t="shared" si="28"/>
        <v>0</v>
      </c>
      <c r="AG124" s="17">
        <f t="shared" si="28"/>
        <v>0</v>
      </c>
      <c r="AH124" s="18" t="str">
        <f t="shared" si="23"/>
        <v>0,;!0,;!0,;!0</v>
      </c>
      <c r="AI124" s="18" t="e">
        <f>INDEX([1]Library!$AL:$AL,MATCH(AH124,[1]Library!$AJ:$AJ,0),1)</f>
        <v>#N/A</v>
      </c>
      <c r="AJ124" s="18" t="e">
        <f>TEXT(INDEX([1]Library!$W:$W,MATCH(AH124,[1]Library!$AJ:$AJ,0),1),"")</f>
        <v>#N/A</v>
      </c>
    </row>
    <row r="125" spans="1:36" ht="25.05" customHeight="1" outlineLevel="2">
      <c r="A125" s="376" t="s">
        <v>44</v>
      </c>
      <c r="B125" s="107" t="s">
        <v>44</v>
      </c>
      <c r="C125" s="108" t="s">
        <v>44</v>
      </c>
      <c r="D125" s="109" t="s">
        <v>151</v>
      </c>
      <c r="E125" s="289"/>
      <c r="F125" s="299"/>
      <c r="G125" s="62"/>
      <c r="H125" s="111">
        <v>2139.4369999999999</v>
      </c>
      <c r="I125" s="112" t="s">
        <v>71</v>
      </c>
      <c r="J125" s="113">
        <v>0</v>
      </c>
      <c r="K125" s="114">
        <v>0</v>
      </c>
      <c r="L125" s="113">
        <v>0</v>
      </c>
      <c r="M125" s="114">
        <v>0</v>
      </c>
      <c r="N125" s="115">
        <v>803.57142857142856</v>
      </c>
      <c r="O125" s="114">
        <v>1719190.4464285714</v>
      </c>
      <c r="P125" s="116">
        <v>1719190.4464285714</v>
      </c>
      <c r="Q125" s="117">
        <f t="shared" si="32"/>
        <v>4.8907022100622196E-3</v>
      </c>
      <c r="R125" s="114">
        <f t="shared" si="33"/>
        <v>143.10952338142008</v>
      </c>
      <c r="S125" s="377">
        <f t="shared" si="34"/>
        <v>5581.7871637291282</v>
      </c>
      <c r="T125" s="357"/>
      <c r="U125" s="104"/>
      <c r="V125" s="95"/>
      <c r="W125" s="105"/>
      <c r="X125" s="95"/>
      <c r="Y125" s="95"/>
      <c r="Z125" s="95"/>
      <c r="AA125" s="95"/>
      <c r="AB125" s="95"/>
      <c r="AC125" s="95"/>
      <c r="AD125" s="17">
        <f t="shared" si="21"/>
        <v>0</v>
      </c>
      <c r="AE125" s="17">
        <f t="shared" si="28"/>
        <v>0</v>
      </c>
      <c r="AF125" s="17">
        <f t="shared" si="28"/>
        <v>0</v>
      </c>
      <c r="AG125" s="17">
        <f t="shared" si="28"/>
        <v>0</v>
      </c>
      <c r="AH125" s="18" t="str">
        <f t="shared" si="23"/>
        <v>0,;!0,;!0,;!0</v>
      </c>
      <c r="AI125" s="18" t="e">
        <f>INDEX([1]Library!$AL:$AL,MATCH(AH125,[1]Library!$AJ:$AJ,0),1)</f>
        <v>#N/A</v>
      </c>
      <c r="AJ125" s="18" t="e">
        <f>TEXT(INDEX([1]Library!$W:$W,MATCH(AH125,[1]Library!$AJ:$AJ,0),1),"")</f>
        <v>#N/A</v>
      </c>
    </row>
    <row r="126" spans="1:36" ht="25.05" customHeight="1" outlineLevel="2">
      <c r="A126" s="376" t="s">
        <v>44</v>
      </c>
      <c r="B126" s="107" t="s">
        <v>44</v>
      </c>
      <c r="C126" s="108" t="s">
        <v>44</v>
      </c>
      <c r="D126" s="109" t="s">
        <v>152</v>
      </c>
      <c r="E126" s="289"/>
      <c r="F126" s="299"/>
      <c r="G126" s="62"/>
      <c r="H126" s="111">
        <v>65.069999999999993</v>
      </c>
      <c r="I126" s="112" t="s">
        <v>122</v>
      </c>
      <c r="J126" s="113">
        <v>0</v>
      </c>
      <c r="K126" s="114">
        <v>0</v>
      </c>
      <c r="L126" s="113">
        <v>0</v>
      </c>
      <c r="M126" s="114">
        <v>0</v>
      </c>
      <c r="N126" s="115">
        <v>312.49999999999994</v>
      </c>
      <c r="O126" s="114">
        <v>20334.374999999993</v>
      </c>
      <c r="P126" s="116">
        <v>20334.374999999993</v>
      </c>
      <c r="Q126" s="117">
        <f t="shared" si="32"/>
        <v>5.7846629475709934E-5</v>
      </c>
      <c r="R126" s="114">
        <f t="shared" si="33"/>
        <v>1.6926819949205487</v>
      </c>
      <c r="S126" s="377">
        <f t="shared" si="34"/>
        <v>66.020698051948031</v>
      </c>
      <c r="T126" s="357"/>
      <c r="U126" s="104"/>
      <c r="V126" s="95"/>
      <c r="W126" s="105"/>
      <c r="X126" s="95"/>
      <c r="Y126" s="95"/>
      <c r="Z126" s="95"/>
      <c r="AA126" s="95"/>
      <c r="AB126" s="95"/>
      <c r="AC126" s="95"/>
      <c r="AD126" s="17">
        <f t="shared" si="21"/>
        <v>0</v>
      </c>
      <c r="AE126" s="17">
        <f t="shared" ref="AE126:AG141" si="35">IF(AA126=" ",IF($X126&gt;=AE$12,AE125,""),AA126)</f>
        <v>0</v>
      </c>
      <c r="AF126" s="17">
        <f t="shared" si="35"/>
        <v>0</v>
      </c>
      <c r="AG126" s="17">
        <f t="shared" si="35"/>
        <v>0</v>
      </c>
      <c r="AH126" s="18" t="str">
        <f t="shared" si="23"/>
        <v>0,;!0,;!0,;!0</v>
      </c>
      <c r="AI126" s="18" t="e">
        <f>INDEX([1]Library!$AL:$AL,MATCH(AH126,[1]Library!$AJ:$AJ,0),1)</f>
        <v>#N/A</v>
      </c>
      <c r="AJ126" s="18" t="e">
        <f>TEXT(INDEX([1]Library!$W:$W,MATCH(AH126,[1]Library!$AJ:$AJ,0),1),"")</f>
        <v>#N/A</v>
      </c>
    </row>
    <row r="127" spans="1:36" ht="25.05" customHeight="1" outlineLevel="2">
      <c r="A127" s="376" t="s">
        <v>44</v>
      </c>
      <c r="B127" s="107" t="s">
        <v>44</v>
      </c>
      <c r="C127" s="108" t="s">
        <v>44</v>
      </c>
      <c r="D127" s="109" t="s">
        <v>153</v>
      </c>
      <c r="E127" s="289"/>
      <c r="F127" s="299"/>
      <c r="G127" s="62"/>
      <c r="H127" s="111">
        <v>65.069999999999993</v>
      </c>
      <c r="I127" s="112" t="s">
        <v>122</v>
      </c>
      <c r="J127" s="113">
        <v>0</v>
      </c>
      <c r="K127" s="114">
        <v>0</v>
      </c>
      <c r="L127" s="113">
        <v>0</v>
      </c>
      <c r="M127" s="114">
        <v>0</v>
      </c>
      <c r="N127" s="115">
        <v>309.37499999999994</v>
      </c>
      <c r="O127" s="114">
        <v>20131.031249999993</v>
      </c>
      <c r="P127" s="116">
        <v>20131.031249999993</v>
      </c>
      <c r="Q127" s="117">
        <f t="shared" si="32"/>
        <v>5.7268163180952835E-5</v>
      </c>
      <c r="R127" s="114">
        <f t="shared" si="33"/>
        <v>1.6757551749713431</v>
      </c>
      <c r="S127" s="377">
        <f t="shared" si="34"/>
        <v>65.360491071428541</v>
      </c>
      <c r="T127" s="357"/>
      <c r="U127" s="104"/>
      <c r="V127" s="95"/>
      <c r="W127" s="105"/>
      <c r="X127" s="95"/>
      <c r="Y127" s="95"/>
      <c r="Z127" s="95"/>
      <c r="AA127" s="95"/>
      <c r="AB127" s="95"/>
      <c r="AC127" s="95"/>
      <c r="AD127" s="17">
        <f t="shared" si="21"/>
        <v>0</v>
      </c>
      <c r="AE127" s="17">
        <f t="shared" si="35"/>
        <v>0</v>
      </c>
      <c r="AF127" s="17">
        <f t="shared" si="35"/>
        <v>0</v>
      </c>
      <c r="AG127" s="17">
        <f t="shared" si="35"/>
        <v>0</v>
      </c>
      <c r="AH127" s="18" t="str">
        <f t="shared" si="23"/>
        <v>0,;!0,;!0,;!0</v>
      </c>
      <c r="AI127" s="18" t="e">
        <f>INDEX([1]Library!$AL:$AL,MATCH(AH127,[1]Library!$AJ:$AJ,0),1)</f>
        <v>#N/A</v>
      </c>
      <c r="AJ127" s="18" t="e">
        <f>TEXT(INDEX([1]Library!$W:$W,MATCH(AH127,[1]Library!$AJ:$AJ,0),1),"")</f>
        <v>#N/A</v>
      </c>
    </row>
    <row r="128" spans="1:36" ht="25.05" customHeight="1" outlineLevel="2">
      <c r="A128" s="376" t="s">
        <v>44</v>
      </c>
      <c r="B128" s="107" t="s">
        <v>44</v>
      </c>
      <c r="C128" s="108" t="s">
        <v>44</v>
      </c>
      <c r="D128" s="109" t="s">
        <v>154</v>
      </c>
      <c r="E128" s="289"/>
      <c r="F128" s="299"/>
      <c r="G128" s="62"/>
      <c r="H128" s="111">
        <v>9.4749999999999996</v>
      </c>
      <c r="I128" s="112" t="s">
        <v>71</v>
      </c>
      <c r="J128" s="113">
        <v>0</v>
      </c>
      <c r="K128" s="114">
        <v>0</v>
      </c>
      <c r="L128" s="113">
        <v>0</v>
      </c>
      <c r="M128" s="114">
        <v>0</v>
      </c>
      <c r="N128" s="115">
        <v>223.21428571428569</v>
      </c>
      <c r="O128" s="114">
        <v>2114.9553571428569</v>
      </c>
      <c r="P128" s="116">
        <v>2114.9553571428569</v>
      </c>
      <c r="Q128" s="117">
        <f t="shared" si="32"/>
        <v>6.0165625401474432E-6</v>
      </c>
      <c r="R128" s="114">
        <f t="shared" si="33"/>
        <v>0.17605394083154627</v>
      </c>
      <c r="S128" s="377">
        <f t="shared" si="34"/>
        <v>6.8667381725417433</v>
      </c>
      <c r="T128" s="357"/>
      <c r="U128" s="104"/>
      <c r="V128" s="95"/>
      <c r="W128" s="105"/>
      <c r="X128" s="95"/>
      <c r="Y128" s="95"/>
      <c r="Z128" s="95"/>
      <c r="AA128" s="95"/>
      <c r="AB128" s="95"/>
      <c r="AC128" s="95"/>
      <c r="AD128" s="17">
        <f t="shared" si="21"/>
        <v>0</v>
      </c>
      <c r="AE128" s="17">
        <f t="shared" si="35"/>
        <v>0</v>
      </c>
      <c r="AF128" s="17">
        <f t="shared" si="35"/>
        <v>0</v>
      </c>
      <c r="AG128" s="17">
        <f t="shared" si="35"/>
        <v>0</v>
      </c>
      <c r="AH128" s="18" t="str">
        <f t="shared" si="23"/>
        <v>0,;!0,;!0,;!0</v>
      </c>
      <c r="AI128" s="18" t="e">
        <f>INDEX([1]Library!$AL:$AL,MATCH(AH128,[1]Library!$AJ:$AJ,0),1)</f>
        <v>#N/A</v>
      </c>
      <c r="AJ128" s="18" t="e">
        <f>TEXT(INDEX([1]Library!$W:$W,MATCH(AH128,[1]Library!$AJ:$AJ,0),1),"")</f>
        <v>#N/A</v>
      </c>
    </row>
    <row r="129" spans="1:36" ht="25.05" customHeight="1" outlineLevel="2">
      <c r="A129" s="376" t="s">
        <v>44</v>
      </c>
      <c r="B129" s="107" t="s">
        <v>44</v>
      </c>
      <c r="C129" s="108" t="s">
        <v>44</v>
      </c>
      <c r="D129" s="109" t="s">
        <v>155</v>
      </c>
      <c r="E129" s="289"/>
      <c r="F129" s="299"/>
      <c r="G129" s="62"/>
      <c r="H129" s="111">
        <v>20.463000000000001</v>
      </c>
      <c r="I129" s="112" t="s">
        <v>71</v>
      </c>
      <c r="J129" s="113">
        <v>0</v>
      </c>
      <c r="K129" s="114">
        <v>0</v>
      </c>
      <c r="L129" s="113">
        <v>0</v>
      </c>
      <c r="M129" s="114">
        <v>0</v>
      </c>
      <c r="N129" s="115">
        <v>392.85714285714283</v>
      </c>
      <c r="O129" s="114">
        <v>8039.0357142857138</v>
      </c>
      <c r="P129" s="116">
        <v>8039.0357142857138</v>
      </c>
      <c r="Q129" s="117">
        <f t="shared" si="32"/>
        <v>2.2869211387430645E-5</v>
      </c>
      <c r="R129" s="114">
        <f t="shared" si="33"/>
        <v>0.66918855436150282</v>
      </c>
      <c r="S129" s="377">
        <f t="shared" si="34"/>
        <v>26.100765306122447</v>
      </c>
      <c r="T129" s="357"/>
      <c r="U129" s="104"/>
      <c r="V129" s="95"/>
      <c r="W129" s="105"/>
      <c r="X129" s="95"/>
      <c r="Y129" s="95"/>
      <c r="Z129" s="95"/>
      <c r="AA129" s="95"/>
      <c r="AB129" s="95"/>
      <c r="AC129" s="95"/>
      <c r="AD129" s="17">
        <f t="shared" si="21"/>
        <v>0</v>
      </c>
      <c r="AE129" s="17">
        <f t="shared" si="35"/>
        <v>0</v>
      </c>
      <c r="AF129" s="17">
        <f t="shared" si="35"/>
        <v>0</v>
      </c>
      <c r="AG129" s="17">
        <f t="shared" si="35"/>
        <v>0</v>
      </c>
      <c r="AH129" s="18" t="str">
        <f t="shared" si="23"/>
        <v>0,;!0,;!0,;!0</v>
      </c>
      <c r="AI129" s="18" t="e">
        <f>INDEX([1]Library!$AL:$AL,MATCH(AH129,[1]Library!$AJ:$AJ,0),1)</f>
        <v>#N/A</v>
      </c>
      <c r="AJ129" s="18" t="e">
        <f>TEXT(INDEX([1]Library!$W:$W,MATCH(AH129,[1]Library!$AJ:$AJ,0),1),"")</f>
        <v>#N/A</v>
      </c>
    </row>
    <row r="130" spans="1:36" ht="25.05" customHeight="1" outlineLevel="2">
      <c r="A130" s="376" t="s">
        <v>44</v>
      </c>
      <c r="B130" s="107" t="s">
        <v>44</v>
      </c>
      <c r="C130" s="108" t="s">
        <v>44</v>
      </c>
      <c r="D130" s="109" t="s">
        <v>156</v>
      </c>
      <c r="E130" s="289"/>
      <c r="F130" s="299"/>
      <c r="G130" s="62"/>
      <c r="H130" s="111">
        <v>966.30975000000001</v>
      </c>
      <c r="I130" s="112" t="s">
        <v>71</v>
      </c>
      <c r="J130" s="113">
        <v>0</v>
      </c>
      <c r="K130" s="114">
        <v>0</v>
      </c>
      <c r="L130" s="113">
        <v>0</v>
      </c>
      <c r="M130" s="114">
        <v>0</v>
      </c>
      <c r="N130" s="115">
        <v>80</v>
      </c>
      <c r="O130" s="114">
        <v>77304.78</v>
      </c>
      <c r="P130" s="116">
        <v>77304.78</v>
      </c>
      <c r="Q130" s="117">
        <f t="shared" si="32"/>
        <v>2.1991435514301635E-4</v>
      </c>
      <c r="R130" s="114">
        <f t="shared" si="33"/>
        <v>6.4350347245634136</v>
      </c>
      <c r="S130" s="377">
        <f t="shared" si="34"/>
        <v>250.98954545454546</v>
      </c>
      <c r="T130" s="357"/>
      <c r="U130" s="104"/>
      <c r="V130" s="95"/>
      <c r="W130" s="105"/>
      <c r="X130" s="95"/>
      <c r="Y130" s="95"/>
      <c r="Z130" s="95"/>
      <c r="AA130" s="95"/>
      <c r="AB130" s="95"/>
      <c r="AC130" s="95"/>
      <c r="AD130" s="17">
        <f t="shared" si="21"/>
        <v>0</v>
      </c>
      <c r="AE130" s="17">
        <f t="shared" si="35"/>
        <v>0</v>
      </c>
      <c r="AF130" s="17">
        <f t="shared" si="35"/>
        <v>0</v>
      </c>
      <c r="AG130" s="17">
        <f t="shared" si="35"/>
        <v>0</v>
      </c>
      <c r="AH130" s="18" t="str">
        <f t="shared" si="23"/>
        <v>0,;!0,;!0,;!0</v>
      </c>
      <c r="AI130" s="18" t="e">
        <f>INDEX([1]Library!$AL:$AL,MATCH(AH130,[1]Library!$AJ:$AJ,0),1)</f>
        <v>#N/A</v>
      </c>
      <c r="AJ130" s="18" t="e">
        <f>TEXT(INDEX([1]Library!$W:$W,MATCH(AH130,[1]Library!$AJ:$AJ,0),1),"")</f>
        <v>#N/A</v>
      </c>
    </row>
    <row r="131" spans="1:36" ht="25.05" customHeight="1" outlineLevel="1">
      <c r="A131" s="374" t="s">
        <v>44</v>
      </c>
      <c r="B131" s="96" t="s">
        <v>44</v>
      </c>
      <c r="C131" s="97" t="s">
        <v>157</v>
      </c>
      <c r="D131" s="97"/>
      <c r="E131" s="98"/>
      <c r="F131" s="298"/>
      <c r="G131" s="62"/>
      <c r="H131" s="99">
        <v>1</v>
      </c>
      <c r="I131" s="100" t="s">
        <v>35</v>
      </c>
      <c r="J131" s="99">
        <v>7704856.2499999991</v>
      </c>
      <c r="K131" s="99">
        <v>7704856.2499999991</v>
      </c>
      <c r="L131" s="99">
        <v>1727232.1428571427</v>
      </c>
      <c r="M131" s="99">
        <v>1727232.1428571427</v>
      </c>
      <c r="N131" s="99">
        <v>397767.85714285698</v>
      </c>
      <c r="O131" s="99">
        <v>397767.85714285698</v>
      </c>
      <c r="P131" s="101">
        <v>9829856.2499999981</v>
      </c>
      <c r="Q131" s="102">
        <f>P131/P$13</f>
        <v>2.7963684760079502E-2</v>
      </c>
      <c r="R131" s="103">
        <f>P131/I$5</f>
        <v>818.26073764412365</v>
      </c>
      <c r="S131" s="375">
        <f>P131/I$7</f>
        <v>31915.117694805187</v>
      </c>
      <c r="T131" s="356"/>
      <c r="U131" s="104"/>
      <c r="V131" s="95"/>
      <c r="W131" s="105"/>
      <c r="X131" s="95"/>
      <c r="Y131" s="95"/>
      <c r="Z131" s="95"/>
      <c r="AA131" s="95"/>
      <c r="AB131" s="95"/>
      <c r="AC131" s="95"/>
      <c r="AD131" s="17">
        <f t="shared" si="21"/>
        <v>0</v>
      </c>
      <c r="AE131" s="17">
        <f t="shared" si="35"/>
        <v>0</v>
      </c>
      <c r="AF131" s="17">
        <f t="shared" si="35"/>
        <v>0</v>
      </c>
      <c r="AG131" s="17">
        <f t="shared" si="35"/>
        <v>0</v>
      </c>
      <c r="AH131" s="18" t="str">
        <f t="shared" si="23"/>
        <v>0,;!0,;!0,;!0</v>
      </c>
      <c r="AI131" s="18" t="e">
        <f>INDEX([1]Library!$AL:$AL,MATCH(AH131,[1]Library!$AJ:$AJ,0),1)</f>
        <v>#N/A</v>
      </c>
      <c r="AJ131" s="18" t="e">
        <f>TEXT(INDEX([1]Library!$W:$W,MATCH(AH131,[1]Library!$AJ:$AJ,0),1),"")</f>
        <v>#N/A</v>
      </c>
    </row>
    <row r="132" spans="1:36" ht="25.05" customHeight="1" outlineLevel="2">
      <c r="A132" s="376" t="s">
        <v>44</v>
      </c>
      <c r="B132" s="107" t="s">
        <v>44</v>
      </c>
      <c r="C132" s="108" t="s">
        <v>44</v>
      </c>
      <c r="D132" s="109" t="s">
        <v>158</v>
      </c>
      <c r="E132" s="289"/>
      <c r="F132" s="299"/>
      <c r="G132" s="62"/>
      <c r="H132" s="111">
        <v>308</v>
      </c>
      <c r="I132" s="112" t="s">
        <v>140</v>
      </c>
      <c r="J132" s="113">
        <v>10714.285714285714</v>
      </c>
      <c r="K132" s="114">
        <v>3300000</v>
      </c>
      <c r="L132" s="113">
        <v>2008.9285714285713</v>
      </c>
      <c r="M132" s="114">
        <v>618750</v>
      </c>
      <c r="N132" s="115">
        <v>0</v>
      </c>
      <c r="O132" s="114">
        <v>0</v>
      </c>
      <c r="P132" s="116">
        <v>3918750</v>
      </c>
      <c r="Q132" s="117">
        <f t="shared" ref="Q132:Q141" si="36">P132/P$13</f>
        <v>1.1147944269638894E-2</v>
      </c>
      <c r="R132" s="114">
        <f t="shared" ref="R132:R141" si="37">P132/I$5</f>
        <v>326.20611981410309</v>
      </c>
      <c r="S132" s="377">
        <f t="shared" ref="S132:S141" si="38">P132/I$7</f>
        <v>12723.214285714286</v>
      </c>
      <c r="T132" s="357"/>
      <c r="U132" s="104"/>
      <c r="V132" s="95"/>
      <c r="W132" s="105"/>
      <c r="X132" s="95"/>
      <c r="Y132" s="95"/>
      <c r="Z132" s="95"/>
      <c r="AA132" s="95"/>
      <c r="AB132" s="95"/>
      <c r="AC132" s="95"/>
      <c r="AD132" s="17">
        <f t="shared" si="21"/>
        <v>0</v>
      </c>
      <c r="AE132" s="17">
        <f t="shared" si="35"/>
        <v>0</v>
      </c>
      <c r="AF132" s="17">
        <f t="shared" si="35"/>
        <v>0</v>
      </c>
      <c r="AG132" s="17">
        <f t="shared" si="35"/>
        <v>0</v>
      </c>
      <c r="AH132" s="18" t="str">
        <f t="shared" si="23"/>
        <v>0,;!0,;!0,;!0</v>
      </c>
      <c r="AI132" s="18" t="e">
        <f>INDEX([1]Library!$AL:$AL,MATCH(AH132,[1]Library!$AJ:$AJ,0),1)</f>
        <v>#N/A</v>
      </c>
      <c r="AJ132" s="18" t="e">
        <f>TEXT(INDEX([1]Library!$W:$W,MATCH(AH132,[1]Library!$AJ:$AJ,0),1),"")</f>
        <v>#N/A</v>
      </c>
    </row>
    <row r="133" spans="1:36" ht="25.05" customHeight="1" outlineLevel="2">
      <c r="A133" s="376" t="s">
        <v>44</v>
      </c>
      <c r="B133" s="107" t="s">
        <v>44</v>
      </c>
      <c r="C133" s="108" t="s">
        <v>44</v>
      </c>
      <c r="D133" s="109" t="s">
        <v>159</v>
      </c>
      <c r="E133" s="289"/>
      <c r="F133" s="299"/>
      <c r="G133" s="62"/>
      <c r="H133" s="111">
        <v>308</v>
      </c>
      <c r="I133" s="112" t="s">
        <v>140</v>
      </c>
      <c r="J133" s="113">
        <v>1650</v>
      </c>
      <c r="K133" s="114">
        <v>508200</v>
      </c>
      <c r="L133" s="113">
        <v>1339.2857142857142</v>
      </c>
      <c r="M133" s="114">
        <v>412500</v>
      </c>
      <c r="N133" s="115">
        <v>0</v>
      </c>
      <c r="O133" s="114">
        <v>0</v>
      </c>
      <c r="P133" s="116">
        <v>920700</v>
      </c>
      <c r="Q133" s="117">
        <f t="shared" si="36"/>
        <v>2.6191801694562117E-3</v>
      </c>
      <c r="R133" s="114">
        <f t="shared" si="37"/>
        <v>76.641269413166114</v>
      </c>
      <c r="S133" s="377">
        <f t="shared" si="38"/>
        <v>2989.2857142857142</v>
      </c>
      <c r="T133" s="357"/>
      <c r="U133" s="104"/>
      <c r="V133" s="95"/>
      <c r="W133" s="105"/>
      <c r="X133" s="95"/>
      <c r="Y133" s="95"/>
      <c r="Z133" s="95"/>
      <c r="AA133" s="95"/>
      <c r="AB133" s="95"/>
      <c r="AC133" s="95"/>
      <c r="AD133" s="17">
        <f t="shared" si="21"/>
        <v>0</v>
      </c>
      <c r="AE133" s="17">
        <f t="shared" si="35"/>
        <v>0</v>
      </c>
      <c r="AF133" s="17">
        <f t="shared" si="35"/>
        <v>0</v>
      </c>
      <c r="AG133" s="17">
        <f t="shared" si="35"/>
        <v>0</v>
      </c>
      <c r="AH133" s="18" t="str">
        <f t="shared" si="23"/>
        <v>0,;!0,;!0,;!0</v>
      </c>
      <c r="AI133" s="18" t="e">
        <f>INDEX([1]Library!$AL:$AL,MATCH(AH133,[1]Library!$AJ:$AJ,0),1)</f>
        <v>#N/A</v>
      </c>
      <c r="AJ133" s="18" t="e">
        <f>TEXT(INDEX([1]Library!$W:$W,MATCH(AH133,[1]Library!$AJ:$AJ,0),1),"")</f>
        <v>#N/A</v>
      </c>
    </row>
    <row r="134" spans="1:36" ht="25.05" customHeight="1" outlineLevel="2">
      <c r="A134" s="376" t="s">
        <v>44</v>
      </c>
      <c r="B134" s="107" t="s">
        <v>44</v>
      </c>
      <c r="C134" s="108" t="s">
        <v>44</v>
      </c>
      <c r="D134" s="109" t="s">
        <v>160</v>
      </c>
      <c r="E134" s="289"/>
      <c r="F134" s="299"/>
      <c r="G134" s="62"/>
      <c r="H134" s="111">
        <v>308</v>
      </c>
      <c r="I134" s="112" t="s">
        <v>140</v>
      </c>
      <c r="J134" s="113">
        <v>10714.285714285714</v>
      </c>
      <c r="K134" s="114">
        <v>3300000</v>
      </c>
      <c r="L134" s="113">
        <v>2008.9285714285713</v>
      </c>
      <c r="M134" s="114">
        <v>618750</v>
      </c>
      <c r="N134" s="115">
        <v>0</v>
      </c>
      <c r="O134" s="114">
        <v>0</v>
      </c>
      <c r="P134" s="116">
        <v>3918750</v>
      </c>
      <c r="Q134" s="117">
        <f t="shared" si="36"/>
        <v>1.1147944269638894E-2</v>
      </c>
      <c r="R134" s="114">
        <f t="shared" si="37"/>
        <v>326.20611981410309</v>
      </c>
      <c r="S134" s="377">
        <f t="shared" si="38"/>
        <v>12723.214285714286</v>
      </c>
      <c r="T134" s="357"/>
      <c r="U134" s="104"/>
      <c r="V134" s="95"/>
      <c r="W134" s="105"/>
      <c r="X134" s="95"/>
      <c r="Y134" s="95"/>
      <c r="Z134" s="95"/>
      <c r="AA134" s="95"/>
      <c r="AB134" s="95"/>
      <c r="AC134" s="95"/>
      <c r="AD134" s="17">
        <f t="shared" si="21"/>
        <v>0</v>
      </c>
      <c r="AE134" s="17">
        <f t="shared" si="35"/>
        <v>0</v>
      </c>
      <c r="AF134" s="17">
        <f t="shared" si="35"/>
        <v>0</v>
      </c>
      <c r="AG134" s="17">
        <f t="shared" si="35"/>
        <v>0</v>
      </c>
      <c r="AH134" s="18" t="str">
        <f t="shared" si="23"/>
        <v>0,;!0,;!0,;!0</v>
      </c>
      <c r="AI134" s="18" t="e">
        <f>INDEX([1]Library!$AL:$AL,MATCH(AH134,[1]Library!$AJ:$AJ,0),1)</f>
        <v>#N/A</v>
      </c>
      <c r="AJ134" s="18" t="e">
        <f>TEXT(INDEX([1]Library!$W:$W,MATCH(AH134,[1]Library!$AJ:$AJ,0),1),"")</f>
        <v>#N/A</v>
      </c>
    </row>
    <row r="135" spans="1:36" ht="25.05" customHeight="1" outlineLevel="2">
      <c r="A135" s="376" t="s">
        <v>44</v>
      </c>
      <c r="B135" s="107" t="s">
        <v>44</v>
      </c>
      <c r="C135" s="108" t="s">
        <v>44</v>
      </c>
      <c r="D135" s="109" t="s">
        <v>161</v>
      </c>
      <c r="E135" s="289"/>
      <c r="F135" s="299"/>
      <c r="G135" s="62"/>
      <c r="H135" s="111">
        <v>26</v>
      </c>
      <c r="I135" s="112" t="s">
        <v>140</v>
      </c>
      <c r="J135" s="113">
        <v>8973.2142857142844</v>
      </c>
      <c r="K135" s="114">
        <v>233303.57142857139</v>
      </c>
      <c r="L135" s="113">
        <v>1339.285714285714</v>
      </c>
      <c r="M135" s="114">
        <v>34821.428571428565</v>
      </c>
      <c r="N135" s="115">
        <v>0</v>
      </c>
      <c r="O135" s="114">
        <v>0</v>
      </c>
      <c r="P135" s="116">
        <v>268124.99999999994</v>
      </c>
      <c r="Q135" s="117">
        <f t="shared" si="36"/>
        <v>7.6275408160687158E-4</v>
      </c>
      <c r="R135" s="114">
        <f t="shared" si="37"/>
        <v>22.319366092543891</v>
      </c>
      <c r="S135" s="377">
        <f t="shared" si="38"/>
        <v>870.53571428571411</v>
      </c>
      <c r="T135" s="357"/>
      <c r="U135" s="104"/>
      <c r="V135" s="95"/>
      <c r="W135" s="105"/>
      <c r="X135" s="95"/>
      <c r="Y135" s="95"/>
      <c r="Z135" s="95"/>
      <c r="AA135" s="95"/>
      <c r="AB135" s="95"/>
      <c r="AC135" s="95"/>
      <c r="AD135" s="17">
        <f t="shared" si="21"/>
        <v>0</v>
      </c>
      <c r="AE135" s="17">
        <f t="shared" si="35"/>
        <v>0</v>
      </c>
      <c r="AF135" s="17">
        <f t="shared" si="35"/>
        <v>0</v>
      </c>
      <c r="AG135" s="17">
        <f t="shared" si="35"/>
        <v>0</v>
      </c>
      <c r="AH135" s="18" t="str">
        <f t="shared" si="23"/>
        <v>0,;!0,;!0,;!0</v>
      </c>
      <c r="AI135" s="18" t="e">
        <f>INDEX([1]Library!$AL:$AL,MATCH(AH135,[1]Library!$AJ:$AJ,0),1)</f>
        <v>#N/A</v>
      </c>
      <c r="AJ135" s="18" t="e">
        <f>TEXT(INDEX([1]Library!$W:$W,MATCH(AH135,[1]Library!$AJ:$AJ,0),1),"")</f>
        <v>#N/A</v>
      </c>
    </row>
    <row r="136" spans="1:36" ht="25.05" customHeight="1" outlineLevel="2">
      <c r="A136" s="376" t="s">
        <v>44</v>
      </c>
      <c r="B136" s="107" t="s">
        <v>44</v>
      </c>
      <c r="C136" s="108" t="s">
        <v>44</v>
      </c>
      <c r="D136" s="109" t="s">
        <v>162</v>
      </c>
      <c r="E136" s="289"/>
      <c r="F136" s="299"/>
      <c r="G136" s="62"/>
      <c r="H136" s="111">
        <v>4</v>
      </c>
      <c r="I136" s="112" t="s">
        <v>140</v>
      </c>
      <c r="J136" s="113">
        <v>11345.982142857141</v>
      </c>
      <c r="K136" s="114">
        <v>45383.928571428565</v>
      </c>
      <c r="L136" s="113">
        <v>1339.2857142857142</v>
      </c>
      <c r="M136" s="114">
        <v>5357.1428571428569</v>
      </c>
      <c r="N136" s="115">
        <v>0</v>
      </c>
      <c r="O136" s="114">
        <v>0</v>
      </c>
      <c r="P136" s="116">
        <v>50741.07142857142</v>
      </c>
      <c r="Q136" s="117">
        <f t="shared" si="36"/>
        <v>1.4434670149090413E-4</v>
      </c>
      <c r="R136" s="114">
        <f t="shared" si="37"/>
        <v>4.2238081086888757</v>
      </c>
      <c r="S136" s="377">
        <f t="shared" si="38"/>
        <v>164.74373840445267</v>
      </c>
      <c r="T136" s="357"/>
      <c r="U136" s="104"/>
      <c r="V136" s="95"/>
      <c r="W136" s="105"/>
      <c r="X136" s="95"/>
      <c r="Y136" s="95"/>
      <c r="Z136" s="95"/>
      <c r="AA136" s="95"/>
      <c r="AB136" s="95"/>
      <c r="AC136" s="95"/>
      <c r="AD136" s="17">
        <f t="shared" si="21"/>
        <v>0</v>
      </c>
      <c r="AE136" s="17">
        <f t="shared" si="35"/>
        <v>0</v>
      </c>
      <c r="AF136" s="17">
        <f t="shared" si="35"/>
        <v>0</v>
      </c>
      <c r="AG136" s="17">
        <f t="shared" si="35"/>
        <v>0</v>
      </c>
      <c r="AH136" s="18" t="str">
        <f t="shared" si="23"/>
        <v>0,;!0,;!0,;!0</v>
      </c>
      <c r="AI136" s="18" t="e">
        <f>INDEX([1]Library!$AL:$AL,MATCH(AH136,[1]Library!$AJ:$AJ,0),1)</f>
        <v>#N/A</v>
      </c>
      <c r="AJ136" s="18" t="e">
        <f>TEXT(INDEX([1]Library!$W:$W,MATCH(AH136,[1]Library!$AJ:$AJ,0),1),"")</f>
        <v>#N/A</v>
      </c>
    </row>
    <row r="137" spans="1:36" ht="25.05" customHeight="1" outlineLevel="2">
      <c r="A137" s="376" t="s">
        <v>44</v>
      </c>
      <c r="B137" s="107" t="s">
        <v>44</v>
      </c>
      <c r="C137" s="108" t="s">
        <v>44</v>
      </c>
      <c r="D137" s="109" t="s">
        <v>163</v>
      </c>
      <c r="E137" s="289"/>
      <c r="F137" s="299"/>
      <c r="G137" s="62"/>
      <c r="H137" s="111">
        <v>25</v>
      </c>
      <c r="I137" s="112" t="s">
        <v>140</v>
      </c>
      <c r="J137" s="113">
        <v>10406.249999999998</v>
      </c>
      <c r="K137" s="114">
        <v>260156.24999999994</v>
      </c>
      <c r="L137" s="113">
        <v>1339.2857142857142</v>
      </c>
      <c r="M137" s="114">
        <v>33482.142857142855</v>
      </c>
      <c r="N137" s="115">
        <v>0</v>
      </c>
      <c r="O137" s="114">
        <v>0</v>
      </c>
      <c r="P137" s="116">
        <v>293638.39285714278</v>
      </c>
      <c r="Q137" s="117">
        <f t="shared" si="36"/>
        <v>8.3533382813339948E-4</v>
      </c>
      <c r="R137" s="114">
        <f t="shared" si="37"/>
        <v>24.443161917034203</v>
      </c>
      <c r="S137" s="377">
        <f t="shared" si="38"/>
        <v>953.37140538033373</v>
      </c>
      <c r="T137" s="357"/>
      <c r="U137" s="104"/>
      <c r="V137" s="95"/>
      <c r="W137" s="105"/>
      <c r="X137" s="95"/>
      <c r="Y137" s="95"/>
      <c r="Z137" s="95"/>
      <c r="AA137" s="95"/>
      <c r="AB137" s="95"/>
      <c r="AC137" s="95"/>
      <c r="AD137" s="17">
        <f t="shared" si="21"/>
        <v>0</v>
      </c>
      <c r="AE137" s="17">
        <f t="shared" si="35"/>
        <v>0</v>
      </c>
      <c r="AF137" s="17">
        <f t="shared" si="35"/>
        <v>0</v>
      </c>
      <c r="AG137" s="17">
        <f t="shared" si="35"/>
        <v>0</v>
      </c>
      <c r="AH137" s="18" t="str">
        <f t="shared" si="23"/>
        <v>0,;!0,;!0,;!0</v>
      </c>
      <c r="AI137" s="18" t="e">
        <f>INDEX([1]Library!$AL:$AL,MATCH(AH137,[1]Library!$AJ:$AJ,0),1)</f>
        <v>#N/A</v>
      </c>
      <c r="AJ137" s="18" t="e">
        <f>TEXT(INDEX([1]Library!$W:$W,MATCH(AH137,[1]Library!$AJ:$AJ,0),1),"")</f>
        <v>#N/A</v>
      </c>
    </row>
    <row r="138" spans="1:36" ht="25.05" customHeight="1" outlineLevel="2">
      <c r="A138" s="376" t="s">
        <v>44</v>
      </c>
      <c r="B138" s="107" t="s">
        <v>44</v>
      </c>
      <c r="C138" s="108" t="s">
        <v>44</v>
      </c>
      <c r="D138" s="109" t="s">
        <v>164</v>
      </c>
      <c r="E138" s="289"/>
      <c r="F138" s="299"/>
      <c r="G138" s="62"/>
      <c r="H138" s="111">
        <v>1</v>
      </c>
      <c r="I138" s="112" t="s">
        <v>140</v>
      </c>
      <c r="J138" s="113">
        <v>34687.5</v>
      </c>
      <c r="K138" s="114">
        <v>34687.5</v>
      </c>
      <c r="L138" s="113">
        <v>1785.7142857142856</v>
      </c>
      <c r="M138" s="114">
        <v>1785.7142857142856</v>
      </c>
      <c r="N138" s="115">
        <v>0</v>
      </c>
      <c r="O138" s="114">
        <v>0</v>
      </c>
      <c r="P138" s="116">
        <v>36473.214285714283</v>
      </c>
      <c r="Q138" s="117">
        <f t="shared" si="36"/>
        <v>1.0375792285594641E-4</v>
      </c>
      <c r="R138" s="114">
        <f t="shared" si="37"/>
        <v>3.0361175653693575</v>
      </c>
      <c r="S138" s="377">
        <f t="shared" si="38"/>
        <v>118.41952690166976</v>
      </c>
      <c r="T138" s="357"/>
      <c r="U138" s="104"/>
      <c r="V138" s="95"/>
      <c r="W138" s="105"/>
      <c r="X138" s="95"/>
      <c r="Y138" s="95"/>
      <c r="Z138" s="95"/>
      <c r="AA138" s="95"/>
      <c r="AB138" s="95"/>
      <c r="AC138" s="95"/>
      <c r="AD138" s="17">
        <f t="shared" si="21"/>
        <v>0</v>
      </c>
      <c r="AE138" s="17">
        <f t="shared" si="35"/>
        <v>0</v>
      </c>
      <c r="AF138" s="17">
        <f t="shared" si="35"/>
        <v>0</v>
      </c>
      <c r="AG138" s="17">
        <f t="shared" si="35"/>
        <v>0</v>
      </c>
      <c r="AH138" s="18" t="str">
        <f t="shared" si="23"/>
        <v>0,;!0,;!0,;!0</v>
      </c>
      <c r="AI138" s="18" t="e">
        <f>INDEX([1]Library!$AL:$AL,MATCH(AH138,[1]Library!$AJ:$AJ,0),1)</f>
        <v>#N/A</v>
      </c>
      <c r="AJ138" s="18" t="e">
        <f>TEXT(INDEX([1]Library!$W:$W,MATCH(AH138,[1]Library!$AJ:$AJ,0),1),"")</f>
        <v>#N/A</v>
      </c>
    </row>
    <row r="139" spans="1:36" ht="25.05" customHeight="1" outlineLevel="2">
      <c r="A139" s="376" t="s">
        <v>44</v>
      </c>
      <c r="B139" s="107" t="s">
        <v>44</v>
      </c>
      <c r="C139" s="108" t="s">
        <v>44</v>
      </c>
      <c r="D139" s="109" t="s">
        <v>165</v>
      </c>
      <c r="E139" s="289"/>
      <c r="F139" s="299"/>
      <c r="G139" s="62"/>
      <c r="H139" s="111">
        <v>1</v>
      </c>
      <c r="I139" s="112" t="s">
        <v>140</v>
      </c>
      <c r="J139" s="113">
        <v>23124.999999999996</v>
      </c>
      <c r="K139" s="114">
        <v>23124.999999999996</v>
      </c>
      <c r="L139" s="113">
        <v>1785.7142857142856</v>
      </c>
      <c r="M139" s="114">
        <v>1785.7142857142856</v>
      </c>
      <c r="N139" s="115">
        <v>0</v>
      </c>
      <c r="O139" s="114">
        <v>0</v>
      </c>
      <c r="P139" s="116">
        <v>24910.714285714283</v>
      </c>
      <c r="Q139" s="117">
        <f t="shared" si="36"/>
        <v>7.0865264325113941E-5</v>
      </c>
      <c r="R139" s="114">
        <f t="shared" si="37"/>
        <v>2.0736274191873947</v>
      </c>
      <c r="S139" s="377">
        <f t="shared" si="38"/>
        <v>80.878942486085336</v>
      </c>
      <c r="T139" s="357"/>
      <c r="U139" s="104"/>
      <c r="V139" s="95"/>
      <c r="W139" s="105"/>
      <c r="X139" s="95"/>
      <c r="Y139" s="95"/>
      <c r="Z139" s="95"/>
      <c r="AA139" s="95"/>
      <c r="AB139" s="95"/>
      <c r="AC139" s="95"/>
      <c r="AD139" s="17">
        <f t="shared" si="21"/>
        <v>0</v>
      </c>
      <c r="AE139" s="17">
        <f t="shared" si="35"/>
        <v>0</v>
      </c>
      <c r="AF139" s="17">
        <f t="shared" si="35"/>
        <v>0</v>
      </c>
      <c r="AG139" s="17">
        <f t="shared" si="35"/>
        <v>0</v>
      </c>
      <c r="AH139" s="18" t="str">
        <f t="shared" si="23"/>
        <v>0,;!0,;!0,;!0</v>
      </c>
      <c r="AI139" s="18" t="e">
        <f>INDEX([1]Library!$AL:$AL,MATCH(AH139,[1]Library!$AJ:$AJ,0),1)</f>
        <v>#N/A</v>
      </c>
      <c r="AJ139" s="18" t="e">
        <f>TEXT(INDEX([1]Library!$W:$W,MATCH(AH139,[1]Library!$AJ:$AJ,0),1),"")</f>
        <v>#N/A</v>
      </c>
    </row>
    <row r="140" spans="1:36" ht="25.05" customHeight="1" outlineLevel="2">
      <c r="A140" s="376" t="s">
        <v>44</v>
      </c>
      <c r="B140" s="107" t="s">
        <v>44</v>
      </c>
      <c r="C140" s="108" t="s">
        <v>44</v>
      </c>
      <c r="D140" s="109" t="s">
        <v>166</v>
      </c>
      <c r="E140" s="289"/>
      <c r="F140" s="299"/>
      <c r="G140" s="62"/>
      <c r="H140" s="111">
        <v>99</v>
      </c>
      <c r="I140" s="112" t="s">
        <v>140</v>
      </c>
      <c r="J140" s="113">
        <v>0</v>
      </c>
      <c r="K140" s="114">
        <v>0</v>
      </c>
      <c r="L140" s="113">
        <v>0</v>
      </c>
      <c r="M140" s="114">
        <v>0</v>
      </c>
      <c r="N140" s="115">
        <v>2232.1428571428569</v>
      </c>
      <c r="O140" s="114">
        <v>220982.14285714284</v>
      </c>
      <c r="P140" s="116">
        <v>220982.14285714284</v>
      </c>
      <c r="Q140" s="117">
        <f t="shared" si="36"/>
        <v>6.2864347385181729E-4</v>
      </c>
      <c r="R140" s="114">
        <f t="shared" si="37"/>
        <v>18.395081944404307</v>
      </c>
      <c r="S140" s="377">
        <f t="shared" si="38"/>
        <v>717.47448979591832</v>
      </c>
      <c r="T140" s="357"/>
      <c r="U140" s="104"/>
      <c r="V140" s="95"/>
      <c r="W140" s="105"/>
      <c r="X140" s="95"/>
      <c r="Y140" s="95"/>
      <c r="Z140" s="95"/>
      <c r="AA140" s="95"/>
      <c r="AB140" s="95"/>
      <c r="AC140" s="95"/>
      <c r="AD140" s="17">
        <f t="shared" si="21"/>
        <v>0</v>
      </c>
      <c r="AE140" s="17">
        <f t="shared" si="35"/>
        <v>0</v>
      </c>
      <c r="AF140" s="17">
        <f t="shared" si="35"/>
        <v>0</v>
      </c>
      <c r="AG140" s="17">
        <f t="shared" si="35"/>
        <v>0</v>
      </c>
      <c r="AH140" s="18" t="str">
        <f t="shared" si="23"/>
        <v>0,;!0,;!0,;!0</v>
      </c>
      <c r="AI140" s="18" t="e">
        <f>INDEX([1]Library!$AL:$AL,MATCH(AH140,[1]Library!$AJ:$AJ,0),1)</f>
        <v>#N/A</v>
      </c>
      <c r="AJ140" s="18" t="e">
        <f>TEXT(INDEX([1]Library!$W:$W,MATCH(AH140,[1]Library!$AJ:$AJ,0),1),"")</f>
        <v>#N/A</v>
      </c>
    </row>
    <row r="141" spans="1:36" ht="25.05" customHeight="1" outlineLevel="2">
      <c r="A141" s="376" t="s">
        <v>44</v>
      </c>
      <c r="B141" s="107" t="s">
        <v>44</v>
      </c>
      <c r="C141" s="108" t="s">
        <v>44</v>
      </c>
      <c r="D141" s="109" t="s">
        <v>167</v>
      </c>
      <c r="E141" s="289"/>
      <c r="F141" s="299"/>
      <c r="G141" s="62"/>
      <c r="H141" s="111">
        <v>110</v>
      </c>
      <c r="I141" s="112" t="s">
        <v>140</v>
      </c>
      <c r="J141" s="113">
        <v>0</v>
      </c>
      <c r="K141" s="114">
        <v>0</v>
      </c>
      <c r="L141" s="113">
        <v>0</v>
      </c>
      <c r="M141" s="114">
        <v>0</v>
      </c>
      <c r="N141" s="115">
        <v>1607.1428571428569</v>
      </c>
      <c r="O141" s="114">
        <v>176785.71428571426</v>
      </c>
      <c r="P141" s="116">
        <v>176785.71428571426</v>
      </c>
      <c r="Q141" s="117">
        <f t="shared" si="36"/>
        <v>5.0291477908145379E-4</v>
      </c>
      <c r="R141" s="114">
        <f t="shared" si="37"/>
        <v>14.716065555523445</v>
      </c>
      <c r="S141" s="377">
        <f t="shared" si="38"/>
        <v>573.97959183673458</v>
      </c>
      <c r="T141" s="357"/>
      <c r="U141" s="104"/>
      <c r="V141" s="95"/>
      <c r="W141" s="105"/>
      <c r="X141" s="95"/>
      <c r="Y141" s="95"/>
      <c r="Z141" s="95"/>
      <c r="AA141" s="95"/>
      <c r="AB141" s="95"/>
      <c r="AC141" s="95"/>
      <c r="AD141" s="17">
        <f t="shared" si="21"/>
        <v>0</v>
      </c>
      <c r="AE141" s="17">
        <f t="shared" si="35"/>
        <v>0</v>
      </c>
      <c r="AF141" s="17">
        <f t="shared" si="35"/>
        <v>0</v>
      </c>
      <c r="AG141" s="17">
        <f t="shared" si="35"/>
        <v>0</v>
      </c>
      <c r="AH141" s="18" t="str">
        <f t="shared" si="23"/>
        <v>0,;!0,;!0,;!0</v>
      </c>
      <c r="AI141" s="18" t="e">
        <f>INDEX([1]Library!$AL:$AL,MATCH(AH141,[1]Library!$AJ:$AJ,0),1)</f>
        <v>#N/A</v>
      </c>
      <c r="AJ141" s="18" t="e">
        <f>TEXT(INDEX([1]Library!$W:$W,MATCH(AH141,[1]Library!$AJ:$AJ,0),1),"")</f>
        <v>#N/A</v>
      </c>
    </row>
    <row r="142" spans="1:36" ht="25.05" customHeight="1" outlineLevel="1">
      <c r="A142" s="374" t="s">
        <v>44</v>
      </c>
      <c r="B142" s="96" t="s">
        <v>44</v>
      </c>
      <c r="C142" s="97" t="s">
        <v>168</v>
      </c>
      <c r="D142" s="97"/>
      <c r="E142" s="98"/>
      <c r="F142" s="298"/>
      <c r="G142" s="62"/>
      <c r="H142" s="99">
        <v>1</v>
      </c>
      <c r="I142" s="100" t="s">
        <v>35</v>
      </c>
      <c r="J142" s="99">
        <v>3499092.5892857146</v>
      </c>
      <c r="K142" s="99">
        <v>3499092.5892857146</v>
      </c>
      <c r="L142" s="99">
        <v>345975.44642857142</v>
      </c>
      <c r="M142" s="99">
        <v>345975.44642857142</v>
      </c>
      <c r="N142" s="99">
        <v>0</v>
      </c>
      <c r="O142" s="99">
        <v>0</v>
      </c>
      <c r="P142" s="101">
        <v>3845068.0357142859</v>
      </c>
      <c r="Q142" s="102">
        <f>P142/P$13</f>
        <v>1.0938335993649188E-2</v>
      </c>
      <c r="R142" s="103">
        <f>P142/I$5</f>
        <v>320.0726569318258</v>
      </c>
      <c r="S142" s="375">
        <f>P142/I$7</f>
        <v>12483.987128942486</v>
      </c>
      <c r="T142" s="356"/>
      <c r="U142" s="104"/>
      <c r="V142" s="95"/>
      <c r="W142" s="105"/>
      <c r="X142" s="95"/>
      <c r="Y142" s="95"/>
      <c r="Z142" s="95"/>
      <c r="AA142" s="95"/>
      <c r="AB142" s="95"/>
      <c r="AC142" s="95"/>
      <c r="AD142" s="17">
        <f t="shared" ref="AD142:AD205" si="39">IF(X142&lt;&gt;0,IF($X142&gt;=AD$12,AD141,""),Z142)</f>
        <v>0</v>
      </c>
      <c r="AE142" s="17">
        <f t="shared" ref="AE142:AG157" si="40">IF(AA142=" ",IF($X142&gt;=AE$12,AE141,""),AA142)</f>
        <v>0</v>
      </c>
      <c r="AF142" s="17">
        <f t="shared" si="40"/>
        <v>0</v>
      </c>
      <c r="AG142" s="17">
        <f t="shared" si="40"/>
        <v>0</v>
      </c>
      <c r="AH142" s="18" t="str">
        <f t="shared" ref="AH142:AH205" si="41">AD142&amp;",;!"&amp;AE142&amp;",;!"&amp;AF142&amp;",;!"&amp;AG142</f>
        <v>0,;!0,;!0,;!0</v>
      </c>
      <c r="AI142" s="18" t="e">
        <f>INDEX([1]Library!$AL:$AL,MATCH(AH142,[1]Library!$AJ:$AJ,0),1)</f>
        <v>#N/A</v>
      </c>
      <c r="AJ142" s="18" t="e">
        <f>TEXT(INDEX([1]Library!$W:$W,MATCH(AH142,[1]Library!$AJ:$AJ,0),1),"")</f>
        <v>#N/A</v>
      </c>
    </row>
    <row r="143" spans="1:36" ht="25.05" customHeight="1" outlineLevel="2">
      <c r="A143" s="376" t="s">
        <v>44</v>
      </c>
      <c r="B143" s="107" t="s">
        <v>44</v>
      </c>
      <c r="C143" s="108" t="s">
        <v>44</v>
      </c>
      <c r="D143" s="109" t="s">
        <v>169</v>
      </c>
      <c r="E143" s="289"/>
      <c r="F143" s="299"/>
      <c r="G143" s="62"/>
      <c r="H143" s="111">
        <v>649</v>
      </c>
      <c r="I143" s="112" t="s">
        <v>140</v>
      </c>
      <c r="J143" s="113">
        <v>178.57142857142856</v>
      </c>
      <c r="K143" s="114">
        <v>115892.85714285713</v>
      </c>
      <c r="L143" s="113">
        <v>46.874999999999986</v>
      </c>
      <c r="M143" s="114">
        <v>30421.874999999993</v>
      </c>
      <c r="N143" s="115">
        <v>0</v>
      </c>
      <c r="O143" s="114">
        <v>0</v>
      </c>
      <c r="P143" s="116">
        <v>146314.73214285713</v>
      </c>
      <c r="Q143" s="117">
        <f t="shared" ref="Q143:Q155" si="42">P143/P$13</f>
        <v>4.1623182896477544E-4</v>
      </c>
      <c r="R143" s="114">
        <f t="shared" ref="R143:R155" si="43">P143/I$5</f>
        <v>12.179588145189474</v>
      </c>
      <c r="S143" s="377">
        <f t="shared" ref="S143:S155" si="44">P143/I$7</f>
        <v>475.04783163265301</v>
      </c>
      <c r="T143" s="357"/>
      <c r="U143" s="104"/>
      <c r="V143" s="95"/>
      <c r="W143" s="105"/>
      <c r="X143" s="95"/>
      <c r="Y143" s="95"/>
      <c r="Z143" s="95"/>
      <c r="AA143" s="95"/>
      <c r="AB143" s="95"/>
      <c r="AC143" s="95"/>
      <c r="AD143" s="17">
        <f t="shared" si="39"/>
        <v>0</v>
      </c>
      <c r="AE143" s="17">
        <f t="shared" si="40"/>
        <v>0</v>
      </c>
      <c r="AF143" s="17">
        <f t="shared" si="40"/>
        <v>0</v>
      </c>
      <c r="AG143" s="17">
        <f t="shared" si="40"/>
        <v>0</v>
      </c>
      <c r="AH143" s="18" t="str">
        <f t="shared" si="41"/>
        <v>0,;!0,;!0,;!0</v>
      </c>
      <c r="AI143" s="18" t="e">
        <f>INDEX([1]Library!$AL:$AL,MATCH(AH143,[1]Library!$AJ:$AJ,0),1)</f>
        <v>#N/A</v>
      </c>
      <c r="AJ143" s="18" t="e">
        <f>TEXT(INDEX([1]Library!$W:$W,MATCH(AH143,[1]Library!$AJ:$AJ,0),1),"")</f>
        <v>#N/A</v>
      </c>
    </row>
    <row r="144" spans="1:36" ht="25.05" customHeight="1" outlineLevel="2">
      <c r="A144" s="376" t="s">
        <v>44</v>
      </c>
      <c r="B144" s="107" t="s">
        <v>44</v>
      </c>
      <c r="C144" s="108" t="s">
        <v>44</v>
      </c>
      <c r="D144" s="109" t="s">
        <v>170</v>
      </c>
      <c r="E144" s="289"/>
      <c r="F144" s="299"/>
      <c r="G144" s="62"/>
      <c r="H144" s="111">
        <v>308</v>
      </c>
      <c r="I144" s="112" t="s">
        <v>140</v>
      </c>
      <c r="J144" s="113">
        <v>178.57142857142856</v>
      </c>
      <c r="K144" s="114">
        <v>54999.999999999993</v>
      </c>
      <c r="L144" s="113">
        <v>46.874999999999993</v>
      </c>
      <c r="M144" s="114">
        <v>14437.499999999998</v>
      </c>
      <c r="N144" s="115">
        <v>0</v>
      </c>
      <c r="O144" s="114">
        <v>0</v>
      </c>
      <c r="P144" s="116">
        <v>69437.499999999985</v>
      </c>
      <c r="Q144" s="117">
        <f t="shared" si="42"/>
        <v>1.9753374933921544E-4</v>
      </c>
      <c r="R144" s="114">
        <f t="shared" si="43"/>
        <v>5.7801435265305976</v>
      </c>
      <c r="S144" s="377">
        <f t="shared" si="44"/>
        <v>225.44642857142853</v>
      </c>
      <c r="T144" s="357"/>
      <c r="U144" s="104"/>
      <c r="V144" s="95"/>
      <c r="W144" s="105"/>
      <c r="X144" s="95"/>
      <c r="Y144" s="95"/>
      <c r="Z144" s="95"/>
      <c r="AA144" s="95"/>
      <c r="AB144" s="95"/>
      <c r="AC144" s="95"/>
      <c r="AD144" s="17">
        <f t="shared" si="39"/>
        <v>0</v>
      </c>
      <c r="AE144" s="17">
        <f t="shared" si="40"/>
        <v>0</v>
      </c>
      <c r="AF144" s="17">
        <f t="shared" si="40"/>
        <v>0</v>
      </c>
      <c r="AG144" s="17">
        <f t="shared" si="40"/>
        <v>0</v>
      </c>
      <c r="AH144" s="18" t="str">
        <f t="shared" si="41"/>
        <v>0,;!0,;!0,;!0</v>
      </c>
      <c r="AI144" s="18" t="e">
        <f>INDEX([1]Library!$AL:$AL,MATCH(AH144,[1]Library!$AJ:$AJ,0),1)</f>
        <v>#N/A</v>
      </c>
      <c r="AJ144" s="18" t="e">
        <f>TEXT(INDEX([1]Library!$W:$W,MATCH(AH144,[1]Library!$AJ:$AJ,0),1),"")</f>
        <v>#N/A</v>
      </c>
    </row>
    <row r="145" spans="1:36" ht="25.05" customHeight="1" outlineLevel="2">
      <c r="A145" s="376" t="s">
        <v>44</v>
      </c>
      <c r="B145" s="107" t="s">
        <v>44</v>
      </c>
      <c r="C145" s="108" t="s">
        <v>44</v>
      </c>
      <c r="D145" s="109" t="s">
        <v>171</v>
      </c>
      <c r="E145" s="289"/>
      <c r="F145" s="299"/>
      <c r="G145" s="62"/>
      <c r="H145" s="111">
        <v>26</v>
      </c>
      <c r="I145" s="112" t="s">
        <v>140</v>
      </c>
      <c r="J145" s="113">
        <v>3526.7857142857133</v>
      </c>
      <c r="K145" s="114">
        <v>91696.428571428551</v>
      </c>
      <c r="L145" s="113">
        <v>133.92857142857142</v>
      </c>
      <c r="M145" s="114">
        <v>3482.1428571428569</v>
      </c>
      <c r="N145" s="115">
        <v>0</v>
      </c>
      <c r="O145" s="114">
        <v>0</v>
      </c>
      <c r="P145" s="116">
        <v>95178.571428571406</v>
      </c>
      <c r="Q145" s="117">
        <f t="shared" si="42"/>
        <v>2.7076118914183317E-4</v>
      </c>
      <c r="R145" s="114">
        <f t="shared" si="43"/>
        <v>7.9228918596909041</v>
      </c>
      <c r="S145" s="377">
        <f t="shared" si="44"/>
        <v>309.02133580705004</v>
      </c>
      <c r="T145" s="357"/>
      <c r="U145" s="104"/>
      <c r="V145" s="95"/>
      <c r="W145" s="105"/>
      <c r="X145" s="95"/>
      <c r="Y145" s="95"/>
      <c r="Z145" s="95"/>
      <c r="AA145" s="95"/>
      <c r="AB145" s="95"/>
      <c r="AC145" s="95"/>
      <c r="AD145" s="17">
        <f t="shared" si="39"/>
        <v>0</v>
      </c>
      <c r="AE145" s="17">
        <f t="shared" si="40"/>
        <v>0</v>
      </c>
      <c r="AF145" s="17">
        <f t="shared" si="40"/>
        <v>0</v>
      </c>
      <c r="AG145" s="17">
        <f t="shared" si="40"/>
        <v>0</v>
      </c>
      <c r="AH145" s="18" t="str">
        <f t="shared" si="41"/>
        <v>0,;!0,;!0,;!0</v>
      </c>
      <c r="AI145" s="18" t="e">
        <f>INDEX([1]Library!$AL:$AL,MATCH(AH145,[1]Library!$AJ:$AJ,0),1)</f>
        <v>#N/A</v>
      </c>
      <c r="AJ145" s="18" t="e">
        <f>TEXT(INDEX([1]Library!$W:$W,MATCH(AH145,[1]Library!$AJ:$AJ,0),1),"")</f>
        <v>#N/A</v>
      </c>
    </row>
    <row r="146" spans="1:36" ht="25.05" customHeight="1" outlineLevel="2">
      <c r="A146" s="376" t="s">
        <v>44</v>
      </c>
      <c r="B146" s="107" t="s">
        <v>44</v>
      </c>
      <c r="C146" s="108" t="s">
        <v>44</v>
      </c>
      <c r="D146" s="109" t="s">
        <v>172</v>
      </c>
      <c r="E146" s="289"/>
      <c r="F146" s="299"/>
      <c r="G146" s="62"/>
      <c r="H146" s="111">
        <v>26</v>
      </c>
      <c r="I146" s="112" t="s">
        <v>140</v>
      </c>
      <c r="J146" s="113">
        <v>2071.4285714285711</v>
      </c>
      <c r="K146" s="114">
        <v>53857.142857142848</v>
      </c>
      <c r="L146" s="113">
        <v>133.92857142857142</v>
      </c>
      <c r="M146" s="114">
        <v>3482.1428571428569</v>
      </c>
      <c r="N146" s="115">
        <v>0</v>
      </c>
      <c r="O146" s="114">
        <v>0</v>
      </c>
      <c r="P146" s="116">
        <v>57339.285714285703</v>
      </c>
      <c r="Q146" s="117">
        <f t="shared" si="42"/>
        <v>1.6311710662934829E-4</v>
      </c>
      <c r="R146" s="114">
        <f t="shared" si="43"/>
        <v>4.7730592423015938</v>
      </c>
      <c r="S146" s="377">
        <f t="shared" si="44"/>
        <v>186.16651205936915</v>
      </c>
      <c r="T146" s="357"/>
      <c r="U146" s="104"/>
      <c r="V146" s="95"/>
      <c r="W146" s="105"/>
      <c r="X146" s="95"/>
      <c r="Y146" s="95"/>
      <c r="Z146" s="95"/>
      <c r="AA146" s="95"/>
      <c r="AB146" s="95"/>
      <c r="AC146" s="95"/>
      <c r="AD146" s="17">
        <f t="shared" si="39"/>
        <v>0</v>
      </c>
      <c r="AE146" s="17">
        <f t="shared" si="40"/>
        <v>0</v>
      </c>
      <c r="AF146" s="17">
        <f t="shared" si="40"/>
        <v>0</v>
      </c>
      <c r="AG146" s="17">
        <f t="shared" si="40"/>
        <v>0</v>
      </c>
      <c r="AH146" s="18" t="str">
        <f t="shared" si="41"/>
        <v>0,;!0,;!0,;!0</v>
      </c>
      <c r="AI146" s="18" t="e">
        <f>INDEX([1]Library!$AL:$AL,MATCH(AH146,[1]Library!$AJ:$AJ,0),1)</f>
        <v>#N/A</v>
      </c>
      <c r="AJ146" s="18" t="e">
        <f>TEXT(INDEX([1]Library!$W:$W,MATCH(AH146,[1]Library!$AJ:$AJ,0),1),"")</f>
        <v>#N/A</v>
      </c>
    </row>
    <row r="147" spans="1:36" ht="25.05" customHeight="1" outlineLevel="2">
      <c r="A147" s="376" t="s">
        <v>44</v>
      </c>
      <c r="B147" s="107" t="s">
        <v>44</v>
      </c>
      <c r="C147" s="108" t="s">
        <v>44</v>
      </c>
      <c r="D147" s="109" t="s">
        <v>173</v>
      </c>
      <c r="E147" s="289"/>
      <c r="F147" s="299"/>
      <c r="G147" s="62"/>
      <c r="H147" s="111">
        <v>29</v>
      </c>
      <c r="I147" s="112" t="s">
        <v>140</v>
      </c>
      <c r="J147" s="113">
        <v>1236.8749999999998</v>
      </c>
      <c r="K147" s="114">
        <v>35869.374999999993</v>
      </c>
      <c r="L147" s="113">
        <v>133.92857142857142</v>
      </c>
      <c r="M147" s="114">
        <v>3883.9285714285711</v>
      </c>
      <c r="N147" s="115">
        <v>0</v>
      </c>
      <c r="O147" s="114">
        <v>0</v>
      </c>
      <c r="P147" s="116">
        <v>39753.303571428565</v>
      </c>
      <c r="Q147" s="117">
        <f t="shared" si="42"/>
        <v>1.1308902398681274E-4</v>
      </c>
      <c r="R147" s="114">
        <f t="shared" si="43"/>
        <v>3.3091600402750463</v>
      </c>
      <c r="S147" s="377">
        <f t="shared" si="44"/>
        <v>129.06916743970314</v>
      </c>
      <c r="T147" s="357"/>
      <c r="U147" s="104"/>
      <c r="V147" s="95"/>
      <c r="W147" s="105"/>
      <c r="X147" s="95"/>
      <c r="Y147" s="95"/>
      <c r="Z147" s="95"/>
      <c r="AA147" s="95"/>
      <c r="AB147" s="95"/>
      <c r="AC147" s="95"/>
      <c r="AD147" s="17">
        <f t="shared" si="39"/>
        <v>0</v>
      </c>
      <c r="AE147" s="17">
        <f t="shared" si="40"/>
        <v>0</v>
      </c>
      <c r="AF147" s="17">
        <f t="shared" si="40"/>
        <v>0</v>
      </c>
      <c r="AG147" s="17">
        <f t="shared" si="40"/>
        <v>0</v>
      </c>
      <c r="AH147" s="18" t="str">
        <f t="shared" si="41"/>
        <v>0,;!0,;!0,;!0</v>
      </c>
      <c r="AI147" s="18" t="e">
        <f>INDEX([1]Library!$AL:$AL,MATCH(AH147,[1]Library!$AJ:$AJ,0),1)</f>
        <v>#N/A</v>
      </c>
      <c r="AJ147" s="18" t="e">
        <f>TEXT(INDEX([1]Library!$W:$W,MATCH(AH147,[1]Library!$AJ:$AJ,0),1),"")</f>
        <v>#N/A</v>
      </c>
    </row>
    <row r="148" spans="1:36" ht="25.05" customHeight="1" outlineLevel="2">
      <c r="A148" s="376" t="s">
        <v>44</v>
      </c>
      <c r="B148" s="107" t="s">
        <v>44</v>
      </c>
      <c r="C148" s="108" t="s">
        <v>44</v>
      </c>
      <c r="D148" s="109" t="s">
        <v>174</v>
      </c>
      <c r="E148" s="289"/>
      <c r="F148" s="299"/>
      <c r="G148" s="62"/>
      <c r="H148" s="111">
        <v>4</v>
      </c>
      <c r="I148" s="112" t="s">
        <v>140</v>
      </c>
      <c r="J148" s="113">
        <v>464.28571428571422</v>
      </c>
      <c r="K148" s="114">
        <v>1857.1428571428569</v>
      </c>
      <c r="L148" s="113">
        <v>133.92857142857142</v>
      </c>
      <c r="M148" s="114">
        <v>535.71428571428567</v>
      </c>
      <c r="N148" s="115">
        <v>0</v>
      </c>
      <c r="O148" s="114">
        <v>0</v>
      </c>
      <c r="P148" s="116">
        <v>2392.8571428571427</v>
      </c>
      <c r="Q148" s="117">
        <f t="shared" si="42"/>
        <v>6.8071293330216985E-6</v>
      </c>
      <c r="R148" s="114">
        <f t="shared" si="43"/>
        <v>0.19918714994344866</v>
      </c>
      <c r="S148" s="377">
        <f t="shared" si="44"/>
        <v>7.7690166975881256</v>
      </c>
      <c r="T148" s="357"/>
      <c r="U148" s="104"/>
      <c r="V148" s="95"/>
      <c r="W148" s="105"/>
      <c r="X148" s="95"/>
      <c r="Y148" s="95"/>
      <c r="Z148" s="95"/>
      <c r="AA148" s="95"/>
      <c r="AB148" s="95"/>
      <c r="AC148" s="95"/>
      <c r="AD148" s="17">
        <f t="shared" si="39"/>
        <v>0</v>
      </c>
      <c r="AE148" s="17">
        <f t="shared" si="40"/>
        <v>0</v>
      </c>
      <c r="AF148" s="17">
        <f t="shared" si="40"/>
        <v>0</v>
      </c>
      <c r="AG148" s="17">
        <f t="shared" si="40"/>
        <v>0</v>
      </c>
      <c r="AH148" s="18" t="str">
        <f t="shared" si="41"/>
        <v>0,;!0,;!0,;!0</v>
      </c>
      <c r="AI148" s="18" t="e">
        <f>INDEX([1]Library!$AL:$AL,MATCH(AH148,[1]Library!$AJ:$AJ,0),1)</f>
        <v>#N/A</v>
      </c>
      <c r="AJ148" s="18" t="e">
        <f>TEXT(INDEX([1]Library!$W:$W,MATCH(AH148,[1]Library!$AJ:$AJ,0),1),"")</f>
        <v>#N/A</v>
      </c>
    </row>
    <row r="149" spans="1:36" ht="25.05" customHeight="1" outlineLevel="2">
      <c r="A149" s="376" t="s">
        <v>44</v>
      </c>
      <c r="B149" s="107" t="s">
        <v>44</v>
      </c>
      <c r="C149" s="108" t="s">
        <v>44</v>
      </c>
      <c r="D149" s="109" t="s">
        <v>175</v>
      </c>
      <c r="E149" s="289"/>
      <c r="F149" s="299"/>
      <c r="G149" s="62"/>
      <c r="H149" s="111">
        <v>0</v>
      </c>
      <c r="I149" s="112" t="s">
        <v>140</v>
      </c>
      <c r="J149" s="113">
        <v>0</v>
      </c>
      <c r="K149" s="114">
        <v>0</v>
      </c>
      <c r="L149" s="113">
        <v>0</v>
      </c>
      <c r="M149" s="114">
        <v>0</v>
      </c>
      <c r="N149" s="115">
        <v>0</v>
      </c>
      <c r="O149" s="114">
        <v>0</v>
      </c>
      <c r="P149" s="116">
        <v>0</v>
      </c>
      <c r="Q149" s="117">
        <f t="shared" si="42"/>
        <v>0</v>
      </c>
      <c r="R149" s="114">
        <f t="shared" si="43"/>
        <v>0</v>
      </c>
      <c r="S149" s="377">
        <f t="shared" si="44"/>
        <v>0</v>
      </c>
      <c r="T149" s="357"/>
      <c r="U149" s="104"/>
      <c r="V149" s="95"/>
      <c r="W149" s="105"/>
      <c r="X149" s="95"/>
      <c r="Y149" s="95"/>
      <c r="Z149" s="95"/>
      <c r="AA149" s="95"/>
      <c r="AB149" s="95"/>
      <c r="AC149" s="95"/>
      <c r="AD149" s="17">
        <f t="shared" si="39"/>
        <v>0</v>
      </c>
      <c r="AE149" s="17">
        <f t="shared" si="40"/>
        <v>0</v>
      </c>
      <c r="AF149" s="17">
        <f t="shared" si="40"/>
        <v>0</v>
      </c>
      <c r="AG149" s="17">
        <f t="shared" si="40"/>
        <v>0</v>
      </c>
      <c r="AH149" s="18" t="str">
        <f t="shared" si="41"/>
        <v>0,;!0,;!0,;!0</v>
      </c>
      <c r="AI149" s="18" t="e">
        <f>INDEX([1]Library!$AL:$AL,MATCH(AH149,[1]Library!$AJ:$AJ,0),1)</f>
        <v>#N/A</v>
      </c>
      <c r="AJ149" s="18" t="e">
        <f>TEXT(INDEX([1]Library!$W:$W,MATCH(AH149,[1]Library!$AJ:$AJ,0),1),"")</f>
        <v>#N/A</v>
      </c>
    </row>
    <row r="150" spans="1:36" ht="25.05" customHeight="1" outlineLevel="2">
      <c r="A150" s="376" t="s">
        <v>44</v>
      </c>
      <c r="B150" s="107" t="s">
        <v>44</v>
      </c>
      <c r="C150" s="108" t="s">
        <v>44</v>
      </c>
      <c r="D150" s="109" t="s">
        <v>176</v>
      </c>
      <c r="E150" s="289"/>
      <c r="F150" s="299"/>
      <c r="G150" s="62"/>
      <c r="H150" s="111">
        <v>616</v>
      </c>
      <c r="I150" s="112" t="s">
        <v>140</v>
      </c>
      <c r="J150" s="113">
        <v>1598.2142857142856</v>
      </c>
      <c r="K150" s="114">
        <v>984499.99999999988</v>
      </c>
      <c r="L150" s="113">
        <v>133.92857142857142</v>
      </c>
      <c r="M150" s="114">
        <v>82500</v>
      </c>
      <c r="N150" s="115">
        <v>0</v>
      </c>
      <c r="O150" s="114">
        <v>0</v>
      </c>
      <c r="P150" s="116">
        <v>1067000</v>
      </c>
      <c r="Q150" s="117">
        <f t="shared" si="42"/>
        <v>3.0353700888560639E-3</v>
      </c>
      <c r="R150" s="114">
        <f t="shared" si="43"/>
        <v>88.819631219559298</v>
      </c>
      <c r="S150" s="377">
        <f t="shared" si="44"/>
        <v>3464.2857142857142</v>
      </c>
      <c r="T150" s="357"/>
      <c r="U150" s="104"/>
      <c r="V150" s="95"/>
      <c r="W150" s="105"/>
      <c r="X150" s="95"/>
      <c r="Y150" s="95"/>
      <c r="Z150" s="95"/>
      <c r="AA150" s="95"/>
      <c r="AB150" s="95"/>
      <c r="AC150" s="95"/>
      <c r="AD150" s="17">
        <f t="shared" si="39"/>
        <v>0</v>
      </c>
      <c r="AE150" s="17">
        <f t="shared" si="40"/>
        <v>0</v>
      </c>
      <c r="AF150" s="17">
        <f t="shared" si="40"/>
        <v>0</v>
      </c>
      <c r="AG150" s="17">
        <f t="shared" si="40"/>
        <v>0</v>
      </c>
      <c r="AH150" s="18" t="str">
        <f t="shared" si="41"/>
        <v>0,;!0,;!0,;!0</v>
      </c>
      <c r="AI150" s="18" t="e">
        <f>INDEX([1]Library!$AL:$AL,MATCH(AH150,[1]Library!$AJ:$AJ,0),1)</f>
        <v>#N/A</v>
      </c>
      <c r="AJ150" s="18" t="e">
        <f>TEXT(INDEX([1]Library!$W:$W,MATCH(AH150,[1]Library!$AJ:$AJ,0),1),"")</f>
        <v>#N/A</v>
      </c>
    </row>
    <row r="151" spans="1:36" ht="25.05" customHeight="1" outlineLevel="2">
      <c r="A151" s="376" t="s">
        <v>44</v>
      </c>
      <c r="B151" s="107" t="s">
        <v>44</v>
      </c>
      <c r="C151" s="108" t="s">
        <v>44</v>
      </c>
      <c r="D151" s="109" t="s">
        <v>177</v>
      </c>
      <c r="E151" s="289"/>
      <c r="F151" s="299"/>
      <c r="G151" s="62"/>
      <c r="H151" s="111">
        <v>616</v>
      </c>
      <c r="I151" s="112" t="s">
        <v>140</v>
      </c>
      <c r="J151" s="113">
        <v>2651.7857142857142</v>
      </c>
      <c r="K151" s="114">
        <v>1633500</v>
      </c>
      <c r="L151" s="113">
        <v>178.57142857142858</v>
      </c>
      <c r="M151" s="114">
        <v>110000</v>
      </c>
      <c r="N151" s="115">
        <v>0</v>
      </c>
      <c r="O151" s="114">
        <v>0</v>
      </c>
      <c r="P151" s="116">
        <v>1743500</v>
      </c>
      <c r="Q151" s="117">
        <f t="shared" si="42"/>
        <v>4.959857310141094E-3</v>
      </c>
      <c r="R151" s="114">
        <f t="shared" si="43"/>
        <v>145.13310874536236</v>
      </c>
      <c r="S151" s="377">
        <f t="shared" si="44"/>
        <v>5660.7142857142853</v>
      </c>
      <c r="T151" s="357"/>
      <c r="U151" s="104"/>
      <c r="V151" s="95"/>
      <c r="W151" s="105"/>
      <c r="X151" s="95"/>
      <c r="Y151" s="95"/>
      <c r="Z151" s="95"/>
      <c r="AA151" s="95"/>
      <c r="AB151" s="95"/>
      <c r="AC151" s="95"/>
      <c r="AD151" s="17">
        <f t="shared" si="39"/>
        <v>0</v>
      </c>
      <c r="AE151" s="17">
        <f t="shared" si="40"/>
        <v>0</v>
      </c>
      <c r="AF151" s="17">
        <f t="shared" si="40"/>
        <v>0</v>
      </c>
      <c r="AG151" s="17">
        <f t="shared" si="40"/>
        <v>0</v>
      </c>
      <c r="AH151" s="18" t="str">
        <f t="shared" si="41"/>
        <v>0,;!0,;!0,;!0</v>
      </c>
      <c r="AI151" s="18" t="e">
        <f>INDEX([1]Library!$AL:$AL,MATCH(AH151,[1]Library!$AJ:$AJ,0),1)</f>
        <v>#N/A</v>
      </c>
      <c r="AJ151" s="18" t="e">
        <f>TEXT(INDEX([1]Library!$W:$W,MATCH(AH151,[1]Library!$AJ:$AJ,0),1),"")</f>
        <v>#N/A</v>
      </c>
    </row>
    <row r="152" spans="1:36" ht="25.05" customHeight="1" outlineLevel="2">
      <c r="A152" s="376" t="s">
        <v>44</v>
      </c>
      <c r="B152" s="107" t="s">
        <v>44</v>
      </c>
      <c r="C152" s="108" t="s">
        <v>44</v>
      </c>
      <c r="D152" s="109" t="s">
        <v>178</v>
      </c>
      <c r="E152" s="289"/>
      <c r="F152" s="299"/>
      <c r="G152" s="62"/>
      <c r="H152" s="111">
        <v>308</v>
      </c>
      <c r="I152" s="112" t="s">
        <v>140</v>
      </c>
      <c r="J152" s="113">
        <v>1160.7142857142856</v>
      </c>
      <c r="K152" s="114">
        <v>357499.99999999994</v>
      </c>
      <c r="L152" s="113">
        <v>133.92857142857142</v>
      </c>
      <c r="M152" s="114">
        <v>41250</v>
      </c>
      <c r="N152" s="115">
        <v>0</v>
      </c>
      <c r="O152" s="114">
        <v>0</v>
      </c>
      <c r="P152" s="116">
        <v>398749.99999999994</v>
      </c>
      <c r="Q152" s="117">
        <f t="shared" si="42"/>
        <v>1.134352223928168E-3</v>
      </c>
      <c r="R152" s="114">
        <f t="shared" si="43"/>
        <v>33.192903419680661</v>
      </c>
      <c r="S152" s="377">
        <f t="shared" si="44"/>
        <v>1294.6428571428569</v>
      </c>
      <c r="T152" s="357"/>
      <c r="U152" s="104"/>
      <c r="V152" s="95"/>
      <c r="W152" s="105"/>
      <c r="X152" s="95"/>
      <c r="Y152" s="95"/>
      <c r="Z152" s="95"/>
      <c r="AA152" s="95"/>
      <c r="AB152" s="95"/>
      <c r="AC152" s="95"/>
      <c r="AD152" s="17">
        <f t="shared" si="39"/>
        <v>0</v>
      </c>
      <c r="AE152" s="17">
        <f t="shared" si="40"/>
        <v>0</v>
      </c>
      <c r="AF152" s="17">
        <f t="shared" si="40"/>
        <v>0</v>
      </c>
      <c r="AG152" s="17">
        <f t="shared" si="40"/>
        <v>0</v>
      </c>
      <c r="AH152" s="18" t="str">
        <f t="shared" si="41"/>
        <v>0,;!0,;!0,;!0</v>
      </c>
      <c r="AI152" s="18" t="e">
        <f>INDEX([1]Library!$AL:$AL,MATCH(AH152,[1]Library!$AJ:$AJ,0),1)</f>
        <v>#N/A</v>
      </c>
      <c r="AJ152" s="18" t="e">
        <f>TEXT(INDEX([1]Library!$W:$W,MATCH(AH152,[1]Library!$AJ:$AJ,0),1),"")</f>
        <v>#N/A</v>
      </c>
    </row>
    <row r="153" spans="1:36" ht="25.05" customHeight="1" outlineLevel="2">
      <c r="A153" s="376" t="s">
        <v>44</v>
      </c>
      <c r="B153" s="107" t="s">
        <v>44</v>
      </c>
      <c r="C153" s="108" t="s">
        <v>44</v>
      </c>
      <c r="D153" s="109" t="s">
        <v>179</v>
      </c>
      <c r="E153" s="289"/>
      <c r="F153" s="299"/>
      <c r="G153" s="62"/>
      <c r="H153" s="111">
        <v>99</v>
      </c>
      <c r="I153" s="112" t="s">
        <v>140</v>
      </c>
      <c r="J153" s="113">
        <v>267.85714285714283</v>
      </c>
      <c r="K153" s="114">
        <v>26517.857142857141</v>
      </c>
      <c r="L153" s="113">
        <v>133.92857142857142</v>
      </c>
      <c r="M153" s="114">
        <v>13258.928571428571</v>
      </c>
      <c r="N153" s="115">
        <v>0</v>
      </c>
      <c r="O153" s="114">
        <v>0</v>
      </c>
      <c r="P153" s="116">
        <v>39776.78571428571</v>
      </c>
      <c r="Q153" s="117">
        <f t="shared" si="42"/>
        <v>1.1315582529332711E-4</v>
      </c>
      <c r="R153" s="114">
        <f t="shared" si="43"/>
        <v>3.3111147499927753</v>
      </c>
      <c r="S153" s="377">
        <f t="shared" si="44"/>
        <v>129.1454081632653</v>
      </c>
      <c r="T153" s="357"/>
      <c r="U153" s="104"/>
      <c r="V153" s="95"/>
      <c r="W153" s="105"/>
      <c r="X153" s="95"/>
      <c r="Y153" s="95"/>
      <c r="Z153" s="95"/>
      <c r="AA153" s="95"/>
      <c r="AB153" s="95"/>
      <c r="AC153" s="95"/>
      <c r="AD153" s="17">
        <f t="shared" si="39"/>
        <v>0</v>
      </c>
      <c r="AE153" s="17">
        <f t="shared" si="40"/>
        <v>0</v>
      </c>
      <c r="AF153" s="17">
        <f t="shared" si="40"/>
        <v>0</v>
      </c>
      <c r="AG153" s="17">
        <f t="shared" si="40"/>
        <v>0</v>
      </c>
      <c r="AH153" s="18" t="str">
        <f t="shared" si="41"/>
        <v>0,;!0,;!0,;!0</v>
      </c>
      <c r="AI153" s="18" t="e">
        <f>INDEX([1]Library!$AL:$AL,MATCH(AH153,[1]Library!$AJ:$AJ,0),1)</f>
        <v>#N/A</v>
      </c>
      <c r="AJ153" s="18" t="e">
        <f>TEXT(INDEX([1]Library!$W:$W,MATCH(AH153,[1]Library!$AJ:$AJ,0),1),"")</f>
        <v>#N/A</v>
      </c>
    </row>
    <row r="154" spans="1:36" ht="25.05" customHeight="1" outlineLevel="2">
      <c r="A154" s="376" t="s">
        <v>44</v>
      </c>
      <c r="B154" s="107" t="s">
        <v>44</v>
      </c>
      <c r="C154" s="108" t="s">
        <v>44</v>
      </c>
      <c r="D154" s="109" t="s">
        <v>180</v>
      </c>
      <c r="E154" s="289"/>
      <c r="F154" s="299"/>
      <c r="G154" s="62"/>
      <c r="H154" s="111">
        <v>110</v>
      </c>
      <c r="I154" s="112" t="s">
        <v>140</v>
      </c>
      <c r="J154" s="113">
        <v>196.42857142857142</v>
      </c>
      <c r="K154" s="114">
        <v>21607.142857142855</v>
      </c>
      <c r="L154" s="113">
        <v>133.92857142857142</v>
      </c>
      <c r="M154" s="114">
        <v>14732.142857142855</v>
      </c>
      <c r="N154" s="115">
        <v>0</v>
      </c>
      <c r="O154" s="114">
        <v>0</v>
      </c>
      <c r="P154" s="116">
        <v>36339.28571428571</v>
      </c>
      <c r="Q154" s="117">
        <f t="shared" si="42"/>
        <v>1.0337692681118773E-4</v>
      </c>
      <c r="R154" s="114">
        <f t="shared" si="43"/>
        <v>3.0249690308575969</v>
      </c>
      <c r="S154" s="377">
        <f t="shared" si="44"/>
        <v>117.98469387755101</v>
      </c>
      <c r="T154" s="357"/>
      <c r="U154" s="104"/>
      <c r="V154" s="95"/>
      <c r="W154" s="105"/>
      <c r="X154" s="95"/>
      <c r="Y154" s="95"/>
      <c r="Z154" s="95"/>
      <c r="AA154" s="95"/>
      <c r="AB154" s="95"/>
      <c r="AC154" s="95"/>
      <c r="AD154" s="17">
        <f t="shared" si="39"/>
        <v>0</v>
      </c>
      <c r="AE154" s="17">
        <f t="shared" si="40"/>
        <v>0</v>
      </c>
      <c r="AF154" s="17">
        <f t="shared" si="40"/>
        <v>0</v>
      </c>
      <c r="AG154" s="17">
        <f t="shared" si="40"/>
        <v>0</v>
      </c>
      <c r="AH154" s="18" t="str">
        <f t="shared" si="41"/>
        <v>0,;!0,;!0,;!0</v>
      </c>
      <c r="AI154" s="18" t="e">
        <f>INDEX([1]Library!$AL:$AL,MATCH(AH154,[1]Library!$AJ:$AJ,0),1)</f>
        <v>#N/A</v>
      </c>
      <c r="AJ154" s="18" t="e">
        <f>TEXT(INDEX([1]Library!$W:$W,MATCH(AH154,[1]Library!$AJ:$AJ,0),1),"")</f>
        <v>#N/A</v>
      </c>
    </row>
    <row r="155" spans="1:36" ht="25.05" customHeight="1" outlineLevel="2">
      <c r="A155" s="376" t="s">
        <v>44</v>
      </c>
      <c r="B155" s="107" t="s">
        <v>44</v>
      </c>
      <c r="C155" s="108" t="s">
        <v>44</v>
      </c>
      <c r="D155" s="109" t="s">
        <v>181</v>
      </c>
      <c r="E155" s="289"/>
      <c r="F155" s="299"/>
      <c r="G155" s="62"/>
      <c r="H155" s="111">
        <v>209</v>
      </c>
      <c r="I155" s="112" t="s">
        <v>140</v>
      </c>
      <c r="J155" s="113">
        <v>580.35714285714278</v>
      </c>
      <c r="K155" s="114">
        <v>121294.64285714284</v>
      </c>
      <c r="L155" s="113">
        <v>133.92857142857142</v>
      </c>
      <c r="M155" s="114">
        <v>27991.071428571428</v>
      </c>
      <c r="N155" s="115">
        <v>0</v>
      </c>
      <c r="O155" s="114">
        <v>0</v>
      </c>
      <c r="P155" s="116">
        <v>149285.71428571426</v>
      </c>
      <c r="Q155" s="117">
        <f t="shared" si="42"/>
        <v>4.2468359122433877E-4</v>
      </c>
      <c r="R155" s="114">
        <f t="shared" si="43"/>
        <v>12.426899802442019</v>
      </c>
      <c r="S155" s="377">
        <f t="shared" si="44"/>
        <v>484.69387755102031</v>
      </c>
      <c r="T155" s="357"/>
      <c r="U155" s="104"/>
      <c r="V155" s="95"/>
      <c r="W155" s="105"/>
      <c r="X155" s="95"/>
      <c r="Y155" s="95"/>
      <c r="Z155" s="95"/>
      <c r="AA155" s="95"/>
      <c r="AB155" s="95"/>
      <c r="AC155" s="95"/>
      <c r="AD155" s="17">
        <f t="shared" si="39"/>
        <v>0</v>
      </c>
      <c r="AE155" s="17">
        <f t="shared" si="40"/>
        <v>0</v>
      </c>
      <c r="AF155" s="17">
        <f t="shared" si="40"/>
        <v>0</v>
      </c>
      <c r="AG155" s="17">
        <f t="shared" si="40"/>
        <v>0</v>
      </c>
      <c r="AH155" s="18" t="str">
        <f t="shared" si="41"/>
        <v>0,;!0,;!0,;!0</v>
      </c>
      <c r="AI155" s="18" t="e">
        <f>INDEX([1]Library!$AL:$AL,MATCH(AH155,[1]Library!$AJ:$AJ,0),1)</f>
        <v>#N/A</v>
      </c>
      <c r="AJ155" s="18" t="e">
        <f>TEXT(INDEX([1]Library!$W:$W,MATCH(AH155,[1]Library!$AJ:$AJ,0),1),"")</f>
        <v>#N/A</v>
      </c>
    </row>
    <row r="156" spans="1:36" ht="25.05" customHeight="1" outlineLevel="1">
      <c r="A156" s="374" t="s">
        <v>44</v>
      </c>
      <c r="B156" s="96" t="s">
        <v>44</v>
      </c>
      <c r="C156" s="97" t="s">
        <v>182</v>
      </c>
      <c r="D156" s="97"/>
      <c r="E156" s="98"/>
      <c r="F156" s="298"/>
      <c r="G156" s="62"/>
      <c r="H156" s="99">
        <v>1</v>
      </c>
      <c r="I156" s="100" t="s">
        <v>35</v>
      </c>
      <c r="J156" s="99">
        <v>0</v>
      </c>
      <c r="K156" s="99">
        <v>0</v>
      </c>
      <c r="L156" s="99">
        <v>0</v>
      </c>
      <c r="M156" s="99">
        <v>0</v>
      </c>
      <c r="N156" s="99">
        <v>6047449.7928571431</v>
      </c>
      <c r="O156" s="99">
        <v>6047449.7928571431</v>
      </c>
      <c r="P156" s="101">
        <v>6047449.7928571431</v>
      </c>
      <c r="Q156" s="102">
        <f>P156/P$13</f>
        <v>1.7203606574599222E-2</v>
      </c>
      <c r="R156" s="103">
        <f>P156/I$5</f>
        <v>503.4041803377429</v>
      </c>
      <c r="S156" s="375">
        <f>P156/I$7</f>
        <v>19634.577249536178</v>
      </c>
      <c r="T156" s="356"/>
      <c r="U156" s="104"/>
      <c r="V156" s="95"/>
      <c r="W156" s="105"/>
      <c r="X156" s="95"/>
      <c r="Y156" s="95"/>
      <c r="Z156" s="95"/>
      <c r="AA156" s="95"/>
      <c r="AB156" s="95"/>
      <c r="AC156" s="95"/>
      <c r="AD156" s="17">
        <f t="shared" si="39"/>
        <v>0</v>
      </c>
      <c r="AE156" s="17">
        <f t="shared" si="40"/>
        <v>0</v>
      </c>
      <c r="AF156" s="17">
        <f t="shared" si="40"/>
        <v>0</v>
      </c>
      <c r="AG156" s="17">
        <f t="shared" si="40"/>
        <v>0</v>
      </c>
      <c r="AH156" s="18" t="str">
        <f t="shared" si="41"/>
        <v>0,;!0,;!0,;!0</v>
      </c>
      <c r="AI156" s="18" t="e">
        <f>INDEX([1]Library!$AL:$AL,MATCH(AH156,[1]Library!$AJ:$AJ,0),1)</f>
        <v>#N/A</v>
      </c>
      <c r="AJ156" s="18" t="e">
        <f>TEXT(INDEX([1]Library!$W:$W,MATCH(AH156,[1]Library!$AJ:$AJ,0),1),"")</f>
        <v>#N/A</v>
      </c>
    </row>
    <row r="157" spans="1:36" ht="34.200000000000003" customHeight="1" outlineLevel="2">
      <c r="A157" s="376" t="s">
        <v>44</v>
      </c>
      <c r="B157" s="107" t="s">
        <v>44</v>
      </c>
      <c r="C157" s="108" t="s">
        <v>44</v>
      </c>
      <c r="D157" s="399" t="s">
        <v>183</v>
      </c>
      <c r="E157" s="399"/>
      <c r="F157" s="400"/>
      <c r="G157" s="62"/>
      <c r="H157" s="111">
        <v>195.04</v>
      </c>
      <c r="I157" s="112" t="s">
        <v>122</v>
      </c>
      <c r="J157" s="113">
        <v>0</v>
      </c>
      <c r="K157" s="114">
        <v>0</v>
      </c>
      <c r="L157" s="113">
        <v>0</v>
      </c>
      <c r="M157" s="114">
        <v>0</v>
      </c>
      <c r="N157" s="115">
        <v>3223.8392857142853</v>
      </c>
      <c r="O157" s="114">
        <v>628777.61428571423</v>
      </c>
      <c r="P157" s="116">
        <v>628777.61428571423</v>
      </c>
      <c r="Q157" s="117">
        <f t="shared" ref="Q157:Q164" si="45">P157/P$13</f>
        <v>1.7887279877648848E-3</v>
      </c>
      <c r="R157" s="114">
        <f t="shared" ref="R157:R164" si="46">P157/I$5</f>
        <v>52.340952033712682</v>
      </c>
      <c r="S157" s="377">
        <f t="shared" ref="S157:S164" si="47">P157/I$7</f>
        <v>2041.4857606679034</v>
      </c>
      <c r="T157" s="357"/>
      <c r="U157" s="104"/>
      <c r="V157" s="95"/>
      <c r="W157" s="105"/>
      <c r="X157" s="95"/>
      <c r="Y157" s="95"/>
      <c r="Z157" s="95"/>
      <c r="AA157" s="95"/>
      <c r="AB157" s="95"/>
      <c r="AC157" s="95"/>
      <c r="AD157" s="17">
        <f t="shared" si="39"/>
        <v>0</v>
      </c>
      <c r="AE157" s="17">
        <f t="shared" si="40"/>
        <v>0</v>
      </c>
      <c r="AF157" s="17">
        <f t="shared" si="40"/>
        <v>0</v>
      </c>
      <c r="AG157" s="17">
        <f t="shared" si="40"/>
        <v>0</v>
      </c>
      <c r="AH157" s="18" t="str">
        <f t="shared" si="41"/>
        <v>0,;!0,;!0,;!0</v>
      </c>
      <c r="AI157" s="18" t="e">
        <f>INDEX([1]Library!$AL:$AL,MATCH(AH157,[1]Library!$AJ:$AJ,0),1)</f>
        <v>#N/A</v>
      </c>
      <c r="AJ157" s="18" t="e">
        <f>TEXT(INDEX([1]Library!$W:$W,MATCH(AH157,[1]Library!$AJ:$AJ,0),1),"")</f>
        <v>#N/A</v>
      </c>
    </row>
    <row r="158" spans="1:36" ht="34.200000000000003" customHeight="1" outlineLevel="2">
      <c r="A158" s="376" t="s">
        <v>44</v>
      </c>
      <c r="B158" s="107" t="s">
        <v>44</v>
      </c>
      <c r="C158" s="108" t="s">
        <v>44</v>
      </c>
      <c r="D158" s="399" t="s">
        <v>184</v>
      </c>
      <c r="E158" s="399"/>
      <c r="F158" s="400"/>
      <c r="G158" s="62"/>
      <c r="H158" s="111">
        <v>195.04</v>
      </c>
      <c r="I158" s="112" t="s">
        <v>122</v>
      </c>
      <c r="J158" s="113">
        <v>0</v>
      </c>
      <c r="K158" s="114">
        <v>0</v>
      </c>
      <c r="L158" s="113">
        <v>0</v>
      </c>
      <c r="M158" s="114">
        <v>0</v>
      </c>
      <c r="N158" s="115">
        <v>3223.8392857142853</v>
      </c>
      <c r="O158" s="114">
        <v>628777.61428571423</v>
      </c>
      <c r="P158" s="116">
        <v>628777.61428571423</v>
      </c>
      <c r="Q158" s="117">
        <f t="shared" si="45"/>
        <v>1.7887279877648848E-3</v>
      </c>
      <c r="R158" s="114">
        <f t="shared" si="46"/>
        <v>52.340952033712682</v>
      </c>
      <c r="S158" s="377">
        <f t="shared" si="47"/>
        <v>2041.4857606679034</v>
      </c>
      <c r="T158" s="357"/>
      <c r="U158" s="104"/>
      <c r="V158" s="95"/>
      <c r="W158" s="105"/>
      <c r="X158" s="95"/>
      <c r="Y158" s="95"/>
      <c r="Z158" s="95"/>
      <c r="AA158" s="95"/>
      <c r="AB158" s="95"/>
      <c r="AC158" s="95"/>
      <c r="AD158" s="17">
        <f t="shared" si="39"/>
        <v>0</v>
      </c>
      <c r="AE158" s="17">
        <f t="shared" ref="AE158:AG173" si="48">IF(AA158=" ",IF($X158&gt;=AE$12,AE157,""),AA158)</f>
        <v>0</v>
      </c>
      <c r="AF158" s="17">
        <f t="shared" si="48"/>
        <v>0</v>
      </c>
      <c r="AG158" s="17">
        <f t="shared" si="48"/>
        <v>0</v>
      </c>
      <c r="AH158" s="18" t="str">
        <f t="shared" si="41"/>
        <v>0,;!0,;!0,;!0</v>
      </c>
      <c r="AI158" s="18" t="e">
        <f>INDEX([1]Library!$AL:$AL,MATCH(AH158,[1]Library!$AJ:$AJ,0),1)</f>
        <v>#N/A</v>
      </c>
      <c r="AJ158" s="18" t="e">
        <f>TEXT(INDEX([1]Library!$W:$W,MATCH(AH158,[1]Library!$AJ:$AJ,0),1),"")</f>
        <v>#N/A</v>
      </c>
    </row>
    <row r="159" spans="1:36" ht="25.05" customHeight="1" outlineLevel="2">
      <c r="A159" s="376" t="s">
        <v>44</v>
      </c>
      <c r="B159" s="107" t="s">
        <v>44</v>
      </c>
      <c r="C159" s="108" t="s">
        <v>44</v>
      </c>
      <c r="D159" s="109" t="s">
        <v>185</v>
      </c>
      <c r="E159" s="289"/>
      <c r="F159" s="299"/>
      <c r="G159" s="62"/>
      <c r="H159" s="111">
        <v>667.04000000000008</v>
      </c>
      <c r="I159" s="112" t="s">
        <v>122</v>
      </c>
      <c r="J159" s="113">
        <v>0</v>
      </c>
      <c r="K159" s="114">
        <v>0</v>
      </c>
      <c r="L159" s="113">
        <v>0</v>
      </c>
      <c r="M159" s="114">
        <v>0</v>
      </c>
      <c r="N159" s="115">
        <v>4049.9999999999995</v>
      </c>
      <c r="O159" s="114">
        <v>2701512</v>
      </c>
      <c r="P159" s="116">
        <v>2701512</v>
      </c>
      <c r="Q159" s="117">
        <f t="shared" si="45"/>
        <v>7.6851815552818389E-3</v>
      </c>
      <c r="R159" s="114">
        <f t="shared" si="46"/>
        <v>224.88031825230934</v>
      </c>
      <c r="S159" s="377">
        <f t="shared" si="47"/>
        <v>8771.1428571428569</v>
      </c>
      <c r="T159" s="357"/>
      <c r="U159" s="104"/>
      <c r="V159" s="95"/>
      <c r="W159" s="105"/>
      <c r="X159" s="95"/>
      <c r="Y159" s="95"/>
      <c r="Z159" s="95"/>
      <c r="AA159" s="95"/>
      <c r="AB159" s="95"/>
      <c r="AC159" s="95"/>
      <c r="AD159" s="17">
        <f t="shared" si="39"/>
        <v>0</v>
      </c>
      <c r="AE159" s="17">
        <f t="shared" si="48"/>
        <v>0</v>
      </c>
      <c r="AF159" s="17">
        <f t="shared" si="48"/>
        <v>0</v>
      </c>
      <c r="AG159" s="17">
        <f t="shared" si="48"/>
        <v>0</v>
      </c>
      <c r="AH159" s="18" t="str">
        <f t="shared" si="41"/>
        <v>0,;!0,;!0,;!0</v>
      </c>
      <c r="AI159" s="18" t="e">
        <f>INDEX([1]Library!$AL:$AL,MATCH(AH159,[1]Library!$AJ:$AJ,0),1)</f>
        <v>#N/A</v>
      </c>
      <c r="AJ159" s="18" t="e">
        <f>TEXT(INDEX([1]Library!$W:$W,MATCH(AH159,[1]Library!$AJ:$AJ,0),1),"")</f>
        <v>#N/A</v>
      </c>
    </row>
    <row r="160" spans="1:36" ht="25.05" customHeight="1" outlineLevel="2">
      <c r="A160" s="376" t="s">
        <v>44</v>
      </c>
      <c r="B160" s="107" t="s">
        <v>44</v>
      </c>
      <c r="C160" s="108" t="s">
        <v>44</v>
      </c>
      <c r="D160" s="109" t="s">
        <v>186</v>
      </c>
      <c r="E160" s="289"/>
      <c r="F160" s="299"/>
      <c r="G160" s="62"/>
      <c r="H160" s="111">
        <v>308</v>
      </c>
      <c r="I160" s="112" t="s">
        <v>140</v>
      </c>
      <c r="J160" s="113">
        <v>0</v>
      </c>
      <c r="K160" s="114">
        <v>0</v>
      </c>
      <c r="L160" s="113">
        <v>0</v>
      </c>
      <c r="M160" s="114">
        <v>0</v>
      </c>
      <c r="N160" s="115">
        <v>5469.8214285714275</v>
      </c>
      <c r="O160" s="114">
        <v>1684704.9999999998</v>
      </c>
      <c r="P160" s="116">
        <v>1684704.9999999998</v>
      </c>
      <c r="Q160" s="117">
        <f t="shared" si="45"/>
        <v>4.7925990305025812E-3</v>
      </c>
      <c r="R160" s="114">
        <f t="shared" si="46"/>
        <v>140.23887236527423</v>
      </c>
      <c r="S160" s="377">
        <f t="shared" si="47"/>
        <v>5469.8214285714275</v>
      </c>
      <c r="T160" s="357"/>
      <c r="U160" s="104"/>
      <c r="V160" s="95"/>
      <c r="W160" s="105"/>
      <c r="X160" s="95"/>
      <c r="Y160" s="95"/>
      <c r="Z160" s="95"/>
      <c r="AA160" s="95"/>
      <c r="AB160" s="95"/>
      <c r="AC160" s="95"/>
      <c r="AD160" s="17">
        <f t="shared" si="39"/>
        <v>0</v>
      </c>
      <c r="AE160" s="17">
        <f t="shared" si="48"/>
        <v>0</v>
      </c>
      <c r="AF160" s="17">
        <f t="shared" si="48"/>
        <v>0</v>
      </c>
      <c r="AG160" s="17">
        <f t="shared" si="48"/>
        <v>0</v>
      </c>
      <c r="AH160" s="18" t="str">
        <f t="shared" si="41"/>
        <v>0,;!0,;!0,;!0</v>
      </c>
      <c r="AI160" s="18" t="e">
        <f>INDEX([1]Library!$AL:$AL,MATCH(AH160,[1]Library!$AJ:$AJ,0),1)</f>
        <v>#N/A</v>
      </c>
      <c r="AJ160" s="18" t="e">
        <f>TEXT(INDEX([1]Library!$W:$W,MATCH(AH160,[1]Library!$AJ:$AJ,0),1),"")</f>
        <v>#N/A</v>
      </c>
    </row>
    <row r="161" spans="1:36" ht="25.05" customHeight="1" outlineLevel="2">
      <c r="A161" s="376" t="s">
        <v>44</v>
      </c>
      <c r="B161" s="107" t="s">
        <v>44</v>
      </c>
      <c r="C161" s="108" t="s">
        <v>44</v>
      </c>
      <c r="D161" s="109" t="s">
        <v>187</v>
      </c>
      <c r="E161" s="289"/>
      <c r="F161" s="299"/>
      <c r="G161" s="62"/>
      <c r="H161" s="111">
        <v>15</v>
      </c>
      <c r="I161" s="112" t="s">
        <v>188</v>
      </c>
      <c r="J161" s="113">
        <v>0</v>
      </c>
      <c r="K161" s="114">
        <v>0</v>
      </c>
      <c r="L161" s="113">
        <v>0</v>
      </c>
      <c r="M161" s="114">
        <v>0</v>
      </c>
      <c r="N161" s="115">
        <v>1792.79</v>
      </c>
      <c r="O161" s="114">
        <v>26891.85</v>
      </c>
      <c r="P161" s="116">
        <v>26891.85</v>
      </c>
      <c r="Q161" s="117">
        <f t="shared" si="45"/>
        <v>7.650114069728579E-5</v>
      </c>
      <c r="R161" s="114">
        <f t="shared" si="46"/>
        <v>2.238541892981917</v>
      </c>
      <c r="S161" s="377">
        <f t="shared" si="47"/>
        <v>87.311201298701292</v>
      </c>
      <c r="T161" s="357"/>
      <c r="U161" s="104"/>
      <c r="V161" s="95"/>
      <c r="W161" s="105"/>
      <c r="X161" s="95"/>
      <c r="Y161" s="95"/>
      <c r="Z161" s="95"/>
      <c r="AA161" s="95"/>
      <c r="AB161" s="95"/>
      <c r="AC161" s="95"/>
      <c r="AD161" s="17">
        <f t="shared" si="39"/>
        <v>0</v>
      </c>
      <c r="AE161" s="17">
        <f t="shared" si="48"/>
        <v>0</v>
      </c>
      <c r="AF161" s="17">
        <f t="shared" si="48"/>
        <v>0</v>
      </c>
      <c r="AG161" s="17">
        <f t="shared" si="48"/>
        <v>0</v>
      </c>
      <c r="AH161" s="18" t="str">
        <f t="shared" si="41"/>
        <v>0,;!0,;!0,;!0</v>
      </c>
      <c r="AI161" s="18" t="e">
        <f>INDEX([1]Library!$AL:$AL,MATCH(AH161,[1]Library!$AJ:$AJ,0),1)</f>
        <v>#N/A</v>
      </c>
      <c r="AJ161" s="18" t="e">
        <f>TEXT(INDEX([1]Library!$W:$W,MATCH(AH161,[1]Library!$AJ:$AJ,0),1),"")</f>
        <v>#N/A</v>
      </c>
    </row>
    <row r="162" spans="1:36" ht="25.05" customHeight="1" outlineLevel="2">
      <c r="A162" s="376" t="s">
        <v>44</v>
      </c>
      <c r="B162" s="107" t="s">
        <v>44</v>
      </c>
      <c r="C162" s="108" t="s">
        <v>44</v>
      </c>
      <c r="D162" s="109" t="s">
        <v>189</v>
      </c>
      <c r="E162" s="289"/>
      <c r="F162" s="299"/>
      <c r="G162" s="62"/>
      <c r="H162" s="111">
        <v>20</v>
      </c>
      <c r="I162" s="112" t="s">
        <v>188</v>
      </c>
      <c r="J162" s="113">
        <v>0</v>
      </c>
      <c r="K162" s="114">
        <v>0</v>
      </c>
      <c r="L162" s="113">
        <v>0</v>
      </c>
      <c r="M162" s="114">
        <v>0</v>
      </c>
      <c r="N162" s="115">
        <v>1562.4999999999998</v>
      </c>
      <c r="O162" s="114">
        <v>31249.999999999996</v>
      </c>
      <c r="P162" s="116">
        <v>31249.999999999996</v>
      </c>
      <c r="Q162" s="117">
        <f t="shared" si="45"/>
        <v>8.8899077110357993E-5</v>
      </c>
      <c r="R162" s="114">
        <f t="shared" si="46"/>
        <v>2.6013247194107101</v>
      </c>
      <c r="S162" s="377">
        <f t="shared" si="47"/>
        <v>101.46103896103895</v>
      </c>
      <c r="T162" s="357"/>
      <c r="U162" s="104"/>
      <c r="V162" s="95"/>
      <c r="W162" s="105"/>
      <c r="X162" s="95"/>
      <c r="Y162" s="95"/>
      <c r="Z162" s="95"/>
      <c r="AA162" s="95"/>
      <c r="AB162" s="95"/>
      <c r="AC162" s="95"/>
      <c r="AD162" s="17">
        <f t="shared" si="39"/>
        <v>0</v>
      </c>
      <c r="AE162" s="17">
        <f t="shared" si="48"/>
        <v>0</v>
      </c>
      <c r="AF162" s="17">
        <f t="shared" si="48"/>
        <v>0</v>
      </c>
      <c r="AG162" s="17">
        <f t="shared" si="48"/>
        <v>0</v>
      </c>
      <c r="AH162" s="18" t="str">
        <f t="shared" si="41"/>
        <v>0,;!0,;!0,;!0</v>
      </c>
      <c r="AI162" s="18" t="e">
        <f>INDEX([1]Library!$AL:$AL,MATCH(AH162,[1]Library!$AJ:$AJ,0),1)</f>
        <v>#N/A</v>
      </c>
      <c r="AJ162" s="18" t="e">
        <f>TEXT(INDEX([1]Library!$W:$W,MATCH(AH162,[1]Library!$AJ:$AJ,0),1),"")</f>
        <v>#N/A</v>
      </c>
    </row>
    <row r="163" spans="1:36" ht="25.05" customHeight="1" outlineLevel="2">
      <c r="A163" s="376" t="s">
        <v>44</v>
      </c>
      <c r="B163" s="107" t="s">
        <v>44</v>
      </c>
      <c r="C163" s="108" t="s">
        <v>44</v>
      </c>
      <c r="D163" s="109" t="s">
        <v>190</v>
      </c>
      <c r="E163" s="289"/>
      <c r="F163" s="299"/>
      <c r="G163" s="62"/>
      <c r="H163" s="111">
        <v>3</v>
      </c>
      <c r="I163" s="112" t="s">
        <v>188</v>
      </c>
      <c r="J163" s="113">
        <v>0</v>
      </c>
      <c r="K163" s="114">
        <v>0</v>
      </c>
      <c r="L163" s="113">
        <v>0</v>
      </c>
      <c r="M163" s="114">
        <v>0</v>
      </c>
      <c r="N163" s="115">
        <v>13392.857142857139</v>
      </c>
      <c r="O163" s="114">
        <v>40178.57142857142</v>
      </c>
      <c r="P163" s="116">
        <v>40178.57142857142</v>
      </c>
      <c r="Q163" s="117">
        <f t="shared" si="45"/>
        <v>1.1429881342760313E-4</v>
      </c>
      <c r="R163" s="114">
        <f t="shared" si="46"/>
        <v>3.3445603535280553</v>
      </c>
      <c r="S163" s="377">
        <f t="shared" si="47"/>
        <v>130.44990723562148</v>
      </c>
      <c r="T163" s="357"/>
      <c r="U163" s="104"/>
      <c r="V163" s="95"/>
      <c r="W163" s="105"/>
      <c r="X163" s="95"/>
      <c r="Y163" s="95"/>
      <c r="Z163" s="95"/>
      <c r="AA163" s="95"/>
      <c r="AB163" s="95"/>
      <c r="AC163" s="95"/>
      <c r="AD163" s="17">
        <f t="shared" si="39"/>
        <v>0</v>
      </c>
      <c r="AE163" s="17">
        <f t="shared" si="48"/>
        <v>0</v>
      </c>
      <c r="AF163" s="17">
        <f t="shared" si="48"/>
        <v>0</v>
      </c>
      <c r="AG163" s="17">
        <f t="shared" si="48"/>
        <v>0</v>
      </c>
      <c r="AH163" s="18" t="str">
        <f t="shared" si="41"/>
        <v>0,;!0,;!0,;!0</v>
      </c>
      <c r="AI163" s="18" t="e">
        <f>INDEX([1]Library!$AL:$AL,MATCH(AH163,[1]Library!$AJ:$AJ,0),1)</f>
        <v>#N/A</v>
      </c>
      <c r="AJ163" s="18" t="e">
        <f>TEXT(INDEX([1]Library!$W:$W,MATCH(AH163,[1]Library!$AJ:$AJ,0),1),"")</f>
        <v>#N/A</v>
      </c>
    </row>
    <row r="164" spans="1:36" ht="25.05" customHeight="1" outlineLevel="2">
      <c r="A164" s="376" t="s">
        <v>44</v>
      </c>
      <c r="B164" s="107" t="s">
        <v>44</v>
      </c>
      <c r="C164" s="108" t="s">
        <v>44</v>
      </c>
      <c r="D164" s="109" t="s">
        <v>191</v>
      </c>
      <c r="E164" s="289"/>
      <c r="F164" s="299"/>
      <c r="G164" s="62"/>
      <c r="H164" s="111">
        <v>19</v>
      </c>
      <c r="I164" s="112" t="s">
        <v>140</v>
      </c>
      <c r="J164" s="113">
        <v>0</v>
      </c>
      <c r="K164" s="114">
        <v>0</v>
      </c>
      <c r="L164" s="113">
        <v>0</v>
      </c>
      <c r="M164" s="114">
        <v>0</v>
      </c>
      <c r="N164" s="115">
        <v>16071.428571428571</v>
      </c>
      <c r="O164" s="114">
        <v>305357.14285714284</v>
      </c>
      <c r="P164" s="116">
        <v>305357.14285714284</v>
      </c>
      <c r="Q164" s="117">
        <f t="shared" si="45"/>
        <v>8.6867098204978393E-4</v>
      </c>
      <c r="R164" s="114">
        <f t="shared" si="46"/>
        <v>25.418658686813224</v>
      </c>
      <c r="S164" s="377">
        <f t="shared" si="47"/>
        <v>991.41929499072353</v>
      </c>
      <c r="T164" s="357"/>
      <c r="U164" s="104"/>
      <c r="V164" s="95"/>
      <c r="W164" s="105"/>
      <c r="X164" s="95"/>
      <c r="Y164" s="95"/>
      <c r="Z164" s="95"/>
      <c r="AA164" s="95"/>
      <c r="AB164" s="95"/>
      <c r="AC164" s="95"/>
      <c r="AD164" s="17">
        <f t="shared" si="39"/>
        <v>0</v>
      </c>
      <c r="AE164" s="17">
        <f t="shared" si="48"/>
        <v>0</v>
      </c>
      <c r="AF164" s="17">
        <f t="shared" si="48"/>
        <v>0</v>
      </c>
      <c r="AG164" s="17">
        <f t="shared" si="48"/>
        <v>0</v>
      </c>
      <c r="AH164" s="18" t="str">
        <f t="shared" si="41"/>
        <v>0,;!0,;!0,;!0</v>
      </c>
      <c r="AI164" s="18" t="e">
        <f>INDEX([1]Library!$AL:$AL,MATCH(AH164,[1]Library!$AJ:$AJ,0),1)</f>
        <v>#N/A</v>
      </c>
      <c r="AJ164" s="18" t="e">
        <f>TEXT(INDEX([1]Library!$W:$W,MATCH(AH164,[1]Library!$AJ:$AJ,0),1),"")</f>
        <v>#N/A</v>
      </c>
    </row>
    <row r="165" spans="1:36" ht="25.05" customHeight="1" outlineLevel="1">
      <c r="A165" s="374" t="s">
        <v>44</v>
      </c>
      <c r="B165" s="96" t="s">
        <v>44</v>
      </c>
      <c r="C165" s="97" t="s">
        <v>192</v>
      </c>
      <c r="D165" s="97"/>
      <c r="E165" s="98"/>
      <c r="F165" s="298"/>
      <c r="G165" s="62"/>
      <c r="H165" s="99">
        <v>1</v>
      </c>
      <c r="I165" s="100" t="s">
        <v>35</v>
      </c>
      <c r="J165" s="99">
        <v>0</v>
      </c>
      <c r="K165" s="99">
        <v>0</v>
      </c>
      <c r="L165" s="99">
        <v>0</v>
      </c>
      <c r="M165" s="99">
        <v>0</v>
      </c>
      <c r="N165" s="99">
        <v>11887263.702678571</v>
      </c>
      <c r="O165" s="99">
        <v>11887263.702678571</v>
      </c>
      <c r="P165" s="101">
        <v>11887263.702678571</v>
      </c>
      <c r="Q165" s="102">
        <f>P165/P$13</f>
        <v>3.3816536721138629E-2</v>
      </c>
      <c r="R165" s="103">
        <f>P165/I$5</f>
        <v>989.52425330980657</v>
      </c>
      <c r="S165" s="375">
        <f>P165/I$7</f>
        <v>38595.012021683673</v>
      </c>
      <c r="T165" s="356"/>
      <c r="U165" s="104"/>
      <c r="V165" s="95"/>
      <c r="W165" s="105"/>
      <c r="X165" s="95"/>
      <c r="Y165" s="95"/>
      <c r="Z165" s="95"/>
      <c r="AA165" s="95"/>
      <c r="AB165" s="95"/>
      <c r="AC165" s="95"/>
      <c r="AD165" s="17">
        <f t="shared" si="39"/>
        <v>0</v>
      </c>
      <c r="AE165" s="17">
        <f t="shared" si="48"/>
        <v>0</v>
      </c>
      <c r="AF165" s="17">
        <f t="shared" si="48"/>
        <v>0</v>
      </c>
      <c r="AG165" s="17">
        <f t="shared" si="48"/>
        <v>0</v>
      </c>
      <c r="AH165" s="18" t="str">
        <f t="shared" si="41"/>
        <v>0,;!0,;!0,;!0</v>
      </c>
      <c r="AI165" s="18" t="e">
        <f>INDEX([1]Library!$AL:$AL,MATCH(AH165,[1]Library!$AJ:$AJ,0),1)</f>
        <v>#N/A</v>
      </c>
      <c r="AJ165" s="18" t="e">
        <f>TEXT(INDEX([1]Library!$W:$W,MATCH(AH165,[1]Library!$AJ:$AJ,0),1),"")</f>
        <v>#N/A</v>
      </c>
    </row>
    <row r="166" spans="1:36" ht="25.05" customHeight="1" outlineLevel="2">
      <c r="A166" s="376" t="s">
        <v>44</v>
      </c>
      <c r="B166" s="107" t="s">
        <v>44</v>
      </c>
      <c r="C166" s="108" t="s">
        <v>44</v>
      </c>
      <c r="D166" s="109" t="s">
        <v>193</v>
      </c>
      <c r="E166" s="289"/>
      <c r="F166" s="299"/>
      <c r="G166" s="62"/>
      <c r="H166" s="111">
        <v>6562.6624000000002</v>
      </c>
      <c r="I166" s="112" t="s">
        <v>71</v>
      </c>
      <c r="J166" s="113">
        <v>0</v>
      </c>
      <c r="K166" s="114">
        <v>0</v>
      </c>
      <c r="L166" s="113">
        <v>0</v>
      </c>
      <c r="M166" s="114">
        <v>0</v>
      </c>
      <c r="N166" s="115">
        <v>392.85714285714283</v>
      </c>
      <c r="O166" s="114">
        <v>2578188.7999999998</v>
      </c>
      <c r="P166" s="116">
        <v>2578188.7999999998</v>
      </c>
      <c r="Q166" s="117">
        <f t="shared" ref="Q166:Q169" si="49">P166/P$13</f>
        <v>7.3343553579603635E-3</v>
      </c>
      <c r="R166" s="114">
        <f t="shared" ref="R166:R169" si="50">P166/I$5</f>
        <v>214.61460021593075</v>
      </c>
      <c r="S166" s="377">
        <f t="shared" ref="S166:S169" si="51">P166/I$7</f>
        <v>8370.7428571428572</v>
      </c>
      <c r="T166" s="357"/>
      <c r="U166" s="104"/>
      <c r="V166" s="95"/>
      <c r="W166" s="105"/>
      <c r="X166" s="95"/>
      <c r="Y166" s="95"/>
      <c r="Z166" s="95"/>
      <c r="AA166" s="95"/>
      <c r="AB166" s="95"/>
      <c r="AC166" s="95"/>
      <c r="AD166" s="17">
        <f t="shared" si="39"/>
        <v>0</v>
      </c>
      <c r="AE166" s="17">
        <f t="shared" si="48"/>
        <v>0</v>
      </c>
      <c r="AF166" s="17">
        <f t="shared" si="48"/>
        <v>0</v>
      </c>
      <c r="AG166" s="17">
        <f t="shared" si="48"/>
        <v>0</v>
      </c>
      <c r="AH166" s="18" t="str">
        <f t="shared" si="41"/>
        <v>0,;!0,;!0,;!0</v>
      </c>
      <c r="AI166" s="18" t="e">
        <f>INDEX([1]Library!$AL:$AL,MATCH(AH166,[1]Library!$AJ:$AJ,0),1)</f>
        <v>#N/A</v>
      </c>
      <c r="AJ166" s="18" t="e">
        <f>TEXT(INDEX([1]Library!$W:$W,MATCH(AH166,[1]Library!$AJ:$AJ,0),1),"")</f>
        <v>#N/A</v>
      </c>
    </row>
    <row r="167" spans="1:36" ht="25.05" customHeight="1" outlineLevel="2">
      <c r="A167" s="376" t="s">
        <v>44</v>
      </c>
      <c r="B167" s="107" t="s">
        <v>44</v>
      </c>
      <c r="C167" s="108" t="s">
        <v>44</v>
      </c>
      <c r="D167" s="109" t="s">
        <v>194</v>
      </c>
      <c r="E167" s="289"/>
      <c r="F167" s="299"/>
      <c r="G167" s="62"/>
      <c r="H167" s="111">
        <v>22419.0497</v>
      </c>
      <c r="I167" s="112" t="s">
        <v>71</v>
      </c>
      <c r="J167" s="113">
        <v>0</v>
      </c>
      <c r="K167" s="114">
        <v>0</v>
      </c>
      <c r="L167" s="113">
        <v>0</v>
      </c>
      <c r="M167" s="114">
        <v>0</v>
      </c>
      <c r="N167" s="115">
        <v>294.64285714285717</v>
      </c>
      <c r="O167" s="114">
        <v>6605612.8580357153</v>
      </c>
      <c r="P167" s="116">
        <v>6605612.8580357153</v>
      </c>
      <c r="Q167" s="117">
        <f t="shared" si="49"/>
        <v>1.8791452378486062E-2</v>
      </c>
      <c r="R167" s="114">
        <f t="shared" si="50"/>
        <v>549.86700846289716</v>
      </c>
      <c r="S167" s="377">
        <f t="shared" si="51"/>
        <v>21446.794993622454</v>
      </c>
      <c r="T167" s="357"/>
      <c r="U167" s="104"/>
      <c r="V167" s="95"/>
      <c r="W167" s="105"/>
      <c r="X167" s="95"/>
      <c r="Y167" s="95"/>
      <c r="Z167" s="95"/>
      <c r="AA167" s="95"/>
      <c r="AB167" s="95"/>
      <c r="AC167" s="95"/>
      <c r="AD167" s="17">
        <f t="shared" si="39"/>
        <v>0</v>
      </c>
      <c r="AE167" s="17">
        <f t="shared" si="48"/>
        <v>0</v>
      </c>
      <c r="AF167" s="17">
        <f t="shared" si="48"/>
        <v>0</v>
      </c>
      <c r="AG167" s="17">
        <f t="shared" si="48"/>
        <v>0</v>
      </c>
      <c r="AH167" s="18" t="str">
        <f t="shared" si="41"/>
        <v>0,;!0,;!0,;!0</v>
      </c>
      <c r="AI167" s="18" t="e">
        <f>INDEX([1]Library!$AL:$AL,MATCH(AH167,[1]Library!$AJ:$AJ,0),1)</f>
        <v>#N/A</v>
      </c>
      <c r="AJ167" s="18" t="e">
        <f>TEXT(INDEX([1]Library!$W:$W,MATCH(AH167,[1]Library!$AJ:$AJ,0),1),"")</f>
        <v>#N/A</v>
      </c>
    </row>
    <row r="168" spans="1:36" ht="25.05" customHeight="1" outlineLevel="2">
      <c r="A168" s="376" t="s">
        <v>44</v>
      </c>
      <c r="B168" s="107" t="s">
        <v>44</v>
      </c>
      <c r="C168" s="108" t="s">
        <v>44</v>
      </c>
      <c r="D168" s="109" t="s">
        <v>195</v>
      </c>
      <c r="E168" s="289"/>
      <c r="F168" s="299"/>
      <c r="G168" s="62"/>
      <c r="H168" s="111">
        <v>8400.1649999999991</v>
      </c>
      <c r="I168" s="112" t="s">
        <v>71</v>
      </c>
      <c r="J168" s="113">
        <v>0</v>
      </c>
      <c r="K168" s="114">
        <v>0</v>
      </c>
      <c r="L168" s="113">
        <v>0</v>
      </c>
      <c r="M168" s="114">
        <v>0</v>
      </c>
      <c r="N168" s="115">
        <v>294.64285714285717</v>
      </c>
      <c r="O168" s="114">
        <v>2475048.6160714286</v>
      </c>
      <c r="P168" s="116">
        <v>2475048.6160714286</v>
      </c>
      <c r="Q168" s="117">
        <f t="shared" si="49"/>
        <v>7.0409452087046021E-3</v>
      </c>
      <c r="R168" s="114">
        <f t="shared" si="50"/>
        <v>206.02896469535602</v>
      </c>
      <c r="S168" s="377">
        <f t="shared" si="51"/>
        <v>8035.8721301020414</v>
      </c>
      <c r="T168" s="357"/>
      <c r="U168" s="104"/>
      <c r="V168" s="95"/>
      <c r="W168" s="105"/>
      <c r="X168" s="95"/>
      <c r="Y168" s="95"/>
      <c r="Z168" s="95"/>
      <c r="AA168" s="95"/>
      <c r="AB168" s="95"/>
      <c r="AC168" s="95"/>
      <c r="AD168" s="17">
        <f t="shared" si="39"/>
        <v>0</v>
      </c>
      <c r="AE168" s="17">
        <f t="shared" si="48"/>
        <v>0</v>
      </c>
      <c r="AF168" s="17">
        <f t="shared" si="48"/>
        <v>0</v>
      </c>
      <c r="AG168" s="17">
        <f t="shared" si="48"/>
        <v>0</v>
      </c>
      <c r="AH168" s="18" t="str">
        <f t="shared" si="41"/>
        <v>0,;!0,;!0,;!0</v>
      </c>
      <c r="AI168" s="18" t="e">
        <f>INDEX([1]Library!$AL:$AL,MATCH(AH168,[1]Library!$AJ:$AJ,0),1)</f>
        <v>#N/A</v>
      </c>
      <c r="AJ168" s="18" t="e">
        <f>TEXT(INDEX([1]Library!$W:$W,MATCH(AH168,[1]Library!$AJ:$AJ,0),1),"")</f>
        <v>#N/A</v>
      </c>
    </row>
    <row r="169" spans="1:36" ht="25.05" customHeight="1" outlineLevel="2">
      <c r="A169" s="376" t="s">
        <v>44</v>
      </c>
      <c r="B169" s="107" t="s">
        <v>44</v>
      </c>
      <c r="C169" s="108" t="s">
        <v>44</v>
      </c>
      <c r="D169" s="109" t="s">
        <v>196</v>
      </c>
      <c r="E169" s="289"/>
      <c r="F169" s="299"/>
      <c r="G169" s="62"/>
      <c r="H169" s="111">
        <v>1057.1199999999999</v>
      </c>
      <c r="I169" s="112" t="s">
        <v>122</v>
      </c>
      <c r="J169" s="113">
        <v>0</v>
      </c>
      <c r="K169" s="114">
        <v>0</v>
      </c>
      <c r="L169" s="113">
        <v>0</v>
      </c>
      <c r="M169" s="114">
        <v>0</v>
      </c>
      <c r="N169" s="115">
        <v>216.07142857142861</v>
      </c>
      <c r="O169" s="114">
        <v>228413.42857142858</v>
      </c>
      <c r="P169" s="116">
        <v>228413.42857142858</v>
      </c>
      <c r="Q169" s="117">
        <f t="shared" si="49"/>
        <v>6.4978377598760579E-4</v>
      </c>
      <c r="R169" s="114">
        <f t="shared" si="50"/>
        <v>19.013679935622712</v>
      </c>
      <c r="S169" s="377">
        <f t="shared" si="51"/>
        <v>741.60204081632651</v>
      </c>
      <c r="T169" s="357"/>
      <c r="U169" s="104"/>
      <c r="V169" s="95"/>
      <c r="W169" s="105"/>
      <c r="X169" s="95"/>
      <c r="Y169" s="95"/>
      <c r="Z169" s="95"/>
      <c r="AA169" s="95"/>
      <c r="AB169" s="95"/>
      <c r="AC169" s="95"/>
      <c r="AD169" s="17">
        <f t="shared" si="39"/>
        <v>0</v>
      </c>
      <c r="AE169" s="17">
        <f t="shared" si="48"/>
        <v>0</v>
      </c>
      <c r="AF169" s="17">
        <f t="shared" si="48"/>
        <v>0</v>
      </c>
      <c r="AG169" s="17">
        <f t="shared" si="48"/>
        <v>0</v>
      </c>
      <c r="AH169" s="18" t="str">
        <f t="shared" si="41"/>
        <v>0,;!0,;!0,;!0</v>
      </c>
      <c r="AI169" s="18" t="e">
        <f>INDEX([1]Library!$AL:$AL,MATCH(AH169,[1]Library!$AJ:$AJ,0),1)</f>
        <v>#N/A</v>
      </c>
      <c r="AJ169" s="18" t="e">
        <f>TEXT(INDEX([1]Library!$W:$W,MATCH(AH169,[1]Library!$AJ:$AJ,0),1),"")</f>
        <v>#N/A</v>
      </c>
    </row>
    <row r="170" spans="1:36" ht="25.05" customHeight="1" outlineLevel="1">
      <c r="A170" s="374" t="s">
        <v>44</v>
      </c>
      <c r="B170" s="96" t="s">
        <v>44</v>
      </c>
      <c r="C170" s="97" t="s">
        <v>197</v>
      </c>
      <c r="D170" s="97"/>
      <c r="E170" s="98"/>
      <c r="F170" s="298"/>
      <c r="G170" s="62"/>
      <c r="H170" s="99">
        <v>1</v>
      </c>
      <c r="I170" s="100" t="s">
        <v>35</v>
      </c>
      <c r="J170" s="99">
        <v>0</v>
      </c>
      <c r="K170" s="99">
        <v>0</v>
      </c>
      <c r="L170" s="99">
        <v>0</v>
      </c>
      <c r="M170" s="99">
        <v>0</v>
      </c>
      <c r="N170" s="99">
        <v>10242215.521484379</v>
      </c>
      <c r="O170" s="99">
        <v>10242215.521484379</v>
      </c>
      <c r="P170" s="101">
        <v>10242215.521484379</v>
      </c>
      <c r="Q170" s="102">
        <f>P170/P$13</f>
        <v>2.9136752237611054E-2</v>
      </c>
      <c r="R170" s="103">
        <f>P170/I$5</f>
        <v>852.58650936222</v>
      </c>
      <c r="S170" s="375">
        <f>P170/I$7</f>
        <v>33253.946498325902</v>
      </c>
      <c r="T170" s="356"/>
      <c r="U170" s="104"/>
      <c r="V170" s="95"/>
      <c r="W170" s="105"/>
      <c r="X170" s="95"/>
      <c r="Y170" s="95"/>
      <c r="Z170" s="95"/>
      <c r="AA170" s="95"/>
      <c r="AB170" s="95"/>
      <c r="AC170" s="95"/>
      <c r="AD170" s="17">
        <f t="shared" si="39"/>
        <v>0</v>
      </c>
      <c r="AE170" s="17">
        <f t="shared" si="48"/>
        <v>0</v>
      </c>
      <c r="AF170" s="17">
        <f t="shared" si="48"/>
        <v>0</v>
      </c>
      <c r="AG170" s="17">
        <f t="shared" si="48"/>
        <v>0</v>
      </c>
      <c r="AH170" s="18" t="str">
        <f t="shared" si="41"/>
        <v>0,;!0,;!0,;!0</v>
      </c>
      <c r="AI170" s="18" t="e">
        <f>INDEX([1]Library!$AL:$AL,MATCH(AH170,[1]Library!$AJ:$AJ,0),1)</f>
        <v>#N/A</v>
      </c>
      <c r="AJ170" s="18" t="e">
        <f>TEXT(INDEX([1]Library!$W:$W,MATCH(AH170,[1]Library!$AJ:$AJ,0),1),"")</f>
        <v>#N/A</v>
      </c>
    </row>
    <row r="171" spans="1:36" ht="25.05" customHeight="1" outlineLevel="2">
      <c r="A171" s="376" t="s">
        <v>44</v>
      </c>
      <c r="B171" s="107" t="s">
        <v>44</v>
      </c>
      <c r="C171" s="108" t="s">
        <v>44</v>
      </c>
      <c r="D171" s="109" t="s">
        <v>198</v>
      </c>
      <c r="E171" s="289"/>
      <c r="F171" s="299"/>
      <c r="G171" s="62"/>
      <c r="H171" s="111">
        <v>0</v>
      </c>
      <c r="I171" s="112" t="s">
        <v>140</v>
      </c>
      <c r="J171" s="113">
        <v>0</v>
      </c>
      <c r="K171" s="114">
        <v>0</v>
      </c>
      <c r="L171" s="113">
        <v>0</v>
      </c>
      <c r="M171" s="114">
        <v>0</v>
      </c>
      <c r="N171" s="115">
        <v>0</v>
      </c>
      <c r="O171" s="114">
        <v>0</v>
      </c>
      <c r="P171" s="116">
        <v>0</v>
      </c>
      <c r="Q171" s="117">
        <f t="shared" ref="Q171:Q173" si="52">P171/P$13</f>
        <v>0</v>
      </c>
      <c r="R171" s="114">
        <f t="shared" ref="R171:R173" si="53">P171/I$5</f>
        <v>0</v>
      </c>
      <c r="S171" s="377">
        <f t="shared" ref="S171:S173" si="54">P171/I$7</f>
        <v>0</v>
      </c>
      <c r="T171" s="357"/>
      <c r="U171" s="104"/>
      <c r="V171" s="95"/>
      <c r="W171" s="105"/>
      <c r="X171" s="95"/>
      <c r="Y171" s="95"/>
      <c r="Z171" s="95"/>
      <c r="AA171" s="95"/>
      <c r="AB171" s="95"/>
      <c r="AC171" s="95"/>
      <c r="AD171" s="17">
        <f t="shared" si="39"/>
        <v>0</v>
      </c>
      <c r="AE171" s="17">
        <f t="shared" si="48"/>
        <v>0</v>
      </c>
      <c r="AF171" s="17">
        <f t="shared" si="48"/>
        <v>0</v>
      </c>
      <c r="AG171" s="17">
        <f t="shared" si="48"/>
        <v>0</v>
      </c>
      <c r="AH171" s="18" t="str">
        <f t="shared" si="41"/>
        <v>0,;!0,;!0,;!0</v>
      </c>
      <c r="AI171" s="18" t="e">
        <f>INDEX([1]Library!$AL:$AL,MATCH(AH171,[1]Library!$AJ:$AJ,0),1)</f>
        <v>#N/A</v>
      </c>
      <c r="AJ171" s="18" t="e">
        <f>TEXT(INDEX([1]Library!$W:$W,MATCH(AH171,[1]Library!$AJ:$AJ,0),1),"")</f>
        <v>#N/A</v>
      </c>
    </row>
    <row r="172" spans="1:36" ht="34.200000000000003" customHeight="1" outlineLevel="2">
      <c r="A172" s="376" t="s">
        <v>44</v>
      </c>
      <c r="B172" s="107" t="s">
        <v>44</v>
      </c>
      <c r="C172" s="108" t="s">
        <v>44</v>
      </c>
      <c r="D172" s="399" t="s">
        <v>199</v>
      </c>
      <c r="E172" s="399"/>
      <c r="F172" s="400"/>
      <c r="G172" s="62"/>
      <c r="H172" s="111">
        <v>616</v>
      </c>
      <c r="I172" s="112" t="s">
        <v>140</v>
      </c>
      <c r="J172" s="113">
        <v>0</v>
      </c>
      <c r="K172" s="114">
        <v>0</v>
      </c>
      <c r="L172" s="113">
        <v>0</v>
      </c>
      <c r="M172" s="114">
        <v>0</v>
      </c>
      <c r="N172" s="115">
        <v>16140.593750000005</v>
      </c>
      <c r="O172" s="114">
        <v>9942605.7500000037</v>
      </c>
      <c r="P172" s="116">
        <v>9942605.7500000037</v>
      </c>
      <c r="Q172" s="117">
        <f t="shared" si="52"/>
        <v>2.8284431207908457E-2</v>
      </c>
      <c r="R172" s="114">
        <f t="shared" si="53"/>
        <v>827.64627561056238</v>
      </c>
      <c r="S172" s="377">
        <f t="shared" si="54"/>
        <v>32281.187500000011</v>
      </c>
      <c r="T172" s="357"/>
      <c r="U172" s="104"/>
      <c r="V172" s="95"/>
      <c r="W172" s="105"/>
      <c r="X172" s="95"/>
      <c r="Y172" s="95"/>
      <c r="Z172" s="95"/>
      <c r="AA172" s="95"/>
      <c r="AB172" s="95"/>
      <c r="AC172" s="95"/>
      <c r="AD172" s="17">
        <f t="shared" si="39"/>
        <v>0</v>
      </c>
      <c r="AE172" s="17">
        <f t="shared" si="48"/>
        <v>0</v>
      </c>
      <c r="AF172" s="17">
        <f t="shared" si="48"/>
        <v>0</v>
      </c>
      <c r="AG172" s="17">
        <f t="shared" si="48"/>
        <v>0</v>
      </c>
      <c r="AH172" s="18" t="str">
        <f t="shared" si="41"/>
        <v>0,;!0,;!0,;!0</v>
      </c>
      <c r="AI172" s="18" t="e">
        <f>INDEX([1]Library!$AL:$AL,MATCH(AH172,[1]Library!$AJ:$AJ,0),1)</f>
        <v>#N/A</v>
      </c>
      <c r="AJ172" s="18" t="e">
        <f>TEXT(INDEX([1]Library!$W:$W,MATCH(AH172,[1]Library!$AJ:$AJ,0),1),"")</f>
        <v>#N/A</v>
      </c>
    </row>
    <row r="173" spans="1:36" ht="34.200000000000003" customHeight="1" outlineLevel="2">
      <c r="A173" s="376" t="s">
        <v>44</v>
      </c>
      <c r="B173" s="107" t="s">
        <v>44</v>
      </c>
      <c r="C173" s="108" t="s">
        <v>44</v>
      </c>
      <c r="D173" s="399" t="s">
        <v>200</v>
      </c>
      <c r="E173" s="399"/>
      <c r="F173" s="400"/>
      <c r="G173" s="62"/>
      <c r="H173" s="111">
        <v>11</v>
      </c>
      <c r="I173" s="112" t="s">
        <v>140</v>
      </c>
      <c r="J173" s="113">
        <v>0</v>
      </c>
      <c r="K173" s="114">
        <v>0</v>
      </c>
      <c r="L173" s="113">
        <v>0</v>
      </c>
      <c r="M173" s="114">
        <v>0</v>
      </c>
      <c r="N173" s="115">
        <v>27237.251953125004</v>
      </c>
      <c r="O173" s="114">
        <v>299609.77148437506</v>
      </c>
      <c r="P173" s="116">
        <v>299609.77148437506</v>
      </c>
      <c r="Q173" s="117">
        <f t="shared" si="52"/>
        <v>8.5232102970259841E-4</v>
      </c>
      <c r="R173" s="114">
        <f t="shared" si="53"/>
        <v>24.940233751657569</v>
      </c>
      <c r="S173" s="377">
        <f t="shared" si="54"/>
        <v>972.758998325893</v>
      </c>
      <c r="T173" s="357"/>
      <c r="U173" s="104"/>
      <c r="V173" s="95"/>
      <c r="W173" s="105"/>
      <c r="X173" s="95"/>
      <c r="Y173" s="95"/>
      <c r="Z173" s="95"/>
      <c r="AA173" s="95"/>
      <c r="AB173" s="95"/>
      <c r="AC173" s="95"/>
      <c r="AD173" s="17">
        <f t="shared" si="39"/>
        <v>0</v>
      </c>
      <c r="AE173" s="17">
        <f t="shared" si="48"/>
        <v>0</v>
      </c>
      <c r="AF173" s="17">
        <f t="shared" si="48"/>
        <v>0</v>
      </c>
      <c r="AG173" s="17">
        <f t="shared" si="48"/>
        <v>0</v>
      </c>
      <c r="AH173" s="18" t="str">
        <f t="shared" si="41"/>
        <v>0,;!0,;!0,;!0</v>
      </c>
      <c r="AI173" s="18" t="e">
        <f>INDEX([1]Library!$AL:$AL,MATCH(AH173,[1]Library!$AJ:$AJ,0),1)</f>
        <v>#N/A</v>
      </c>
      <c r="AJ173" s="18" t="e">
        <f>TEXT(INDEX([1]Library!$W:$W,MATCH(AH173,[1]Library!$AJ:$AJ,0),1),"")</f>
        <v>#N/A</v>
      </c>
    </row>
    <row r="174" spans="1:36" ht="25.05" customHeight="1" outlineLevel="1">
      <c r="A174" s="374" t="s">
        <v>44</v>
      </c>
      <c r="B174" s="96" t="s">
        <v>44</v>
      </c>
      <c r="C174" s="97" t="s">
        <v>201</v>
      </c>
      <c r="D174" s="97"/>
      <c r="E174" s="98"/>
      <c r="F174" s="298"/>
      <c r="G174" s="62"/>
      <c r="H174" s="99">
        <v>1</v>
      </c>
      <c r="I174" s="100" t="s">
        <v>35</v>
      </c>
      <c r="J174" s="99">
        <v>0</v>
      </c>
      <c r="K174" s="99">
        <v>0</v>
      </c>
      <c r="L174" s="99">
        <v>0</v>
      </c>
      <c r="M174" s="99">
        <v>0</v>
      </c>
      <c r="N174" s="99">
        <v>1374999.9999999986</v>
      </c>
      <c r="O174" s="99">
        <v>1374999.9999999986</v>
      </c>
      <c r="P174" s="101">
        <v>1374999.9999999986</v>
      </c>
      <c r="Q174" s="102">
        <f>P174/P$13</f>
        <v>3.9115593928557481E-3</v>
      </c>
      <c r="R174" s="103">
        <f>P174/I$5</f>
        <v>114.45828765407114</v>
      </c>
      <c r="S174" s="375">
        <f>P174/I$7</f>
        <v>4464.2857142857101</v>
      </c>
      <c r="T174" s="356"/>
      <c r="U174" s="104"/>
      <c r="V174" s="95"/>
      <c r="W174" s="105"/>
      <c r="X174" s="95"/>
      <c r="Y174" s="95"/>
      <c r="Z174" s="95"/>
      <c r="AA174" s="95"/>
      <c r="AB174" s="95"/>
      <c r="AC174" s="95"/>
      <c r="AD174" s="17">
        <f t="shared" si="39"/>
        <v>0</v>
      </c>
      <c r="AE174" s="17">
        <f t="shared" ref="AE174:AG189" si="55">IF(AA174=" ",IF($X174&gt;=AE$12,AE173,""),AA174)</f>
        <v>0</v>
      </c>
      <c r="AF174" s="17">
        <f t="shared" si="55"/>
        <v>0</v>
      </c>
      <c r="AG174" s="17">
        <f t="shared" si="55"/>
        <v>0</v>
      </c>
      <c r="AH174" s="18" t="str">
        <f t="shared" si="41"/>
        <v>0,;!0,;!0,;!0</v>
      </c>
      <c r="AI174" s="18" t="e">
        <f>INDEX([1]Library!$AL:$AL,MATCH(AH174,[1]Library!$AJ:$AJ,0),1)</f>
        <v>#N/A</v>
      </c>
      <c r="AJ174" s="18" t="e">
        <f>TEXT(INDEX([1]Library!$W:$W,MATCH(AH174,[1]Library!$AJ:$AJ,0),1),"")</f>
        <v>#N/A</v>
      </c>
    </row>
    <row r="175" spans="1:36" ht="25.05" customHeight="1" outlineLevel="2">
      <c r="A175" s="376" t="s">
        <v>44</v>
      </c>
      <c r="B175" s="107" t="s">
        <v>44</v>
      </c>
      <c r="C175" s="108" t="s">
        <v>44</v>
      </c>
      <c r="D175" s="109" t="s">
        <v>202</v>
      </c>
      <c r="E175" s="289"/>
      <c r="F175" s="299"/>
      <c r="G175" s="62"/>
      <c r="H175" s="111">
        <v>308</v>
      </c>
      <c r="I175" s="112" t="s">
        <v>140</v>
      </c>
      <c r="J175" s="113">
        <v>0</v>
      </c>
      <c r="K175" s="114">
        <v>0</v>
      </c>
      <c r="L175" s="113">
        <v>0</v>
      </c>
      <c r="M175" s="114">
        <v>0</v>
      </c>
      <c r="N175" s="115">
        <v>4464.2857142857101</v>
      </c>
      <c r="O175" s="114">
        <v>1374999.9999999986</v>
      </c>
      <c r="P175" s="116">
        <v>1374999.9999999986</v>
      </c>
      <c r="Q175" s="117">
        <f>P175/P$13</f>
        <v>3.9115593928557481E-3</v>
      </c>
      <c r="R175" s="114">
        <f>P175/I$5</f>
        <v>114.45828765407114</v>
      </c>
      <c r="S175" s="377">
        <f>P175/I$7</f>
        <v>4464.2857142857101</v>
      </c>
      <c r="T175" s="357"/>
      <c r="U175" s="104"/>
      <c r="V175" s="95"/>
      <c r="W175" s="105"/>
      <c r="X175" s="95"/>
      <c r="Y175" s="95"/>
      <c r="Z175" s="95"/>
      <c r="AA175" s="95"/>
      <c r="AB175" s="95"/>
      <c r="AC175" s="95"/>
      <c r="AD175" s="17">
        <f t="shared" si="39"/>
        <v>0</v>
      </c>
      <c r="AE175" s="17">
        <f t="shared" si="55"/>
        <v>0</v>
      </c>
      <c r="AF175" s="17">
        <f t="shared" si="55"/>
        <v>0</v>
      </c>
      <c r="AG175" s="17">
        <f t="shared" si="55"/>
        <v>0</v>
      </c>
      <c r="AH175" s="18" t="str">
        <f t="shared" si="41"/>
        <v>0,;!0,;!0,;!0</v>
      </c>
      <c r="AI175" s="18" t="e">
        <f>INDEX([1]Library!$AL:$AL,MATCH(AH175,[1]Library!$AJ:$AJ,0),1)</f>
        <v>#N/A</v>
      </c>
      <c r="AJ175" s="18" t="e">
        <f>TEXT(INDEX([1]Library!$W:$W,MATCH(AH175,[1]Library!$AJ:$AJ,0),1),"")</f>
        <v>#N/A</v>
      </c>
    </row>
    <row r="176" spans="1:36" ht="25.05" customHeight="1" outlineLevel="1">
      <c r="A176" s="374" t="s">
        <v>44</v>
      </c>
      <c r="B176" s="96" t="s">
        <v>44</v>
      </c>
      <c r="C176" s="97" t="s">
        <v>203</v>
      </c>
      <c r="D176" s="97"/>
      <c r="E176" s="98"/>
      <c r="F176" s="298"/>
      <c r="G176" s="62"/>
      <c r="H176" s="99">
        <v>1</v>
      </c>
      <c r="I176" s="100" t="s">
        <v>35</v>
      </c>
      <c r="J176" s="99">
        <v>0</v>
      </c>
      <c r="K176" s="99">
        <v>0</v>
      </c>
      <c r="L176" s="99">
        <v>0</v>
      </c>
      <c r="M176" s="99">
        <v>0</v>
      </c>
      <c r="N176" s="99">
        <v>231757.37704918045</v>
      </c>
      <c r="O176" s="99">
        <v>231757.37704918045</v>
      </c>
      <c r="P176" s="101">
        <v>231757.37704918045</v>
      </c>
      <c r="Q176" s="102">
        <f>P176/P$13</f>
        <v>6.5929654186206105E-4</v>
      </c>
      <c r="R176" s="103">
        <f>P176/I$5</f>
        <v>19.292038202362289</v>
      </c>
      <c r="S176" s="375">
        <f>P176/I$7</f>
        <v>752.45901639344299</v>
      </c>
      <c r="T176" s="356"/>
      <c r="U176" s="104"/>
      <c r="V176" s="95"/>
      <c r="W176" s="105"/>
      <c r="X176" s="95"/>
      <c r="Y176" s="95"/>
      <c r="Z176" s="95"/>
      <c r="AA176" s="95"/>
      <c r="AB176" s="95"/>
      <c r="AC176" s="95"/>
      <c r="AD176" s="17">
        <f t="shared" si="39"/>
        <v>0</v>
      </c>
      <c r="AE176" s="17">
        <f t="shared" si="55"/>
        <v>0</v>
      </c>
      <c r="AF176" s="17">
        <f t="shared" si="55"/>
        <v>0</v>
      </c>
      <c r="AG176" s="17">
        <f t="shared" si="55"/>
        <v>0</v>
      </c>
      <c r="AH176" s="18" t="str">
        <f t="shared" si="41"/>
        <v>0,;!0,;!0,;!0</v>
      </c>
      <c r="AI176" s="18" t="e">
        <f>INDEX([1]Library!$AL:$AL,MATCH(AH176,[1]Library!$AJ:$AJ,0),1)</f>
        <v>#N/A</v>
      </c>
      <c r="AJ176" s="18" t="e">
        <f>TEXT(INDEX([1]Library!$W:$W,MATCH(AH176,[1]Library!$AJ:$AJ,0),1),"")</f>
        <v>#N/A</v>
      </c>
    </row>
    <row r="177" spans="1:36" ht="25.05" customHeight="1" outlineLevel="2">
      <c r="A177" s="376" t="s">
        <v>44</v>
      </c>
      <c r="B177" s="107" t="s">
        <v>44</v>
      </c>
      <c r="C177" s="108" t="s">
        <v>44</v>
      </c>
      <c r="D177" s="109" t="s">
        <v>204</v>
      </c>
      <c r="E177" s="289"/>
      <c r="F177" s="299"/>
      <c r="G177" s="62"/>
      <c r="H177" s="111">
        <v>308</v>
      </c>
      <c r="I177" s="112" t="s">
        <v>140</v>
      </c>
      <c r="J177" s="113">
        <v>0</v>
      </c>
      <c r="K177" s="114">
        <v>0</v>
      </c>
      <c r="L177" s="113">
        <v>0</v>
      </c>
      <c r="M177" s="114">
        <v>0</v>
      </c>
      <c r="N177" s="115">
        <v>752.45901639344299</v>
      </c>
      <c r="O177" s="114">
        <v>231757.37704918045</v>
      </c>
      <c r="P177" s="116">
        <v>231757.37704918045</v>
      </c>
      <c r="Q177" s="117">
        <f>P177/P$13</f>
        <v>6.5929654186206105E-4</v>
      </c>
      <c r="R177" s="114">
        <f>P177/I$5</f>
        <v>19.292038202362289</v>
      </c>
      <c r="S177" s="377">
        <f>P177/I$7</f>
        <v>752.45901639344299</v>
      </c>
      <c r="T177" s="357"/>
      <c r="U177" s="104"/>
      <c r="V177" s="95"/>
      <c r="W177" s="105"/>
      <c r="X177" s="95"/>
      <c r="Y177" s="95"/>
      <c r="Z177" s="95"/>
      <c r="AA177" s="95"/>
      <c r="AB177" s="95"/>
      <c r="AC177" s="95"/>
      <c r="AD177" s="17">
        <f t="shared" si="39"/>
        <v>0</v>
      </c>
      <c r="AE177" s="17">
        <f t="shared" si="55"/>
        <v>0</v>
      </c>
      <c r="AF177" s="17">
        <f t="shared" si="55"/>
        <v>0</v>
      </c>
      <c r="AG177" s="17">
        <f t="shared" si="55"/>
        <v>0</v>
      </c>
      <c r="AH177" s="18" t="str">
        <f t="shared" si="41"/>
        <v>0,;!0,;!0,;!0</v>
      </c>
      <c r="AI177" s="18" t="e">
        <f>INDEX([1]Library!$AL:$AL,MATCH(AH177,[1]Library!$AJ:$AJ,0),1)</f>
        <v>#N/A</v>
      </c>
      <c r="AJ177" s="18" t="e">
        <f>TEXT(INDEX([1]Library!$W:$W,MATCH(AH177,[1]Library!$AJ:$AJ,0),1),"")</f>
        <v>#N/A</v>
      </c>
    </row>
    <row r="178" spans="1:36" ht="25.05" customHeight="1" outlineLevel="1">
      <c r="A178" s="374" t="s">
        <v>44</v>
      </c>
      <c r="B178" s="96" t="s">
        <v>44</v>
      </c>
      <c r="C178" s="97" t="s">
        <v>205</v>
      </c>
      <c r="D178" s="97"/>
      <c r="E178" s="98"/>
      <c r="F178" s="298"/>
      <c r="G178" s="62"/>
      <c r="H178" s="99">
        <v>1</v>
      </c>
      <c r="I178" s="100" t="s">
        <v>35</v>
      </c>
      <c r="J178" s="99">
        <v>3677298.2399999998</v>
      </c>
      <c r="K178" s="99">
        <v>3677298.2399999998</v>
      </c>
      <c r="L178" s="99">
        <v>0</v>
      </c>
      <c r="M178" s="99">
        <v>0</v>
      </c>
      <c r="N178" s="99">
        <v>0</v>
      </c>
      <c r="O178" s="99">
        <v>0</v>
      </c>
      <c r="P178" s="101">
        <v>3677298.2399999998</v>
      </c>
      <c r="Q178" s="102">
        <f>P178/P$13</f>
        <v>1.04610694334574E-2</v>
      </c>
      <c r="R178" s="103">
        <f>P178/I$5</f>
        <v>306.10709799543997</v>
      </c>
      <c r="S178" s="375">
        <f>P178/I$7</f>
        <v>11939.279999999999</v>
      </c>
      <c r="T178" s="356"/>
      <c r="U178" s="104"/>
      <c r="V178" s="95"/>
      <c r="W178" s="105"/>
      <c r="X178" s="95"/>
      <c r="Y178" s="95"/>
      <c r="Z178" s="95"/>
      <c r="AA178" s="95"/>
      <c r="AB178" s="95"/>
      <c r="AC178" s="95"/>
      <c r="AD178" s="17">
        <f t="shared" si="39"/>
        <v>0</v>
      </c>
      <c r="AE178" s="17">
        <f t="shared" si="55"/>
        <v>0</v>
      </c>
      <c r="AF178" s="17">
        <f t="shared" si="55"/>
        <v>0</v>
      </c>
      <c r="AG178" s="17">
        <f t="shared" si="55"/>
        <v>0</v>
      </c>
      <c r="AH178" s="18" t="str">
        <f t="shared" si="41"/>
        <v>0,;!0,;!0,;!0</v>
      </c>
      <c r="AI178" s="18" t="e">
        <f>INDEX([1]Library!$AL:$AL,MATCH(AH178,[1]Library!$AJ:$AJ,0),1)</f>
        <v>#N/A</v>
      </c>
      <c r="AJ178" s="18" t="e">
        <f>TEXT(INDEX([1]Library!$W:$W,MATCH(AH178,[1]Library!$AJ:$AJ,0),1),"")</f>
        <v>#N/A</v>
      </c>
    </row>
    <row r="179" spans="1:36" ht="25.05" customHeight="1" outlineLevel="2">
      <c r="A179" s="376" t="s">
        <v>44</v>
      </c>
      <c r="B179" s="107" t="s">
        <v>44</v>
      </c>
      <c r="C179" s="108" t="s">
        <v>44</v>
      </c>
      <c r="D179" s="109" t="s">
        <v>206</v>
      </c>
      <c r="E179" s="289"/>
      <c r="F179" s="299"/>
      <c r="G179" s="62"/>
      <c r="H179" s="111">
        <v>308</v>
      </c>
      <c r="I179" s="112" t="s">
        <v>140</v>
      </c>
      <c r="J179" s="113">
        <v>3571.43</v>
      </c>
      <c r="K179" s="114">
        <v>1100000.44</v>
      </c>
      <c r="L179" s="113">
        <v>0</v>
      </c>
      <c r="M179" s="114">
        <v>0</v>
      </c>
      <c r="N179" s="115">
        <v>0</v>
      </c>
      <c r="O179" s="114">
        <v>0</v>
      </c>
      <c r="P179" s="116">
        <v>1100000.44</v>
      </c>
      <c r="Q179" s="117">
        <f t="shared" ref="Q179:Q186" si="56">P179/P$13</f>
        <v>3.1292487659836075E-3</v>
      </c>
      <c r="R179" s="114">
        <f t="shared" ref="R179:R186" si="57">P179/I$5</f>
        <v>91.566666749909047</v>
      </c>
      <c r="S179" s="377">
        <f t="shared" ref="S179:S186" si="58">P179/I$7</f>
        <v>3571.43</v>
      </c>
      <c r="T179" s="357"/>
      <c r="U179" s="104"/>
      <c r="V179" s="95"/>
      <c r="W179" s="105"/>
      <c r="X179" s="95"/>
      <c r="Y179" s="95"/>
      <c r="Z179" s="95"/>
      <c r="AA179" s="95"/>
      <c r="AB179" s="95"/>
      <c r="AC179" s="95"/>
      <c r="AD179" s="17">
        <f t="shared" si="39"/>
        <v>0</v>
      </c>
      <c r="AE179" s="17">
        <f t="shared" si="55"/>
        <v>0</v>
      </c>
      <c r="AF179" s="17">
        <f t="shared" si="55"/>
        <v>0</v>
      </c>
      <c r="AG179" s="17">
        <f t="shared" si="55"/>
        <v>0</v>
      </c>
      <c r="AH179" s="18" t="str">
        <f t="shared" si="41"/>
        <v>0,;!0,;!0,;!0</v>
      </c>
      <c r="AI179" s="18" t="e">
        <f>INDEX([1]Library!$AL:$AL,MATCH(AH179,[1]Library!$AJ:$AJ,0),1)</f>
        <v>#N/A</v>
      </c>
      <c r="AJ179" s="18" t="e">
        <f>TEXT(INDEX([1]Library!$W:$W,MATCH(AH179,[1]Library!$AJ:$AJ,0),1),"")</f>
        <v>#N/A</v>
      </c>
    </row>
    <row r="180" spans="1:36" ht="25.05" customHeight="1" outlineLevel="2">
      <c r="A180" s="376" t="s">
        <v>44</v>
      </c>
      <c r="B180" s="107" t="s">
        <v>44</v>
      </c>
      <c r="C180" s="108" t="s">
        <v>44</v>
      </c>
      <c r="D180" s="109" t="s">
        <v>207</v>
      </c>
      <c r="E180" s="289"/>
      <c r="F180" s="299"/>
      <c r="G180" s="62"/>
      <c r="H180" s="111">
        <v>308</v>
      </c>
      <c r="I180" s="112" t="s">
        <v>140</v>
      </c>
      <c r="J180" s="113">
        <v>2232.14</v>
      </c>
      <c r="K180" s="114">
        <v>687499.12</v>
      </c>
      <c r="L180" s="113">
        <v>0</v>
      </c>
      <c r="M180" s="114">
        <v>0</v>
      </c>
      <c r="N180" s="115">
        <v>0</v>
      </c>
      <c r="O180" s="114">
        <v>0</v>
      </c>
      <c r="P180" s="116">
        <v>687499.12</v>
      </c>
      <c r="Q180" s="117">
        <f t="shared" si="56"/>
        <v>1.9557771930298648E-3</v>
      </c>
      <c r="R180" s="114">
        <f t="shared" si="57"/>
        <v>57.229070573731526</v>
      </c>
      <c r="S180" s="377">
        <f t="shared" si="58"/>
        <v>2232.14</v>
      </c>
      <c r="T180" s="357"/>
      <c r="U180" s="104"/>
      <c r="V180" s="95"/>
      <c r="W180" s="105"/>
      <c r="X180" s="95"/>
      <c r="Y180" s="95"/>
      <c r="Z180" s="95"/>
      <c r="AA180" s="95"/>
      <c r="AB180" s="95"/>
      <c r="AC180" s="95"/>
      <c r="AD180" s="17">
        <f t="shared" si="39"/>
        <v>0</v>
      </c>
      <c r="AE180" s="17">
        <f t="shared" si="55"/>
        <v>0</v>
      </c>
      <c r="AF180" s="17">
        <f t="shared" si="55"/>
        <v>0</v>
      </c>
      <c r="AG180" s="17">
        <f t="shared" si="55"/>
        <v>0</v>
      </c>
      <c r="AH180" s="18" t="str">
        <f t="shared" si="41"/>
        <v>0,;!0,;!0,;!0</v>
      </c>
      <c r="AI180" s="18" t="e">
        <f>INDEX([1]Library!$AL:$AL,MATCH(AH180,[1]Library!$AJ:$AJ,0),1)</f>
        <v>#N/A</v>
      </c>
      <c r="AJ180" s="18" t="e">
        <f>TEXT(INDEX([1]Library!$W:$W,MATCH(AH180,[1]Library!$AJ:$AJ,0),1),"")</f>
        <v>#N/A</v>
      </c>
    </row>
    <row r="181" spans="1:36" ht="25.05" customHeight="1" outlineLevel="2">
      <c r="A181" s="376" t="s">
        <v>44</v>
      </c>
      <c r="B181" s="107" t="s">
        <v>44</v>
      </c>
      <c r="C181" s="108" t="s">
        <v>44</v>
      </c>
      <c r="D181" s="109" t="s">
        <v>208</v>
      </c>
      <c r="E181" s="289"/>
      <c r="F181" s="299"/>
      <c r="G181" s="62"/>
      <c r="H181" s="111">
        <v>308</v>
      </c>
      <c r="I181" s="112" t="s">
        <v>140</v>
      </c>
      <c r="J181" s="113">
        <v>1232.1400000000001</v>
      </c>
      <c r="K181" s="114">
        <v>379499.12000000005</v>
      </c>
      <c r="L181" s="113">
        <v>0</v>
      </c>
      <c r="M181" s="114">
        <v>0</v>
      </c>
      <c r="N181" s="115">
        <v>0</v>
      </c>
      <c r="O181" s="114">
        <v>0</v>
      </c>
      <c r="P181" s="116">
        <v>379499.12000000005</v>
      </c>
      <c r="Q181" s="117">
        <f t="shared" si="56"/>
        <v>1.0795878890301764E-3</v>
      </c>
      <c r="R181" s="114">
        <f t="shared" si="57"/>
        <v>31.590414139219572</v>
      </c>
      <c r="S181" s="377">
        <f t="shared" si="58"/>
        <v>1232.1400000000001</v>
      </c>
      <c r="T181" s="357"/>
      <c r="U181" s="104"/>
      <c r="V181" s="95"/>
      <c r="W181" s="105"/>
      <c r="X181" s="95"/>
      <c r="Y181" s="95"/>
      <c r="Z181" s="95"/>
      <c r="AA181" s="95"/>
      <c r="AB181" s="95"/>
      <c r="AC181" s="95"/>
      <c r="AD181" s="17">
        <f t="shared" si="39"/>
        <v>0</v>
      </c>
      <c r="AE181" s="17">
        <f t="shared" si="55"/>
        <v>0</v>
      </c>
      <c r="AF181" s="17">
        <f t="shared" si="55"/>
        <v>0</v>
      </c>
      <c r="AG181" s="17">
        <f t="shared" si="55"/>
        <v>0</v>
      </c>
      <c r="AH181" s="18" t="str">
        <f t="shared" si="41"/>
        <v>0,;!0,;!0,;!0</v>
      </c>
      <c r="AI181" s="18" t="e">
        <f>INDEX([1]Library!$AL:$AL,MATCH(AH181,[1]Library!$AJ:$AJ,0),1)</f>
        <v>#N/A</v>
      </c>
      <c r="AJ181" s="18" t="e">
        <f>TEXT(INDEX([1]Library!$W:$W,MATCH(AH181,[1]Library!$AJ:$AJ,0),1),"")</f>
        <v>#N/A</v>
      </c>
    </row>
    <row r="182" spans="1:36" ht="25.05" customHeight="1" outlineLevel="2">
      <c r="A182" s="376" t="s">
        <v>44</v>
      </c>
      <c r="B182" s="107" t="s">
        <v>44</v>
      </c>
      <c r="C182" s="108" t="s">
        <v>44</v>
      </c>
      <c r="D182" s="109" t="s">
        <v>209</v>
      </c>
      <c r="E182" s="289"/>
      <c r="F182" s="299"/>
      <c r="G182" s="62"/>
      <c r="H182" s="111">
        <v>308</v>
      </c>
      <c r="I182" s="112" t="s">
        <v>140</v>
      </c>
      <c r="J182" s="113">
        <v>937.49999999999977</v>
      </c>
      <c r="K182" s="114">
        <v>288749.99999999994</v>
      </c>
      <c r="L182" s="113">
        <v>0</v>
      </c>
      <c r="M182" s="114">
        <v>0</v>
      </c>
      <c r="N182" s="115">
        <v>0</v>
      </c>
      <c r="O182" s="114">
        <v>0</v>
      </c>
      <c r="P182" s="116">
        <v>288749.99999999994</v>
      </c>
      <c r="Q182" s="117">
        <f t="shared" si="56"/>
        <v>8.2142747249970777E-4</v>
      </c>
      <c r="R182" s="114">
        <f t="shared" si="57"/>
        <v>24.03624040735496</v>
      </c>
      <c r="S182" s="377">
        <f t="shared" si="58"/>
        <v>937.49999999999977</v>
      </c>
      <c r="T182" s="357"/>
      <c r="U182" s="104"/>
      <c r="V182" s="95"/>
      <c r="W182" s="105"/>
      <c r="X182" s="95"/>
      <c r="Y182" s="95"/>
      <c r="Z182" s="95"/>
      <c r="AA182" s="95"/>
      <c r="AB182" s="95"/>
      <c r="AC182" s="95"/>
      <c r="AD182" s="17">
        <f t="shared" si="39"/>
        <v>0</v>
      </c>
      <c r="AE182" s="17">
        <f t="shared" si="55"/>
        <v>0</v>
      </c>
      <c r="AF182" s="17">
        <f t="shared" si="55"/>
        <v>0</v>
      </c>
      <c r="AG182" s="17">
        <f t="shared" si="55"/>
        <v>0</v>
      </c>
      <c r="AH182" s="18" t="str">
        <f t="shared" si="41"/>
        <v>0,;!0,;!0,;!0</v>
      </c>
      <c r="AI182" s="18" t="e">
        <f>INDEX([1]Library!$AL:$AL,MATCH(AH182,[1]Library!$AJ:$AJ,0),1)</f>
        <v>#N/A</v>
      </c>
      <c r="AJ182" s="18" t="e">
        <f>TEXT(INDEX([1]Library!$W:$W,MATCH(AH182,[1]Library!$AJ:$AJ,0),1),"")</f>
        <v>#N/A</v>
      </c>
    </row>
    <row r="183" spans="1:36" ht="25.05" customHeight="1" outlineLevel="2">
      <c r="A183" s="376" t="s">
        <v>44</v>
      </c>
      <c r="B183" s="107" t="s">
        <v>44</v>
      </c>
      <c r="C183" s="108" t="s">
        <v>44</v>
      </c>
      <c r="D183" s="109" t="s">
        <v>210</v>
      </c>
      <c r="E183" s="289"/>
      <c r="F183" s="299"/>
      <c r="G183" s="62"/>
      <c r="H183" s="111">
        <v>0</v>
      </c>
      <c r="I183" s="112" t="s">
        <v>140</v>
      </c>
      <c r="J183" s="113">
        <v>0</v>
      </c>
      <c r="K183" s="114">
        <v>0</v>
      </c>
      <c r="L183" s="113">
        <v>0</v>
      </c>
      <c r="M183" s="114">
        <v>0</v>
      </c>
      <c r="N183" s="115">
        <v>0</v>
      </c>
      <c r="O183" s="114">
        <v>0</v>
      </c>
      <c r="P183" s="116">
        <v>0</v>
      </c>
      <c r="Q183" s="117">
        <f t="shared" si="56"/>
        <v>0</v>
      </c>
      <c r="R183" s="114">
        <f t="shared" si="57"/>
        <v>0</v>
      </c>
      <c r="S183" s="377">
        <f t="shared" si="58"/>
        <v>0</v>
      </c>
      <c r="T183" s="357"/>
      <c r="U183" s="104"/>
      <c r="V183" s="95"/>
      <c r="W183" s="105"/>
      <c r="X183" s="95"/>
      <c r="Y183" s="95"/>
      <c r="Z183" s="95"/>
      <c r="AA183" s="95"/>
      <c r="AB183" s="95"/>
      <c r="AC183" s="95"/>
      <c r="AD183" s="17">
        <f t="shared" si="39"/>
        <v>0</v>
      </c>
      <c r="AE183" s="17">
        <f t="shared" si="55"/>
        <v>0</v>
      </c>
      <c r="AF183" s="17">
        <f t="shared" si="55"/>
        <v>0</v>
      </c>
      <c r="AG183" s="17">
        <f t="shared" si="55"/>
        <v>0</v>
      </c>
      <c r="AH183" s="18" t="str">
        <f t="shared" si="41"/>
        <v>0,;!0,;!0,;!0</v>
      </c>
      <c r="AI183" s="18" t="e">
        <f>INDEX([1]Library!$AL:$AL,MATCH(AH183,[1]Library!$AJ:$AJ,0),1)</f>
        <v>#N/A</v>
      </c>
      <c r="AJ183" s="18" t="e">
        <f>TEXT(INDEX([1]Library!$W:$W,MATCH(AH183,[1]Library!$AJ:$AJ,0),1),"")</f>
        <v>#N/A</v>
      </c>
    </row>
    <row r="184" spans="1:36" ht="25.05" customHeight="1" outlineLevel="2">
      <c r="A184" s="376" t="s">
        <v>44</v>
      </c>
      <c r="B184" s="107" t="s">
        <v>44</v>
      </c>
      <c r="C184" s="108" t="s">
        <v>44</v>
      </c>
      <c r="D184" s="109" t="s">
        <v>211</v>
      </c>
      <c r="E184" s="289"/>
      <c r="F184" s="299"/>
      <c r="G184" s="62"/>
      <c r="H184" s="111">
        <v>308</v>
      </c>
      <c r="I184" s="112" t="s">
        <v>140</v>
      </c>
      <c r="J184" s="113">
        <v>475</v>
      </c>
      <c r="K184" s="114">
        <v>146300</v>
      </c>
      <c r="L184" s="113">
        <v>0</v>
      </c>
      <c r="M184" s="114">
        <v>0</v>
      </c>
      <c r="N184" s="115">
        <v>0</v>
      </c>
      <c r="O184" s="114">
        <v>0</v>
      </c>
      <c r="P184" s="116">
        <v>146300</v>
      </c>
      <c r="Q184" s="117">
        <f t="shared" si="56"/>
        <v>4.1618991939985206E-4</v>
      </c>
      <c r="R184" s="114">
        <f t="shared" si="57"/>
        <v>12.178361806393182</v>
      </c>
      <c r="S184" s="377">
        <f t="shared" si="58"/>
        <v>475</v>
      </c>
      <c r="T184" s="357"/>
      <c r="U184" s="104"/>
      <c r="V184" s="95"/>
      <c r="W184" s="105"/>
      <c r="X184" s="95"/>
      <c r="Y184" s="95"/>
      <c r="Z184" s="95"/>
      <c r="AA184" s="95"/>
      <c r="AB184" s="95"/>
      <c r="AC184" s="95"/>
      <c r="AD184" s="17">
        <f t="shared" si="39"/>
        <v>0</v>
      </c>
      <c r="AE184" s="17">
        <f t="shared" si="55"/>
        <v>0</v>
      </c>
      <c r="AF184" s="17">
        <f t="shared" si="55"/>
        <v>0</v>
      </c>
      <c r="AG184" s="17">
        <f t="shared" si="55"/>
        <v>0</v>
      </c>
      <c r="AH184" s="18" t="str">
        <f t="shared" si="41"/>
        <v>0,;!0,;!0,;!0</v>
      </c>
      <c r="AI184" s="18" t="e">
        <f>INDEX([1]Library!$AL:$AL,MATCH(AH184,[1]Library!$AJ:$AJ,0),1)</f>
        <v>#N/A</v>
      </c>
      <c r="AJ184" s="18" t="e">
        <f>TEXT(INDEX([1]Library!$W:$W,MATCH(AH184,[1]Library!$AJ:$AJ,0),1),"")</f>
        <v>#N/A</v>
      </c>
    </row>
    <row r="185" spans="1:36" ht="25.05" customHeight="1" outlineLevel="2">
      <c r="A185" s="376" t="s">
        <v>44</v>
      </c>
      <c r="B185" s="107" t="s">
        <v>44</v>
      </c>
      <c r="C185" s="108" t="s">
        <v>44</v>
      </c>
      <c r="D185" s="109" t="s">
        <v>212</v>
      </c>
      <c r="E185" s="289"/>
      <c r="F185" s="299"/>
      <c r="G185" s="62"/>
      <c r="H185" s="111">
        <v>308</v>
      </c>
      <c r="I185" s="112" t="s">
        <v>140</v>
      </c>
      <c r="J185" s="113">
        <v>366.07</v>
      </c>
      <c r="K185" s="114">
        <v>112749.56</v>
      </c>
      <c r="L185" s="113">
        <v>0</v>
      </c>
      <c r="M185" s="114">
        <v>0</v>
      </c>
      <c r="N185" s="115">
        <v>0</v>
      </c>
      <c r="O185" s="114">
        <v>0</v>
      </c>
      <c r="P185" s="116">
        <v>112749.56</v>
      </c>
      <c r="Q185" s="117">
        <f t="shared" si="56"/>
        <v>3.2074661851516596E-4</v>
      </c>
      <c r="R185" s="114">
        <f t="shared" si="57"/>
        <v>9.3855429609817929</v>
      </c>
      <c r="S185" s="377">
        <f t="shared" si="58"/>
        <v>366.07</v>
      </c>
      <c r="T185" s="357"/>
      <c r="U185" s="104"/>
      <c r="V185" s="95"/>
      <c r="W185" s="105"/>
      <c r="X185" s="95"/>
      <c r="Y185" s="95"/>
      <c r="Z185" s="95"/>
      <c r="AA185" s="95"/>
      <c r="AB185" s="95"/>
      <c r="AC185" s="95"/>
      <c r="AD185" s="17">
        <f t="shared" si="39"/>
        <v>0</v>
      </c>
      <c r="AE185" s="17">
        <f t="shared" si="55"/>
        <v>0</v>
      </c>
      <c r="AF185" s="17">
        <f t="shared" si="55"/>
        <v>0</v>
      </c>
      <c r="AG185" s="17">
        <f t="shared" si="55"/>
        <v>0</v>
      </c>
      <c r="AH185" s="18" t="str">
        <f t="shared" si="41"/>
        <v>0,;!0,;!0,;!0</v>
      </c>
      <c r="AI185" s="18" t="e">
        <f>INDEX([1]Library!$AL:$AL,MATCH(AH185,[1]Library!$AJ:$AJ,0),1)</f>
        <v>#N/A</v>
      </c>
      <c r="AJ185" s="18" t="e">
        <f>TEXT(INDEX([1]Library!$W:$W,MATCH(AH185,[1]Library!$AJ:$AJ,0),1),"")</f>
        <v>#N/A</v>
      </c>
    </row>
    <row r="186" spans="1:36" ht="25.05" customHeight="1" outlineLevel="2">
      <c r="A186" s="376" t="s">
        <v>44</v>
      </c>
      <c r="B186" s="107" t="s">
        <v>44</v>
      </c>
      <c r="C186" s="108" t="s">
        <v>44</v>
      </c>
      <c r="D186" s="109" t="s">
        <v>213</v>
      </c>
      <c r="E186" s="289"/>
      <c r="F186" s="299"/>
      <c r="G186" s="62"/>
      <c r="H186" s="111">
        <v>308</v>
      </c>
      <c r="I186" s="112" t="s">
        <v>140</v>
      </c>
      <c r="J186" s="113">
        <v>3125</v>
      </c>
      <c r="K186" s="114">
        <v>962500</v>
      </c>
      <c r="L186" s="113">
        <v>0</v>
      </c>
      <c r="M186" s="114">
        <v>0</v>
      </c>
      <c r="N186" s="115">
        <v>0</v>
      </c>
      <c r="O186" s="114">
        <v>0</v>
      </c>
      <c r="P186" s="116">
        <v>962500</v>
      </c>
      <c r="Q186" s="117">
        <f t="shared" si="56"/>
        <v>2.7380915749990265E-3</v>
      </c>
      <c r="R186" s="114">
        <f t="shared" si="57"/>
        <v>80.120801357849885</v>
      </c>
      <c r="S186" s="377">
        <f t="shared" si="58"/>
        <v>3125</v>
      </c>
      <c r="T186" s="357"/>
      <c r="U186" s="104"/>
      <c r="V186" s="95"/>
      <c r="W186" s="105"/>
      <c r="X186" s="95"/>
      <c r="Y186" s="95"/>
      <c r="Z186" s="95"/>
      <c r="AA186" s="95"/>
      <c r="AB186" s="95"/>
      <c r="AC186" s="95"/>
      <c r="AD186" s="17">
        <f t="shared" si="39"/>
        <v>0</v>
      </c>
      <c r="AE186" s="17">
        <f t="shared" si="55"/>
        <v>0</v>
      </c>
      <c r="AF186" s="17">
        <f t="shared" si="55"/>
        <v>0</v>
      </c>
      <c r="AG186" s="17">
        <f t="shared" si="55"/>
        <v>0</v>
      </c>
      <c r="AH186" s="18" t="str">
        <f t="shared" si="41"/>
        <v>0,;!0,;!0,;!0</v>
      </c>
      <c r="AI186" s="18" t="e">
        <f>INDEX([1]Library!$AL:$AL,MATCH(AH186,[1]Library!$AJ:$AJ,0),1)</f>
        <v>#N/A</v>
      </c>
      <c r="AJ186" s="18" t="e">
        <f>TEXT(INDEX([1]Library!$W:$W,MATCH(AH186,[1]Library!$AJ:$AJ,0),1),"")</f>
        <v>#N/A</v>
      </c>
    </row>
    <row r="187" spans="1:36" ht="25.05" customHeight="1">
      <c r="A187" s="372" t="s">
        <v>214</v>
      </c>
      <c r="B187" s="84" t="s">
        <v>215</v>
      </c>
      <c r="C187" s="85"/>
      <c r="D187" s="85"/>
      <c r="E187" s="86"/>
      <c r="F187" s="297"/>
      <c r="G187" s="62"/>
      <c r="H187" s="87">
        <v>1</v>
      </c>
      <c r="I187" s="88" t="s">
        <v>35</v>
      </c>
      <c r="J187" s="89">
        <v>4446887.5982178953</v>
      </c>
      <c r="K187" s="90">
        <v>4446887.5982178953</v>
      </c>
      <c r="L187" s="89">
        <v>857388.38473196374</v>
      </c>
      <c r="M187" s="90">
        <v>857388.38473196374</v>
      </c>
      <c r="N187" s="89">
        <v>354733.42050749296</v>
      </c>
      <c r="O187" s="90">
        <v>354733.42050749296</v>
      </c>
      <c r="P187" s="91">
        <v>5659009.403457351</v>
      </c>
      <c r="Q187" s="92">
        <f>P187/P$13</f>
        <v>1.6098582826438276E-2</v>
      </c>
      <c r="R187" s="90">
        <f>P187/I$5</f>
        <v>471.06947355492048</v>
      </c>
      <c r="S187" s="373">
        <f>P187/I$7</f>
        <v>18373.40715408231</v>
      </c>
      <c r="T187" s="355"/>
      <c r="U187" s="104"/>
      <c r="V187" s="95"/>
      <c r="W187" s="105"/>
      <c r="X187" s="95"/>
      <c r="Y187" s="95"/>
      <c r="Z187" s="95"/>
      <c r="AA187" s="95"/>
      <c r="AB187" s="95"/>
      <c r="AC187" s="95"/>
      <c r="AD187" s="17">
        <f t="shared" si="39"/>
        <v>0</v>
      </c>
      <c r="AE187" s="17">
        <f t="shared" si="55"/>
        <v>0</v>
      </c>
      <c r="AF187" s="17">
        <f t="shared" si="55"/>
        <v>0</v>
      </c>
      <c r="AG187" s="17">
        <f t="shared" si="55"/>
        <v>0</v>
      </c>
      <c r="AH187" s="18" t="str">
        <f t="shared" si="41"/>
        <v>0,;!0,;!0,;!0</v>
      </c>
      <c r="AI187" s="18" t="e">
        <f>INDEX([1]Library!$AL:$AL,MATCH(AH187,[1]Library!$AJ:$AJ,0),1)</f>
        <v>#N/A</v>
      </c>
      <c r="AJ187" s="18" t="e">
        <f>TEXT(INDEX([1]Library!$W:$W,MATCH(AH187,[1]Library!$AJ:$AJ,0),1),"")</f>
        <v>#N/A</v>
      </c>
    </row>
    <row r="188" spans="1:36" ht="25.05" customHeight="1" outlineLevel="1">
      <c r="A188" s="374" t="s">
        <v>44</v>
      </c>
      <c r="B188" s="96" t="s">
        <v>44</v>
      </c>
      <c r="C188" s="97" t="s">
        <v>216</v>
      </c>
      <c r="D188" s="97"/>
      <c r="E188" s="98"/>
      <c r="F188" s="298"/>
      <c r="G188" s="62"/>
      <c r="H188" s="99">
        <v>1</v>
      </c>
      <c r="I188" s="100" t="s">
        <v>35</v>
      </c>
      <c r="J188" s="99">
        <v>36279.360000000001</v>
      </c>
      <c r="K188" s="99">
        <v>36279.360000000001</v>
      </c>
      <c r="L188" s="99">
        <v>8000</v>
      </c>
      <c r="M188" s="99">
        <v>8000</v>
      </c>
      <c r="N188" s="99">
        <v>0</v>
      </c>
      <c r="O188" s="99">
        <v>0</v>
      </c>
      <c r="P188" s="101">
        <v>44279.360000000001</v>
      </c>
      <c r="Q188" s="102">
        <f>P188/P$13</f>
        <v>1.2596461564919366E-4</v>
      </c>
      <c r="R188" s="103">
        <f>P188/I$5</f>
        <v>3.6859197992859465</v>
      </c>
      <c r="S188" s="375">
        <f>P188/I$7</f>
        <v>143.76415584415585</v>
      </c>
      <c r="T188" s="356"/>
      <c r="U188" s="104"/>
      <c r="V188" s="95"/>
      <c r="W188" s="105"/>
      <c r="X188" s="95"/>
      <c r="Y188" s="95"/>
      <c r="Z188" s="95"/>
      <c r="AA188" s="95"/>
      <c r="AB188" s="95"/>
      <c r="AC188" s="95"/>
      <c r="AD188" s="17">
        <f t="shared" si="39"/>
        <v>0</v>
      </c>
      <c r="AE188" s="17">
        <f t="shared" si="55"/>
        <v>0</v>
      </c>
      <c r="AF188" s="17">
        <f t="shared" si="55"/>
        <v>0</v>
      </c>
      <c r="AG188" s="17">
        <f t="shared" si="55"/>
        <v>0</v>
      </c>
      <c r="AH188" s="18" t="str">
        <f t="shared" si="41"/>
        <v>0,;!0,;!0,;!0</v>
      </c>
      <c r="AI188" s="18" t="e">
        <f>INDEX([1]Library!$AL:$AL,MATCH(AH188,[1]Library!$AJ:$AJ,0),1)</f>
        <v>#N/A</v>
      </c>
      <c r="AJ188" s="18" t="e">
        <f>TEXT(INDEX([1]Library!$W:$W,MATCH(AH188,[1]Library!$AJ:$AJ,0),1),"")</f>
        <v>#N/A</v>
      </c>
    </row>
    <row r="189" spans="1:36" ht="25.05" customHeight="1" outlineLevel="2">
      <c r="A189" s="376" t="s">
        <v>44</v>
      </c>
      <c r="B189" s="107" t="s">
        <v>44</v>
      </c>
      <c r="C189" s="108" t="s">
        <v>44</v>
      </c>
      <c r="D189" s="109" t="s">
        <v>217</v>
      </c>
      <c r="E189" s="289"/>
      <c r="F189" s="299"/>
      <c r="G189" s="62"/>
      <c r="H189" s="111">
        <v>1</v>
      </c>
      <c r="I189" s="112" t="s">
        <v>140</v>
      </c>
      <c r="J189" s="113">
        <v>36279.360000000001</v>
      </c>
      <c r="K189" s="114">
        <v>36279.360000000001</v>
      </c>
      <c r="L189" s="113">
        <v>8000</v>
      </c>
      <c r="M189" s="114">
        <v>8000</v>
      </c>
      <c r="N189" s="115">
        <v>0</v>
      </c>
      <c r="O189" s="114">
        <v>0</v>
      </c>
      <c r="P189" s="116">
        <v>44279.360000000001</v>
      </c>
      <c r="Q189" s="117">
        <f t="shared" ref="Q189:Q191" si="59">P189/P$13</f>
        <v>1.2596461564919366E-4</v>
      </c>
      <c r="R189" s="114">
        <f t="shared" ref="R189:R191" si="60">P189/I$5</f>
        <v>3.6859197992859465</v>
      </c>
      <c r="S189" s="377">
        <f t="shared" ref="S189:S191" si="61">P189/I$7</f>
        <v>143.76415584415585</v>
      </c>
      <c r="T189" s="357"/>
      <c r="U189" s="104"/>
      <c r="V189" s="95"/>
      <c r="W189" s="105"/>
      <c r="X189" s="95"/>
      <c r="Y189" s="95"/>
      <c r="Z189" s="95"/>
      <c r="AA189" s="95"/>
      <c r="AB189" s="95"/>
      <c r="AC189" s="95"/>
      <c r="AD189" s="17">
        <f t="shared" si="39"/>
        <v>0</v>
      </c>
      <c r="AE189" s="17">
        <f t="shared" si="55"/>
        <v>0</v>
      </c>
      <c r="AF189" s="17">
        <f t="shared" si="55"/>
        <v>0</v>
      </c>
      <c r="AG189" s="17">
        <f t="shared" si="55"/>
        <v>0</v>
      </c>
      <c r="AH189" s="18" t="str">
        <f t="shared" si="41"/>
        <v>0,;!0,;!0,;!0</v>
      </c>
      <c r="AI189" s="18" t="e">
        <f>INDEX([1]Library!$AL:$AL,MATCH(AH189,[1]Library!$AJ:$AJ,0),1)</f>
        <v>#N/A</v>
      </c>
      <c r="AJ189" s="18" t="e">
        <f>TEXT(INDEX([1]Library!$W:$W,MATCH(AH189,[1]Library!$AJ:$AJ,0),1),"")</f>
        <v>#N/A</v>
      </c>
    </row>
    <row r="190" spans="1:36" ht="25.05" customHeight="1" outlineLevel="2">
      <c r="A190" s="376" t="s">
        <v>44</v>
      </c>
      <c r="B190" s="107" t="s">
        <v>44</v>
      </c>
      <c r="C190" s="108" t="s">
        <v>44</v>
      </c>
      <c r="D190" s="109" t="s">
        <v>218</v>
      </c>
      <c r="E190" s="289"/>
      <c r="F190" s="299"/>
      <c r="G190" s="62"/>
      <c r="H190" s="111">
        <v>0</v>
      </c>
      <c r="I190" s="112" t="s">
        <v>140</v>
      </c>
      <c r="J190" s="113">
        <v>0</v>
      </c>
      <c r="K190" s="114">
        <v>0</v>
      </c>
      <c r="L190" s="113">
        <v>0</v>
      </c>
      <c r="M190" s="114">
        <v>0</v>
      </c>
      <c r="N190" s="115">
        <v>0</v>
      </c>
      <c r="O190" s="114">
        <v>0</v>
      </c>
      <c r="P190" s="116">
        <v>0</v>
      </c>
      <c r="Q190" s="117">
        <f t="shared" si="59"/>
        <v>0</v>
      </c>
      <c r="R190" s="114">
        <f t="shared" si="60"/>
        <v>0</v>
      </c>
      <c r="S190" s="377">
        <f t="shared" si="61"/>
        <v>0</v>
      </c>
      <c r="T190" s="357"/>
      <c r="U190" s="104"/>
      <c r="V190" s="95"/>
      <c r="W190" s="105"/>
      <c r="X190" s="95"/>
      <c r="Y190" s="95"/>
      <c r="Z190" s="95"/>
      <c r="AA190" s="95"/>
      <c r="AB190" s="95"/>
      <c r="AC190" s="95"/>
      <c r="AD190" s="17">
        <f t="shared" si="39"/>
        <v>0</v>
      </c>
      <c r="AE190" s="17">
        <f t="shared" ref="AE190:AG205" si="62">IF(AA190=" ",IF($X190&gt;=AE$12,AE189,""),AA190)</f>
        <v>0</v>
      </c>
      <c r="AF190" s="17">
        <f t="shared" si="62"/>
        <v>0</v>
      </c>
      <c r="AG190" s="17">
        <f t="shared" si="62"/>
        <v>0</v>
      </c>
      <c r="AH190" s="18" t="str">
        <f t="shared" si="41"/>
        <v>0,;!0,;!0,;!0</v>
      </c>
      <c r="AI190" s="18" t="e">
        <f>INDEX([1]Library!$AL:$AL,MATCH(AH190,[1]Library!$AJ:$AJ,0),1)</f>
        <v>#N/A</v>
      </c>
      <c r="AJ190" s="18" t="e">
        <f>TEXT(INDEX([1]Library!$W:$W,MATCH(AH190,[1]Library!$AJ:$AJ,0),1),"")</f>
        <v>#N/A</v>
      </c>
    </row>
    <row r="191" spans="1:36" ht="25.05" customHeight="1" outlineLevel="2">
      <c r="A191" s="376" t="s">
        <v>44</v>
      </c>
      <c r="B191" s="107" t="s">
        <v>44</v>
      </c>
      <c r="C191" s="108" t="s">
        <v>44</v>
      </c>
      <c r="D191" s="109" t="s">
        <v>219</v>
      </c>
      <c r="E191" s="289"/>
      <c r="F191" s="299"/>
      <c r="G191" s="62"/>
      <c r="H191" s="111">
        <v>0</v>
      </c>
      <c r="I191" s="112" t="s">
        <v>140</v>
      </c>
      <c r="J191" s="113">
        <v>0</v>
      </c>
      <c r="K191" s="114">
        <v>0</v>
      </c>
      <c r="L191" s="113">
        <v>0</v>
      </c>
      <c r="M191" s="114">
        <v>0</v>
      </c>
      <c r="N191" s="115">
        <v>0</v>
      </c>
      <c r="O191" s="114">
        <v>0</v>
      </c>
      <c r="P191" s="116">
        <v>0</v>
      </c>
      <c r="Q191" s="117">
        <f t="shared" si="59"/>
        <v>0</v>
      </c>
      <c r="R191" s="114">
        <f t="shared" si="60"/>
        <v>0</v>
      </c>
      <c r="S191" s="377">
        <f t="shared" si="61"/>
        <v>0</v>
      </c>
      <c r="T191" s="357"/>
      <c r="U191" s="104"/>
      <c r="V191" s="95"/>
      <c r="W191" s="105"/>
      <c r="X191" s="95"/>
      <c r="Y191" s="95"/>
      <c r="Z191" s="95"/>
      <c r="AA191" s="95"/>
      <c r="AB191" s="95"/>
      <c r="AC191" s="95"/>
      <c r="AD191" s="17">
        <f t="shared" si="39"/>
        <v>0</v>
      </c>
      <c r="AE191" s="17">
        <f t="shared" si="62"/>
        <v>0</v>
      </c>
      <c r="AF191" s="17">
        <f t="shared" si="62"/>
        <v>0</v>
      </c>
      <c r="AG191" s="17">
        <f t="shared" si="62"/>
        <v>0</v>
      </c>
      <c r="AH191" s="18" t="str">
        <f t="shared" si="41"/>
        <v>0,;!0,;!0,;!0</v>
      </c>
      <c r="AI191" s="18" t="e">
        <f>INDEX([1]Library!$AL:$AL,MATCH(AH191,[1]Library!$AJ:$AJ,0),1)</f>
        <v>#N/A</v>
      </c>
      <c r="AJ191" s="18" t="e">
        <f>TEXT(INDEX([1]Library!$W:$W,MATCH(AH191,[1]Library!$AJ:$AJ,0),1),"")</f>
        <v>#N/A</v>
      </c>
    </row>
    <row r="192" spans="1:36" ht="25.05" customHeight="1" outlineLevel="1">
      <c r="A192" s="374" t="s">
        <v>44</v>
      </c>
      <c r="B192" s="96" t="s">
        <v>44</v>
      </c>
      <c r="C192" s="97" t="s">
        <v>220</v>
      </c>
      <c r="D192" s="97"/>
      <c r="E192" s="98"/>
      <c r="F192" s="298"/>
      <c r="G192" s="62"/>
      <c r="H192" s="99">
        <v>1</v>
      </c>
      <c r="I192" s="100" t="s">
        <v>35</v>
      </c>
      <c r="J192" s="99">
        <v>1116695</v>
      </c>
      <c r="K192" s="99">
        <v>1116695</v>
      </c>
      <c r="L192" s="99">
        <v>62546</v>
      </c>
      <c r="M192" s="99">
        <v>62546</v>
      </c>
      <c r="N192" s="99">
        <v>0</v>
      </c>
      <c r="O192" s="99">
        <v>0</v>
      </c>
      <c r="P192" s="101">
        <v>1179241</v>
      </c>
      <c r="Q192" s="102">
        <f>P192/P$13</f>
        <v>3.354669970902262E-3</v>
      </c>
      <c r="R192" s="103">
        <f>P192/I$5</f>
        <v>98.162840430163371</v>
      </c>
      <c r="S192" s="375">
        <f>P192/I$7</f>
        <v>3828.7045454545455</v>
      </c>
      <c r="T192" s="356"/>
      <c r="U192" s="104"/>
      <c r="V192" s="95"/>
      <c r="W192" s="105"/>
      <c r="X192" s="95"/>
      <c r="Y192" s="95"/>
      <c r="Z192" s="95"/>
      <c r="AA192" s="95"/>
      <c r="AB192" s="95"/>
      <c r="AC192" s="95"/>
      <c r="AD192" s="17">
        <f t="shared" si="39"/>
        <v>0</v>
      </c>
      <c r="AE192" s="17">
        <f t="shared" si="62"/>
        <v>0</v>
      </c>
      <c r="AF192" s="17">
        <f t="shared" si="62"/>
        <v>0</v>
      </c>
      <c r="AG192" s="17">
        <f t="shared" si="62"/>
        <v>0</v>
      </c>
      <c r="AH192" s="18" t="str">
        <f t="shared" si="41"/>
        <v>0,;!0,;!0,;!0</v>
      </c>
      <c r="AI192" s="18" t="e">
        <f>INDEX([1]Library!$AL:$AL,MATCH(AH192,[1]Library!$AJ:$AJ,0),1)</f>
        <v>#N/A</v>
      </c>
      <c r="AJ192" s="18" t="e">
        <f>TEXT(INDEX([1]Library!$W:$W,MATCH(AH192,[1]Library!$AJ:$AJ,0),1),"")</f>
        <v>#N/A</v>
      </c>
    </row>
    <row r="193" spans="1:36" ht="25.05" customHeight="1" outlineLevel="2">
      <c r="A193" s="376" t="s">
        <v>44</v>
      </c>
      <c r="B193" s="107" t="s">
        <v>44</v>
      </c>
      <c r="C193" s="108" t="s">
        <v>44</v>
      </c>
      <c r="D193" s="109" t="s">
        <v>221</v>
      </c>
      <c r="E193" s="289"/>
      <c r="F193" s="299"/>
      <c r="G193" s="62"/>
      <c r="H193" s="111">
        <v>1</v>
      </c>
      <c r="I193" s="112" t="s">
        <v>140</v>
      </c>
      <c r="J193" s="113">
        <v>2000</v>
      </c>
      <c r="K193" s="114">
        <v>2000</v>
      </c>
      <c r="L193" s="113">
        <v>1000</v>
      </c>
      <c r="M193" s="114">
        <v>1000</v>
      </c>
      <c r="N193" s="115">
        <v>0</v>
      </c>
      <c r="O193" s="114">
        <v>0</v>
      </c>
      <c r="P193" s="116">
        <v>3000</v>
      </c>
      <c r="Q193" s="117">
        <f t="shared" ref="Q193:Q202" si="63">P193/P$13</f>
        <v>8.5343114025943692E-6</v>
      </c>
      <c r="R193" s="114">
        <f t="shared" ref="R193:R202" si="64">P193/I$5</f>
        <v>0.2497271730634282</v>
      </c>
      <c r="S193" s="377">
        <f t="shared" ref="S193:S202" si="65">P193/I$7</f>
        <v>9.7402597402597397</v>
      </c>
      <c r="T193" s="357"/>
      <c r="U193" s="104"/>
      <c r="V193" s="95"/>
      <c r="W193" s="105"/>
      <c r="X193" s="95"/>
      <c r="Y193" s="95"/>
      <c r="Z193" s="95"/>
      <c r="AA193" s="95"/>
      <c r="AB193" s="95"/>
      <c r="AC193" s="95"/>
      <c r="AD193" s="17">
        <f t="shared" si="39"/>
        <v>0</v>
      </c>
      <c r="AE193" s="17">
        <f t="shared" si="62"/>
        <v>0</v>
      </c>
      <c r="AF193" s="17">
        <f t="shared" si="62"/>
        <v>0</v>
      </c>
      <c r="AG193" s="17">
        <f t="shared" si="62"/>
        <v>0</v>
      </c>
      <c r="AH193" s="18" t="str">
        <f t="shared" si="41"/>
        <v>0,;!0,;!0,;!0</v>
      </c>
      <c r="AI193" s="18" t="e">
        <f>INDEX([1]Library!$AL:$AL,MATCH(AH193,[1]Library!$AJ:$AJ,0),1)</f>
        <v>#N/A</v>
      </c>
      <c r="AJ193" s="18" t="e">
        <f>TEXT(INDEX([1]Library!$W:$W,MATCH(AH193,[1]Library!$AJ:$AJ,0),1),"")</f>
        <v>#N/A</v>
      </c>
    </row>
    <row r="194" spans="1:36" ht="25.05" customHeight="1" outlineLevel="2">
      <c r="A194" s="376" t="s">
        <v>44</v>
      </c>
      <c r="B194" s="107" t="s">
        <v>44</v>
      </c>
      <c r="C194" s="108" t="s">
        <v>44</v>
      </c>
      <c r="D194" s="109" t="s">
        <v>222</v>
      </c>
      <c r="E194" s="289"/>
      <c r="F194" s="299"/>
      <c r="G194" s="62"/>
      <c r="H194" s="111">
        <v>1</v>
      </c>
      <c r="I194" s="112" t="s">
        <v>140</v>
      </c>
      <c r="J194" s="113">
        <v>2000</v>
      </c>
      <c r="K194" s="114">
        <v>2000</v>
      </c>
      <c r="L194" s="113">
        <v>1000</v>
      </c>
      <c r="M194" s="114">
        <v>1000</v>
      </c>
      <c r="N194" s="115">
        <v>0</v>
      </c>
      <c r="O194" s="114">
        <v>0</v>
      </c>
      <c r="P194" s="116">
        <v>3000</v>
      </c>
      <c r="Q194" s="117">
        <f t="shared" si="63"/>
        <v>8.5343114025943692E-6</v>
      </c>
      <c r="R194" s="114">
        <f t="shared" si="64"/>
        <v>0.2497271730634282</v>
      </c>
      <c r="S194" s="377">
        <f t="shared" si="65"/>
        <v>9.7402597402597397</v>
      </c>
      <c r="T194" s="357"/>
      <c r="U194" s="104"/>
      <c r="V194" s="95"/>
      <c r="W194" s="105"/>
      <c r="X194" s="95"/>
      <c r="Y194" s="95"/>
      <c r="Z194" s="95"/>
      <c r="AA194" s="95"/>
      <c r="AB194" s="95"/>
      <c r="AC194" s="95"/>
      <c r="AD194" s="17">
        <f t="shared" si="39"/>
        <v>0</v>
      </c>
      <c r="AE194" s="17">
        <f t="shared" si="62"/>
        <v>0</v>
      </c>
      <c r="AF194" s="17">
        <f t="shared" si="62"/>
        <v>0</v>
      </c>
      <c r="AG194" s="17">
        <f t="shared" si="62"/>
        <v>0</v>
      </c>
      <c r="AH194" s="18" t="str">
        <f t="shared" si="41"/>
        <v>0,;!0,;!0,;!0</v>
      </c>
      <c r="AI194" s="18" t="e">
        <f>INDEX([1]Library!$AL:$AL,MATCH(AH194,[1]Library!$AJ:$AJ,0),1)</f>
        <v>#N/A</v>
      </c>
      <c r="AJ194" s="18" t="e">
        <f>TEXT(INDEX([1]Library!$W:$W,MATCH(AH194,[1]Library!$AJ:$AJ,0),1),"")</f>
        <v>#N/A</v>
      </c>
    </row>
    <row r="195" spans="1:36" ht="25.05" customHeight="1" outlineLevel="2">
      <c r="A195" s="376" t="s">
        <v>44</v>
      </c>
      <c r="B195" s="107" t="s">
        <v>44</v>
      </c>
      <c r="C195" s="108" t="s">
        <v>44</v>
      </c>
      <c r="D195" s="109" t="s">
        <v>223</v>
      </c>
      <c r="E195" s="289"/>
      <c r="F195" s="299"/>
      <c r="G195" s="62"/>
      <c r="H195" s="111">
        <v>1</v>
      </c>
      <c r="I195" s="112" t="s">
        <v>140</v>
      </c>
      <c r="J195" s="113">
        <v>5800</v>
      </c>
      <c r="K195" s="114">
        <v>5800</v>
      </c>
      <c r="L195" s="113">
        <v>1000</v>
      </c>
      <c r="M195" s="114">
        <v>1000</v>
      </c>
      <c r="N195" s="115">
        <v>0</v>
      </c>
      <c r="O195" s="114">
        <v>0</v>
      </c>
      <c r="P195" s="116">
        <v>6800</v>
      </c>
      <c r="Q195" s="117">
        <f t="shared" si="63"/>
        <v>1.9344439179213904E-5</v>
      </c>
      <c r="R195" s="114">
        <f t="shared" si="64"/>
        <v>0.56604825894377053</v>
      </c>
      <c r="S195" s="377">
        <f t="shared" si="65"/>
        <v>22.077922077922079</v>
      </c>
      <c r="T195" s="357"/>
      <c r="U195" s="104"/>
      <c r="V195" s="95"/>
      <c r="W195" s="105"/>
      <c r="X195" s="95"/>
      <c r="Y195" s="95"/>
      <c r="Z195" s="95"/>
      <c r="AA195" s="95"/>
      <c r="AB195" s="95"/>
      <c r="AC195" s="95"/>
      <c r="AD195" s="17">
        <f t="shared" si="39"/>
        <v>0</v>
      </c>
      <c r="AE195" s="17">
        <f t="shared" si="62"/>
        <v>0</v>
      </c>
      <c r="AF195" s="17">
        <f t="shared" si="62"/>
        <v>0</v>
      </c>
      <c r="AG195" s="17">
        <f t="shared" si="62"/>
        <v>0</v>
      </c>
      <c r="AH195" s="18" t="str">
        <f t="shared" si="41"/>
        <v>0,;!0,;!0,;!0</v>
      </c>
      <c r="AI195" s="18" t="e">
        <f>INDEX([1]Library!$AL:$AL,MATCH(AH195,[1]Library!$AJ:$AJ,0),1)</f>
        <v>#N/A</v>
      </c>
      <c r="AJ195" s="18" t="e">
        <f>TEXT(INDEX([1]Library!$W:$W,MATCH(AH195,[1]Library!$AJ:$AJ,0),1),"")</f>
        <v>#N/A</v>
      </c>
    </row>
    <row r="196" spans="1:36" ht="25.05" customHeight="1" outlineLevel="2">
      <c r="A196" s="376" t="s">
        <v>44</v>
      </c>
      <c r="B196" s="107" t="s">
        <v>44</v>
      </c>
      <c r="C196" s="108" t="s">
        <v>44</v>
      </c>
      <c r="D196" s="109" t="s">
        <v>224</v>
      </c>
      <c r="E196" s="289"/>
      <c r="F196" s="299"/>
      <c r="G196" s="62"/>
      <c r="H196" s="111">
        <v>1</v>
      </c>
      <c r="I196" s="112" t="s">
        <v>140</v>
      </c>
      <c r="J196" s="113">
        <v>169150</v>
      </c>
      <c r="K196" s="114">
        <v>169150</v>
      </c>
      <c r="L196" s="113">
        <v>9950</v>
      </c>
      <c r="M196" s="114">
        <v>9950</v>
      </c>
      <c r="N196" s="115">
        <v>0</v>
      </c>
      <c r="O196" s="114">
        <v>0</v>
      </c>
      <c r="P196" s="116">
        <v>179100</v>
      </c>
      <c r="Q196" s="117">
        <f t="shared" si="63"/>
        <v>5.0949839073488384E-4</v>
      </c>
      <c r="R196" s="114">
        <f t="shared" si="64"/>
        <v>14.908712231886662</v>
      </c>
      <c r="S196" s="377">
        <f t="shared" si="65"/>
        <v>581.49350649350652</v>
      </c>
      <c r="T196" s="357"/>
      <c r="U196" s="104"/>
      <c r="V196" s="95"/>
      <c r="W196" s="105"/>
      <c r="X196" s="95"/>
      <c r="Y196" s="95"/>
      <c r="Z196" s="95"/>
      <c r="AA196" s="95"/>
      <c r="AB196" s="95"/>
      <c r="AC196" s="95"/>
      <c r="AD196" s="17">
        <f t="shared" si="39"/>
        <v>0</v>
      </c>
      <c r="AE196" s="17">
        <f t="shared" si="62"/>
        <v>0</v>
      </c>
      <c r="AF196" s="17">
        <f t="shared" si="62"/>
        <v>0</v>
      </c>
      <c r="AG196" s="17">
        <f t="shared" si="62"/>
        <v>0</v>
      </c>
      <c r="AH196" s="18" t="str">
        <f t="shared" si="41"/>
        <v>0,;!0,;!0,;!0</v>
      </c>
      <c r="AI196" s="18" t="e">
        <f>INDEX([1]Library!$AL:$AL,MATCH(AH196,[1]Library!$AJ:$AJ,0),1)</f>
        <v>#N/A</v>
      </c>
      <c r="AJ196" s="18" t="e">
        <f>TEXT(INDEX([1]Library!$W:$W,MATCH(AH196,[1]Library!$AJ:$AJ,0),1),"")</f>
        <v>#N/A</v>
      </c>
    </row>
    <row r="197" spans="1:36" ht="25.05" customHeight="1" outlineLevel="2">
      <c r="A197" s="376" t="s">
        <v>44</v>
      </c>
      <c r="B197" s="107" t="s">
        <v>44</v>
      </c>
      <c r="C197" s="108" t="s">
        <v>44</v>
      </c>
      <c r="D197" s="109" t="s">
        <v>225</v>
      </c>
      <c r="E197" s="289"/>
      <c r="F197" s="299"/>
      <c r="G197" s="62"/>
      <c r="H197" s="111">
        <v>1</v>
      </c>
      <c r="I197" s="112" t="s">
        <v>140</v>
      </c>
      <c r="J197" s="113">
        <v>179100</v>
      </c>
      <c r="K197" s="114">
        <v>179100</v>
      </c>
      <c r="L197" s="113">
        <v>9950</v>
      </c>
      <c r="M197" s="114">
        <v>9950</v>
      </c>
      <c r="N197" s="115">
        <v>0</v>
      </c>
      <c r="O197" s="114">
        <v>0</v>
      </c>
      <c r="P197" s="116">
        <v>189050</v>
      </c>
      <c r="Q197" s="117">
        <f t="shared" si="63"/>
        <v>5.3780385688682181E-4</v>
      </c>
      <c r="R197" s="114">
        <f t="shared" si="64"/>
        <v>15.736974022547033</v>
      </c>
      <c r="S197" s="377">
        <f t="shared" si="65"/>
        <v>613.7987012987013</v>
      </c>
      <c r="T197" s="357"/>
      <c r="U197" s="104"/>
      <c r="V197" s="95"/>
      <c r="W197" s="105"/>
      <c r="X197" s="95"/>
      <c r="Y197" s="95"/>
      <c r="Z197" s="95"/>
      <c r="AA197" s="95"/>
      <c r="AB197" s="95"/>
      <c r="AC197" s="95"/>
      <c r="AD197" s="17">
        <f t="shared" si="39"/>
        <v>0</v>
      </c>
      <c r="AE197" s="17">
        <f t="shared" si="62"/>
        <v>0</v>
      </c>
      <c r="AF197" s="17">
        <f t="shared" si="62"/>
        <v>0</v>
      </c>
      <c r="AG197" s="17">
        <f t="shared" si="62"/>
        <v>0</v>
      </c>
      <c r="AH197" s="18" t="str">
        <f t="shared" si="41"/>
        <v>0,;!0,;!0,;!0</v>
      </c>
      <c r="AI197" s="18" t="e">
        <f>INDEX([1]Library!$AL:$AL,MATCH(AH197,[1]Library!$AJ:$AJ,0),1)</f>
        <v>#N/A</v>
      </c>
      <c r="AJ197" s="18" t="e">
        <f>TEXT(INDEX([1]Library!$W:$W,MATCH(AH197,[1]Library!$AJ:$AJ,0),1),"")</f>
        <v>#N/A</v>
      </c>
    </row>
    <row r="198" spans="1:36" ht="25.05" customHeight="1" outlineLevel="2">
      <c r="A198" s="376" t="s">
        <v>44</v>
      </c>
      <c r="B198" s="107" t="s">
        <v>44</v>
      </c>
      <c r="C198" s="108" t="s">
        <v>44</v>
      </c>
      <c r="D198" s="109" t="s">
        <v>226</v>
      </c>
      <c r="E198" s="289"/>
      <c r="F198" s="299"/>
      <c r="G198" s="62"/>
      <c r="H198" s="111">
        <v>0</v>
      </c>
      <c r="I198" s="112" t="s">
        <v>140</v>
      </c>
      <c r="J198" s="113">
        <v>0</v>
      </c>
      <c r="K198" s="114">
        <v>0</v>
      </c>
      <c r="L198" s="113">
        <v>0</v>
      </c>
      <c r="M198" s="114">
        <v>0</v>
      </c>
      <c r="N198" s="115">
        <v>0</v>
      </c>
      <c r="O198" s="114">
        <v>0</v>
      </c>
      <c r="P198" s="116">
        <v>0</v>
      </c>
      <c r="Q198" s="117">
        <f t="shared" si="63"/>
        <v>0</v>
      </c>
      <c r="R198" s="114">
        <f t="shared" si="64"/>
        <v>0</v>
      </c>
      <c r="S198" s="377">
        <f t="shared" si="65"/>
        <v>0</v>
      </c>
      <c r="T198" s="357"/>
      <c r="U198" s="104"/>
      <c r="V198" s="95"/>
      <c r="W198" s="105"/>
      <c r="X198" s="95"/>
      <c r="Y198" s="95"/>
      <c r="Z198" s="95"/>
      <c r="AA198" s="95"/>
      <c r="AB198" s="95"/>
      <c r="AC198" s="95"/>
      <c r="AD198" s="17">
        <f t="shared" si="39"/>
        <v>0</v>
      </c>
      <c r="AE198" s="17">
        <f t="shared" si="62"/>
        <v>0</v>
      </c>
      <c r="AF198" s="17">
        <f t="shared" si="62"/>
        <v>0</v>
      </c>
      <c r="AG198" s="17">
        <f t="shared" si="62"/>
        <v>0</v>
      </c>
      <c r="AH198" s="18" t="str">
        <f t="shared" si="41"/>
        <v>0,;!0,;!0,;!0</v>
      </c>
      <c r="AI198" s="18" t="e">
        <f>INDEX([1]Library!$AL:$AL,MATCH(AH198,[1]Library!$AJ:$AJ,0),1)</f>
        <v>#N/A</v>
      </c>
      <c r="AJ198" s="18" t="e">
        <f>TEXT(INDEX([1]Library!$W:$W,MATCH(AH198,[1]Library!$AJ:$AJ,0),1),"")</f>
        <v>#N/A</v>
      </c>
    </row>
    <row r="199" spans="1:36" ht="25.05" customHeight="1" outlineLevel="2">
      <c r="A199" s="376" t="s">
        <v>44</v>
      </c>
      <c r="B199" s="107" t="s">
        <v>44</v>
      </c>
      <c r="C199" s="108" t="s">
        <v>44</v>
      </c>
      <c r="D199" s="109" t="s">
        <v>227</v>
      </c>
      <c r="E199" s="289"/>
      <c r="F199" s="299"/>
      <c r="G199" s="62"/>
      <c r="H199" s="111">
        <v>0</v>
      </c>
      <c r="I199" s="112" t="s">
        <v>140</v>
      </c>
      <c r="J199" s="113">
        <v>0</v>
      </c>
      <c r="K199" s="114">
        <v>0</v>
      </c>
      <c r="L199" s="113">
        <v>0</v>
      </c>
      <c r="M199" s="114">
        <v>0</v>
      </c>
      <c r="N199" s="115">
        <v>0</v>
      </c>
      <c r="O199" s="114">
        <v>0</v>
      </c>
      <c r="P199" s="116">
        <v>0</v>
      </c>
      <c r="Q199" s="117">
        <f t="shared" si="63"/>
        <v>0</v>
      </c>
      <c r="R199" s="114">
        <f t="shared" si="64"/>
        <v>0</v>
      </c>
      <c r="S199" s="377">
        <f t="shared" si="65"/>
        <v>0</v>
      </c>
      <c r="T199" s="357"/>
      <c r="U199" s="104"/>
      <c r="V199" s="95"/>
      <c r="W199" s="105"/>
      <c r="X199" s="95"/>
      <c r="Y199" s="95"/>
      <c r="Z199" s="95"/>
      <c r="AA199" s="95"/>
      <c r="AB199" s="95"/>
      <c r="AC199" s="95"/>
      <c r="AD199" s="17">
        <f t="shared" si="39"/>
        <v>0</v>
      </c>
      <c r="AE199" s="17">
        <f t="shared" si="62"/>
        <v>0</v>
      </c>
      <c r="AF199" s="17">
        <f t="shared" si="62"/>
        <v>0</v>
      </c>
      <c r="AG199" s="17">
        <f t="shared" si="62"/>
        <v>0</v>
      </c>
      <c r="AH199" s="18" t="str">
        <f t="shared" si="41"/>
        <v>0,;!0,;!0,;!0</v>
      </c>
      <c r="AI199" s="18" t="e">
        <f>INDEX([1]Library!$AL:$AL,MATCH(AH199,[1]Library!$AJ:$AJ,0),1)</f>
        <v>#N/A</v>
      </c>
      <c r="AJ199" s="18" t="e">
        <f>TEXT(INDEX([1]Library!$W:$W,MATCH(AH199,[1]Library!$AJ:$AJ,0),1),"")</f>
        <v>#N/A</v>
      </c>
    </row>
    <row r="200" spans="1:36" ht="25.05" customHeight="1" outlineLevel="2">
      <c r="A200" s="376" t="s">
        <v>44</v>
      </c>
      <c r="B200" s="107" t="s">
        <v>44</v>
      </c>
      <c r="C200" s="108" t="s">
        <v>44</v>
      </c>
      <c r="D200" s="109" t="s">
        <v>228</v>
      </c>
      <c r="E200" s="289"/>
      <c r="F200" s="299"/>
      <c r="G200" s="62"/>
      <c r="H200" s="111">
        <v>2</v>
      </c>
      <c r="I200" s="112" t="s">
        <v>140</v>
      </c>
      <c r="J200" s="113">
        <v>265200</v>
      </c>
      <c r="K200" s="114">
        <v>530400</v>
      </c>
      <c r="L200" s="113">
        <v>13260</v>
      </c>
      <c r="M200" s="114">
        <v>26520</v>
      </c>
      <c r="N200" s="115">
        <v>0</v>
      </c>
      <c r="O200" s="114">
        <v>0</v>
      </c>
      <c r="P200" s="116">
        <v>556920</v>
      </c>
      <c r="Q200" s="117">
        <f t="shared" si="63"/>
        <v>1.5843095687776186E-3</v>
      </c>
      <c r="R200" s="114">
        <f t="shared" si="64"/>
        <v>46.359352407494811</v>
      </c>
      <c r="S200" s="377">
        <f t="shared" si="65"/>
        <v>1808.1818181818182</v>
      </c>
      <c r="T200" s="357"/>
      <c r="U200" s="104"/>
      <c r="V200" s="95"/>
      <c r="W200" s="105"/>
      <c r="X200" s="95"/>
      <c r="Y200" s="95"/>
      <c r="Z200" s="95"/>
      <c r="AA200" s="95"/>
      <c r="AB200" s="95"/>
      <c r="AC200" s="95"/>
      <c r="AD200" s="17">
        <f t="shared" si="39"/>
        <v>0</v>
      </c>
      <c r="AE200" s="17">
        <f t="shared" si="62"/>
        <v>0</v>
      </c>
      <c r="AF200" s="17">
        <f t="shared" si="62"/>
        <v>0</v>
      </c>
      <c r="AG200" s="17">
        <f t="shared" si="62"/>
        <v>0</v>
      </c>
      <c r="AH200" s="18" t="str">
        <f t="shared" si="41"/>
        <v>0,;!0,;!0,;!0</v>
      </c>
      <c r="AI200" s="18" t="e">
        <f>INDEX([1]Library!$AL:$AL,MATCH(AH200,[1]Library!$AJ:$AJ,0),1)</f>
        <v>#N/A</v>
      </c>
      <c r="AJ200" s="18" t="e">
        <f>TEXT(INDEX([1]Library!$W:$W,MATCH(AH200,[1]Library!$AJ:$AJ,0),1),"")</f>
        <v>#N/A</v>
      </c>
    </row>
    <row r="201" spans="1:36" ht="25.05" customHeight="1" outlineLevel="2">
      <c r="A201" s="376" t="s">
        <v>44</v>
      </c>
      <c r="B201" s="107" t="s">
        <v>44</v>
      </c>
      <c r="C201" s="108" t="s">
        <v>44</v>
      </c>
      <c r="D201" s="109" t="s">
        <v>229</v>
      </c>
      <c r="E201" s="289"/>
      <c r="F201" s="299"/>
      <c r="G201" s="62"/>
      <c r="H201" s="111">
        <v>1</v>
      </c>
      <c r="I201" s="112" t="s">
        <v>140</v>
      </c>
      <c r="J201" s="113">
        <v>212520</v>
      </c>
      <c r="K201" s="114">
        <v>212520</v>
      </c>
      <c r="L201" s="113">
        <v>10626</v>
      </c>
      <c r="M201" s="114">
        <v>10626</v>
      </c>
      <c r="N201" s="115">
        <v>0</v>
      </c>
      <c r="O201" s="114">
        <v>0</v>
      </c>
      <c r="P201" s="116">
        <v>223146</v>
      </c>
      <c r="Q201" s="117">
        <f t="shared" si="63"/>
        <v>6.3479915074777431E-4</v>
      </c>
      <c r="R201" s="114">
        <f t="shared" si="64"/>
        <v>18.575206586803915</v>
      </c>
      <c r="S201" s="377">
        <f t="shared" si="65"/>
        <v>724.5</v>
      </c>
      <c r="T201" s="357"/>
      <c r="U201" s="104"/>
      <c r="V201" s="95"/>
      <c r="W201" s="105"/>
      <c r="X201" s="95"/>
      <c r="Y201" s="95"/>
      <c r="Z201" s="95"/>
      <c r="AA201" s="95"/>
      <c r="AB201" s="95"/>
      <c r="AC201" s="95"/>
      <c r="AD201" s="17">
        <f t="shared" si="39"/>
        <v>0</v>
      </c>
      <c r="AE201" s="17">
        <f t="shared" si="62"/>
        <v>0</v>
      </c>
      <c r="AF201" s="17">
        <f t="shared" si="62"/>
        <v>0</v>
      </c>
      <c r="AG201" s="17">
        <f t="shared" si="62"/>
        <v>0</v>
      </c>
      <c r="AH201" s="18" t="str">
        <f t="shared" si="41"/>
        <v>0,;!0,;!0,;!0</v>
      </c>
      <c r="AI201" s="18" t="e">
        <f>INDEX([1]Library!$AL:$AL,MATCH(AH201,[1]Library!$AJ:$AJ,0),1)</f>
        <v>#N/A</v>
      </c>
      <c r="AJ201" s="18" t="e">
        <f>TEXT(INDEX([1]Library!$W:$W,MATCH(AH201,[1]Library!$AJ:$AJ,0),1),"")</f>
        <v>#N/A</v>
      </c>
    </row>
    <row r="202" spans="1:36" ht="25.05" customHeight="1" outlineLevel="2">
      <c r="A202" s="376" t="s">
        <v>44</v>
      </c>
      <c r="B202" s="107" t="s">
        <v>44</v>
      </c>
      <c r="C202" s="108" t="s">
        <v>44</v>
      </c>
      <c r="D202" s="109" t="s">
        <v>230</v>
      </c>
      <c r="E202" s="289"/>
      <c r="F202" s="299"/>
      <c r="G202" s="62"/>
      <c r="H202" s="111">
        <v>1</v>
      </c>
      <c r="I202" s="112" t="s">
        <v>140</v>
      </c>
      <c r="J202" s="113">
        <v>15725</v>
      </c>
      <c r="K202" s="114">
        <v>15725</v>
      </c>
      <c r="L202" s="113">
        <v>2500</v>
      </c>
      <c r="M202" s="114">
        <v>2500</v>
      </c>
      <c r="N202" s="115">
        <v>0</v>
      </c>
      <c r="O202" s="114">
        <v>0</v>
      </c>
      <c r="P202" s="116">
        <v>18225</v>
      </c>
      <c r="Q202" s="117">
        <f t="shared" si="63"/>
        <v>5.1845941770760791E-5</v>
      </c>
      <c r="R202" s="114">
        <f t="shared" si="64"/>
        <v>1.5170925763603262</v>
      </c>
      <c r="S202" s="377">
        <f t="shared" si="65"/>
        <v>59.172077922077925</v>
      </c>
      <c r="T202" s="357"/>
      <c r="U202" s="104"/>
      <c r="V202" s="95"/>
      <c r="W202" s="105"/>
      <c r="X202" s="95"/>
      <c r="Y202" s="95"/>
      <c r="Z202" s="95"/>
      <c r="AA202" s="95"/>
      <c r="AB202" s="95"/>
      <c r="AC202" s="95"/>
      <c r="AD202" s="17">
        <f t="shared" si="39"/>
        <v>0</v>
      </c>
      <c r="AE202" s="17">
        <f t="shared" si="62"/>
        <v>0</v>
      </c>
      <c r="AF202" s="17">
        <f t="shared" si="62"/>
        <v>0</v>
      </c>
      <c r="AG202" s="17">
        <f t="shared" si="62"/>
        <v>0</v>
      </c>
      <c r="AH202" s="18" t="str">
        <f t="shared" si="41"/>
        <v>0,;!0,;!0,;!0</v>
      </c>
      <c r="AI202" s="18" t="e">
        <f>INDEX([1]Library!$AL:$AL,MATCH(AH202,[1]Library!$AJ:$AJ,0),1)</f>
        <v>#N/A</v>
      </c>
      <c r="AJ202" s="18" t="e">
        <f>TEXT(INDEX([1]Library!$W:$W,MATCH(AH202,[1]Library!$AJ:$AJ,0),1),"")</f>
        <v>#N/A</v>
      </c>
    </row>
    <row r="203" spans="1:36" ht="25.05" customHeight="1" outlineLevel="1">
      <c r="A203" s="374" t="s">
        <v>44</v>
      </c>
      <c r="B203" s="96" t="s">
        <v>44</v>
      </c>
      <c r="C203" s="97" t="s">
        <v>231</v>
      </c>
      <c r="D203" s="97"/>
      <c r="E203" s="98"/>
      <c r="F203" s="298"/>
      <c r="G203" s="62"/>
      <c r="H203" s="99">
        <v>1</v>
      </c>
      <c r="I203" s="100" t="s">
        <v>35</v>
      </c>
      <c r="J203" s="99">
        <v>12393.738026819925</v>
      </c>
      <c r="K203" s="99">
        <v>12393.738026819925</v>
      </c>
      <c r="L203" s="99">
        <v>11774.051125478929</v>
      </c>
      <c r="M203" s="99">
        <v>11774.051125478929</v>
      </c>
      <c r="N203" s="99">
        <v>0</v>
      </c>
      <c r="O203" s="99">
        <v>0</v>
      </c>
      <c r="P203" s="101">
        <v>24167.789152298854</v>
      </c>
      <c r="Q203" s="102">
        <f>P203/P$13</f>
        <v>6.8751812845986869E-5</v>
      </c>
      <c r="R203" s="103">
        <f>P203/I$5</f>
        <v>2.0117845547321926</v>
      </c>
      <c r="S203" s="375">
        <f>P203/I$7</f>
        <v>78.466847897074203</v>
      </c>
      <c r="T203" s="356"/>
      <c r="U203" s="104"/>
      <c r="V203" s="95"/>
      <c r="W203" s="105"/>
      <c r="X203" s="95"/>
      <c r="Y203" s="95"/>
      <c r="Z203" s="95"/>
      <c r="AA203" s="95"/>
      <c r="AB203" s="95"/>
      <c r="AC203" s="95"/>
      <c r="AD203" s="17">
        <f t="shared" si="39"/>
        <v>0</v>
      </c>
      <c r="AE203" s="17">
        <f t="shared" si="62"/>
        <v>0</v>
      </c>
      <c r="AF203" s="17">
        <f t="shared" si="62"/>
        <v>0</v>
      </c>
      <c r="AG203" s="17">
        <f t="shared" si="62"/>
        <v>0</v>
      </c>
      <c r="AH203" s="18" t="str">
        <f t="shared" si="41"/>
        <v>0,;!0,;!0,;!0</v>
      </c>
      <c r="AI203" s="18" t="e">
        <f>INDEX([1]Library!$AL:$AL,MATCH(AH203,[1]Library!$AJ:$AJ,0),1)</f>
        <v>#N/A</v>
      </c>
      <c r="AJ203" s="18" t="e">
        <f>TEXT(INDEX([1]Library!$W:$W,MATCH(AH203,[1]Library!$AJ:$AJ,0),1),"")</f>
        <v>#N/A</v>
      </c>
    </row>
    <row r="204" spans="1:36" ht="25.05" customHeight="1" outlineLevel="2">
      <c r="A204" s="376" t="s">
        <v>44</v>
      </c>
      <c r="B204" s="107" t="s">
        <v>44</v>
      </c>
      <c r="C204" s="108" t="s">
        <v>44</v>
      </c>
      <c r="D204" s="109" t="s">
        <v>232</v>
      </c>
      <c r="E204" s="289"/>
      <c r="F204" s="299"/>
      <c r="G204" s="62"/>
      <c r="H204" s="111">
        <v>7</v>
      </c>
      <c r="I204" s="112" t="s">
        <v>122</v>
      </c>
      <c r="J204" s="113">
        <v>1770.5340038314177</v>
      </c>
      <c r="K204" s="114">
        <v>12393.738026819925</v>
      </c>
      <c r="L204" s="113">
        <v>1682.0073036398469</v>
      </c>
      <c r="M204" s="114">
        <v>11774.051125478929</v>
      </c>
      <c r="N204" s="115">
        <v>0</v>
      </c>
      <c r="O204" s="114">
        <v>0</v>
      </c>
      <c r="P204" s="116">
        <v>24167.789152298854</v>
      </c>
      <c r="Q204" s="117">
        <f>P204/P$13</f>
        <v>6.8751812845986869E-5</v>
      </c>
      <c r="R204" s="114">
        <f>P204/I$5</f>
        <v>2.0117845547321926</v>
      </c>
      <c r="S204" s="377">
        <f>P204/I$7</f>
        <v>78.466847897074203</v>
      </c>
      <c r="T204" s="357"/>
      <c r="U204" s="104"/>
      <c r="V204" s="95"/>
      <c r="W204" s="105"/>
      <c r="X204" s="95"/>
      <c r="Y204" s="95"/>
      <c r="Z204" s="95"/>
      <c r="AA204" s="95"/>
      <c r="AB204" s="95"/>
      <c r="AC204" s="95"/>
      <c r="AD204" s="17">
        <f t="shared" si="39"/>
        <v>0</v>
      </c>
      <c r="AE204" s="17">
        <f t="shared" si="62"/>
        <v>0</v>
      </c>
      <c r="AF204" s="17">
        <f t="shared" si="62"/>
        <v>0</v>
      </c>
      <c r="AG204" s="17">
        <f t="shared" si="62"/>
        <v>0</v>
      </c>
      <c r="AH204" s="18" t="str">
        <f t="shared" si="41"/>
        <v>0,;!0,;!0,;!0</v>
      </c>
      <c r="AI204" s="18" t="e">
        <f>INDEX([1]Library!$AL:$AL,MATCH(AH204,[1]Library!$AJ:$AJ,0),1)</f>
        <v>#N/A</v>
      </c>
      <c r="AJ204" s="18" t="e">
        <f>TEXT(INDEX([1]Library!$W:$W,MATCH(AH204,[1]Library!$AJ:$AJ,0),1),"")</f>
        <v>#N/A</v>
      </c>
    </row>
    <row r="205" spans="1:36" ht="25.05" customHeight="1" outlineLevel="1">
      <c r="A205" s="374" t="s">
        <v>44</v>
      </c>
      <c r="B205" s="96" t="s">
        <v>44</v>
      </c>
      <c r="C205" s="97" t="s">
        <v>233</v>
      </c>
      <c r="D205" s="97"/>
      <c r="E205" s="98"/>
      <c r="F205" s="298"/>
      <c r="G205" s="62"/>
      <c r="H205" s="99">
        <v>1</v>
      </c>
      <c r="I205" s="100" t="s">
        <v>35</v>
      </c>
      <c r="J205" s="99">
        <v>330000</v>
      </c>
      <c r="K205" s="99">
        <v>330000</v>
      </c>
      <c r="L205" s="99">
        <v>60000</v>
      </c>
      <c r="M205" s="99">
        <v>60000</v>
      </c>
      <c r="N205" s="99">
        <v>0</v>
      </c>
      <c r="O205" s="99">
        <v>0</v>
      </c>
      <c r="P205" s="101">
        <v>390000</v>
      </c>
      <c r="Q205" s="102">
        <f>P205/P$13</f>
        <v>1.1094604823372678E-3</v>
      </c>
      <c r="R205" s="103">
        <f>P205/I$5</f>
        <v>32.464532498245667</v>
      </c>
      <c r="S205" s="375">
        <f>P205/I$7</f>
        <v>1266.2337662337663</v>
      </c>
      <c r="T205" s="356"/>
      <c r="U205" s="104"/>
      <c r="V205" s="95"/>
      <c r="W205" s="105"/>
      <c r="X205" s="95"/>
      <c r="Y205" s="95"/>
      <c r="Z205" s="95"/>
      <c r="AA205" s="95"/>
      <c r="AB205" s="95"/>
      <c r="AC205" s="95"/>
      <c r="AD205" s="17">
        <f t="shared" si="39"/>
        <v>0</v>
      </c>
      <c r="AE205" s="17">
        <f t="shared" si="62"/>
        <v>0</v>
      </c>
      <c r="AF205" s="17">
        <f t="shared" si="62"/>
        <v>0</v>
      </c>
      <c r="AG205" s="17">
        <f t="shared" si="62"/>
        <v>0</v>
      </c>
      <c r="AH205" s="18" t="str">
        <f t="shared" si="41"/>
        <v>0,;!0,;!0,;!0</v>
      </c>
      <c r="AI205" s="18" t="e">
        <f>INDEX([1]Library!$AL:$AL,MATCH(AH205,[1]Library!$AJ:$AJ,0),1)</f>
        <v>#N/A</v>
      </c>
      <c r="AJ205" s="18" t="e">
        <f>TEXT(INDEX([1]Library!$W:$W,MATCH(AH205,[1]Library!$AJ:$AJ,0),1),"")</f>
        <v>#N/A</v>
      </c>
    </row>
    <row r="206" spans="1:36" ht="25.05" customHeight="1" outlineLevel="2">
      <c r="A206" s="376" t="s">
        <v>44</v>
      </c>
      <c r="B206" s="107" t="s">
        <v>44</v>
      </c>
      <c r="C206" s="108" t="s">
        <v>44</v>
      </c>
      <c r="D206" s="109" t="s">
        <v>234</v>
      </c>
      <c r="E206" s="289"/>
      <c r="F206" s="299"/>
      <c r="G206" s="62"/>
      <c r="H206" s="111">
        <v>3</v>
      </c>
      <c r="I206" s="112" t="s">
        <v>140</v>
      </c>
      <c r="J206" s="113">
        <v>35000</v>
      </c>
      <c r="K206" s="114">
        <v>105000</v>
      </c>
      <c r="L206" s="113">
        <v>10000</v>
      </c>
      <c r="M206" s="114">
        <v>30000</v>
      </c>
      <c r="N206" s="115">
        <v>0</v>
      </c>
      <c r="O206" s="114">
        <v>0</v>
      </c>
      <c r="P206" s="116">
        <v>135000</v>
      </c>
      <c r="Q206" s="117">
        <f t="shared" ref="Q206:Q207" si="66">P206/P$13</f>
        <v>3.8404401311674656E-4</v>
      </c>
      <c r="R206" s="114">
        <f t="shared" ref="R206:R207" si="67">P206/I$5</f>
        <v>11.237722787854269</v>
      </c>
      <c r="S206" s="377">
        <f t="shared" ref="S206:S207" si="68">P206/I$7</f>
        <v>438.31168831168833</v>
      </c>
      <c r="T206" s="357"/>
      <c r="U206" s="104"/>
      <c r="V206" s="95"/>
      <c r="W206" s="105"/>
      <c r="X206" s="95"/>
      <c r="Y206" s="95"/>
      <c r="Z206" s="95"/>
      <c r="AA206" s="95"/>
      <c r="AB206" s="95"/>
      <c r="AC206" s="95"/>
      <c r="AD206" s="17">
        <f t="shared" ref="AD206:AD269" si="69">IF(X206&lt;&gt;0,IF($X206&gt;=AD$12,AD205,""),Z206)</f>
        <v>0</v>
      </c>
      <c r="AE206" s="17">
        <f t="shared" ref="AE206:AG221" si="70">IF(AA206=" ",IF($X206&gt;=AE$12,AE205,""),AA206)</f>
        <v>0</v>
      </c>
      <c r="AF206" s="17">
        <f t="shared" si="70"/>
        <v>0</v>
      </c>
      <c r="AG206" s="17">
        <f t="shared" si="70"/>
        <v>0</v>
      </c>
      <c r="AH206" s="18" t="str">
        <f t="shared" ref="AH206:AH269" si="71">AD206&amp;",;!"&amp;AE206&amp;",;!"&amp;AF206&amp;",;!"&amp;AG206</f>
        <v>0,;!0,;!0,;!0</v>
      </c>
      <c r="AI206" s="18" t="e">
        <f>INDEX([1]Library!$AL:$AL,MATCH(AH206,[1]Library!$AJ:$AJ,0),1)</f>
        <v>#N/A</v>
      </c>
      <c r="AJ206" s="18" t="e">
        <f>TEXT(INDEX([1]Library!$W:$W,MATCH(AH206,[1]Library!$AJ:$AJ,0),1),"")</f>
        <v>#N/A</v>
      </c>
    </row>
    <row r="207" spans="1:36" ht="25.05" customHeight="1" outlineLevel="2">
      <c r="A207" s="376" t="s">
        <v>44</v>
      </c>
      <c r="B207" s="107" t="s">
        <v>44</v>
      </c>
      <c r="C207" s="108" t="s">
        <v>44</v>
      </c>
      <c r="D207" s="109" t="s">
        <v>235</v>
      </c>
      <c r="E207" s="289"/>
      <c r="F207" s="299"/>
      <c r="G207" s="62"/>
      <c r="H207" s="111">
        <v>3</v>
      </c>
      <c r="I207" s="112" t="s">
        <v>140</v>
      </c>
      <c r="J207" s="113">
        <v>75000</v>
      </c>
      <c r="K207" s="114">
        <v>225000</v>
      </c>
      <c r="L207" s="113">
        <v>10000</v>
      </c>
      <c r="M207" s="114">
        <v>30000</v>
      </c>
      <c r="N207" s="115">
        <v>0</v>
      </c>
      <c r="O207" s="114">
        <v>0</v>
      </c>
      <c r="P207" s="116">
        <v>255000</v>
      </c>
      <c r="Q207" s="117">
        <f t="shared" si="66"/>
        <v>7.2541646922052137E-4</v>
      </c>
      <c r="R207" s="114">
        <f t="shared" si="67"/>
        <v>21.226809710391397</v>
      </c>
      <c r="S207" s="377">
        <f t="shared" si="68"/>
        <v>827.92207792207796</v>
      </c>
      <c r="T207" s="357"/>
      <c r="U207" s="104"/>
      <c r="V207" s="95"/>
      <c r="W207" s="105"/>
      <c r="X207" s="95"/>
      <c r="Y207" s="95"/>
      <c r="Z207" s="95"/>
      <c r="AA207" s="95"/>
      <c r="AB207" s="95"/>
      <c r="AC207" s="95"/>
      <c r="AD207" s="17">
        <f t="shared" si="69"/>
        <v>0</v>
      </c>
      <c r="AE207" s="17">
        <f t="shared" si="70"/>
        <v>0</v>
      </c>
      <c r="AF207" s="17">
        <f t="shared" si="70"/>
        <v>0</v>
      </c>
      <c r="AG207" s="17">
        <f t="shared" si="70"/>
        <v>0</v>
      </c>
      <c r="AH207" s="18" t="str">
        <f t="shared" si="71"/>
        <v>0,;!0,;!0,;!0</v>
      </c>
      <c r="AI207" s="18" t="e">
        <f>INDEX([1]Library!$AL:$AL,MATCH(AH207,[1]Library!$AJ:$AJ,0),1)</f>
        <v>#N/A</v>
      </c>
      <c r="AJ207" s="18" t="e">
        <f>TEXT(INDEX([1]Library!$W:$W,MATCH(AH207,[1]Library!$AJ:$AJ,0),1),"")</f>
        <v>#N/A</v>
      </c>
    </row>
    <row r="208" spans="1:36" ht="25.05" customHeight="1" outlineLevel="1">
      <c r="A208" s="374" t="s">
        <v>44</v>
      </c>
      <c r="B208" s="96" t="s">
        <v>44</v>
      </c>
      <c r="C208" s="97" t="s">
        <v>236</v>
      </c>
      <c r="D208" s="97"/>
      <c r="E208" s="98"/>
      <c r="F208" s="298"/>
      <c r="G208" s="62"/>
      <c r="H208" s="99">
        <v>1</v>
      </c>
      <c r="I208" s="100" t="s">
        <v>35</v>
      </c>
      <c r="J208" s="99">
        <v>6465.2321428571449</v>
      </c>
      <c r="K208" s="99">
        <v>6465.2321428571449</v>
      </c>
      <c r="L208" s="99">
        <v>1887.3687500000005</v>
      </c>
      <c r="M208" s="99">
        <v>1887.3687500000005</v>
      </c>
      <c r="N208" s="99">
        <v>0</v>
      </c>
      <c r="O208" s="99">
        <v>0</v>
      </c>
      <c r="P208" s="101">
        <v>8352.6008928571464</v>
      </c>
      <c r="Q208" s="102">
        <f>P208/P$13</f>
        <v>2.3761232347076883E-5</v>
      </c>
      <c r="R208" s="103">
        <f>P208/I$5</f>
        <v>0.69529046956676044</v>
      </c>
      <c r="S208" s="375">
        <f>P208/I$7</f>
        <v>27.118834067718009</v>
      </c>
      <c r="T208" s="356"/>
      <c r="U208" s="104"/>
      <c r="V208" s="95"/>
      <c r="W208" s="105"/>
      <c r="X208" s="95"/>
      <c r="Y208" s="95"/>
      <c r="Z208" s="95"/>
      <c r="AA208" s="95"/>
      <c r="AB208" s="95"/>
      <c r="AC208" s="95"/>
      <c r="AD208" s="17">
        <f t="shared" si="69"/>
        <v>0</v>
      </c>
      <c r="AE208" s="17">
        <f t="shared" si="70"/>
        <v>0</v>
      </c>
      <c r="AF208" s="17">
        <f t="shared" si="70"/>
        <v>0</v>
      </c>
      <c r="AG208" s="17">
        <f t="shared" si="70"/>
        <v>0</v>
      </c>
      <c r="AH208" s="18" t="str">
        <f t="shared" si="71"/>
        <v>0,;!0,;!0,;!0</v>
      </c>
      <c r="AI208" s="18" t="e">
        <f>INDEX([1]Library!$AL:$AL,MATCH(AH208,[1]Library!$AJ:$AJ,0),1)</f>
        <v>#N/A</v>
      </c>
      <c r="AJ208" s="18" t="e">
        <f>TEXT(INDEX([1]Library!$W:$W,MATCH(AH208,[1]Library!$AJ:$AJ,0),1),"")</f>
        <v>#N/A</v>
      </c>
    </row>
    <row r="209" spans="1:36" ht="25.05" customHeight="1" outlineLevel="2">
      <c r="A209" s="376" t="s">
        <v>44</v>
      </c>
      <c r="B209" s="107" t="s">
        <v>44</v>
      </c>
      <c r="C209" s="108" t="s">
        <v>44</v>
      </c>
      <c r="D209" s="109" t="s">
        <v>237</v>
      </c>
      <c r="E209" s="289"/>
      <c r="F209" s="299"/>
      <c r="G209" s="62"/>
      <c r="H209" s="111">
        <v>1</v>
      </c>
      <c r="I209" s="112" t="s">
        <v>35</v>
      </c>
      <c r="J209" s="113">
        <v>5421.2142857142862</v>
      </c>
      <c r="K209" s="114">
        <v>5421.2142857142862</v>
      </c>
      <c r="L209" s="113">
        <v>1626.3642857142859</v>
      </c>
      <c r="M209" s="114">
        <v>1626.3642857142859</v>
      </c>
      <c r="N209" s="115">
        <v>0</v>
      </c>
      <c r="O209" s="114">
        <v>0</v>
      </c>
      <c r="P209" s="116">
        <v>7047.5785714285721</v>
      </c>
      <c r="Q209" s="117">
        <f>P209/P$13</f>
        <v>2.0048743387607533E-5</v>
      </c>
      <c r="R209" s="114">
        <f>P209/I$5</f>
        <v>0.5866572911950837</v>
      </c>
      <c r="S209" s="377">
        <f>P209/I$7</f>
        <v>22.881748608534323</v>
      </c>
      <c r="T209" s="357"/>
      <c r="U209" s="104"/>
      <c r="V209" s="95"/>
      <c r="W209" s="105"/>
      <c r="X209" s="95"/>
      <c r="Y209" s="95"/>
      <c r="Z209" s="95"/>
      <c r="AA209" s="95"/>
      <c r="AB209" s="95"/>
      <c r="AC209" s="95"/>
      <c r="AD209" s="17">
        <f t="shared" si="69"/>
        <v>0</v>
      </c>
      <c r="AE209" s="17">
        <f t="shared" si="70"/>
        <v>0</v>
      </c>
      <c r="AF209" s="17">
        <f t="shared" si="70"/>
        <v>0</v>
      </c>
      <c r="AG209" s="17">
        <f t="shared" si="70"/>
        <v>0</v>
      </c>
      <c r="AH209" s="18" t="str">
        <f t="shared" si="71"/>
        <v>0,;!0,;!0,;!0</v>
      </c>
      <c r="AI209" s="18" t="e">
        <f>INDEX([1]Library!$AL:$AL,MATCH(AH209,[1]Library!$AJ:$AJ,0),1)</f>
        <v>#N/A</v>
      </c>
      <c r="AJ209" s="18" t="e">
        <f>TEXT(INDEX([1]Library!$W:$W,MATCH(AH209,[1]Library!$AJ:$AJ,0),1),"")</f>
        <v>#N/A</v>
      </c>
    </row>
    <row r="210" spans="1:36" ht="25.05" customHeight="1" outlineLevel="2">
      <c r="A210" s="378" t="s">
        <v>44</v>
      </c>
      <c r="B210" s="118" t="s">
        <v>44</v>
      </c>
      <c r="C210" s="119" t="s">
        <v>44</v>
      </c>
      <c r="D210" s="120" t="s">
        <v>44</v>
      </c>
      <c r="E210" s="290" t="s">
        <v>238</v>
      </c>
      <c r="F210" s="300"/>
      <c r="G210" s="304"/>
      <c r="H210" s="122">
        <v>8</v>
      </c>
      <c r="I210" s="123" t="s">
        <v>122</v>
      </c>
      <c r="J210" s="124">
        <v>368.98392857142852</v>
      </c>
      <c r="K210" s="125">
        <v>2951.8714285714282</v>
      </c>
      <c r="L210" s="124">
        <v>110.69517857142856</v>
      </c>
      <c r="M210" s="125">
        <v>885.56142857142845</v>
      </c>
      <c r="N210" s="126">
        <v>0</v>
      </c>
      <c r="O210" s="125">
        <v>0</v>
      </c>
      <c r="P210" s="127">
        <v>3837.4328571428568</v>
      </c>
      <c r="Q210" s="128">
        <f t="shared" ref="Q210:Q252" si="72">P210/P$13</f>
        <v>1.0916615663134857E-5</v>
      </c>
      <c r="R210" s="129">
        <f t="shared" ref="R210:R252" si="73">P210/I$5</f>
        <v>0.31943708641166663</v>
      </c>
      <c r="S210" s="379">
        <f t="shared" ref="S210:S252" si="74">P210/I$7</f>
        <v>12.459197588126159</v>
      </c>
      <c r="T210" s="358"/>
      <c r="U210" s="104"/>
      <c r="V210" s="95"/>
      <c r="W210" s="105"/>
      <c r="X210" s="95"/>
      <c r="Y210" s="95"/>
      <c r="Z210" s="95"/>
      <c r="AA210" s="95"/>
      <c r="AB210" s="95"/>
      <c r="AC210" s="95"/>
      <c r="AD210" s="17">
        <f t="shared" si="69"/>
        <v>0</v>
      </c>
      <c r="AE210" s="17">
        <f t="shared" si="70"/>
        <v>0</v>
      </c>
      <c r="AF210" s="17">
        <f t="shared" si="70"/>
        <v>0</v>
      </c>
      <c r="AG210" s="17">
        <f t="shared" si="70"/>
        <v>0</v>
      </c>
      <c r="AH210" s="18" t="str">
        <f t="shared" si="71"/>
        <v>0,;!0,;!0,;!0</v>
      </c>
      <c r="AI210" s="18" t="e">
        <f>INDEX([1]Library!$AL:$AL,MATCH(AH210,[1]Library!$AJ:$AJ,0),1)</f>
        <v>#N/A</v>
      </c>
      <c r="AJ210" s="18" t="e">
        <f>TEXT(INDEX([1]Library!$W:$W,MATCH(AH210,[1]Library!$AJ:$AJ,0),1),"")</f>
        <v>#N/A</v>
      </c>
    </row>
    <row r="211" spans="1:36" ht="25.05" customHeight="1" outlineLevel="2">
      <c r="A211" s="378" t="s">
        <v>44</v>
      </c>
      <c r="B211" s="118" t="s">
        <v>44</v>
      </c>
      <c r="C211" s="119" t="s">
        <v>44</v>
      </c>
      <c r="D211" s="120" t="s">
        <v>44</v>
      </c>
      <c r="E211" s="290" t="s">
        <v>239</v>
      </c>
      <c r="F211" s="300"/>
      <c r="G211" s="304"/>
      <c r="H211" s="122">
        <v>8</v>
      </c>
      <c r="I211" s="123" t="s">
        <v>122</v>
      </c>
      <c r="J211" s="124">
        <v>308.6678571428572</v>
      </c>
      <c r="K211" s="125">
        <v>2469.3428571428576</v>
      </c>
      <c r="L211" s="124">
        <v>92.600357142857163</v>
      </c>
      <c r="M211" s="125">
        <v>740.80285714285731</v>
      </c>
      <c r="N211" s="126">
        <v>0</v>
      </c>
      <c r="O211" s="125">
        <v>0</v>
      </c>
      <c r="P211" s="127">
        <v>3210.1457142857148</v>
      </c>
      <c r="Q211" s="128">
        <f t="shared" si="72"/>
        <v>9.1321277244726727E-6</v>
      </c>
      <c r="R211" s="129">
        <f t="shared" si="73"/>
        <v>0.26722020478341701</v>
      </c>
      <c r="S211" s="379">
        <f t="shared" si="74"/>
        <v>10.422551020408164</v>
      </c>
      <c r="T211" s="358"/>
      <c r="U211" s="104"/>
      <c r="V211" s="95"/>
      <c r="W211" s="105"/>
      <c r="X211" s="95"/>
      <c r="Y211" s="95"/>
      <c r="Z211" s="95"/>
      <c r="AA211" s="95"/>
      <c r="AB211" s="95"/>
      <c r="AC211" s="95"/>
      <c r="AD211" s="17">
        <f t="shared" si="69"/>
        <v>0</v>
      </c>
      <c r="AE211" s="17">
        <f t="shared" si="70"/>
        <v>0</v>
      </c>
      <c r="AF211" s="17">
        <f t="shared" si="70"/>
        <v>0</v>
      </c>
      <c r="AG211" s="17">
        <f t="shared" si="70"/>
        <v>0</v>
      </c>
      <c r="AH211" s="18" t="str">
        <f t="shared" si="71"/>
        <v>0,;!0,;!0,;!0</v>
      </c>
      <c r="AI211" s="18" t="e">
        <f>INDEX([1]Library!$AL:$AL,MATCH(AH211,[1]Library!$AJ:$AJ,0),1)</f>
        <v>#N/A</v>
      </c>
      <c r="AJ211" s="18" t="e">
        <f>TEXT(INDEX([1]Library!$W:$W,MATCH(AH211,[1]Library!$AJ:$AJ,0),1),"")</f>
        <v>#N/A</v>
      </c>
    </row>
    <row r="212" spans="1:36" ht="25.05" customHeight="1" outlineLevel="2">
      <c r="A212" s="376" t="s">
        <v>44</v>
      </c>
      <c r="B212" s="107" t="s">
        <v>44</v>
      </c>
      <c r="C212" s="108" t="s">
        <v>44</v>
      </c>
      <c r="D212" s="109" t="s">
        <v>240</v>
      </c>
      <c r="E212" s="289"/>
      <c r="F212" s="299"/>
      <c r="G212" s="62"/>
      <c r="H212" s="111">
        <v>1</v>
      </c>
      <c r="I212" s="112" t="s">
        <v>35</v>
      </c>
      <c r="J212" s="113">
        <v>1044.0178571428585</v>
      </c>
      <c r="K212" s="114">
        <v>1044.0178571428585</v>
      </c>
      <c r="L212" s="113">
        <v>261.00446428571462</v>
      </c>
      <c r="M212" s="114">
        <v>261.00446428571462</v>
      </c>
      <c r="N212" s="115">
        <v>0</v>
      </c>
      <c r="O212" s="114">
        <v>0</v>
      </c>
      <c r="P212" s="116">
        <v>1305.0223214285732</v>
      </c>
      <c r="Q212" s="117">
        <f>P212/P$13</f>
        <v>3.7124889594693485E-6</v>
      </c>
      <c r="R212" s="114">
        <f>P212/I$5</f>
        <v>0.1086331783716767</v>
      </c>
      <c r="S212" s="377">
        <f>P212/I$7</f>
        <v>4.2370854591836791</v>
      </c>
      <c r="T212" s="357"/>
      <c r="U212" s="104"/>
      <c r="V212" s="95"/>
      <c r="W212" s="105"/>
      <c r="X212" s="95"/>
      <c r="Y212" s="95"/>
      <c r="Z212" s="95"/>
      <c r="AA212" s="95"/>
      <c r="AB212" s="95"/>
      <c r="AC212" s="95"/>
      <c r="AD212" s="17">
        <f t="shared" si="69"/>
        <v>0</v>
      </c>
      <c r="AE212" s="17">
        <f t="shared" si="70"/>
        <v>0</v>
      </c>
      <c r="AF212" s="17">
        <f t="shared" si="70"/>
        <v>0</v>
      </c>
      <c r="AG212" s="17">
        <f t="shared" si="70"/>
        <v>0</v>
      </c>
      <c r="AH212" s="18" t="str">
        <f t="shared" si="71"/>
        <v>0,;!0,;!0,;!0</v>
      </c>
      <c r="AI212" s="18" t="e">
        <f>INDEX([1]Library!$AL:$AL,MATCH(AH212,[1]Library!$AJ:$AJ,0),1)</f>
        <v>#N/A</v>
      </c>
      <c r="AJ212" s="18" t="e">
        <f>TEXT(INDEX([1]Library!$W:$W,MATCH(AH212,[1]Library!$AJ:$AJ,0),1),"")</f>
        <v>#N/A</v>
      </c>
    </row>
    <row r="213" spans="1:36" ht="25.05" customHeight="1" outlineLevel="2">
      <c r="A213" s="378" t="s">
        <v>44</v>
      </c>
      <c r="B213" s="118" t="s">
        <v>44</v>
      </c>
      <c r="C213" s="119" t="s">
        <v>44</v>
      </c>
      <c r="D213" s="120" t="s">
        <v>44</v>
      </c>
      <c r="E213" s="290" t="s">
        <v>241</v>
      </c>
      <c r="F213" s="300"/>
      <c r="G213" s="304"/>
      <c r="H213" s="122">
        <v>0</v>
      </c>
      <c r="I213" s="123" t="s">
        <v>242</v>
      </c>
      <c r="J213" s="124">
        <v>0</v>
      </c>
      <c r="K213" s="125">
        <v>0</v>
      </c>
      <c r="L213" s="124">
        <v>0</v>
      </c>
      <c r="M213" s="125">
        <v>0</v>
      </c>
      <c r="N213" s="126">
        <v>0</v>
      </c>
      <c r="O213" s="125">
        <v>0</v>
      </c>
      <c r="P213" s="127">
        <v>0</v>
      </c>
      <c r="Q213" s="128">
        <f t="shared" si="72"/>
        <v>0</v>
      </c>
      <c r="R213" s="129">
        <f t="shared" si="73"/>
        <v>0</v>
      </c>
      <c r="S213" s="379">
        <f t="shared" si="74"/>
        <v>0</v>
      </c>
      <c r="T213" s="358"/>
      <c r="U213" s="104"/>
      <c r="V213" s="95"/>
      <c r="W213" s="105"/>
      <c r="X213" s="95"/>
      <c r="Y213" s="95"/>
      <c r="Z213" s="95"/>
      <c r="AA213" s="95"/>
      <c r="AB213" s="95"/>
      <c r="AC213" s="95"/>
      <c r="AD213" s="17">
        <f t="shared" si="69"/>
        <v>0</v>
      </c>
      <c r="AE213" s="17">
        <f t="shared" si="70"/>
        <v>0</v>
      </c>
      <c r="AF213" s="17">
        <f t="shared" si="70"/>
        <v>0</v>
      </c>
      <c r="AG213" s="17">
        <f t="shared" si="70"/>
        <v>0</v>
      </c>
      <c r="AH213" s="18" t="str">
        <f t="shared" si="71"/>
        <v>0,;!0,;!0,;!0</v>
      </c>
      <c r="AI213" s="18" t="e">
        <f>INDEX([1]Library!$AL:$AL,MATCH(AH213,[1]Library!$AJ:$AJ,0),1)</f>
        <v>#N/A</v>
      </c>
      <c r="AJ213" s="18" t="e">
        <f>TEXT(INDEX([1]Library!$W:$W,MATCH(AH213,[1]Library!$AJ:$AJ,0),1),"")</f>
        <v>#N/A</v>
      </c>
    </row>
    <row r="214" spans="1:36" ht="25.05" customHeight="1" outlineLevel="2">
      <c r="A214" s="378" t="s">
        <v>44</v>
      </c>
      <c r="B214" s="118" t="s">
        <v>44</v>
      </c>
      <c r="C214" s="119" t="s">
        <v>44</v>
      </c>
      <c r="D214" s="120" t="s">
        <v>44</v>
      </c>
      <c r="E214" s="290" t="s">
        <v>243</v>
      </c>
      <c r="F214" s="300"/>
      <c r="G214" s="304"/>
      <c r="H214" s="122">
        <v>33</v>
      </c>
      <c r="I214" s="123" t="s">
        <v>122</v>
      </c>
      <c r="J214" s="124">
        <v>22.9821428571429</v>
      </c>
      <c r="K214" s="125">
        <v>758.4107142857157</v>
      </c>
      <c r="L214" s="124">
        <v>5.7455357142857251</v>
      </c>
      <c r="M214" s="125">
        <v>189.60267857142892</v>
      </c>
      <c r="N214" s="126">
        <v>0</v>
      </c>
      <c r="O214" s="125">
        <v>0</v>
      </c>
      <c r="P214" s="127">
        <v>948.01339285714459</v>
      </c>
      <c r="Q214" s="128">
        <f t="shared" si="72"/>
        <v>2.6968805028243013E-6</v>
      </c>
      <c r="R214" s="129">
        <f t="shared" si="73"/>
        <v>7.8914901541494636E-2</v>
      </c>
      <c r="S214" s="379">
        <f t="shared" si="74"/>
        <v>3.0779655612244956</v>
      </c>
      <c r="T214" s="358"/>
      <c r="U214" s="104"/>
      <c r="V214" s="95"/>
      <c r="W214" s="105"/>
      <c r="X214" s="95"/>
      <c r="Y214" s="95"/>
      <c r="Z214" s="95"/>
      <c r="AA214" s="95"/>
      <c r="AB214" s="95"/>
      <c r="AC214" s="95"/>
      <c r="AD214" s="17">
        <f t="shared" si="69"/>
        <v>0</v>
      </c>
      <c r="AE214" s="17">
        <f t="shared" si="70"/>
        <v>0</v>
      </c>
      <c r="AF214" s="17">
        <f t="shared" si="70"/>
        <v>0</v>
      </c>
      <c r="AG214" s="17">
        <f t="shared" si="70"/>
        <v>0</v>
      </c>
      <c r="AH214" s="18" t="str">
        <f t="shared" si="71"/>
        <v>0,;!0,;!0,;!0</v>
      </c>
      <c r="AI214" s="18" t="e">
        <f>INDEX([1]Library!$AL:$AL,MATCH(AH214,[1]Library!$AJ:$AJ,0),1)</f>
        <v>#N/A</v>
      </c>
      <c r="AJ214" s="18" t="e">
        <f>TEXT(INDEX([1]Library!$W:$W,MATCH(AH214,[1]Library!$AJ:$AJ,0),1),"")</f>
        <v>#N/A</v>
      </c>
    </row>
    <row r="215" spans="1:36" ht="25.05" customHeight="1" outlineLevel="2">
      <c r="A215" s="378" t="s">
        <v>44</v>
      </c>
      <c r="B215" s="118" t="s">
        <v>44</v>
      </c>
      <c r="C215" s="119" t="s">
        <v>44</v>
      </c>
      <c r="D215" s="120" t="s">
        <v>44</v>
      </c>
      <c r="E215" s="290" t="s">
        <v>244</v>
      </c>
      <c r="F215" s="300"/>
      <c r="G215" s="304"/>
      <c r="H215" s="122">
        <v>11</v>
      </c>
      <c r="I215" s="123" t="s">
        <v>122</v>
      </c>
      <c r="J215" s="124">
        <v>25.964285714285712</v>
      </c>
      <c r="K215" s="125">
        <v>285.60714285714283</v>
      </c>
      <c r="L215" s="124">
        <v>6.4910714285714279</v>
      </c>
      <c r="M215" s="125">
        <v>71.401785714285708</v>
      </c>
      <c r="N215" s="126">
        <v>0</v>
      </c>
      <c r="O215" s="125">
        <v>0</v>
      </c>
      <c r="P215" s="127">
        <v>357.00892857142856</v>
      </c>
      <c r="Q215" s="128">
        <f t="shared" si="72"/>
        <v>1.015608456645047E-6</v>
      </c>
      <c r="R215" s="129">
        <f t="shared" si="73"/>
        <v>2.9718276830182071E-2</v>
      </c>
      <c r="S215" s="379">
        <f t="shared" si="74"/>
        <v>1.1591198979591837</v>
      </c>
      <c r="T215" s="358"/>
      <c r="U215" s="104"/>
      <c r="V215" s="95"/>
      <c r="W215" s="105"/>
      <c r="X215" s="95"/>
      <c r="Y215" s="95"/>
      <c r="Z215" s="95"/>
      <c r="AA215" s="95"/>
      <c r="AB215" s="95"/>
      <c r="AC215" s="95"/>
      <c r="AD215" s="17">
        <f t="shared" si="69"/>
        <v>0</v>
      </c>
      <c r="AE215" s="17">
        <f t="shared" si="70"/>
        <v>0</v>
      </c>
      <c r="AF215" s="17">
        <f t="shared" si="70"/>
        <v>0</v>
      </c>
      <c r="AG215" s="17">
        <f t="shared" si="70"/>
        <v>0</v>
      </c>
      <c r="AH215" s="18" t="str">
        <f t="shared" si="71"/>
        <v>0,;!0,;!0,;!0</v>
      </c>
      <c r="AI215" s="18" t="e">
        <f>INDEX([1]Library!$AL:$AL,MATCH(AH215,[1]Library!$AJ:$AJ,0),1)</f>
        <v>#N/A</v>
      </c>
      <c r="AJ215" s="18" t="e">
        <f>TEXT(INDEX([1]Library!$W:$W,MATCH(AH215,[1]Library!$AJ:$AJ,0),1),"")</f>
        <v>#N/A</v>
      </c>
    </row>
    <row r="216" spans="1:36" ht="25.05" customHeight="1" outlineLevel="1">
      <c r="A216" s="374" t="s">
        <v>44</v>
      </c>
      <c r="B216" s="96" t="s">
        <v>44</v>
      </c>
      <c r="C216" s="97" t="s">
        <v>245</v>
      </c>
      <c r="D216" s="97"/>
      <c r="E216" s="98"/>
      <c r="F216" s="298"/>
      <c r="G216" s="62"/>
      <c r="H216" s="99">
        <v>1</v>
      </c>
      <c r="I216" s="100" t="s">
        <v>35</v>
      </c>
      <c r="J216" s="99">
        <v>323400</v>
      </c>
      <c r="K216" s="99">
        <v>323400</v>
      </c>
      <c r="L216" s="99">
        <v>64680</v>
      </c>
      <c r="M216" s="99">
        <v>64680</v>
      </c>
      <c r="N216" s="99">
        <v>0</v>
      </c>
      <c r="O216" s="99">
        <v>0</v>
      </c>
      <c r="P216" s="101">
        <v>388080</v>
      </c>
      <c r="Q216" s="102">
        <f>P216/P$13</f>
        <v>1.1039985230396074E-3</v>
      </c>
      <c r="R216" s="103">
        <f>P216/I$5</f>
        <v>32.304707107485072</v>
      </c>
      <c r="S216" s="375">
        <f>P216/I$7</f>
        <v>1260</v>
      </c>
      <c r="T216" s="356"/>
      <c r="U216" s="104"/>
      <c r="V216" s="95"/>
      <c r="W216" s="105"/>
      <c r="X216" s="95"/>
      <c r="Y216" s="95"/>
      <c r="Z216" s="95"/>
      <c r="AA216" s="95"/>
      <c r="AB216" s="95"/>
      <c r="AC216" s="95"/>
      <c r="AD216" s="17">
        <f t="shared" si="69"/>
        <v>0</v>
      </c>
      <c r="AE216" s="17">
        <f t="shared" si="70"/>
        <v>0</v>
      </c>
      <c r="AF216" s="17">
        <f t="shared" si="70"/>
        <v>0</v>
      </c>
      <c r="AG216" s="17">
        <f t="shared" si="70"/>
        <v>0</v>
      </c>
      <c r="AH216" s="18" t="str">
        <f t="shared" si="71"/>
        <v>0,;!0,;!0,;!0</v>
      </c>
      <c r="AI216" s="18" t="e">
        <f>INDEX([1]Library!$AL:$AL,MATCH(AH216,[1]Library!$AJ:$AJ,0),1)</f>
        <v>#N/A</v>
      </c>
      <c r="AJ216" s="18" t="e">
        <f>TEXT(INDEX([1]Library!$W:$W,MATCH(AH216,[1]Library!$AJ:$AJ,0),1),"")</f>
        <v>#N/A</v>
      </c>
    </row>
    <row r="217" spans="1:36" ht="25.05" customHeight="1" outlineLevel="2">
      <c r="A217" s="376" t="s">
        <v>44</v>
      </c>
      <c r="B217" s="107" t="s">
        <v>44</v>
      </c>
      <c r="C217" s="108" t="s">
        <v>44</v>
      </c>
      <c r="D217" s="109" t="s">
        <v>246</v>
      </c>
      <c r="E217" s="289"/>
      <c r="F217" s="299"/>
      <c r="G217" s="62"/>
      <c r="H217" s="111">
        <v>0</v>
      </c>
      <c r="I217" s="112" t="s">
        <v>122</v>
      </c>
      <c r="J217" s="113">
        <v>0</v>
      </c>
      <c r="K217" s="114">
        <v>0</v>
      </c>
      <c r="L217" s="113">
        <v>0</v>
      </c>
      <c r="M217" s="114">
        <v>0</v>
      </c>
      <c r="N217" s="115">
        <v>0</v>
      </c>
      <c r="O217" s="114">
        <v>0</v>
      </c>
      <c r="P217" s="116">
        <v>0</v>
      </c>
      <c r="Q217" s="117">
        <f t="shared" ref="Q217:Q218" si="75">P217/P$13</f>
        <v>0</v>
      </c>
      <c r="R217" s="114">
        <f t="shared" ref="R217:R218" si="76">P217/I$5</f>
        <v>0</v>
      </c>
      <c r="S217" s="377">
        <f t="shared" ref="S217:S218" si="77">P217/I$7</f>
        <v>0</v>
      </c>
      <c r="T217" s="357"/>
      <c r="U217" s="104"/>
      <c r="V217" s="95"/>
      <c r="W217" s="105"/>
      <c r="X217" s="95"/>
      <c r="Y217" s="95"/>
      <c r="Z217" s="95"/>
      <c r="AA217" s="95"/>
      <c r="AB217" s="95"/>
      <c r="AC217" s="95"/>
      <c r="AD217" s="17">
        <f t="shared" si="69"/>
        <v>0</v>
      </c>
      <c r="AE217" s="17">
        <f t="shared" si="70"/>
        <v>0</v>
      </c>
      <c r="AF217" s="17">
        <f t="shared" si="70"/>
        <v>0</v>
      </c>
      <c r="AG217" s="17">
        <f t="shared" si="70"/>
        <v>0</v>
      </c>
      <c r="AH217" s="18" t="str">
        <f t="shared" si="71"/>
        <v>0,;!0,;!0,;!0</v>
      </c>
      <c r="AI217" s="18" t="e">
        <f>INDEX([1]Library!$AL:$AL,MATCH(AH217,[1]Library!$AJ:$AJ,0),1)</f>
        <v>#N/A</v>
      </c>
      <c r="AJ217" s="18" t="e">
        <f>TEXT(INDEX([1]Library!$W:$W,MATCH(AH217,[1]Library!$AJ:$AJ,0),1),"")</f>
        <v>#N/A</v>
      </c>
    </row>
    <row r="218" spans="1:36" ht="25.05" customHeight="1" outlineLevel="2">
      <c r="A218" s="376" t="s">
        <v>44</v>
      </c>
      <c r="B218" s="107" t="s">
        <v>44</v>
      </c>
      <c r="C218" s="108" t="s">
        <v>44</v>
      </c>
      <c r="D218" s="109" t="s">
        <v>247</v>
      </c>
      <c r="E218" s="289"/>
      <c r="F218" s="299"/>
      <c r="G218" s="62"/>
      <c r="H218" s="111">
        <v>308</v>
      </c>
      <c r="I218" s="112" t="s">
        <v>140</v>
      </c>
      <c r="J218" s="113">
        <v>1050</v>
      </c>
      <c r="K218" s="114">
        <v>323400</v>
      </c>
      <c r="L218" s="113">
        <v>210</v>
      </c>
      <c r="M218" s="114">
        <v>64680</v>
      </c>
      <c r="N218" s="115">
        <v>0</v>
      </c>
      <c r="O218" s="114">
        <v>0</v>
      </c>
      <c r="P218" s="116">
        <v>388080</v>
      </c>
      <c r="Q218" s="117">
        <f t="shared" si="75"/>
        <v>1.1039985230396074E-3</v>
      </c>
      <c r="R218" s="114">
        <f t="shared" si="76"/>
        <v>32.304707107485072</v>
      </c>
      <c r="S218" s="377">
        <f t="shared" si="77"/>
        <v>1260</v>
      </c>
      <c r="T218" s="357"/>
      <c r="U218" s="104"/>
      <c r="V218" s="95"/>
      <c r="W218" s="105"/>
      <c r="X218" s="95"/>
      <c r="Y218" s="95"/>
      <c r="Z218" s="95"/>
      <c r="AA218" s="95"/>
      <c r="AB218" s="95"/>
      <c r="AC218" s="95"/>
      <c r="AD218" s="17">
        <f t="shared" si="69"/>
        <v>0</v>
      </c>
      <c r="AE218" s="17">
        <f t="shared" si="70"/>
        <v>0</v>
      </c>
      <c r="AF218" s="17">
        <f t="shared" si="70"/>
        <v>0</v>
      </c>
      <c r="AG218" s="17">
        <f t="shared" si="70"/>
        <v>0</v>
      </c>
      <c r="AH218" s="18" t="str">
        <f t="shared" si="71"/>
        <v>0,;!0,;!0,;!0</v>
      </c>
      <c r="AI218" s="18" t="e">
        <f>INDEX([1]Library!$AL:$AL,MATCH(AH218,[1]Library!$AJ:$AJ,0),1)</f>
        <v>#N/A</v>
      </c>
      <c r="AJ218" s="18" t="e">
        <f>TEXT(INDEX([1]Library!$W:$W,MATCH(AH218,[1]Library!$AJ:$AJ,0),1),"")</f>
        <v>#N/A</v>
      </c>
    </row>
    <row r="219" spans="1:36" ht="25.05" customHeight="1" outlineLevel="1">
      <c r="A219" s="374" t="s">
        <v>44</v>
      </c>
      <c r="B219" s="96" t="s">
        <v>44</v>
      </c>
      <c r="C219" s="97" t="s">
        <v>248</v>
      </c>
      <c r="D219" s="97"/>
      <c r="E219" s="98"/>
      <c r="F219" s="298"/>
      <c r="G219" s="62"/>
      <c r="H219" s="99">
        <v>1</v>
      </c>
      <c r="I219" s="100" t="s">
        <v>35</v>
      </c>
      <c r="J219" s="99">
        <v>385000</v>
      </c>
      <c r="K219" s="99">
        <v>385000</v>
      </c>
      <c r="L219" s="99">
        <v>77000</v>
      </c>
      <c r="M219" s="99">
        <v>77000</v>
      </c>
      <c r="N219" s="99">
        <v>0</v>
      </c>
      <c r="O219" s="99">
        <v>0</v>
      </c>
      <c r="P219" s="101">
        <v>462000</v>
      </c>
      <c r="Q219" s="102">
        <f>P219/P$13</f>
        <v>1.3142839559995329E-3</v>
      </c>
      <c r="R219" s="103">
        <f>P219/I$5</f>
        <v>38.457984651767944</v>
      </c>
      <c r="S219" s="375">
        <f>P219/I$7</f>
        <v>1500</v>
      </c>
      <c r="T219" s="356"/>
      <c r="U219" s="104"/>
      <c r="V219" s="95"/>
      <c r="W219" s="105"/>
      <c r="X219" s="95"/>
      <c r="Y219" s="95"/>
      <c r="Z219" s="95"/>
      <c r="AA219" s="95"/>
      <c r="AB219" s="95"/>
      <c r="AC219" s="95"/>
      <c r="AD219" s="17">
        <f t="shared" si="69"/>
        <v>0</v>
      </c>
      <c r="AE219" s="17">
        <f t="shared" si="70"/>
        <v>0</v>
      </c>
      <c r="AF219" s="17">
        <f t="shared" si="70"/>
        <v>0</v>
      </c>
      <c r="AG219" s="17">
        <f t="shared" si="70"/>
        <v>0</v>
      </c>
      <c r="AH219" s="18" t="str">
        <f t="shared" si="71"/>
        <v>0,;!0,;!0,;!0</v>
      </c>
      <c r="AI219" s="18" t="e">
        <f>INDEX([1]Library!$AL:$AL,MATCH(AH219,[1]Library!$AJ:$AJ,0),1)</f>
        <v>#N/A</v>
      </c>
      <c r="AJ219" s="18" t="e">
        <f>TEXT(INDEX([1]Library!$W:$W,MATCH(AH219,[1]Library!$AJ:$AJ,0),1),"")</f>
        <v>#N/A</v>
      </c>
    </row>
    <row r="220" spans="1:36" ht="25.05" customHeight="1" outlineLevel="2">
      <c r="A220" s="376" t="s">
        <v>44</v>
      </c>
      <c r="B220" s="107" t="s">
        <v>44</v>
      </c>
      <c r="C220" s="108" t="s">
        <v>44</v>
      </c>
      <c r="D220" s="109" t="s">
        <v>249</v>
      </c>
      <c r="E220" s="289"/>
      <c r="F220" s="299"/>
      <c r="G220" s="62"/>
      <c r="H220" s="111">
        <v>0</v>
      </c>
      <c r="I220" s="112" t="s">
        <v>122</v>
      </c>
      <c r="J220" s="113">
        <v>0</v>
      </c>
      <c r="K220" s="114">
        <v>0</v>
      </c>
      <c r="L220" s="113">
        <v>0</v>
      </c>
      <c r="M220" s="114">
        <v>0</v>
      </c>
      <c r="N220" s="115">
        <v>0</v>
      </c>
      <c r="O220" s="114">
        <v>0</v>
      </c>
      <c r="P220" s="116">
        <v>0</v>
      </c>
      <c r="Q220" s="117">
        <f t="shared" ref="Q220:Q221" si="78">P220/P$13</f>
        <v>0</v>
      </c>
      <c r="R220" s="114">
        <f t="shared" ref="R220:R221" si="79">P220/I$5</f>
        <v>0</v>
      </c>
      <c r="S220" s="377">
        <f t="shared" ref="S220:S221" si="80">P220/I$7</f>
        <v>0</v>
      </c>
      <c r="T220" s="357"/>
      <c r="U220" s="104"/>
      <c r="V220" s="95"/>
      <c r="W220" s="105"/>
      <c r="X220" s="95"/>
      <c r="Y220" s="95"/>
      <c r="Z220" s="95"/>
      <c r="AA220" s="95"/>
      <c r="AB220" s="95"/>
      <c r="AC220" s="95"/>
      <c r="AD220" s="17">
        <f t="shared" si="69"/>
        <v>0</v>
      </c>
      <c r="AE220" s="17">
        <f t="shared" si="70"/>
        <v>0</v>
      </c>
      <c r="AF220" s="17">
        <f t="shared" si="70"/>
        <v>0</v>
      </c>
      <c r="AG220" s="17">
        <f t="shared" si="70"/>
        <v>0</v>
      </c>
      <c r="AH220" s="18" t="str">
        <f t="shared" si="71"/>
        <v>0,;!0,;!0,;!0</v>
      </c>
      <c r="AI220" s="18" t="e">
        <f>INDEX([1]Library!$AL:$AL,MATCH(AH220,[1]Library!$AJ:$AJ,0),1)</f>
        <v>#N/A</v>
      </c>
      <c r="AJ220" s="18" t="e">
        <f>TEXT(INDEX([1]Library!$W:$W,MATCH(AH220,[1]Library!$AJ:$AJ,0),1),"")</f>
        <v>#N/A</v>
      </c>
    </row>
    <row r="221" spans="1:36" ht="25.05" customHeight="1" outlineLevel="2">
      <c r="A221" s="376" t="s">
        <v>44</v>
      </c>
      <c r="B221" s="107" t="s">
        <v>44</v>
      </c>
      <c r="C221" s="108" t="s">
        <v>44</v>
      </c>
      <c r="D221" s="109" t="s">
        <v>250</v>
      </c>
      <c r="E221" s="289"/>
      <c r="F221" s="299"/>
      <c r="G221" s="62"/>
      <c r="H221" s="111">
        <v>308</v>
      </c>
      <c r="I221" s="112" t="s">
        <v>140</v>
      </c>
      <c r="J221" s="113">
        <v>1250</v>
      </c>
      <c r="K221" s="114">
        <v>385000</v>
      </c>
      <c r="L221" s="113">
        <v>250</v>
      </c>
      <c r="M221" s="114">
        <v>77000</v>
      </c>
      <c r="N221" s="115">
        <v>0</v>
      </c>
      <c r="O221" s="114">
        <v>0</v>
      </c>
      <c r="P221" s="116">
        <v>462000</v>
      </c>
      <c r="Q221" s="117">
        <f t="shared" si="78"/>
        <v>1.3142839559995329E-3</v>
      </c>
      <c r="R221" s="114">
        <f t="shared" si="79"/>
        <v>38.457984651767944</v>
      </c>
      <c r="S221" s="377">
        <f t="shared" si="80"/>
        <v>1500</v>
      </c>
      <c r="T221" s="357"/>
      <c r="U221" s="104"/>
      <c r="V221" s="95"/>
      <c r="W221" s="105"/>
      <c r="X221" s="95"/>
      <c r="Y221" s="95"/>
      <c r="Z221" s="95"/>
      <c r="AA221" s="95"/>
      <c r="AB221" s="95"/>
      <c r="AC221" s="95"/>
      <c r="AD221" s="17">
        <f t="shared" si="69"/>
        <v>0</v>
      </c>
      <c r="AE221" s="17">
        <f t="shared" si="70"/>
        <v>0</v>
      </c>
      <c r="AF221" s="17">
        <f t="shared" si="70"/>
        <v>0</v>
      </c>
      <c r="AG221" s="17">
        <f t="shared" si="70"/>
        <v>0</v>
      </c>
      <c r="AH221" s="18" t="str">
        <f t="shared" si="71"/>
        <v>0,;!0,;!0,;!0</v>
      </c>
      <c r="AI221" s="18" t="e">
        <f>INDEX([1]Library!$AL:$AL,MATCH(AH221,[1]Library!$AJ:$AJ,0),1)</f>
        <v>#N/A</v>
      </c>
      <c r="AJ221" s="18" t="e">
        <f>TEXT(INDEX([1]Library!$W:$W,MATCH(AH221,[1]Library!$AJ:$AJ,0),1),"")</f>
        <v>#N/A</v>
      </c>
    </row>
    <row r="222" spans="1:36" ht="25.05" customHeight="1" outlineLevel="1">
      <c r="A222" s="374" t="s">
        <v>44</v>
      </c>
      <c r="B222" s="96" t="s">
        <v>44</v>
      </c>
      <c r="C222" s="97" t="s">
        <v>251</v>
      </c>
      <c r="D222" s="97"/>
      <c r="E222" s="98"/>
      <c r="F222" s="298"/>
      <c r="G222" s="62"/>
      <c r="H222" s="99">
        <v>1</v>
      </c>
      <c r="I222" s="100" t="s">
        <v>35</v>
      </c>
      <c r="J222" s="99">
        <v>1353976.1161967248</v>
      </c>
      <c r="K222" s="99">
        <v>1353976.1161967248</v>
      </c>
      <c r="L222" s="99">
        <v>420459.86045198864</v>
      </c>
      <c r="M222" s="99">
        <v>420459.86045198864</v>
      </c>
      <c r="N222" s="99">
        <v>0</v>
      </c>
      <c r="O222" s="99">
        <v>0</v>
      </c>
      <c r="P222" s="101">
        <v>1774435.9766487135</v>
      </c>
      <c r="Q222" s="102">
        <f>P222/P$13</f>
        <v>5.0478630628955964E-3</v>
      </c>
      <c r="R222" s="103">
        <f>P222/I$5</f>
        <v>147.70829341017549</v>
      </c>
      <c r="S222" s="375">
        <f>P222/I$7</f>
        <v>5761.1557683399787</v>
      </c>
      <c r="T222" s="356"/>
      <c r="U222" s="104"/>
      <c r="V222" s="95"/>
      <c r="W222" s="105"/>
      <c r="X222" s="95"/>
      <c r="Y222" s="95"/>
      <c r="Z222" s="95"/>
      <c r="AA222" s="95"/>
      <c r="AB222" s="95"/>
      <c r="AC222" s="95"/>
      <c r="AD222" s="17">
        <f t="shared" si="69"/>
        <v>0</v>
      </c>
      <c r="AE222" s="17">
        <f t="shared" ref="AE222:AG237" si="81">IF(AA222=" ",IF($X222&gt;=AE$12,AE221,""),AA222)</f>
        <v>0</v>
      </c>
      <c r="AF222" s="17">
        <f t="shared" si="81"/>
        <v>0</v>
      </c>
      <c r="AG222" s="17">
        <f t="shared" si="81"/>
        <v>0</v>
      </c>
      <c r="AH222" s="18" t="str">
        <f t="shared" si="71"/>
        <v>0,;!0,;!0,;!0</v>
      </c>
      <c r="AI222" s="18" t="e">
        <f>INDEX([1]Library!$AL:$AL,MATCH(AH222,[1]Library!$AJ:$AJ,0),1)</f>
        <v>#N/A</v>
      </c>
      <c r="AJ222" s="18" t="e">
        <f>TEXT(INDEX([1]Library!$W:$W,MATCH(AH222,[1]Library!$AJ:$AJ,0),1),"")</f>
        <v>#N/A</v>
      </c>
    </row>
    <row r="223" spans="1:36" ht="25.05" customHeight="1" outlineLevel="2">
      <c r="A223" s="376" t="s">
        <v>44</v>
      </c>
      <c r="B223" s="107" t="s">
        <v>44</v>
      </c>
      <c r="C223" s="108" t="s">
        <v>44</v>
      </c>
      <c r="D223" s="109" t="s">
        <v>252</v>
      </c>
      <c r="E223" s="289"/>
      <c r="F223" s="299"/>
      <c r="G223" s="62"/>
      <c r="H223" s="111">
        <v>1</v>
      </c>
      <c r="I223" s="112" t="s">
        <v>35</v>
      </c>
      <c r="J223" s="113">
        <v>131019.51628352492</v>
      </c>
      <c r="K223" s="114">
        <v>131019.51628352492</v>
      </c>
      <c r="L223" s="113">
        <v>124468.54046934868</v>
      </c>
      <c r="M223" s="114">
        <v>124468.54046934868</v>
      </c>
      <c r="N223" s="115">
        <v>0</v>
      </c>
      <c r="O223" s="114">
        <v>0</v>
      </c>
      <c r="P223" s="116">
        <v>255488.05675287358</v>
      </c>
      <c r="Q223" s="117">
        <f>P223/P$13</f>
        <v>7.2680487865757536E-4</v>
      </c>
      <c r="R223" s="114">
        <f>P223/I$5</f>
        <v>21.267436721454608</v>
      </c>
      <c r="S223" s="377">
        <f>P223/I$7</f>
        <v>829.50667776907005</v>
      </c>
      <c r="T223" s="357"/>
      <c r="U223" s="104"/>
      <c r="V223" s="95"/>
      <c r="W223" s="105"/>
      <c r="X223" s="95"/>
      <c r="Y223" s="95"/>
      <c r="Z223" s="95"/>
      <c r="AA223" s="95"/>
      <c r="AB223" s="95"/>
      <c r="AC223" s="95"/>
      <c r="AD223" s="17">
        <f t="shared" si="69"/>
        <v>0</v>
      </c>
      <c r="AE223" s="17">
        <f t="shared" si="81"/>
        <v>0</v>
      </c>
      <c r="AF223" s="17">
        <f t="shared" si="81"/>
        <v>0</v>
      </c>
      <c r="AG223" s="17">
        <f t="shared" si="81"/>
        <v>0</v>
      </c>
      <c r="AH223" s="18" t="str">
        <f t="shared" si="71"/>
        <v>0,;!0,;!0,;!0</v>
      </c>
      <c r="AI223" s="18" t="e">
        <f>INDEX([1]Library!$AL:$AL,MATCH(AH223,[1]Library!$AJ:$AJ,0),1)</f>
        <v>#N/A</v>
      </c>
      <c r="AJ223" s="18" t="e">
        <f>TEXT(INDEX([1]Library!$W:$W,MATCH(AH223,[1]Library!$AJ:$AJ,0),1),"")</f>
        <v>#N/A</v>
      </c>
    </row>
    <row r="224" spans="1:36" ht="25.05" customHeight="1" outlineLevel="2">
      <c r="A224" s="378" t="s">
        <v>44</v>
      </c>
      <c r="B224" s="118" t="s">
        <v>44</v>
      </c>
      <c r="C224" s="119" t="s">
        <v>44</v>
      </c>
      <c r="D224" s="120" t="s">
        <v>44</v>
      </c>
      <c r="E224" s="290" t="s">
        <v>253</v>
      </c>
      <c r="F224" s="300"/>
      <c r="G224" s="304"/>
      <c r="H224" s="122">
        <v>17</v>
      </c>
      <c r="I224" s="123" t="s">
        <v>254</v>
      </c>
      <c r="J224" s="124">
        <v>1770.5340038314177</v>
      </c>
      <c r="K224" s="125">
        <v>30099.078065134101</v>
      </c>
      <c r="L224" s="124">
        <v>1682.0073036398469</v>
      </c>
      <c r="M224" s="125">
        <v>28594.124161877397</v>
      </c>
      <c r="N224" s="126">
        <v>0</v>
      </c>
      <c r="O224" s="125">
        <v>0</v>
      </c>
      <c r="P224" s="127">
        <v>58693.202227011498</v>
      </c>
      <c r="Q224" s="128">
        <f t="shared" si="72"/>
        <v>1.6696868834025381E-4</v>
      </c>
      <c r="R224" s="129">
        <f t="shared" si="73"/>
        <v>4.8857624900638967</v>
      </c>
      <c r="S224" s="379">
        <f t="shared" si="74"/>
        <v>190.56234489289449</v>
      </c>
      <c r="T224" s="358"/>
      <c r="U224" s="104"/>
      <c r="V224" s="95"/>
      <c r="W224" s="105"/>
      <c r="X224" s="95"/>
      <c r="Y224" s="95"/>
      <c r="Z224" s="95"/>
      <c r="AA224" s="95"/>
      <c r="AB224" s="95"/>
      <c r="AC224" s="95"/>
      <c r="AD224" s="17">
        <f t="shared" si="69"/>
        <v>0</v>
      </c>
      <c r="AE224" s="17">
        <f t="shared" si="81"/>
        <v>0</v>
      </c>
      <c r="AF224" s="17">
        <f t="shared" si="81"/>
        <v>0</v>
      </c>
      <c r="AG224" s="17">
        <f t="shared" si="81"/>
        <v>0</v>
      </c>
      <c r="AH224" s="18" t="str">
        <f t="shared" si="71"/>
        <v>0,;!0,;!0,;!0</v>
      </c>
      <c r="AI224" s="18" t="e">
        <f>INDEX([1]Library!$AL:$AL,MATCH(AH224,[1]Library!$AJ:$AJ,0),1)</f>
        <v>#N/A</v>
      </c>
      <c r="AJ224" s="18" t="e">
        <f>TEXT(INDEX([1]Library!$W:$W,MATCH(AH224,[1]Library!$AJ:$AJ,0),1),"")</f>
        <v>#N/A</v>
      </c>
    </row>
    <row r="225" spans="1:36" ht="25.05" customHeight="1" outlineLevel="2">
      <c r="A225" s="378" t="s">
        <v>44</v>
      </c>
      <c r="B225" s="118" t="s">
        <v>44</v>
      </c>
      <c r="C225" s="119" t="s">
        <v>44</v>
      </c>
      <c r="D225" s="120" t="s">
        <v>44</v>
      </c>
      <c r="E225" s="290" t="s">
        <v>255</v>
      </c>
      <c r="F225" s="300"/>
      <c r="G225" s="304"/>
      <c r="H225" s="122">
        <v>22</v>
      </c>
      <c r="I225" s="123" t="s">
        <v>254</v>
      </c>
      <c r="J225" s="124">
        <v>1770.5340038314177</v>
      </c>
      <c r="K225" s="125">
        <v>38951.74808429119</v>
      </c>
      <c r="L225" s="124">
        <v>1682.0073036398469</v>
      </c>
      <c r="M225" s="125">
        <v>37004.160680076631</v>
      </c>
      <c r="N225" s="126">
        <v>0</v>
      </c>
      <c r="O225" s="125">
        <v>0</v>
      </c>
      <c r="P225" s="127">
        <v>75955.908764367821</v>
      </c>
      <c r="Q225" s="128">
        <f t="shared" si="72"/>
        <v>2.1607712608738729E-4</v>
      </c>
      <c r="R225" s="129">
        <f t="shared" si="73"/>
        <v>6.3227514577297486</v>
      </c>
      <c r="S225" s="379">
        <f t="shared" si="74"/>
        <v>246.61009339080462</v>
      </c>
      <c r="T225" s="358"/>
      <c r="U225" s="104"/>
      <c r="V225" s="95"/>
      <c r="W225" s="105"/>
      <c r="X225" s="95"/>
      <c r="Y225" s="95"/>
      <c r="Z225" s="95"/>
      <c r="AA225" s="95"/>
      <c r="AB225" s="95"/>
      <c r="AC225" s="95"/>
      <c r="AD225" s="17">
        <f t="shared" si="69"/>
        <v>0</v>
      </c>
      <c r="AE225" s="17">
        <f t="shared" si="81"/>
        <v>0</v>
      </c>
      <c r="AF225" s="17">
        <f t="shared" si="81"/>
        <v>0</v>
      </c>
      <c r="AG225" s="17">
        <f t="shared" si="81"/>
        <v>0</v>
      </c>
      <c r="AH225" s="18" t="str">
        <f t="shared" si="71"/>
        <v>0,;!0,;!0,;!0</v>
      </c>
      <c r="AI225" s="18" t="e">
        <f>INDEX([1]Library!$AL:$AL,MATCH(AH225,[1]Library!$AJ:$AJ,0),1)</f>
        <v>#N/A</v>
      </c>
      <c r="AJ225" s="18" t="e">
        <f>TEXT(INDEX([1]Library!$W:$W,MATCH(AH225,[1]Library!$AJ:$AJ,0),1),"")</f>
        <v>#N/A</v>
      </c>
    </row>
    <row r="226" spans="1:36" ht="25.05" customHeight="1" outlineLevel="2">
      <c r="A226" s="378" t="s">
        <v>44</v>
      </c>
      <c r="B226" s="118" t="s">
        <v>44</v>
      </c>
      <c r="C226" s="119" t="s">
        <v>44</v>
      </c>
      <c r="D226" s="120" t="s">
        <v>44</v>
      </c>
      <c r="E226" s="290" t="s">
        <v>256</v>
      </c>
      <c r="F226" s="300"/>
      <c r="G226" s="304"/>
      <c r="H226" s="122">
        <v>34</v>
      </c>
      <c r="I226" s="123" t="s">
        <v>254</v>
      </c>
      <c r="J226" s="124">
        <v>1770.5340038314177</v>
      </c>
      <c r="K226" s="125">
        <v>60198.156130268202</v>
      </c>
      <c r="L226" s="124">
        <v>1682.0073036398469</v>
      </c>
      <c r="M226" s="125">
        <v>57188.248323754793</v>
      </c>
      <c r="N226" s="126">
        <v>0</v>
      </c>
      <c r="O226" s="125">
        <v>0</v>
      </c>
      <c r="P226" s="127">
        <v>117386.404454023</v>
      </c>
      <c r="Q226" s="128">
        <f t="shared" si="72"/>
        <v>3.3393737668050761E-4</v>
      </c>
      <c r="R226" s="129">
        <f t="shared" si="73"/>
        <v>9.7715249801277935</v>
      </c>
      <c r="S226" s="379">
        <f t="shared" si="74"/>
        <v>381.12468978578897</v>
      </c>
      <c r="T226" s="358"/>
      <c r="U226" s="104"/>
      <c r="V226" s="95"/>
      <c r="W226" s="105"/>
      <c r="X226" s="95"/>
      <c r="Y226" s="95"/>
      <c r="Z226" s="95"/>
      <c r="AA226" s="95"/>
      <c r="AB226" s="95"/>
      <c r="AC226" s="95"/>
      <c r="AD226" s="17">
        <f t="shared" si="69"/>
        <v>0</v>
      </c>
      <c r="AE226" s="17">
        <f t="shared" si="81"/>
        <v>0</v>
      </c>
      <c r="AF226" s="17">
        <f t="shared" si="81"/>
        <v>0</v>
      </c>
      <c r="AG226" s="17">
        <f t="shared" si="81"/>
        <v>0</v>
      </c>
      <c r="AH226" s="18" t="str">
        <f t="shared" si="71"/>
        <v>0,;!0,;!0,;!0</v>
      </c>
      <c r="AI226" s="18" t="e">
        <f>INDEX([1]Library!$AL:$AL,MATCH(AH226,[1]Library!$AJ:$AJ,0),1)</f>
        <v>#N/A</v>
      </c>
      <c r="AJ226" s="18" t="e">
        <f>TEXT(INDEX([1]Library!$W:$W,MATCH(AH226,[1]Library!$AJ:$AJ,0),1),"")</f>
        <v>#N/A</v>
      </c>
    </row>
    <row r="227" spans="1:36" ht="25.05" customHeight="1" outlineLevel="2">
      <c r="A227" s="378" t="s">
        <v>44</v>
      </c>
      <c r="B227" s="118" t="s">
        <v>44</v>
      </c>
      <c r="C227" s="119" t="s">
        <v>44</v>
      </c>
      <c r="D227" s="120" t="s">
        <v>44</v>
      </c>
      <c r="E227" s="290" t="s">
        <v>257</v>
      </c>
      <c r="F227" s="300"/>
      <c r="G227" s="304"/>
      <c r="H227" s="122">
        <v>1</v>
      </c>
      <c r="I227" s="123" t="s">
        <v>254</v>
      </c>
      <c r="J227" s="124">
        <v>1770.5340038314177</v>
      </c>
      <c r="K227" s="125">
        <v>1770.5340038314177</v>
      </c>
      <c r="L227" s="124">
        <v>1682.0073036398469</v>
      </c>
      <c r="M227" s="125">
        <v>1682.0073036398469</v>
      </c>
      <c r="N227" s="126">
        <v>0</v>
      </c>
      <c r="O227" s="125">
        <v>0</v>
      </c>
      <c r="P227" s="127">
        <v>3452.5413074712646</v>
      </c>
      <c r="Q227" s="128">
        <f t="shared" si="72"/>
        <v>9.8216875494266953E-6</v>
      </c>
      <c r="R227" s="129">
        <f t="shared" si="73"/>
        <v>0.28739779353317041</v>
      </c>
      <c r="S227" s="379">
        <f t="shared" si="74"/>
        <v>11.209549699582029</v>
      </c>
      <c r="T227" s="358"/>
      <c r="U227" s="104"/>
      <c r="V227" s="95"/>
      <c r="W227" s="105"/>
      <c r="X227" s="95"/>
      <c r="Y227" s="95"/>
      <c r="Z227" s="95"/>
      <c r="AA227" s="95"/>
      <c r="AB227" s="95"/>
      <c r="AC227" s="95"/>
      <c r="AD227" s="17">
        <f t="shared" si="69"/>
        <v>0</v>
      </c>
      <c r="AE227" s="17">
        <f t="shared" si="81"/>
        <v>0</v>
      </c>
      <c r="AF227" s="17">
        <f t="shared" si="81"/>
        <v>0</v>
      </c>
      <c r="AG227" s="17">
        <f t="shared" si="81"/>
        <v>0</v>
      </c>
      <c r="AH227" s="18" t="str">
        <f t="shared" si="71"/>
        <v>0,;!0,;!0,;!0</v>
      </c>
      <c r="AI227" s="18" t="e">
        <f>INDEX([1]Library!$AL:$AL,MATCH(AH227,[1]Library!$AJ:$AJ,0),1)</f>
        <v>#N/A</v>
      </c>
      <c r="AJ227" s="18" t="e">
        <f>TEXT(INDEX([1]Library!$W:$W,MATCH(AH227,[1]Library!$AJ:$AJ,0),1),"")</f>
        <v>#N/A</v>
      </c>
    </row>
    <row r="228" spans="1:36" ht="25.05" customHeight="1" outlineLevel="2">
      <c r="A228" s="376" t="s">
        <v>44</v>
      </c>
      <c r="B228" s="107" t="s">
        <v>44</v>
      </c>
      <c r="C228" s="108" t="s">
        <v>44</v>
      </c>
      <c r="D228" s="109" t="s">
        <v>258</v>
      </c>
      <c r="E228" s="289"/>
      <c r="F228" s="299"/>
      <c r="G228" s="62"/>
      <c r="H228" s="111">
        <v>1</v>
      </c>
      <c r="I228" s="112" t="s">
        <v>35</v>
      </c>
      <c r="J228" s="113">
        <v>1222956.5999131999</v>
      </c>
      <c r="K228" s="114">
        <v>1222956.5999131999</v>
      </c>
      <c r="L228" s="113">
        <v>295991.31998263998</v>
      </c>
      <c r="M228" s="114">
        <v>295991.31998263998</v>
      </c>
      <c r="N228" s="115">
        <v>0</v>
      </c>
      <c r="O228" s="114">
        <v>0</v>
      </c>
      <c r="P228" s="116">
        <v>1518947.9198958399</v>
      </c>
      <c r="Q228" s="117">
        <f>P228/P$13</f>
        <v>4.3210581842380216E-3</v>
      </c>
      <c r="R228" s="114">
        <f>P228/I$5</f>
        <v>126.44085668872088</v>
      </c>
      <c r="S228" s="377">
        <f>P228/I$7</f>
        <v>4931.6490905709088</v>
      </c>
      <c r="T228" s="357"/>
      <c r="U228" s="104"/>
      <c r="V228" s="95"/>
      <c r="W228" s="105"/>
      <c r="X228" s="95"/>
      <c r="Y228" s="95"/>
      <c r="Z228" s="95"/>
      <c r="AA228" s="95"/>
      <c r="AB228" s="95"/>
      <c r="AC228" s="95"/>
      <c r="AD228" s="17">
        <f t="shared" si="69"/>
        <v>0</v>
      </c>
      <c r="AE228" s="17">
        <f t="shared" si="81"/>
        <v>0</v>
      </c>
      <c r="AF228" s="17">
        <f t="shared" si="81"/>
        <v>0</v>
      </c>
      <c r="AG228" s="17">
        <f t="shared" si="81"/>
        <v>0</v>
      </c>
      <c r="AH228" s="18" t="str">
        <f t="shared" si="71"/>
        <v>0,;!0,;!0,;!0</v>
      </c>
      <c r="AI228" s="18" t="e">
        <f>INDEX([1]Library!$AL:$AL,MATCH(AH228,[1]Library!$AJ:$AJ,0),1)</f>
        <v>#N/A</v>
      </c>
      <c r="AJ228" s="18" t="e">
        <f>TEXT(INDEX([1]Library!$W:$W,MATCH(AH228,[1]Library!$AJ:$AJ,0),1),"")</f>
        <v>#N/A</v>
      </c>
    </row>
    <row r="229" spans="1:36" ht="25.05" customHeight="1" outlineLevel="2">
      <c r="A229" s="378" t="s">
        <v>44</v>
      </c>
      <c r="B229" s="118" t="s">
        <v>44</v>
      </c>
      <c r="C229" s="119" t="s">
        <v>44</v>
      </c>
      <c r="D229" s="120" t="s">
        <v>44</v>
      </c>
      <c r="E229" s="290" t="s">
        <v>259</v>
      </c>
      <c r="F229" s="300"/>
      <c r="G229" s="304"/>
      <c r="H229" s="122">
        <v>12</v>
      </c>
      <c r="I229" s="123" t="s">
        <v>140</v>
      </c>
      <c r="J229" s="124">
        <v>47740.095480190968</v>
      </c>
      <c r="K229" s="125">
        <v>572881.14576229162</v>
      </c>
      <c r="L229" s="124">
        <v>9548.0190960381933</v>
      </c>
      <c r="M229" s="125">
        <v>114576.22915245831</v>
      </c>
      <c r="N229" s="126">
        <v>0</v>
      </c>
      <c r="O229" s="125">
        <v>0</v>
      </c>
      <c r="P229" s="127">
        <v>687457.37491474999</v>
      </c>
      <c r="Q229" s="128">
        <f t="shared" si="72"/>
        <v>1.9556584378441809E-3</v>
      </c>
      <c r="R229" s="129">
        <f t="shared" si="73"/>
        <v>57.225595613021937</v>
      </c>
      <c r="S229" s="379">
        <f t="shared" si="74"/>
        <v>2232.0044640089286</v>
      </c>
      <c r="T229" s="358"/>
      <c r="U229" s="104"/>
      <c r="V229" s="95"/>
      <c r="W229" s="105"/>
      <c r="X229" s="95"/>
      <c r="Y229" s="95"/>
      <c r="Z229" s="95"/>
      <c r="AA229" s="95"/>
      <c r="AB229" s="95"/>
      <c r="AC229" s="95"/>
      <c r="AD229" s="17">
        <f t="shared" si="69"/>
        <v>0</v>
      </c>
      <c r="AE229" s="17">
        <f t="shared" si="81"/>
        <v>0</v>
      </c>
      <c r="AF229" s="17">
        <f t="shared" si="81"/>
        <v>0</v>
      </c>
      <c r="AG229" s="17">
        <f t="shared" si="81"/>
        <v>0</v>
      </c>
      <c r="AH229" s="18" t="str">
        <f t="shared" si="71"/>
        <v>0,;!0,;!0,;!0</v>
      </c>
      <c r="AI229" s="18" t="e">
        <f>INDEX([1]Library!$AL:$AL,MATCH(AH229,[1]Library!$AJ:$AJ,0),1)</f>
        <v>#N/A</v>
      </c>
      <c r="AJ229" s="18" t="e">
        <f>TEXT(INDEX([1]Library!$W:$W,MATCH(AH229,[1]Library!$AJ:$AJ,0),1),"")</f>
        <v>#N/A</v>
      </c>
    </row>
    <row r="230" spans="1:36" ht="25.05" customHeight="1" outlineLevel="2">
      <c r="A230" s="378" t="s">
        <v>44</v>
      </c>
      <c r="B230" s="118" t="s">
        <v>44</v>
      </c>
      <c r="C230" s="119" t="s">
        <v>44</v>
      </c>
      <c r="D230" s="120" t="s">
        <v>44</v>
      </c>
      <c r="E230" s="290" t="s">
        <v>260</v>
      </c>
      <c r="F230" s="300"/>
      <c r="G230" s="304"/>
      <c r="H230" s="122">
        <v>2</v>
      </c>
      <c r="I230" s="123" t="s">
        <v>140</v>
      </c>
      <c r="J230" s="124">
        <v>26040.05208010416</v>
      </c>
      <c r="K230" s="125">
        <v>52080.104160208321</v>
      </c>
      <c r="L230" s="124">
        <v>5208.0104160208321</v>
      </c>
      <c r="M230" s="125">
        <v>10416.020832041664</v>
      </c>
      <c r="N230" s="126">
        <v>0</v>
      </c>
      <c r="O230" s="125">
        <v>0</v>
      </c>
      <c r="P230" s="127">
        <v>62496.124992249985</v>
      </c>
      <c r="Q230" s="128">
        <f t="shared" si="72"/>
        <v>1.777871307131073E-4</v>
      </c>
      <c r="R230" s="129">
        <f t="shared" si="73"/>
        <v>5.2023268739110842</v>
      </c>
      <c r="S230" s="379">
        <f t="shared" si="74"/>
        <v>202.90949672808438</v>
      </c>
      <c r="T230" s="358"/>
      <c r="U230" s="104"/>
      <c r="V230" s="95"/>
      <c r="W230" s="105"/>
      <c r="X230" s="95"/>
      <c r="Y230" s="95"/>
      <c r="Z230" s="95"/>
      <c r="AA230" s="95"/>
      <c r="AB230" s="95"/>
      <c r="AC230" s="95"/>
      <c r="AD230" s="17">
        <f t="shared" si="69"/>
        <v>0</v>
      </c>
      <c r="AE230" s="17">
        <f t="shared" si="81"/>
        <v>0</v>
      </c>
      <c r="AF230" s="17">
        <f t="shared" si="81"/>
        <v>0</v>
      </c>
      <c r="AG230" s="17">
        <f t="shared" si="81"/>
        <v>0</v>
      </c>
      <c r="AH230" s="18" t="str">
        <f t="shared" si="71"/>
        <v>0,;!0,;!0,;!0</v>
      </c>
      <c r="AI230" s="18" t="e">
        <f>INDEX([1]Library!$AL:$AL,MATCH(AH230,[1]Library!$AJ:$AJ,0),1)</f>
        <v>#N/A</v>
      </c>
      <c r="AJ230" s="18" t="e">
        <f>TEXT(INDEX([1]Library!$W:$W,MATCH(AH230,[1]Library!$AJ:$AJ,0),1),"")</f>
        <v>#N/A</v>
      </c>
    </row>
    <row r="231" spans="1:36" ht="25.05" customHeight="1" outlineLevel="2">
      <c r="A231" s="378" t="s">
        <v>44</v>
      </c>
      <c r="B231" s="118" t="s">
        <v>44</v>
      </c>
      <c r="C231" s="119" t="s">
        <v>44</v>
      </c>
      <c r="D231" s="120" t="s">
        <v>44</v>
      </c>
      <c r="E231" s="290" t="s">
        <v>261</v>
      </c>
      <c r="F231" s="300"/>
      <c r="G231" s="304"/>
      <c r="H231" s="122">
        <v>2</v>
      </c>
      <c r="I231" s="123" t="s">
        <v>140</v>
      </c>
      <c r="J231" s="124">
        <v>37497.674995349997</v>
      </c>
      <c r="K231" s="125">
        <v>74995.349990699993</v>
      </c>
      <c r="L231" s="124">
        <v>7499.5349990699988</v>
      </c>
      <c r="M231" s="125">
        <v>14999.069998139998</v>
      </c>
      <c r="N231" s="126">
        <v>0</v>
      </c>
      <c r="O231" s="125">
        <v>0</v>
      </c>
      <c r="P231" s="127">
        <v>89994.419988839989</v>
      </c>
      <c r="Q231" s="128">
        <f t="shared" si="72"/>
        <v>2.5601346822687457E-4</v>
      </c>
      <c r="R231" s="129">
        <f t="shared" si="73"/>
        <v>7.4913506984319618</v>
      </c>
      <c r="S231" s="379">
        <f t="shared" si="74"/>
        <v>292.18967528844155</v>
      </c>
      <c r="T231" s="358"/>
      <c r="U231" s="104"/>
      <c r="V231" s="95"/>
      <c r="W231" s="105"/>
      <c r="X231" s="95"/>
      <c r="Y231" s="95"/>
      <c r="Z231" s="95"/>
      <c r="AA231" s="95"/>
      <c r="AB231" s="95"/>
      <c r="AC231" s="95"/>
      <c r="AD231" s="17">
        <f t="shared" si="69"/>
        <v>0</v>
      </c>
      <c r="AE231" s="17">
        <f t="shared" si="81"/>
        <v>0</v>
      </c>
      <c r="AF231" s="17">
        <f t="shared" si="81"/>
        <v>0</v>
      </c>
      <c r="AG231" s="17">
        <f t="shared" si="81"/>
        <v>0</v>
      </c>
      <c r="AH231" s="18" t="str">
        <f t="shared" si="71"/>
        <v>0,;!0,;!0,;!0</v>
      </c>
      <c r="AI231" s="18" t="e">
        <f>INDEX([1]Library!$AL:$AL,MATCH(AH231,[1]Library!$AJ:$AJ,0),1)</f>
        <v>#N/A</v>
      </c>
      <c r="AJ231" s="18" t="e">
        <f>TEXT(INDEX([1]Library!$W:$W,MATCH(AH231,[1]Library!$AJ:$AJ,0),1),"")</f>
        <v>#N/A</v>
      </c>
    </row>
    <row r="232" spans="1:36" ht="25.05" customHeight="1" outlineLevel="2">
      <c r="A232" s="378" t="s">
        <v>44</v>
      </c>
      <c r="B232" s="118" t="s">
        <v>44</v>
      </c>
      <c r="C232" s="119" t="s">
        <v>44</v>
      </c>
      <c r="D232" s="120" t="s">
        <v>44</v>
      </c>
      <c r="E232" s="290" t="s">
        <v>262</v>
      </c>
      <c r="F232" s="300"/>
      <c r="G232" s="304"/>
      <c r="H232" s="122">
        <v>2</v>
      </c>
      <c r="I232" s="123" t="s">
        <v>140</v>
      </c>
      <c r="J232" s="124">
        <v>5000</v>
      </c>
      <c r="K232" s="125">
        <v>10000</v>
      </c>
      <c r="L232" s="124">
        <v>1500</v>
      </c>
      <c r="M232" s="125">
        <v>3000</v>
      </c>
      <c r="N232" s="126">
        <v>0</v>
      </c>
      <c r="O232" s="125">
        <v>0</v>
      </c>
      <c r="P232" s="127">
        <v>13000</v>
      </c>
      <c r="Q232" s="128">
        <f t="shared" si="72"/>
        <v>3.6982016077908928E-5</v>
      </c>
      <c r="R232" s="129">
        <f t="shared" si="73"/>
        <v>1.0821510832748555</v>
      </c>
      <c r="S232" s="379">
        <f t="shared" si="74"/>
        <v>42.20779220779221</v>
      </c>
      <c r="T232" s="358"/>
      <c r="U232" s="104"/>
      <c r="V232" s="95"/>
      <c r="W232" s="105"/>
      <c r="X232" s="95"/>
      <c r="Y232" s="95"/>
      <c r="Z232" s="95"/>
      <c r="AA232" s="95"/>
      <c r="AB232" s="95"/>
      <c r="AC232" s="95"/>
      <c r="AD232" s="17">
        <f t="shared" si="69"/>
        <v>0</v>
      </c>
      <c r="AE232" s="17">
        <f t="shared" si="81"/>
        <v>0</v>
      </c>
      <c r="AF232" s="17">
        <f t="shared" si="81"/>
        <v>0</v>
      </c>
      <c r="AG232" s="17">
        <f t="shared" si="81"/>
        <v>0</v>
      </c>
      <c r="AH232" s="18" t="str">
        <f t="shared" si="71"/>
        <v>0,;!0,;!0,;!0</v>
      </c>
      <c r="AI232" s="18" t="e">
        <f>INDEX([1]Library!$AL:$AL,MATCH(AH232,[1]Library!$AJ:$AJ,0),1)</f>
        <v>#N/A</v>
      </c>
      <c r="AJ232" s="18" t="e">
        <f>TEXT(INDEX([1]Library!$W:$W,MATCH(AH232,[1]Library!$AJ:$AJ,0),1),"")</f>
        <v>#N/A</v>
      </c>
    </row>
    <row r="233" spans="1:36" ht="25.05" customHeight="1" outlineLevel="2">
      <c r="A233" s="378" t="s">
        <v>44</v>
      </c>
      <c r="B233" s="118" t="s">
        <v>44</v>
      </c>
      <c r="C233" s="119" t="s">
        <v>44</v>
      </c>
      <c r="D233" s="120" t="s">
        <v>44</v>
      </c>
      <c r="E233" s="290" t="s">
        <v>263</v>
      </c>
      <c r="F233" s="300"/>
      <c r="G233" s="304"/>
      <c r="H233" s="122">
        <v>4</v>
      </c>
      <c r="I233" s="123" t="s">
        <v>140</v>
      </c>
      <c r="J233" s="124">
        <v>25000</v>
      </c>
      <c r="K233" s="125">
        <v>100000</v>
      </c>
      <c r="L233" s="124">
        <v>7500</v>
      </c>
      <c r="M233" s="125">
        <v>30000</v>
      </c>
      <c r="N233" s="126">
        <v>0</v>
      </c>
      <c r="O233" s="125">
        <v>0</v>
      </c>
      <c r="P233" s="127">
        <v>130000</v>
      </c>
      <c r="Q233" s="128">
        <f t="shared" si="72"/>
        <v>3.6982016077908929E-4</v>
      </c>
      <c r="R233" s="129">
        <f t="shared" si="73"/>
        <v>10.821510832748555</v>
      </c>
      <c r="S233" s="379">
        <f t="shared" si="74"/>
        <v>422.0779220779221</v>
      </c>
      <c r="T233" s="358"/>
      <c r="U233" s="104"/>
      <c r="V233" s="95"/>
      <c r="W233" s="105"/>
      <c r="X233" s="95"/>
      <c r="Y233" s="95"/>
      <c r="Z233" s="95"/>
      <c r="AA233" s="95"/>
      <c r="AB233" s="95"/>
      <c r="AC233" s="95"/>
      <c r="AD233" s="17">
        <f t="shared" si="69"/>
        <v>0</v>
      </c>
      <c r="AE233" s="17">
        <f t="shared" si="81"/>
        <v>0</v>
      </c>
      <c r="AF233" s="17">
        <f t="shared" si="81"/>
        <v>0</v>
      </c>
      <c r="AG233" s="17">
        <f t="shared" si="81"/>
        <v>0</v>
      </c>
      <c r="AH233" s="18" t="str">
        <f t="shared" si="71"/>
        <v>0,;!0,;!0,;!0</v>
      </c>
      <c r="AI233" s="18" t="e">
        <f>INDEX([1]Library!$AL:$AL,MATCH(AH233,[1]Library!$AJ:$AJ,0),1)</f>
        <v>#N/A</v>
      </c>
      <c r="AJ233" s="18" t="e">
        <f>TEXT(INDEX([1]Library!$W:$W,MATCH(AH233,[1]Library!$AJ:$AJ,0),1),"")</f>
        <v>#N/A</v>
      </c>
    </row>
    <row r="234" spans="1:36" ht="25.05" customHeight="1" outlineLevel="2">
      <c r="A234" s="378" t="s">
        <v>44</v>
      </c>
      <c r="B234" s="118" t="s">
        <v>44</v>
      </c>
      <c r="C234" s="119" t="s">
        <v>44</v>
      </c>
      <c r="D234" s="120" t="s">
        <v>44</v>
      </c>
      <c r="E234" s="290" t="s">
        <v>264</v>
      </c>
      <c r="F234" s="300"/>
      <c r="G234" s="304"/>
      <c r="H234" s="122">
        <v>2</v>
      </c>
      <c r="I234" s="123" t="s">
        <v>140</v>
      </c>
      <c r="J234" s="124">
        <v>71500</v>
      </c>
      <c r="K234" s="125">
        <v>143000</v>
      </c>
      <c r="L234" s="124">
        <v>7500</v>
      </c>
      <c r="M234" s="125">
        <v>15000</v>
      </c>
      <c r="N234" s="126">
        <v>0</v>
      </c>
      <c r="O234" s="125">
        <v>0</v>
      </c>
      <c r="P234" s="127">
        <v>158000</v>
      </c>
      <c r="Q234" s="128">
        <f t="shared" si="72"/>
        <v>4.4947373386997009E-4</v>
      </c>
      <c r="R234" s="129">
        <f t="shared" si="73"/>
        <v>13.152297781340552</v>
      </c>
      <c r="S234" s="379">
        <f t="shared" si="74"/>
        <v>512.98701298701303</v>
      </c>
      <c r="T234" s="358"/>
      <c r="U234" s="104"/>
      <c r="V234" s="95"/>
      <c r="W234" s="105"/>
      <c r="X234" s="95"/>
      <c r="Y234" s="95"/>
      <c r="Z234" s="95"/>
      <c r="AA234" s="95"/>
      <c r="AB234" s="95"/>
      <c r="AC234" s="95"/>
      <c r="AD234" s="17">
        <f t="shared" si="69"/>
        <v>0</v>
      </c>
      <c r="AE234" s="17">
        <f t="shared" si="81"/>
        <v>0</v>
      </c>
      <c r="AF234" s="17">
        <f t="shared" si="81"/>
        <v>0</v>
      </c>
      <c r="AG234" s="17">
        <f t="shared" si="81"/>
        <v>0</v>
      </c>
      <c r="AH234" s="18" t="str">
        <f t="shared" si="71"/>
        <v>0,;!0,;!0,;!0</v>
      </c>
      <c r="AI234" s="18" t="e">
        <f>INDEX([1]Library!$AL:$AL,MATCH(AH234,[1]Library!$AJ:$AJ,0),1)</f>
        <v>#N/A</v>
      </c>
      <c r="AJ234" s="18" t="e">
        <f>TEXT(INDEX([1]Library!$W:$W,MATCH(AH234,[1]Library!$AJ:$AJ,0),1),"")</f>
        <v>#N/A</v>
      </c>
    </row>
    <row r="235" spans="1:36" ht="25.05" customHeight="1" outlineLevel="2">
      <c r="A235" s="378" t="s">
        <v>44</v>
      </c>
      <c r="B235" s="118" t="s">
        <v>44</v>
      </c>
      <c r="C235" s="119" t="s">
        <v>44</v>
      </c>
      <c r="D235" s="120" t="s">
        <v>44</v>
      </c>
      <c r="E235" s="290" t="s">
        <v>265</v>
      </c>
      <c r="F235" s="300"/>
      <c r="G235" s="304"/>
      <c r="H235" s="122">
        <v>1</v>
      </c>
      <c r="I235" s="123" t="s">
        <v>35</v>
      </c>
      <c r="J235" s="124">
        <v>270000</v>
      </c>
      <c r="K235" s="125">
        <v>270000</v>
      </c>
      <c r="L235" s="124">
        <v>108000</v>
      </c>
      <c r="M235" s="125">
        <v>108000</v>
      </c>
      <c r="N235" s="126">
        <v>0</v>
      </c>
      <c r="O235" s="125">
        <v>0</v>
      </c>
      <c r="P235" s="127">
        <v>378000</v>
      </c>
      <c r="Q235" s="128">
        <f t="shared" si="72"/>
        <v>1.0753232367268905E-3</v>
      </c>
      <c r="R235" s="129">
        <f t="shared" si="73"/>
        <v>31.465623805991953</v>
      </c>
      <c r="S235" s="379">
        <f t="shared" si="74"/>
        <v>1227.2727272727273</v>
      </c>
      <c r="T235" s="358"/>
      <c r="U235" s="104"/>
      <c r="V235" s="95"/>
      <c r="W235" s="105"/>
      <c r="X235" s="95"/>
      <c r="Y235" s="95"/>
      <c r="Z235" s="95"/>
      <c r="AA235" s="95"/>
      <c r="AB235" s="95"/>
      <c r="AC235" s="95"/>
      <c r="AD235" s="17">
        <f t="shared" si="69"/>
        <v>0</v>
      </c>
      <c r="AE235" s="17">
        <f t="shared" si="81"/>
        <v>0</v>
      </c>
      <c r="AF235" s="17">
        <f t="shared" si="81"/>
        <v>0</v>
      </c>
      <c r="AG235" s="17">
        <f t="shared" si="81"/>
        <v>0</v>
      </c>
      <c r="AH235" s="18" t="str">
        <f t="shared" si="71"/>
        <v>0,;!0,;!0,;!0</v>
      </c>
      <c r="AI235" s="18" t="e">
        <f>INDEX([1]Library!$AL:$AL,MATCH(AH235,[1]Library!$AJ:$AJ,0),1)</f>
        <v>#N/A</v>
      </c>
      <c r="AJ235" s="18" t="e">
        <f>TEXT(INDEX([1]Library!$W:$W,MATCH(AH235,[1]Library!$AJ:$AJ,0),1),"")</f>
        <v>#N/A</v>
      </c>
    </row>
    <row r="236" spans="1:36" ht="25.05" customHeight="1" outlineLevel="1">
      <c r="A236" s="374" t="s">
        <v>44</v>
      </c>
      <c r="B236" s="96" t="s">
        <v>44</v>
      </c>
      <c r="C236" s="97" t="s">
        <v>266</v>
      </c>
      <c r="D236" s="97"/>
      <c r="E236" s="98"/>
      <c r="F236" s="298"/>
      <c r="G236" s="62"/>
      <c r="H236" s="99">
        <v>1</v>
      </c>
      <c r="I236" s="100" t="s">
        <v>35</v>
      </c>
      <c r="J236" s="99">
        <v>321102.55710441119</v>
      </c>
      <c r="K236" s="99">
        <v>321102.55710441119</v>
      </c>
      <c r="L236" s="99">
        <v>64554.765192433966</v>
      </c>
      <c r="M236" s="99">
        <v>64554.765192433966</v>
      </c>
      <c r="N236" s="99">
        <v>0</v>
      </c>
      <c r="O236" s="99">
        <v>0</v>
      </c>
      <c r="P236" s="101">
        <v>385657.32229684514</v>
      </c>
      <c r="Q236" s="102">
        <f>P236/P$13</f>
        <v>1.0971065610573256E-3</v>
      </c>
      <c r="R236" s="103">
        <f>P236/I$5</f>
        <v>32.103037622800848</v>
      </c>
      <c r="S236" s="375">
        <f>P236/I$7</f>
        <v>1252.1341633014454</v>
      </c>
      <c r="T236" s="356"/>
      <c r="U236" s="104"/>
      <c r="V236" s="95"/>
      <c r="W236" s="105"/>
      <c r="X236" s="95"/>
      <c r="Y236" s="95"/>
      <c r="Z236" s="95"/>
      <c r="AA236" s="95"/>
      <c r="AB236" s="95"/>
      <c r="AC236" s="95"/>
      <c r="AD236" s="17">
        <f t="shared" si="69"/>
        <v>0</v>
      </c>
      <c r="AE236" s="17">
        <f t="shared" si="81"/>
        <v>0</v>
      </c>
      <c r="AF236" s="17">
        <f t="shared" si="81"/>
        <v>0</v>
      </c>
      <c r="AG236" s="17">
        <f t="shared" si="81"/>
        <v>0</v>
      </c>
      <c r="AH236" s="18" t="str">
        <f t="shared" si="71"/>
        <v>0,;!0,;!0,;!0</v>
      </c>
      <c r="AI236" s="18" t="e">
        <f>INDEX([1]Library!$AL:$AL,MATCH(AH236,[1]Library!$AJ:$AJ,0),1)</f>
        <v>#N/A</v>
      </c>
      <c r="AJ236" s="18" t="e">
        <f>TEXT(INDEX([1]Library!$W:$W,MATCH(AH236,[1]Library!$AJ:$AJ,0),1),"")</f>
        <v>#N/A</v>
      </c>
    </row>
    <row r="237" spans="1:36" ht="25.05" customHeight="1" outlineLevel="2">
      <c r="A237" s="376" t="s">
        <v>44</v>
      </c>
      <c r="B237" s="107" t="s">
        <v>44</v>
      </c>
      <c r="C237" s="108" t="s">
        <v>44</v>
      </c>
      <c r="D237" s="109" t="s">
        <v>267</v>
      </c>
      <c r="E237" s="289"/>
      <c r="F237" s="299"/>
      <c r="G237" s="62"/>
      <c r="H237" s="111">
        <v>1</v>
      </c>
      <c r="I237" s="112" t="s">
        <v>35</v>
      </c>
      <c r="J237" s="113">
        <v>13279.005028735633</v>
      </c>
      <c r="K237" s="114">
        <v>13279.005028735633</v>
      </c>
      <c r="L237" s="113">
        <v>12615.054777298852</v>
      </c>
      <c r="M237" s="114">
        <v>12615.054777298852</v>
      </c>
      <c r="N237" s="115">
        <v>0</v>
      </c>
      <c r="O237" s="114">
        <v>0</v>
      </c>
      <c r="P237" s="116">
        <v>25894.059806034486</v>
      </c>
      <c r="Q237" s="117">
        <f>P237/P$13</f>
        <v>7.3662656620700209E-5</v>
      </c>
      <c r="R237" s="114">
        <f>P237/I$5</f>
        <v>2.1554834514987777</v>
      </c>
      <c r="S237" s="377">
        <f>P237/I$7</f>
        <v>84.071622746865216</v>
      </c>
      <c r="T237" s="357"/>
      <c r="U237" s="104"/>
      <c r="V237" s="95"/>
      <c r="W237" s="105"/>
      <c r="X237" s="95"/>
      <c r="Y237" s="95"/>
      <c r="Z237" s="95"/>
      <c r="AA237" s="95"/>
      <c r="AB237" s="95"/>
      <c r="AC237" s="95"/>
      <c r="AD237" s="17">
        <f t="shared" si="69"/>
        <v>0</v>
      </c>
      <c r="AE237" s="17">
        <f t="shared" si="81"/>
        <v>0</v>
      </c>
      <c r="AF237" s="17">
        <f t="shared" si="81"/>
        <v>0</v>
      </c>
      <c r="AG237" s="17">
        <f t="shared" si="81"/>
        <v>0</v>
      </c>
      <c r="AH237" s="18" t="str">
        <f t="shared" si="71"/>
        <v>0,;!0,;!0,;!0</v>
      </c>
      <c r="AI237" s="18" t="e">
        <f>INDEX([1]Library!$AL:$AL,MATCH(AH237,[1]Library!$AJ:$AJ,0),1)</f>
        <v>#N/A</v>
      </c>
      <c r="AJ237" s="18" t="e">
        <f>TEXT(INDEX([1]Library!$W:$W,MATCH(AH237,[1]Library!$AJ:$AJ,0),1),"")</f>
        <v>#N/A</v>
      </c>
    </row>
    <row r="238" spans="1:36" ht="25.05" customHeight="1" outlineLevel="2">
      <c r="A238" s="378" t="s">
        <v>44</v>
      </c>
      <c r="B238" s="118" t="s">
        <v>44</v>
      </c>
      <c r="C238" s="119" t="s">
        <v>44</v>
      </c>
      <c r="D238" s="120" t="s">
        <v>44</v>
      </c>
      <c r="E238" s="290" t="s">
        <v>268</v>
      </c>
      <c r="F238" s="300"/>
      <c r="G238" s="304"/>
      <c r="H238" s="122">
        <v>7</v>
      </c>
      <c r="I238" s="123" t="s">
        <v>254</v>
      </c>
      <c r="J238" s="124">
        <v>1770.5340038314177</v>
      </c>
      <c r="K238" s="125">
        <v>12393.738026819925</v>
      </c>
      <c r="L238" s="124">
        <v>1682.0073036398469</v>
      </c>
      <c r="M238" s="125">
        <v>11774.051125478929</v>
      </c>
      <c r="N238" s="126">
        <v>0</v>
      </c>
      <c r="O238" s="125">
        <v>0</v>
      </c>
      <c r="P238" s="127">
        <v>24167.789152298854</v>
      </c>
      <c r="Q238" s="128">
        <f t="shared" si="72"/>
        <v>6.8751812845986869E-5</v>
      </c>
      <c r="R238" s="129">
        <f t="shared" si="73"/>
        <v>2.0117845547321926</v>
      </c>
      <c r="S238" s="379">
        <f t="shared" si="74"/>
        <v>78.466847897074203</v>
      </c>
      <c r="T238" s="358"/>
      <c r="U238" s="104"/>
      <c r="V238" s="95"/>
      <c r="W238" s="105"/>
      <c r="X238" s="95"/>
      <c r="Y238" s="95"/>
      <c r="Z238" s="95"/>
      <c r="AA238" s="95"/>
      <c r="AB238" s="95"/>
      <c r="AC238" s="95"/>
      <c r="AD238" s="17">
        <f t="shared" si="69"/>
        <v>0</v>
      </c>
      <c r="AE238" s="17">
        <f t="shared" ref="AE238:AG253" si="82">IF(AA238=" ",IF($X238&gt;=AE$12,AE237,""),AA238)</f>
        <v>0</v>
      </c>
      <c r="AF238" s="17">
        <f t="shared" si="82"/>
        <v>0</v>
      </c>
      <c r="AG238" s="17">
        <f t="shared" si="82"/>
        <v>0</v>
      </c>
      <c r="AH238" s="18" t="str">
        <f t="shared" si="71"/>
        <v>0,;!0,;!0,;!0</v>
      </c>
      <c r="AI238" s="18" t="e">
        <f>INDEX([1]Library!$AL:$AL,MATCH(AH238,[1]Library!$AJ:$AJ,0),1)</f>
        <v>#N/A</v>
      </c>
      <c r="AJ238" s="18" t="e">
        <f>TEXT(INDEX([1]Library!$W:$W,MATCH(AH238,[1]Library!$AJ:$AJ,0),1),"")</f>
        <v>#N/A</v>
      </c>
    </row>
    <row r="239" spans="1:36" ht="25.05" customHeight="1" outlineLevel="2">
      <c r="A239" s="378" t="s">
        <v>44</v>
      </c>
      <c r="B239" s="118" t="s">
        <v>44</v>
      </c>
      <c r="C239" s="119" t="s">
        <v>44</v>
      </c>
      <c r="D239" s="120" t="s">
        <v>44</v>
      </c>
      <c r="E239" s="290" t="s">
        <v>269</v>
      </c>
      <c r="F239" s="300"/>
      <c r="G239" s="304"/>
      <c r="H239" s="122">
        <v>0.5</v>
      </c>
      <c r="I239" s="123" t="s">
        <v>254</v>
      </c>
      <c r="J239" s="124">
        <v>1770.5340038314177</v>
      </c>
      <c r="K239" s="125">
        <v>885.26700191570887</v>
      </c>
      <c r="L239" s="124">
        <v>1682.0073036398469</v>
      </c>
      <c r="M239" s="125">
        <v>841.00365181992345</v>
      </c>
      <c r="N239" s="126">
        <v>0</v>
      </c>
      <c r="O239" s="125">
        <v>0</v>
      </c>
      <c r="P239" s="127">
        <v>1726.2706537356323</v>
      </c>
      <c r="Q239" s="128">
        <f t="shared" si="72"/>
        <v>4.9108437747133477E-6</v>
      </c>
      <c r="R239" s="129">
        <f t="shared" si="73"/>
        <v>0.1436988967665852</v>
      </c>
      <c r="S239" s="379">
        <f t="shared" si="74"/>
        <v>5.6047748497910144</v>
      </c>
      <c r="T239" s="358"/>
      <c r="U239" s="104"/>
      <c r="V239" s="95"/>
      <c r="W239" s="105"/>
      <c r="X239" s="95"/>
      <c r="Y239" s="95"/>
      <c r="Z239" s="95"/>
      <c r="AA239" s="95"/>
      <c r="AB239" s="95"/>
      <c r="AC239" s="95"/>
      <c r="AD239" s="17">
        <f t="shared" si="69"/>
        <v>0</v>
      </c>
      <c r="AE239" s="17">
        <f t="shared" si="82"/>
        <v>0</v>
      </c>
      <c r="AF239" s="17">
        <f t="shared" si="82"/>
        <v>0</v>
      </c>
      <c r="AG239" s="17">
        <f t="shared" si="82"/>
        <v>0</v>
      </c>
      <c r="AH239" s="18" t="str">
        <f t="shared" si="71"/>
        <v>0,;!0,;!0,;!0</v>
      </c>
      <c r="AI239" s="18" t="e">
        <f>INDEX([1]Library!$AL:$AL,MATCH(AH239,[1]Library!$AJ:$AJ,0),1)</f>
        <v>#N/A</v>
      </c>
      <c r="AJ239" s="18" t="e">
        <f>TEXT(INDEX([1]Library!$W:$W,MATCH(AH239,[1]Library!$AJ:$AJ,0),1),"")</f>
        <v>#N/A</v>
      </c>
    </row>
    <row r="240" spans="1:36" ht="25.05" customHeight="1" outlineLevel="2">
      <c r="A240" s="376" t="s">
        <v>44</v>
      </c>
      <c r="B240" s="107" t="s">
        <v>44</v>
      </c>
      <c r="C240" s="108" t="s">
        <v>44</v>
      </c>
      <c r="D240" s="109" t="s">
        <v>270</v>
      </c>
      <c r="E240" s="289"/>
      <c r="F240" s="299"/>
      <c r="G240" s="62"/>
      <c r="H240" s="111">
        <v>1</v>
      </c>
      <c r="I240" s="112" t="s">
        <v>35</v>
      </c>
      <c r="J240" s="113">
        <v>307823.55207567557</v>
      </c>
      <c r="K240" s="114">
        <v>307823.55207567557</v>
      </c>
      <c r="L240" s="113">
        <v>51939.710415135116</v>
      </c>
      <c r="M240" s="114">
        <v>51939.710415135116</v>
      </c>
      <c r="N240" s="115">
        <v>0</v>
      </c>
      <c r="O240" s="114">
        <v>0</v>
      </c>
      <c r="P240" s="116">
        <v>359763.26249081071</v>
      </c>
      <c r="Q240" s="117">
        <f>P240/P$13</f>
        <v>1.0234439044366256E-3</v>
      </c>
      <c r="R240" s="114">
        <f>P240/I$5</f>
        <v>29.947554171302077</v>
      </c>
      <c r="S240" s="377">
        <f>P240/I$7</f>
        <v>1168.0625405545802</v>
      </c>
      <c r="T240" s="357"/>
      <c r="U240" s="104"/>
      <c r="V240" s="95"/>
      <c r="W240" s="105"/>
      <c r="X240" s="95"/>
      <c r="Y240" s="95"/>
      <c r="Z240" s="95"/>
      <c r="AA240" s="95"/>
      <c r="AB240" s="95"/>
      <c r="AC240" s="95"/>
      <c r="AD240" s="17">
        <f t="shared" si="69"/>
        <v>0</v>
      </c>
      <c r="AE240" s="17">
        <f t="shared" si="82"/>
        <v>0</v>
      </c>
      <c r="AF240" s="17">
        <f t="shared" si="82"/>
        <v>0</v>
      </c>
      <c r="AG240" s="17">
        <f t="shared" si="82"/>
        <v>0</v>
      </c>
      <c r="AH240" s="18" t="str">
        <f t="shared" si="71"/>
        <v>0,;!0,;!0,;!0</v>
      </c>
      <c r="AI240" s="18" t="e">
        <f>INDEX([1]Library!$AL:$AL,MATCH(AH240,[1]Library!$AJ:$AJ,0),1)</f>
        <v>#N/A</v>
      </c>
      <c r="AJ240" s="18" t="e">
        <f>TEXT(INDEX([1]Library!$W:$W,MATCH(AH240,[1]Library!$AJ:$AJ,0),1),"")</f>
        <v>#N/A</v>
      </c>
    </row>
    <row r="241" spans="1:36" ht="25.05" customHeight="1" outlineLevel="2">
      <c r="A241" s="378" t="s">
        <v>44</v>
      </c>
      <c r="B241" s="118" t="s">
        <v>44</v>
      </c>
      <c r="C241" s="119" t="s">
        <v>44</v>
      </c>
      <c r="D241" s="120" t="s">
        <v>44</v>
      </c>
      <c r="E241" s="290" t="s">
        <v>271</v>
      </c>
      <c r="F241" s="300"/>
      <c r="G241" s="304"/>
      <c r="H241" s="122">
        <v>1</v>
      </c>
      <c r="I241" s="123" t="s">
        <v>140</v>
      </c>
      <c r="J241" s="124">
        <v>26040.05208010416</v>
      </c>
      <c r="K241" s="125">
        <v>26040.05208010416</v>
      </c>
      <c r="L241" s="124">
        <v>5208.0104160208321</v>
      </c>
      <c r="M241" s="125">
        <v>5208.0104160208321</v>
      </c>
      <c r="N241" s="126">
        <v>0</v>
      </c>
      <c r="O241" s="125">
        <v>0</v>
      </c>
      <c r="P241" s="127">
        <v>31248.062496124992</v>
      </c>
      <c r="Q241" s="128">
        <f t="shared" si="72"/>
        <v>8.889356535655365E-5</v>
      </c>
      <c r="R241" s="129">
        <f t="shared" si="73"/>
        <v>2.6011634369555421</v>
      </c>
      <c r="S241" s="379">
        <f t="shared" si="74"/>
        <v>101.45474836404219</v>
      </c>
      <c r="T241" s="358"/>
      <c r="U241" s="104"/>
      <c r="V241" s="95"/>
      <c r="W241" s="105"/>
      <c r="X241" s="95"/>
      <c r="Y241" s="95"/>
      <c r="Z241" s="95"/>
      <c r="AA241" s="95"/>
      <c r="AB241" s="95"/>
      <c r="AC241" s="95"/>
      <c r="AD241" s="17">
        <f t="shared" si="69"/>
        <v>0</v>
      </c>
      <c r="AE241" s="17">
        <f t="shared" si="82"/>
        <v>0</v>
      </c>
      <c r="AF241" s="17">
        <f t="shared" si="82"/>
        <v>0</v>
      </c>
      <c r="AG241" s="17">
        <f t="shared" si="82"/>
        <v>0</v>
      </c>
      <c r="AH241" s="18" t="str">
        <f t="shared" si="71"/>
        <v>0,;!0,;!0,;!0</v>
      </c>
      <c r="AI241" s="18" t="e">
        <f>INDEX([1]Library!$AL:$AL,MATCH(AH241,[1]Library!$AJ:$AJ,0),1)</f>
        <v>#N/A</v>
      </c>
      <c r="AJ241" s="18" t="e">
        <f>TEXT(INDEX([1]Library!$W:$W,MATCH(AH241,[1]Library!$AJ:$AJ,0),1),"")</f>
        <v>#N/A</v>
      </c>
    </row>
    <row r="242" spans="1:36" ht="25.05" customHeight="1" outlineLevel="2">
      <c r="A242" s="378" t="s">
        <v>44</v>
      </c>
      <c r="B242" s="118" t="s">
        <v>44</v>
      </c>
      <c r="C242" s="119" t="s">
        <v>44</v>
      </c>
      <c r="D242" s="120" t="s">
        <v>44</v>
      </c>
      <c r="E242" s="290" t="s">
        <v>272</v>
      </c>
      <c r="F242" s="300"/>
      <c r="G242" s="304"/>
      <c r="H242" s="122">
        <v>1</v>
      </c>
      <c r="I242" s="123" t="s">
        <v>140</v>
      </c>
      <c r="J242" s="124">
        <v>35712.07142414285</v>
      </c>
      <c r="K242" s="125">
        <v>35712.07142414285</v>
      </c>
      <c r="L242" s="124">
        <v>7142.4142848285701</v>
      </c>
      <c r="M242" s="125">
        <v>7142.4142848285701</v>
      </c>
      <c r="N242" s="126">
        <v>0</v>
      </c>
      <c r="O242" s="125">
        <v>0</v>
      </c>
      <c r="P242" s="127">
        <v>42854.485708971421</v>
      </c>
      <c r="Q242" s="128">
        <f t="shared" si="72"/>
        <v>1.2191117534613074E-4</v>
      </c>
      <c r="R242" s="129">
        <f t="shared" si="73"/>
        <v>3.567309856396172</v>
      </c>
      <c r="S242" s="379">
        <f t="shared" si="74"/>
        <v>139.13794061354358</v>
      </c>
      <c r="T242" s="358"/>
      <c r="U242" s="104"/>
      <c r="V242" s="95"/>
      <c r="W242" s="105"/>
      <c r="X242" s="95"/>
      <c r="Y242" s="95"/>
      <c r="Z242" s="95"/>
      <c r="AA242" s="95"/>
      <c r="AB242" s="95"/>
      <c r="AC242" s="95"/>
      <c r="AD242" s="17">
        <f t="shared" si="69"/>
        <v>0</v>
      </c>
      <c r="AE242" s="17">
        <f t="shared" si="82"/>
        <v>0</v>
      </c>
      <c r="AF242" s="17">
        <f t="shared" si="82"/>
        <v>0</v>
      </c>
      <c r="AG242" s="17">
        <f t="shared" si="82"/>
        <v>0</v>
      </c>
      <c r="AH242" s="18" t="str">
        <f t="shared" si="71"/>
        <v>0,;!0,;!0,;!0</v>
      </c>
      <c r="AI242" s="18" t="e">
        <f>INDEX([1]Library!$AL:$AL,MATCH(AH242,[1]Library!$AJ:$AJ,0),1)</f>
        <v>#N/A</v>
      </c>
      <c r="AJ242" s="18" t="e">
        <f>TEXT(INDEX([1]Library!$W:$W,MATCH(AH242,[1]Library!$AJ:$AJ,0),1),"")</f>
        <v>#N/A</v>
      </c>
    </row>
    <row r="243" spans="1:36" ht="25.05" customHeight="1" outlineLevel="2">
      <c r="A243" s="378" t="s">
        <v>44</v>
      </c>
      <c r="B243" s="118" t="s">
        <v>44</v>
      </c>
      <c r="C243" s="119" t="s">
        <v>44</v>
      </c>
      <c r="D243" s="120" t="s">
        <v>44</v>
      </c>
      <c r="E243" s="290" t="s">
        <v>262</v>
      </c>
      <c r="F243" s="300"/>
      <c r="G243" s="304"/>
      <c r="H243" s="122">
        <v>1</v>
      </c>
      <c r="I243" s="123" t="s">
        <v>140</v>
      </c>
      <c r="J243" s="124">
        <v>5000</v>
      </c>
      <c r="K243" s="125">
        <v>5000</v>
      </c>
      <c r="L243" s="124">
        <v>1500</v>
      </c>
      <c r="M243" s="125">
        <v>1500</v>
      </c>
      <c r="N243" s="126">
        <v>0</v>
      </c>
      <c r="O243" s="125">
        <v>0</v>
      </c>
      <c r="P243" s="127">
        <v>6500</v>
      </c>
      <c r="Q243" s="128">
        <f t="shared" si="72"/>
        <v>1.8491008038954464E-5</v>
      </c>
      <c r="R243" s="129">
        <f t="shared" si="73"/>
        <v>0.54107554163742777</v>
      </c>
      <c r="S243" s="379">
        <f t="shared" si="74"/>
        <v>21.103896103896105</v>
      </c>
      <c r="T243" s="358"/>
      <c r="U243" s="104"/>
      <c r="V243" s="95"/>
      <c r="W243" s="105"/>
      <c r="X243" s="95"/>
      <c r="Y243" s="95"/>
      <c r="Z243" s="95"/>
      <c r="AA243" s="95"/>
      <c r="AB243" s="95"/>
      <c r="AC243" s="95"/>
      <c r="AD243" s="17">
        <f t="shared" si="69"/>
        <v>0</v>
      </c>
      <c r="AE243" s="17">
        <f t="shared" si="82"/>
        <v>0</v>
      </c>
      <c r="AF243" s="17">
        <f t="shared" si="82"/>
        <v>0</v>
      </c>
      <c r="AG243" s="17">
        <f t="shared" si="82"/>
        <v>0</v>
      </c>
      <c r="AH243" s="18" t="str">
        <f t="shared" si="71"/>
        <v>0,;!0,;!0,;!0</v>
      </c>
      <c r="AI243" s="18" t="e">
        <f>INDEX([1]Library!$AL:$AL,MATCH(AH243,[1]Library!$AJ:$AJ,0),1)</f>
        <v>#N/A</v>
      </c>
      <c r="AJ243" s="18" t="e">
        <f>TEXT(INDEX([1]Library!$W:$W,MATCH(AH243,[1]Library!$AJ:$AJ,0),1),"")</f>
        <v>#N/A</v>
      </c>
    </row>
    <row r="244" spans="1:36" ht="25.05" customHeight="1" outlineLevel="2">
      <c r="A244" s="378" t="s">
        <v>44</v>
      </c>
      <c r="B244" s="118" t="s">
        <v>44</v>
      </c>
      <c r="C244" s="119" t="s">
        <v>44</v>
      </c>
      <c r="D244" s="120" t="s">
        <v>44</v>
      </c>
      <c r="E244" s="290" t="s">
        <v>263</v>
      </c>
      <c r="F244" s="300"/>
      <c r="G244" s="304"/>
      <c r="H244" s="122">
        <v>2</v>
      </c>
      <c r="I244" s="123" t="s">
        <v>140</v>
      </c>
      <c r="J244" s="124">
        <v>33750</v>
      </c>
      <c r="K244" s="125">
        <v>67500</v>
      </c>
      <c r="L244" s="124">
        <v>3374.9999999999995</v>
      </c>
      <c r="M244" s="125">
        <v>6749.9999999999991</v>
      </c>
      <c r="N244" s="126">
        <v>0</v>
      </c>
      <c r="O244" s="125">
        <v>0</v>
      </c>
      <c r="P244" s="127">
        <v>74250</v>
      </c>
      <c r="Q244" s="128">
        <f t="shared" si="72"/>
        <v>2.1122420721421062E-4</v>
      </c>
      <c r="R244" s="129">
        <f t="shared" si="73"/>
        <v>6.1807475333198481</v>
      </c>
      <c r="S244" s="379">
        <f t="shared" si="74"/>
        <v>241.07142857142858</v>
      </c>
      <c r="T244" s="358"/>
      <c r="U244" s="104"/>
      <c r="V244" s="95"/>
      <c r="W244" s="105"/>
      <c r="X244" s="95"/>
      <c r="Y244" s="95"/>
      <c r="Z244" s="95"/>
      <c r="AA244" s="95"/>
      <c r="AB244" s="95"/>
      <c r="AC244" s="95"/>
      <c r="AD244" s="17">
        <f t="shared" si="69"/>
        <v>0</v>
      </c>
      <c r="AE244" s="17">
        <f t="shared" si="82"/>
        <v>0</v>
      </c>
      <c r="AF244" s="17">
        <f t="shared" si="82"/>
        <v>0</v>
      </c>
      <c r="AG244" s="17">
        <f t="shared" si="82"/>
        <v>0</v>
      </c>
      <c r="AH244" s="18" t="str">
        <f t="shared" si="71"/>
        <v>0,;!0,;!0,;!0</v>
      </c>
      <c r="AI244" s="18" t="e">
        <f>INDEX([1]Library!$AL:$AL,MATCH(AH244,[1]Library!$AJ:$AJ,0),1)</f>
        <v>#N/A</v>
      </c>
      <c r="AJ244" s="18" t="e">
        <f>TEXT(INDEX([1]Library!$W:$W,MATCH(AH244,[1]Library!$AJ:$AJ,0),1),"")</f>
        <v>#N/A</v>
      </c>
    </row>
    <row r="245" spans="1:36" ht="25.05" customHeight="1" outlineLevel="2">
      <c r="A245" s="378" t="s">
        <v>44</v>
      </c>
      <c r="B245" s="118" t="s">
        <v>44</v>
      </c>
      <c r="C245" s="119" t="s">
        <v>44</v>
      </c>
      <c r="D245" s="120" t="s">
        <v>44</v>
      </c>
      <c r="E245" s="290" t="s">
        <v>264</v>
      </c>
      <c r="F245" s="300"/>
      <c r="G245" s="304"/>
      <c r="H245" s="122">
        <v>1</v>
      </c>
      <c r="I245" s="123" t="s">
        <v>140</v>
      </c>
      <c r="J245" s="124">
        <v>106071.42857142858</v>
      </c>
      <c r="K245" s="125">
        <v>106071.42857142858</v>
      </c>
      <c r="L245" s="124">
        <v>4339.2857142857147</v>
      </c>
      <c r="M245" s="125">
        <v>4339.2857142857147</v>
      </c>
      <c r="N245" s="126">
        <v>0</v>
      </c>
      <c r="O245" s="125">
        <v>0</v>
      </c>
      <c r="P245" s="127">
        <v>110410.71428571429</v>
      </c>
      <c r="Q245" s="128">
        <f t="shared" si="72"/>
        <v>3.1409313929905346E-4</v>
      </c>
      <c r="R245" s="129">
        <f t="shared" si="73"/>
        <v>9.1908518514950988</v>
      </c>
      <c r="S245" s="379">
        <f t="shared" si="74"/>
        <v>358.47634508348796</v>
      </c>
      <c r="T245" s="358"/>
      <c r="U245" s="104"/>
      <c r="V245" s="95"/>
      <c r="W245" s="105"/>
      <c r="X245" s="95"/>
      <c r="Y245" s="95"/>
      <c r="Z245" s="95"/>
      <c r="AA245" s="95"/>
      <c r="AB245" s="95"/>
      <c r="AC245" s="95"/>
      <c r="AD245" s="17">
        <f t="shared" si="69"/>
        <v>0</v>
      </c>
      <c r="AE245" s="17">
        <f t="shared" si="82"/>
        <v>0</v>
      </c>
      <c r="AF245" s="17">
        <f t="shared" si="82"/>
        <v>0</v>
      </c>
      <c r="AG245" s="17">
        <f t="shared" si="82"/>
        <v>0</v>
      </c>
      <c r="AH245" s="18" t="str">
        <f t="shared" si="71"/>
        <v>0,;!0,;!0,;!0</v>
      </c>
      <c r="AI245" s="18" t="e">
        <f>INDEX([1]Library!$AL:$AL,MATCH(AH245,[1]Library!$AJ:$AJ,0),1)</f>
        <v>#N/A</v>
      </c>
      <c r="AJ245" s="18" t="e">
        <f>TEXT(INDEX([1]Library!$W:$W,MATCH(AH245,[1]Library!$AJ:$AJ,0),1),"")</f>
        <v>#N/A</v>
      </c>
    </row>
    <row r="246" spans="1:36" ht="25.05" customHeight="1" outlineLevel="2">
      <c r="A246" s="378" t="s">
        <v>44</v>
      </c>
      <c r="B246" s="118" t="s">
        <v>44</v>
      </c>
      <c r="C246" s="119" t="s">
        <v>44</v>
      </c>
      <c r="D246" s="120" t="s">
        <v>44</v>
      </c>
      <c r="E246" s="290" t="s">
        <v>265</v>
      </c>
      <c r="F246" s="300"/>
      <c r="G246" s="304"/>
      <c r="H246" s="122">
        <v>1</v>
      </c>
      <c r="I246" s="123" t="s">
        <v>35</v>
      </c>
      <c r="J246" s="124">
        <v>67500</v>
      </c>
      <c r="K246" s="125">
        <v>67500</v>
      </c>
      <c r="L246" s="124">
        <v>27000</v>
      </c>
      <c r="M246" s="125">
        <v>27000</v>
      </c>
      <c r="N246" s="126">
        <v>0</v>
      </c>
      <c r="O246" s="125">
        <v>0</v>
      </c>
      <c r="P246" s="127">
        <v>94500</v>
      </c>
      <c r="Q246" s="128">
        <f t="shared" si="72"/>
        <v>2.6883080918172262E-4</v>
      </c>
      <c r="R246" s="129">
        <f t="shared" si="73"/>
        <v>7.8664059514979883</v>
      </c>
      <c r="S246" s="379">
        <f t="shared" si="74"/>
        <v>306.81818181818181</v>
      </c>
      <c r="T246" s="358"/>
      <c r="U246" s="104"/>
      <c r="V246" s="95"/>
      <c r="W246" s="105"/>
      <c r="X246" s="95"/>
      <c r="Y246" s="95"/>
      <c r="Z246" s="95"/>
      <c r="AA246" s="95"/>
      <c r="AB246" s="95"/>
      <c r="AC246" s="95"/>
      <c r="AD246" s="17">
        <f t="shared" si="69"/>
        <v>0</v>
      </c>
      <c r="AE246" s="17">
        <f t="shared" si="82"/>
        <v>0</v>
      </c>
      <c r="AF246" s="17">
        <f t="shared" si="82"/>
        <v>0</v>
      </c>
      <c r="AG246" s="17">
        <f t="shared" si="82"/>
        <v>0</v>
      </c>
      <c r="AH246" s="18" t="str">
        <f t="shared" si="71"/>
        <v>0,;!0,;!0,;!0</v>
      </c>
      <c r="AI246" s="18" t="e">
        <f>INDEX([1]Library!$AL:$AL,MATCH(AH246,[1]Library!$AJ:$AJ,0),1)</f>
        <v>#N/A</v>
      </c>
      <c r="AJ246" s="18" t="e">
        <f>TEXT(INDEX([1]Library!$W:$W,MATCH(AH246,[1]Library!$AJ:$AJ,0),1),"")</f>
        <v>#N/A</v>
      </c>
    </row>
    <row r="247" spans="1:36" ht="25.05" customHeight="1" outlineLevel="1">
      <c r="A247" s="374" t="s">
        <v>44</v>
      </c>
      <c r="B247" s="96" t="s">
        <v>44</v>
      </c>
      <c r="C247" s="97" t="s">
        <v>273</v>
      </c>
      <c r="D247" s="97"/>
      <c r="E247" s="98"/>
      <c r="F247" s="298"/>
      <c r="G247" s="62"/>
      <c r="H247" s="99">
        <v>1</v>
      </c>
      <c r="I247" s="100" t="s">
        <v>35</v>
      </c>
      <c r="J247" s="99">
        <v>45000</v>
      </c>
      <c r="K247" s="99">
        <v>45000</v>
      </c>
      <c r="L247" s="99">
        <v>9000</v>
      </c>
      <c r="M247" s="99">
        <v>9000</v>
      </c>
      <c r="N247" s="99">
        <v>0</v>
      </c>
      <c r="O247" s="99">
        <v>0</v>
      </c>
      <c r="P247" s="101">
        <v>54000</v>
      </c>
      <c r="Q247" s="102">
        <f t="shared" si="72"/>
        <v>1.5361760524669864E-4</v>
      </c>
      <c r="R247" s="103">
        <f t="shared" si="73"/>
        <v>4.4950891151417078</v>
      </c>
      <c r="S247" s="375">
        <f t="shared" si="74"/>
        <v>175.32467532467533</v>
      </c>
      <c r="T247" s="356"/>
      <c r="U247" s="104"/>
      <c r="V247" s="95"/>
      <c r="W247" s="105"/>
      <c r="X247" s="95"/>
      <c r="Y247" s="95"/>
      <c r="Z247" s="95"/>
      <c r="AA247" s="95"/>
      <c r="AB247" s="95"/>
      <c r="AC247" s="95"/>
      <c r="AD247" s="17">
        <f t="shared" si="69"/>
        <v>0</v>
      </c>
      <c r="AE247" s="17">
        <f t="shared" si="82"/>
        <v>0</v>
      </c>
      <c r="AF247" s="17">
        <f t="shared" si="82"/>
        <v>0</v>
      </c>
      <c r="AG247" s="17">
        <f t="shared" si="82"/>
        <v>0</v>
      </c>
      <c r="AH247" s="18" t="str">
        <f t="shared" si="71"/>
        <v>0,;!0,;!0,;!0</v>
      </c>
      <c r="AI247" s="18" t="e">
        <f>INDEX([1]Library!$AL:$AL,MATCH(AH247,[1]Library!$AJ:$AJ,0),1)</f>
        <v>#N/A</v>
      </c>
      <c r="AJ247" s="18" t="e">
        <f>TEXT(INDEX([1]Library!$W:$W,MATCH(AH247,[1]Library!$AJ:$AJ,0),1),"")</f>
        <v>#N/A</v>
      </c>
    </row>
    <row r="248" spans="1:36" ht="25.05" customHeight="1" outlineLevel="1">
      <c r="A248" s="374" t="s">
        <v>44</v>
      </c>
      <c r="B248" s="96" t="s">
        <v>44</v>
      </c>
      <c r="C248" s="97" t="s">
        <v>274</v>
      </c>
      <c r="D248" s="97"/>
      <c r="E248" s="98"/>
      <c r="F248" s="298"/>
      <c r="G248" s="62"/>
      <c r="H248" s="99">
        <v>1</v>
      </c>
      <c r="I248" s="100" t="s">
        <v>35</v>
      </c>
      <c r="J248" s="99">
        <v>206630.23789883257</v>
      </c>
      <c r="K248" s="99">
        <v>206630.23789883257</v>
      </c>
      <c r="L248" s="99">
        <v>30994.535684824885</v>
      </c>
      <c r="M248" s="99">
        <v>30994.535684824885</v>
      </c>
      <c r="N248" s="99">
        <v>0</v>
      </c>
      <c r="O248" s="99">
        <v>0</v>
      </c>
      <c r="P248" s="101">
        <v>237624.77358365746</v>
      </c>
      <c r="Q248" s="102">
        <f t="shared" si="72"/>
        <v>6.7598793824463765E-4</v>
      </c>
      <c r="R248" s="103">
        <f t="shared" si="73"/>
        <v>19.780454318961322</v>
      </c>
      <c r="S248" s="375">
        <f t="shared" si="74"/>
        <v>771.50900514174498</v>
      </c>
      <c r="T248" s="356"/>
      <c r="U248" s="104"/>
      <c r="V248" s="95"/>
      <c r="W248" s="105"/>
      <c r="X248" s="95"/>
      <c r="Y248" s="95"/>
      <c r="Z248" s="95"/>
      <c r="AA248" s="95"/>
      <c r="AB248" s="95"/>
      <c r="AC248" s="95"/>
      <c r="AD248" s="17">
        <f t="shared" si="69"/>
        <v>0</v>
      </c>
      <c r="AE248" s="17">
        <f t="shared" si="82"/>
        <v>0</v>
      </c>
      <c r="AF248" s="17">
        <f t="shared" si="82"/>
        <v>0</v>
      </c>
      <c r="AG248" s="17">
        <f t="shared" si="82"/>
        <v>0</v>
      </c>
      <c r="AH248" s="18" t="str">
        <f t="shared" si="71"/>
        <v>0,;!0,;!0,;!0</v>
      </c>
      <c r="AI248" s="18" t="e">
        <f>INDEX([1]Library!$AL:$AL,MATCH(AH248,[1]Library!$AJ:$AJ,0),1)</f>
        <v>#N/A</v>
      </c>
      <c r="AJ248" s="18" t="e">
        <f>TEXT(INDEX([1]Library!$W:$W,MATCH(AH248,[1]Library!$AJ:$AJ,0),1),"")</f>
        <v>#N/A</v>
      </c>
    </row>
    <row r="249" spans="1:36" ht="25.05" customHeight="1" outlineLevel="1">
      <c r="A249" s="374" t="s">
        <v>44</v>
      </c>
      <c r="B249" s="96" t="s">
        <v>44</v>
      </c>
      <c r="C249" s="97" t="s">
        <v>275</v>
      </c>
      <c r="D249" s="97"/>
      <c r="E249" s="98"/>
      <c r="F249" s="298"/>
      <c r="G249" s="62"/>
      <c r="H249" s="99">
        <v>1</v>
      </c>
      <c r="I249" s="100" t="s">
        <v>35</v>
      </c>
      <c r="J249" s="99">
        <v>154972.6784241244</v>
      </c>
      <c r="K249" s="99">
        <v>154972.6784241244</v>
      </c>
      <c r="L249" s="99">
        <v>23245.901763618658</v>
      </c>
      <c r="M249" s="99">
        <v>23245.901763618658</v>
      </c>
      <c r="N249" s="99">
        <v>0</v>
      </c>
      <c r="O249" s="99">
        <v>0</v>
      </c>
      <c r="P249" s="101">
        <v>178218.58018774306</v>
      </c>
      <c r="Q249" s="102">
        <f t="shared" si="72"/>
        <v>5.0699095368347813E-4</v>
      </c>
      <c r="R249" s="103">
        <f t="shared" si="73"/>
        <v>14.835340739220989</v>
      </c>
      <c r="S249" s="375">
        <f t="shared" si="74"/>
        <v>578.63175385630871</v>
      </c>
      <c r="T249" s="356"/>
      <c r="U249" s="104"/>
      <c r="V249" s="95"/>
      <c r="W249" s="105"/>
      <c r="X249" s="95"/>
      <c r="Y249" s="95"/>
      <c r="Z249" s="95"/>
      <c r="AA249" s="95"/>
      <c r="AB249" s="95"/>
      <c r="AC249" s="95"/>
      <c r="AD249" s="17">
        <f t="shared" si="69"/>
        <v>0</v>
      </c>
      <c r="AE249" s="17">
        <f t="shared" si="82"/>
        <v>0</v>
      </c>
      <c r="AF249" s="17">
        <f t="shared" si="82"/>
        <v>0</v>
      </c>
      <c r="AG249" s="17">
        <f t="shared" si="82"/>
        <v>0</v>
      </c>
      <c r="AH249" s="18" t="str">
        <f t="shared" si="71"/>
        <v>0,;!0,;!0,;!0</v>
      </c>
      <c r="AI249" s="18" t="e">
        <f>INDEX([1]Library!$AL:$AL,MATCH(AH249,[1]Library!$AJ:$AJ,0),1)</f>
        <v>#N/A</v>
      </c>
      <c r="AJ249" s="18" t="e">
        <f>TEXT(INDEX([1]Library!$W:$W,MATCH(AH249,[1]Library!$AJ:$AJ,0),1),"")</f>
        <v>#N/A</v>
      </c>
    </row>
    <row r="250" spans="1:36" ht="25.05" customHeight="1" outlineLevel="1">
      <c r="A250" s="374" t="s">
        <v>44</v>
      </c>
      <c r="B250" s="96" t="s">
        <v>44</v>
      </c>
      <c r="C250" s="97" t="s">
        <v>276</v>
      </c>
      <c r="D250" s="97"/>
      <c r="E250" s="98"/>
      <c r="F250" s="298"/>
      <c r="G250" s="62"/>
      <c r="H250" s="99">
        <v>1</v>
      </c>
      <c r="I250" s="100" t="s">
        <v>35</v>
      </c>
      <c r="J250" s="99">
        <v>103315.11894941628</v>
      </c>
      <c r="K250" s="99">
        <v>103315.11894941628</v>
      </c>
      <c r="L250" s="99">
        <v>15497.267842412442</v>
      </c>
      <c r="M250" s="99">
        <v>15497.267842412442</v>
      </c>
      <c r="N250" s="99">
        <v>0</v>
      </c>
      <c r="O250" s="99">
        <v>0</v>
      </c>
      <c r="P250" s="101">
        <v>118812.38679182873</v>
      </c>
      <c r="Q250" s="102">
        <f t="shared" si="72"/>
        <v>3.3799396912231883E-4</v>
      </c>
      <c r="R250" s="103">
        <f t="shared" si="73"/>
        <v>9.890227159480661</v>
      </c>
      <c r="S250" s="375">
        <f t="shared" si="74"/>
        <v>385.75450257087249</v>
      </c>
      <c r="T250" s="356"/>
      <c r="U250" s="104"/>
      <c r="V250" s="95"/>
      <c r="W250" s="105"/>
      <c r="X250" s="95"/>
      <c r="Y250" s="95"/>
      <c r="Z250" s="95"/>
      <c r="AA250" s="95"/>
      <c r="AB250" s="95"/>
      <c r="AC250" s="95"/>
      <c r="AD250" s="17">
        <f t="shared" si="69"/>
        <v>0</v>
      </c>
      <c r="AE250" s="17">
        <f t="shared" si="82"/>
        <v>0</v>
      </c>
      <c r="AF250" s="17">
        <f t="shared" si="82"/>
        <v>0</v>
      </c>
      <c r="AG250" s="17">
        <f t="shared" si="82"/>
        <v>0</v>
      </c>
      <c r="AH250" s="18" t="str">
        <f t="shared" si="71"/>
        <v>0,;!0,;!0,;!0</v>
      </c>
      <c r="AI250" s="18" t="e">
        <f>INDEX([1]Library!$AL:$AL,MATCH(AH250,[1]Library!$AJ:$AJ,0),1)</f>
        <v>#N/A</v>
      </c>
      <c r="AJ250" s="18" t="e">
        <f>TEXT(INDEX([1]Library!$W:$W,MATCH(AH250,[1]Library!$AJ:$AJ,0),1),"")</f>
        <v>#N/A</v>
      </c>
    </row>
    <row r="251" spans="1:36" ht="25.05" customHeight="1" outlineLevel="1">
      <c r="A251" s="374" t="s">
        <v>44</v>
      </c>
      <c r="B251" s="96" t="s">
        <v>44</v>
      </c>
      <c r="C251" s="97" t="s">
        <v>277</v>
      </c>
      <c r="D251" s="97"/>
      <c r="E251" s="98"/>
      <c r="F251" s="298"/>
      <c r="G251" s="62"/>
      <c r="H251" s="99">
        <v>1</v>
      </c>
      <c r="I251" s="100" t="s">
        <v>35</v>
      </c>
      <c r="J251" s="99">
        <v>51657.559474708141</v>
      </c>
      <c r="K251" s="99">
        <v>51657.559474708141</v>
      </c>
      <c r="L251" s="99">
        <v>7748.6339212062212</v>
      </c>
      <c r="M251" s="99">
        <v>7748.6339212062212</v>
      </c>
      <c r="N251" s="99">
        <v>0</v>
      </c>
      <c r="O251" s="99">
        <v>0</v>
      </c>
      <c r="P251" s="101">
        <v>59406.193395914364</v>
      </c>
      <c r="Q251" s="102">
        <f t="shared" si="72"/>
        <v>1.6899698456115941E-4</v>
      </c>
      <c r="R251" s="103">
        <f t="shared" si="73"/>
        <v>4.9451135797403305</v>
      </c>
      <c r="S251" s="375">
        <f t="shared" si="74"/>
        <v>192.87725128543624</v>
      </c>
      <c r="T251" s="356"/>
      <c r="U251" s="104"/>
      <c r="V251" s="95"/>
      <c r="W251" s="105"/>
      <c r="X251" s="95"/>
      <c r="Y251" s="95"/>
      <c r="Z251" s="95"/>
      <c r="AA251" s="95"/>
      <c r="AB251" s="95"/>
      <c r="AC251" s="95"/>
      <c r="AD251" s="17">
        <f t="shared" si="69"/>
        <v>0</v>
      </c>
      <c r="AE251" s="17">
        <f t="shared" si="82"/>
        <v>0</v>
      </c>
      <c r="AF251" s="17">
        <f t="shared" si="82"/>
        <v>0</v>
      </c>
      <c r="AG251" s="17">
        <f t="shared" si="82"/>
        <v>0</v>
      </c>
      <c r="AH251" s="18" t="str">
        <f t="shared" si="71"/>
        <v>0,;!0,;!0,;!0</v>
      </c>
      <c r="AI251" s="18" t="e">
        <f>INDEX([1]Library!$AL:$AL,MATCH(AH251,[1]Library!$AJ:$AJ,0),1)</f>
        <v>#N/A</v>
      </c>
      <c r="AJ251" s="18" t="e">
        <f>TEXT(INDEX([1]Library!$W:$W,MATCH(AH251,[1]Library!$AJ:$AJ,0),1),"")</f>
        <v>#N/A</v>
      </c>
    </row>
    <row r="252" spans="1:36" ht="25.05" customHeight="1" outlineLevel="1">
      <c r="A252" s="374" t="s">
        <v>44</v>
      </c>
      <c r="B252" s="96" t="s">
        <v>44</v>
      </c>
      <c r="C252" s="97" t="s">
        <v>278</v>
      </c>
      <c r="D252" s="97"/>
      <c r="E252" s="98"/>
      <c r="F252" s="298"/>
      <c r="G252" s="62"/>
      <c r="H252" s="99">
        <v>1</v>
      </c>
      <c r="I252" s="100" t="s">
        <v>35</v>
      </c>
      <c r="J252" s="99">
        <v>0</v>
      </c>
      <c r="K252" s="99">
        <v>0</v>
      </c>
      <c r="L252" s="99">
        <v>0</v>
      </c>
      <c r="M252" s="99">
        <v>0</v>
      </c>
      <c r="N252" s="99">
        <v>354733.42050749296</v>
      </c>
      <c r="O252" s="99">
        <v>354733.42050749296</v>
      </c>
      <c r="P252" s="101">
        <v>354733.42050749296</v>
      </c>
      <c r="Q252" s="102">
        <f t="shared" si="72"/>
        <v>1.0091351585061333E-3</v>
      </c>
      <c r="R252" s="103">
        <f t="shared" si="73"/>
        <v>29.528858098152181</v>
      </c>
      <c r="S252" s="375">
        <f t="shared" si="74"/>
        <v>1151.7318847645874</v>
      </c>
      <c r="T252" s="356"/>
      <c r="U252" s="104"/>
      <c r="V252" s="95"/>
      <c r="W252" s="105"/>
      <c r="X252" s="95"/>
      <c r="Y252" s="95"/>
      <c r="Z252" s="95"/>
      <c r="AA252" s="95"/>
      <c r="AB252" s="95"/>
      <c r="AC252" s="95"/>
      <c r="AD252" s="17">
        <f t="shared" si="69"/>
        <v>0</v>
      </c>
      <c r="AE252" s="17">
        <f t="shared" si="82"/>
        <v>0</v>
      </c>
      <c r="AF252" s="17">
        <f t="shared" si="82"/>
        <v>0</v>
      </c>
      <c r="AG252" s="17">
        <f t="shared" si="82"/>
        <v>0</v>
      </c>
      <c r="AH252" s="18" t="str">
        <f t="shared" si="71"/>
        <v>0,;!0,;!0,;!0</v>
      </c>
      <c r="AI252" s="18" t="e">
        <f>INDEX([1]Library!$AL:$AL,MATCH(AH252,[1]Library!$AJ:$AJ,0),1)</f>
        <v>#N/A</v>
      </c>
      <c r="AJ252" s="18" t="e">
        <f>TEXT(INDEX([1]Library!$W:$W,MATCH(AH252,[1]Library!$AJ:$AJ,0),1),"")</f>
        <v>#N/A</v>
      </c>
    </row>
    <row r="253" spans="1:36" ht="25.05" customHeight="1">
      <c r="A253" s="372" t="s">
        <v>279</v>
      </c>
      <c r="B253" s="84" t="s">
        <v>280</v>
      </c>
      <c r="C253" s="85"/>
      <c r="D253" s="85"/>
      <c r="E253" s="86"/>
      <c r="F253" s="297"/>
      <c r="G253" s="62"/>
      <c r="H253" s="87">
        <v>1</v>
      </c>
      <c r="I253" s="88" t="s">
        <v>35</v>
      </c>
      <c r="J253" s="89">
        <v>13687330.871164177</v>
      </c>
      <c r="K253" s="90">
        <v>13687330.871164177</v>
      </c>
      <c r="L253" s="89">
        <v>4733823.9865623033</v>
      </c>
      <c r="M253" s="90">
        <v>4733823.9865623033</v>
      </c>
      <c r="N253" s="89">
        <v>5161520.4523720043</v>
      </c>
      <c r="O253" s="90">
        <v>5161520.4523720043</v>
      </c>
      <c r="P253" s="91">
        <v>23582675.310098484</v>
      </c>
      <c r="Q253" s="92">
        <f>P253/P$13</f>
        <v>6.7087298267551387E-2</v>
      </c>
      <c r="R253" s="90">
        <f>P253/I$5</f>
        <v>1963.0782794878664</v>
      </c>
      <c r="S253" s="373">
        <f>P253/I$7</f>
        <v>76567.127630189891</v>
      </c>
      <c r="T253" s="355"/>
      <c r="U253" s="104"/>
      <c r="V253" s="95"/>
      <c r="W253" s="105"/>
      <c r="X253" s="95"/>
      <c r="Y253" s="95"/>
      <c r="Z253" s="95"/>
      <c r="AA253" s="95"/>
      <c r="AB253" s="95"/>
      <c r="AC253" s="95"/>
      <c r="AD253" s="17">
        <f t="shared" si="69"/>
        <v>0</v>
      </c>
      <c r="AE253" s="17">
        <f t="shared" si="82"/>
        <v>0</v>
      </c>
      <c r="AF253" s="17">
        <f t="shared" si="82"/>
        <v>0</v>
      </c>
      <c r="AG253" s="17">
        <f t="shared" si="82"/>
        <v>0</v>
      </c>
      <c r="AH253" s="18" t="str">
        <f t="shared" si="71"/>
        <v>0,;!0,;!0,;!0</v>
      </c>
      <c r="AI253" s="18" t="e">
        <f>INDEX([1]Library!$AL:$AL,MATCH(AH253,[1]Library!$AJ:$AJ,0),1)</f>
        <v>#N/A</v>
      </c>
      <c r="AJ253" s="18" t="e">
        <f>TEXT(INDEX([1]Library!$W:$W,MATCH(AH253,[1]Library!$AJ:$AJ,0),1),"")</f>
        <v>#N/A</v>
      </c>
    </row>
    <row r="254" spans="1:36" ht="25.05" customHeight="1" outlineLevel="1">
      <c r="A254" s="374" t="s">
        <v>44</v>
      </c>
      <c r="B254" s="96" t="s">
        <v>44</v>
      </c>
      <c r="C254" s="97" t="s">
        <v>281</v>
      </c>
      <c r="D254" s="97"/>
      <c r="E254" s="98"/>
      <c r="F254" s="298"/>
      <c r="G254" s="62"/>
      <c r="H254" s="99">
        <v>1</v>
      </c>
      <c r="I254" s="100" t="s">
        <v>35</v>
      </c>
      <c r="J254" s="99">
        <v>493616.86909821426</v>
      </c>
      <c r="K254" s="99">
        <v>493616.86909821426</v>
      </c>
      <c r="L254" s="99">
        <v>139842.7836870536</v>
      </c>
      <c r="M254" s="99">
        <v>139842.7836870536</v>
      </c>
      <c r="N254" s="99">
        <v>0</v>
      </c>
      <c r="O254" s="99">
        <v>0</v>
      </c>
      <c r="P254" s="101">
        <v>633459.65278526791</v>
      </c>
      <c r="Q254" s="102">
        <f>P254/P$13</f>
        <v>1.8020473126162605E-3</v>
      </c>
      <c r="R254" s="103">
        <f>P254/I$5</f>
        <v>52.730696113268579</v>
      </c>
      <c r="S254" s="375">
        <f>P254/I$7</f>
        <v>2056.6871843677532</v>
      </c>
      <c r="T254" s="356"/>
      <c r="U254" s="104"/>
      <c r="V254" s="95"/>
      <c r="W254" s="105"/>
      <c r="X254" s="95"/>
      <c r="Y254" s="95"/>
      <c r="Z254" s="95"/>
      <c r="AA254" s="95"/>
      <c r="AB254" s="95"/>
      <c r="AC254" s="95"/>
      <c r="AD254" s="17">
        <f t="shared" si="69"/>
        <v>0</v>
      </c>
      <c r="AE254" s="17">
        <f t="shared" ref="AE254:AG269" si="83">IF(AA254=" ",IF($X254&gt;=AE$12,AE253,""),AA254)</f>
        <v>0</v>
      </c>
      <c r="AF254" s="17">
        <f t="shared" si="83"/>
        <v>0</v>
      </c>
      <c r="AG254" s="17">
        <f t="shared" si="83"/>
        <v>0</v>
      </c>
      <c r="AH254" s="18" t="str">
        <f t="shared" si="71"/>
        <v>0,;!0,;!0,;!0</v>
      </c>
      <c r="AI254" s="18" t="e">
        <f>INDEX([1]Library!$AL:$AL,MATCH(AH254,[1]Library!$AJ:$AJ,0),1)</f>
        <v>#N/A</v>
      </c>
      <c r="AJ254" s="18" t="e">
        <f>TEXT(INDEX([1]Library!$W:$W,MATCH(AH254,[1]Library!$AJ:$AJ,0),1),"")</f>
        <v>#N/A</v>
      </c>
    </row>
    <row r="255" spans="1:36" ht="25.05" customHeight="1" outlineLevel="2">
      <c r="A255" s="376" t="s">
        <v>44</v>
      </c>
      <c r="B255" s="107" t="s">
        <v>44</v>
      </c>
      <c r="C255" s="108" t="s">
        <v>44</v>
      </c>
      <c r="D255" s="109" t="s">
        <v>282</v>
      </c>
      <c r="E255" s="289"/>
      <c r="F255" s="299"/>
      <c r="G255" s="62"/>
      <c r="H255" s="111">
        <v>1</v>
      </c>
      <c r="I255" s="112" t="s">
        <v>140</v>
      </c>
      <c r="J255" s="113">
        <v>96638.651785714275</v>
      </c>
      <c r="K255" s="114">
        <v>96638.651785714275</v>
      </c>
      <c r="L255" s="113">
        <v>31249.999999999996</v>
      </c>
      <c r="M255" s="114">
        <v>31249.999999999996</v>
      </c>
      <c r="N255" s="115">
        <v>0</v>
      </c>
      <c r="O255" s="114">
        <v>0</v>
      </c>
      <c r="P255" s="116">
        <v>127888.65178571428</v>
      </c>
      <c r="Q255" s="117">
        <f t="shared" ref="Q255:Q267" si="84">P255/P$13</f>
        <v>3.63813859732414E-4</v>
      </c>
      <c r="R255" s="114">
        <f t="shared" ref="R255:R267" si="85">P255/I$5</f>
        <v>10.645757159113192</v>
      </c>
      <c r="S255" s="377">
        <f t="shared" ref="S255:S267" si="86">P255/I$7</f>
        <v>415.22289540816325</v>
      </c>
      <c r="T255" s="357"/>
      <c r="U255" s="104"/>
      <c r="V255" s="95"/>
      <c r="W255" s="105"/>
      <c r="X255" s="95"/>
      <c r="Y255" s="95"/>
      <c r="Z255" s="95"/>
      <c r="AA255" s="95"/>
      <c r="AB255" s="95"/>
      <c r="AC255" s="95"/>
      <c r="AD255" s="17">
        <f t="shared" si="69"/>
        <v>0</v>
      </c>
      <c r="AE255" s="17">
        <f t="shared" si="83"/>
        <v>0</v>
      </c>
      <c r="AF255" s="17">
        <f t="shared" si="83"/>
        <v>0</v>
      </c>
      <c r="AG255" s="17">
        <f t="shared" si="83"/>
        <v>0</v>
      </c>
      <c r="AH255" s="18" t="str">
        <f t="shared" si="71"/>
        <v>0,;!0,;!0,;!0</v>
      </c>
      <c r="AI255" s="18" t="e">
        <f>INDEX([1]Library!$AL:$AL,MATCH(AH255,[1]Library!$AJ:$AJ,0),1)</f>
        <v>#N/A</v>
      </c>
      <c r="AJ255" s="18" t="e">
        <f>TEXT(INDEX([1]Library!$W:$W,MATCH(AH255,[1]Library!$AJ:$AJ,0),1),"")</f>
        <v>#N/A</v>
      </c>
    </row>
    <row r="256" spans="1:36" ht="25.05" customHeight="1" outlineLevel="2">
      <c r="A256" s="376" t="s">
        <v>44</v>
      </c>
      <c r="B256" s="107" t="s">
        <v>44</v>
      </c>
      <c r="C256" s="108" t="s">
        <v>44</v>
      </c>
      <c r="D256" s="109" t="s">
        <v>283</v>
      </c>
      <c r="E256" s="289"/>
      <c r="F256" s="299"/>
      <c r="G256" s="62"/>
      <c r="H256" s="111">
        <v>1</v>
      </c>
      <c r="I256" s="112" t="s">
        <v>140</v>
      </c>
      <c r="J256" s="113">
        <v>18536.767857142855</v>
      </c>
      <c r="K256" s="114">
        <v>18536.767857142855</v>
      </c>
      <c r="L256" s="113">
        <v>7398.1785714285697</v>
      </c>
      <c r="M256" s="114">
        <v>7398.1785714285697</v>
      </c>
      <c r="N256" s="115">
        <v>0</v>
      </c>
      <c r="O256" s="114">
        <v>0</v>
      </c>
      <c r="P256" s="116">
        <v>25934.946428571424</v>
      </c>
      <c r="Q256" s="117">
        <f t="shared" si="84"/>
        <v>7.3778969677010397E-5</v>
      </c>
      <c r="R256" s="114">
        <f t="shared" si="85"/>
        <v>2.1588869517195315</v>
      </c>
      <c r="S256" s="377">
        <f t="shared" si="86"/>
        <v>84.204371521335787</v>
      </c>
      <c r="T256" s="357"/>
      <c r="U256" s="104"/>
      <c r="V256" s="95"/>
      <c r="W256" s="105"/>
      <c r="X256" s="95"/>
      <c r="Y256" s="95"/>
      <c r="Z256" s="95"/>
      <c r="AA256" s="95"/>
      <c r="AB256" s="95"/>
      <c r="AC256" s="95"/>
      <c r="AD256" s="17">
        <f t="shared" si="69"/>
        <v>0</v>
      </c>
      <c r="AE256" s="17">
        <f t="shared" si="83"/>
        <v>0</v>
      </c>
      <c r="AF256" s="17">
        <f t="shared" si="83"/>
        <v>0</v>
      </c>
      <c r="AG256" s="17">
        <f t="shared" si="83"/>
        <v>0</v>
      </c>
      <c r="AH256" s="18" t="str">
        <f t="shared" si="71"/>
        <v>0,;!0,;!0,;!0</v>
      </c>
      <c r="AI256" s="18" t="e">
        <f>INDEX([1]Library!$AL:$AL,MATCH(AH256,[1]Library!$AJ:$AJ,0),1)</f>
        <v>#N/A</v>
      </c>
      <c r="AJ256" s="18" t="e">
        <f>TEXT(INDEX([1]Library!$W:$W,MATCH(AH256,[1]Library!$AJ:$AJ,0),1),"")</f>
        <v>#N/A</v>
      </c>
    </row>
    <row r="257" spans="1:36" ht="34.200000000000003" customHeight="1" outlineLevel="2">
      <c r="A257" s="376" t="s">
        <v>44</v>
      </c>
      <c r="B257" s="107" t="s">
        <v>44</v>
      </c>
      <c r="C257" s="108" t="s">
        <v>44</v>
      </c>
      <c r="D257" s="401" t="s">
        <v>284</v>
      </c>
      <c r="E257" s="401"/>
      <c r="F257" s="402"/>
      <c r="G257" s="62"/>
      <c r="H257" s="111">
        <v>2</v>
      </c>
      <c r="I257" s="112" t="s">
        <v>140</v>
      </c>
      <c r="J257" s="113">
        <v>53437.499999999993</v>
      </c>
      <c r="K257" s="114">
        <v>106874.99999999999</v>
      </c>
      <c r="L257" s="113">
        <v>16512.1875</v>
      </c>
      <c r="M257" s="114">
        <v>33024.375</v>
      </c>
      <c r="N257" s="115">
        <v>0</v>
      </c>
      <c r="O257" s="114">
        <v>0</v>
      </c>
      <c r="P257" s="116">
        <v>139899.375</v>
      </c>
      <c r="Q257" s="117">
        <f t="shared" si="84"/>
        <v>3.9798161042610853E-4</v>
      </c>
      <c r="R257" s="114">
        <f t="shared" si="85"/>
        <v>11.64555847736348</v>
      </c>
      <c r="S257" s="377">
        <f t="shared" si="86"/>
        <v>454.21875</v>
      </c>
      <c r="T257" s="357"/>
      <c r="U257" s="104"/>
      <c r="V257" s="95"/>
      <c r="W257" s="105"/>
      <c r="X257" s="95"/>
      <c r="Y257" s="95"/>
      <c r="Z257" s="95"/>
      <c r="AA257" s="95"/>
      <c r="AB257" s="95"/>
      <c r="AC257" s="95"/>
      <c r="AD257" s="17">
        <f t="shared" si="69"/>
        <v>0</v>
      </c>
      <c r="AE257" s="17">
        <f t="shared" si="83"/>
        <v>0</v>
      </c>
      <c r="AF257" s="17">
        <f t="shared" si="83"/>
        <v>0</v>
      </c>
      <c r="AG257" s="17">
        <f t="shared" si="83"/>
        <v>0</v>
      </c>
      <c r="AH257" s="18" t="str">
        <f t="shared" si="71"/>
        <v>0,;!0,;!0,;!0</v>
      </c>
      <c r="AI257" s="18" t="e">
        <f>INDEX([1]Library!$AL:$AL,MATCH(AH257,[1]Library!$AJ:$AJ,0),1)</f>
        <v>#N/A</v>
      </c>
      <c r="AJ257" s="18" t="e">
        <f>TEXT(INDEX([1]Library!$W:$W,MATCH(AH257,[1]Library!$AJ:$AJ,0),1),"")</f>
        <v>#N/A</v>
      </c>
    </row>
    <row r="258" spans="1:36" ht="25.05" customHeight="1" outlineLevel="2">
      <c r="A258" s="376" t="s">
        <v>44</v>
      </c>
      <c r="B258" s="107" t="s">
        <v>44</v>
      </c>
      <c r="C258" s="108" t="s">
        <v>44</v>
      </c>
      <c r="D258" s="109" t="s">
        <v>285</v>
      </c>
      <c r="E258" s="289"/>
      <c r="F258" s="299"/>
      <c r="G258" s="62"/>
      <c r="H258" s="111">
        <v>3</v>
      </c>
      <c r="I258" s="112" t="s">
        <v>140</v>
      </c>
      <c r="J258" s="113">
        <v>2040.6890624999994</v>
      </c>
      <c r="K258" s="114">
        <v>6122.067187499998</v>
      </c>
      <c r="L258" s="113">
        <v>306.10335937499997</v>
      </c>
      <c r="M258" s="114">
        <v>918.3100781249999</v>
      </c>
      <c r="N258" s="115">
        <v>0</v>
      </c>
      <c r="O258" s="114">
        <v>0</v>
      </c>
      <c r="P258" s="116">
        <v>7040.3772656249976</v>
      </c>
      <c r="Q258" s="117">
        <f t="shared" si="84"/>
        <v>2.0028257325529861E-5</v>
      </c>
      <c r="R258" s="114">
        <f t="shared" si="85"/>
        <v>0.58605783728151972</v>
      </c>
      <c r="S258" s="377">
        <f t="shared" si="86"/>
        <v>22.858367745535705</v>
      </c>
      <c r="T258" s="357"/>
      <c r="U258" s="104"/>
      <c r="V258" s="95"/>
      <c r="W258" s="105"/>
      <c r="X258" s="95"/>
      <c r="Y258" s="95"/>
      <c r="Z258" s="95"/>
      <c r="AA258" s="95"/>
      <c r="AB258" s="95"/>
      <c r="AC258" s="95"/>
      <c r="AD258" s="17">
        <f t="shared" si="69"/>
        <v>0</v>
      </c>
      <c r="AE258" s="17">
        <f t="shared" si="83"/>
        <v>0</v>
      </c>
      <c r="AF258" s="17">
        <f t="shared" si="83"/>
        <v>0</v>
      </c>
      <c r="AG258" s="17">
        <f t="shared" si="83"/>
        <v>0</v>
      </c>
      <c r="AH258" s="18" t="str">
        <f t="shared" si="71"/>
        <v>0,;!0,;!0,;!0</v>
      </c>
      <c r="AI258" s="18" t="e">
        <f>INDEX([1]Library!$AL:$AL,MATCH(AH258,[1]Library!$AJ:$AJ,0),1)</f>
        <v>#N/A</v>
      </c>
      <c r="AJ258" s="18" t="e">
        <f>TEXT(INDEX([1]Library!$W:$W,MATCH(AH258,[1]Library!$AJ:$AJ,0),1),"")</f>
        <v>#N/A</v>
      </c>
    </row>
    <row r="259" spans="1:36" ht="25.05" customHeight="1" outlineLevel="2">
      <c r="A259" s="376" t="s">
        <v>44</v>
      </c>
      <c r="B259" s="107" t="s">
        <v>44</v>
      </c>
      <c r="C259" s="108" t="s">
        <v>44</v>
      </c>
      <c r="D259" s="109" t="s">
        <v>286</v>
      </c>
      <c r="E259" s="289"/>
      <c r="F259" s="299"/>
      <c r="G259" s="62"/>
      <c r="H259" s="111">
        <v>2</v>
      </c>
      <c r="I259" s="112" t="s">
        <v>90</v>
      </c>
      <c r="J259" s="113">
        <v>4999.9999999999991</v>
      </c>
      <c r="K259" s="114">
        <v>9999.9999999999982</v>
      </c>
      <c r="L259" s="113">
        <v>2276.7857142857142</v>
      </c>
      <c r="M259" s="114">
        <v>4553.5714285714284</v>
      </c>
      <c r="N259" s="115">
        <v>0</v>
      </c>
      <c r="O259" s="114">
        <v>0</v>
      </c>
      <c r="P259" s="116">
        <v>14553.571428571428</v>
      </c>
      <c r="Q259" s="117">
        <f t="shared" si="84"/>
        <v>4.1401570197109586E-5</v>
      </c>
      <c r="R259" s="114">
        <f t="shared" si="85"/>
        <v>1.2114740836112736</v>
      </c>
      <c r="S259" s="377">
        <f t="shared" si="86"/>
        <v>47.251855287569569</v>
      </c>
      <c r="T259" s="357"/>
      <c r="U259" s="104"/>
      <c r="V259" s="95"/>
      <c r="W259" s="105"/>
      <c r="X259" s="95"/>
      <c r="Y259" s="95"/>
      <c r="Z259" s="95"/>
      <c r="AA259" s="95"/>
      <c r="AB259" s="95"/>
      <c r="AC259" s="95"/>
      <c r="AD259" s="17">
        <f t="shared" si="69"/>
        <v>0</v>
      </c>
      <c r="AE259" s="17">
        <f t="shared" si="83"/>
        <v>0</v>
      </c>
      <c r="AF259" s="17">
        <f t="shared" si="83"/>
        <v>0</v>
      </c>
      <c r="AG259" s="17">
        <f t="shared" si="83"/>
        <v>0</v>
      </c>
      <c r="AH259" s="18" t="str">
        <f t="shared" si="71"/>
        <v>0,;!0,;!0,;!0</v>
      </c>
      <c r="AI259" s="18" t="e">
        <f>INDEX([1]Library!$AL:$AL,MATCH(AH259,[1]Library!$AJ:$AJ,0),1)</f>
        <v>#N/A</v>
      </c>
      <c r="AJ259" s="18" t="e">
        <f>TEXT(INDEX([1]Library!$W:$W,MATCH(AH259,[1]Library!$AJ:$AJ,0),1),"")</f>
        <v>#N/A</v>
      </c>
    </row>
    <row r="260" spans="1:36" ht="25.05" customHeight="1" outlineLevel="2">
      <c r="A260" s="376" t="s">
        <v>44</v>
      </c>
      <c r="B260" s="107" t="s">
        <v>44</v>
      </c>
      <c r="C260" s="108" t="s">
        <v>44</v>
      </c>
      <c r="D260" s="109" t="s">
        <v>287</v>
      </c>
      <c r="E260" s="289"/>
      <c r="F260" s="299"/>
      <c r="G260" s="62"/>
      <c r="H260" s="111">
        <v>39</v>
      </c>
      <c r="I260" s="112" t="s">
        <v>122</v>
      </c>
      <c r="J260" s="113">
        <v>413.91964285714278</v>
      </c>
      <c r="K260" s="114">
        <v>16142.866071428569</v>
      </c>
      <c r="L260" s="113">
        <v>124.17589285714283</v>
      </c>
      <c r="M260" s="114">
        <v>4842.8598214285703</v>
      </c>
      <c r="N260" s="115">
        <v>0</v>
      </c>
      <c r="O260" s="114">
        <v>0</v>
      </c>
      <c r="P260" s="116">
        <v>20985.725892857139</v>
      </c>
      <c r="Q260" s="117">
        <f t="shared" si="84"/>
        <v>5.9699573259710188E-5</v>
      </c>
      <c r="R260" s="114">
        <f t="shared" si="85"/>
        <v>1.7469020006357336</v>
      </c>
      <c r="S260" s="377">
        <f t="shared" si="86"/>
        <v>68.135473678107601</v>
      </c>
      <c r="T260" s="357"/>
      <c r="U260" s="104"/>
      <c r="V260" s="95"/>
      <c r="W260" s="105"/>
      <c r="X260" s="95"/>
      <c r="Y260" s="95"/>
      <c r="Z260" s="95"/>
      <c r="AA260" s="95"/>
      <c r="AB260" s="95"/>
      <c r="AC260" s="95"/>
      <c r="AD260" s="17">
        <f t="shared" si="69"/>
        <v>0</v>
      </c>
      <c r="AE260" s="17">
        <f t="shared" si="83"/>
        <v>0</v>
      </c>
      <c r="AF260" s="17">
        <f t="shared" si="83"/>
        <v>0</v>
      </c>
      <c r="AG260" s="17">
        <f t="shared" si="83"/>
        <v>0</v>
      </c>
      <c r="AH260" s="18" t="str">
        <f t="shared" si="71"/>
        <v>0,;!0,;!0,;!0</v>
      </c>
      <c r="AI260" s="18" t="e">
        <f>INDEX([1]Library!$AL:$AL,MATCH(AH260,[1]Library!$AJ:$AJ,0),1)</f>
        <v>#N/A</v>
      </c>
      <c r="AJ260" s="18" t="e">
        <f>TEXT(INDEX([1]Library!$W:$W,MATCH(AH260,[1]Library!$AJ:$AJ,0),1),"")</f>
        <v>#N/A</v>
      </c>
    </row>
    <row r="261" spans="1:36" ht="25.05" customHeight="1" outlineLevel="2">
      <c r="A261" s="376" t="s">
        <v>44</v>
      </c>
      <c r="B261" s="107" t="s">
        <v>44</v>
      </c>
      <c r="C261" s="108" t="s">
        <v>44</v>
      </c>
      <c r="D261" s="109" t="s">
        <v>288</v>
      </c>
      <c r="E261" s="289"/>
      <c r="F261" s="299"/>
      <c r="G261" s="62"/>
      <c r="H261" s="111">
        <v>50</v>
      </c>
      <c r="I261" s="112" t="s">
        <v>122</v>
      </c>
      <c r="J261" s="113">
        <v>331.1357142857143</v>
      </c>
      <c r="K261" s="114">
        <v>16556.785714285714</v>
      </c>
      <c r="L261" s="113">
        <v>99.34071428571427</v>
      </c>
      <c r="M261" s="114">
        <v>4967.0357142857138</v>
      </c>
      <c r="N261" s="115">
        <v>0</v>
      </c>
      <c r="O261" s="114">
        <v>0</v>
      </c>
      <c r="P261" s="116">
        <v>21523.821428571428</v>
      </c>
      <c r="Q261" s="117">
        <f t="shared" si="84"/>
        <v>6.1230331548420711E-5</v>
      </c>
      <c r="R261" s="114">
        <f t="shared" si="85"/>
        <v>1.7916943596263937</v>
      </c>
      <c r="S261" s="377">
        <f t="shared" si="86"/>
        <v>69.882537105751382</v>
      </c>
      <c r="T261" s="357"/>
      <c r="U261" s="104"/>
      <c r="V261" s="95"/>
      <c r="W261" s="105"/>
      <c r="X261" s="95"/>
      <c r="Y261" s="95"/>
      <c r="Z261" s="95"/>
      <c r="AA261" s="95"/>
      <c r="AB261" s="95"/>
      <c r="AC261" s="95"/>
      <c r="AD261" s="17">
        <f t="shared" si="69"/>
        <v>0</v>
      </c>
      <c r="AE261" s="17">
        <f t="shared" si="83"/>
        <v>0</v>
      </c>
      <c r="AF261" s="17">
        <f t="shared" si="83"/>
        <v>0</v>
      </c>
      <c r="AG261" s="17">
        <f t="shared" si="83"/>
        <v>0</v>
      </c>
      <c r="AH261" s="18" t="str">
        <f t="shared" si="71"/>
        <v>0,;!0,;!0,;!0</v>
      </c>
      <c r="AI261" s="18" t="e">
        <f>INDEX([1]Library!$AL:$AL,MATCH(AH261,[1]Library!$AJ:$AJ,0),1)</f>
        <v>#N/A</v>
      </c>
      <c r="AJ261" s="18" t="e">
        <f>TEXT(INDEX([1]Library!$W:$W,MATCH(AH261,[1]Library!$AJ:$AJ,0),1),"")</f>
        <v>#N/A</v>
      </c>
    </row>
    <row r="262" spans="1:36" ht="25.05" customHeight="1" outlineLevel="2">
      <c r="A262" s="376" t="s">
        <v>44</v>
      </c>
      <c r="B262" s="107" t="s">
        <v>44</v>
      </c>
      <c r="C262" s="108" t="s">
        <v>44</v>
      </c>
      <c r="D262" s="109" t="s">
        <v>289</v>
      </c>
      <c r="E262" s="289"/>
      <c r="F262" s="299"/>
      <c r="G262" s="62"/>
      <c r="H262" s="111">
        <v>12</v>
      </c>
      <c r="I262" s="112" t="s">
        <v>122</v>
      </c>
      <c r="J262" s="113">
        <v>281.4653571428571</v>
      </c>
      <c r="K262" s="114">
        <v>3377.5842857142852</v>
      </c>
      <c r="L262" s="113">
        <v>84.439607142857128</v>
      </c>
      <c r="M262" s="114">
        <v>1013.2752857142855</v>
      </c>
      <c r="N262" s="115">
        <v>0</v>
      </c>
      <c r="O262" s="114">
        <v>0</v>
      </c>
      <c r="P262" s="116">
        <v>4390.8595714285711</v>
      </c>
      <c r="Q262" s="117">
        <f t="shared" si="84"/>
        <v>1.2490987635877826E-5</v>
      </c>
      <c r="R262" s="114">
        <f t="shared" si="85"/>
        <v>0.36550564936378432</v>
      </c>
      <c r="S262" s="377">
        <f t="shared" si="86"/>
        <v>14.256037569573284</v>
      </c>
      <c r="T262" s="357"/>
      <c r="U262" s="104"/>
      <c r="V262" s="95"/>
      <c r="W262" s="105"/>
      <c r="X262" s="95"/>
      <c r="Y262" s="95"/>
      <c r="Z262" s="95"/>
      <c r="AA262" s="95"/>
      <c r="AB262" s="95"/>
      <c r="AC262" s="95"/>
      <c r="AD262" s="17">
        <f t="shared" si="69"/>
        <v>0</v>
      </c>
      <c r="AE262" s="17">
        <f t="shared" si="83"/>
        <v>0</v>
      </c>
      <c r="AF262" s="17">
        <f t="shared" si="83"/>
        <v>0</v>
      </c>
      <c r="AG262" s="17">
        <f t="shared" si="83"/>
        <v>0</v>
      </c>
      <c r="AH262" s="18" t="str">
        <f t="shared" si="71"/>
        <v>0,;!0,;!0,;!0</v>
      </c>
      <c r="AI262" s="18" t="e">
        <f>INDEX([1]Library!$AL:$AL,MATCH(AH262,[1]Library!$AJ:$AJ,0),1)</f>
        <v>#N/A</v>
      </c>
      <c r="AJ262" s="18" t="e">
        <f>TEXT(INDEX([1]Library!$W:$W,MATCH(AH262,[1]Library!$AJ:$AJ,0),1),"")</f>
        <v>#N/A</v>
      </c>
    </row>
    <row r="263" spans="1:36" ht="25.05" customHeight="1" outlineLevel="2">
      <c r="A263" s="376" t="s">
        <v>44</v>
      </c>
      <c r="B263" s="107" t="s">
        <v>44</v>
      </c>
      <c r="C263" s="108" t="s">
        <v>44</v>
      </c>
      <c r="D263" s="109" t="s">
        <v>290</v>
      </c>
      <c r="E263" s="289"/>
      <c r="F263" s="299"/>
      <c r="G263" s="62"/>
      <c r="H263" s="111">
        <v>117</v>
      </c>
      <c r="I263" s="112" t="s">
        <v>122</v>
      </c>
      <c r="J263" s="113">
        <v>239.24555357142853</v>
      </c>
      <c r="K263" s="114">
        <v>27991.729767857138</v>
      </c>
      <c r="L263" s="113">
        <v>71.773666071428551</v>
      </c>
      <c r="M263" s="114">
        <v>8397.5189303571406</v>
      </c>
      <c r="N263" s="115">
        <v>0</v>
      </c>
      <c r="O263" s="114">
        <v>0</v>
      </c>
      <c r="P263" s="116">
        <v>36389.24869821428</v>
      </c>
      <c r="Q263" s="117">
        <f t="shared" si="84"/>
        <v>1.0351906003233747E-4</v>
      </c>
      <c r="R263" s="114">
        <f t="shared" si="85"/>
        <v>3.0291280691023621</v>
      </c>
      <c r="S263" s="377">
        <f t="shared" si="86"/>
        <v>118.14691135783858</v>
      </c>
      <c r="T263" s="357"/>
      <c r="U263" s="104"/>
      <c r="V263" s="95"/>
      <c r="W263" s="105"/>
      <c r="X263" s="95"/>
      <c r="Y263" s="95"/>
      <c r="Z263" s="95"/>
      <c r="AA263" s="95"/>
      <c r="AB263" s="95"/>
      <c r="AC263" s="95"/>
      <c r="AD263" s="17">
        <f t="shared" si="69"/>
        <v>0</v>
      </c>
      <c r="AE263" s="17">
        <f t="shared" si="83"/>
        <v>0</v>
      </c>
      <c r="AF263" s="17">
        <f t="shared" si="83"/>
        <v>0</v>
      </c>
      <c r="AG263" s="17">
        <f t="shared" si="83"/>
        <v>0</v>
      </c>
      <c r="AH263" s="18" t="str">
        <f t="shared" si="71"/>
        <v>0,;!0,;!0,;!0</v>
      </c>
      <c r="AI263" s="18" t="e">
        <f>INDEX([1]Library!$AL:$AL,MATCH(AH263,[1]Library!$AJ:$AJ,0),1)</f>
        <v>#N/A</v>
      </c>
      <c r="AJ263" s="18" t="e">
        <f>TEXT(INDEX([1]Library!$W:$W,MATCH(AH263,[1]Library!$AJ:$AJ,0),1),"")</f>
        <v>#N/A</v>
      </c>
    </row>
    <row r="264" spans="1:36" ht="25.05" customHeight="1" outlineLevel="2">
      <c r="A264" s="376" t="s">
        <v>44</v>
      </c>
      <c r="B264" s="107" t="s">
        <v>44</v>
      </c>
      <c r="C264" s="108" t="s">
        <v>44</v>
      </c>
      <c r="D264" s="109" t="s">
        <v>291</v>
      </c>
      <c r="E264" s="289"/>
      <c r="F264" s="299"/>
      <c r="G264" s="62"/>
      <c r="H264" s="111">
        <v>28</v>
      </c>
      <c r="I264" s="112" t="s">
        <v>140</v>
      </c>
      <c r="J264" s="113">
        <v>3660.7142857142853</v>
      </c>
      <c r="K264" s="114">
        <v>102499.99999999999</v>
      </c>
      <c r="L264" s="113">
        <v>732.14285714285711</v>
      </c>
      <c r="M264" s="114">
        <v>20500</v>
      </c>
      <c r="N264" s="115">
        <v>0</v>
      </c>
      <c r="O264" s="114">
        <v>0</v>
      </c>
      <c r="P264" s="116">
        <v>122999.99999999999</v>
      </c>
      <c r="Q264" s="117">
        <f t="shared" si="84"/>
        <v>3.4990676750636909E-4</v>
      </c>
      <c r="R264" s="114">
        <f t="shared" si="85"/>
        <v>10.238814095600555</v>
      </c>
      <c r="S264" s="377">
        <f t="shared" si="86"/>
        <v>399.35064935064929</v>
      </c>
      <c r="T264" s="357"/>
      <c r="U264" s="104"/>
      <c r="V264" s="95"/>
      <c r="W264" s="105"/>
      <c r="X264" s="95"/>
      <c r="Y264" s="95"/>
      <c r="Z264" s="95"/>
      <c r="AA264" s="95"/>
      <c r="AB264" s="95"/>
      <c r="AC264" s="95"/>
      <c r="AD264" s="17">
        <f t="shared" si="69"/>
        <v>0</v>
      </c>
      <c r="AE264" s="17">
        <f t="shared" si="83"/>
        <v>0</v>
      </c>
      <c r="AF264" s="17">
        <f t="shared" si="83"/>
        <v>0</v>
      </c>
      <c r="AG264" s="17">
        <f t="shared" si="83"/>
        <v>0</v>
      </c>
      <c r="AH264" s="18" t="str">
        <f t="shared" si="71"/>
        <v>0,;!0,;!0,;!0</v>
      </c>
      <c r="AI264" s="18" t="e">
        <f>INDEX([1]Library!$AL:$AL,MATCH(AH264,[1]Library!$AJ:$AJ,0),1)</f>
        <v>#N/A</v>
      </c>
      <c r="AJ264" s="18" t="e">
        <f>TEXT(INDEX([1]Library!$W:$W,MATCH(AH264,[1]Library!$AJ:$AJ,0),1),"")</f>
        <v>#N/A</v>
      </c>
    </row>
    <row r="265" spans="1:36" ht="25.05" customHeight="1" outlineLevel="2">
      <c r="A265" s="376" t="s">
        <v>44</v>
      </c>
      <c r="B265" s="107" t="s">
        <v>44</v>
      </c>
      <c r="C265" s="108" t="s">
        <v>44</v>
      </c>
      <c r="D265" s="109" t="s">
        <v>292</v>
      </c>
      <c r="E265" s="289"/>
      <c r="F265" s="299"/>
      <c r="G265" s="62"/>
      <c r="H265" s="111">
        <v>7</v>
      </c>
      <c r="I265" s="112" t="s">
        <v>90</v>
      </c>
      <c r="J265" s="113">
        <v>11121.848214285712</v>
      </c>
      <c r="K265" s="114">
        <v>77852.937499999985</v>
      </c>
      <c r="L265" s="113">
        <v>2224.3696428571425</v>
      </c>
      <c r="M265" s="114">
        <v>15570.587499999998</v>
      </c>
      <c r="N265" s="115">
        <v>0</v>
      </c>
      <c r="O265" s="114">
        <v>0</v>
      </c>
      <c r="P265" s="116">
        <v>93423.52499999998</v>
      </c>
      <c r="Q265" s="117">
        <f t="shared" si="84"/>
        <v>2.6576848489268665E-4</v>
      </c>
      <c r="R265" s="114">
        <f t="shared" si="85"/>
        <v>7.7767975986235021</v>
      </c>
      <c r="S265" s="377">
        <f t="shared" si="86"/>
        <v>303.32313311688307</v>
      </c>
      <c r="T265" s="357"/>
      <c r="U265" s="104"/>
      <c r="V265" s="95"/>
      <c r="W265" s="105"/>
      <c r="X265" s="95"/>
      <c r="Y265" s="95"/>
      <c r="Z265" s="95"/>
      <c r="AA265" s="95"/>
      <c r="AB265" s="95"/>
      <c r="AC265" s="95"/>
      <c r="AD265" s="17">
        <f t="shared" si="69"/>
        <v>0</v>
      </c>
      <c r="AE265" s="17">
        <f t="shared" si="83"/>
        <v>0</v>
      </c>
      <c r="AF265" s="17">
        <f t="shared" si="83"/>
        <v>0</v>
      </c>
      <c r="AG265" s="17">
        <f t="shared" si="83"/>
        <v>0</v>
      </c>
      <c r="AH265" s="18" t="str">
        <f t="shared" si="71"/>
        <v>0,;!0,;!0,;!0</v>
      </c>
      <c r="AI265" s="18" t="e">
        <f>INDEX([1]Library!$AL:$AL,MATCH(AH265,[1]Library!$AJ:$AJ,0),1)</f>
        <v>#N/A</v>
      </c>
      <c r="AJ265" s="18" t="e">
        <f>TEXT(INDEX([1]Library!$W:$W,MATCH(AH265,[1]Library!$AJ:$AJ,0),1),"")</f>
        <v>#N/A</v>
      </c>
    </row>
    <row r="266" spans="1:36" ht="25.05" customHeight="1" outlineLevel="2">
      <c r="A266" s="376" t="s">
        <v>44</v>
      </c>
      <c r="B266" s="107" t="s">
        <v>44</v>
      </c>
      <c r="C266" s="108" t="s">
        <v>44</v>
      </c>
      <c r="D266" s="109" t="s">
        <v>293</v>
      </c>
      <c r="E266" s="289"/>
      <c r="F266" s="299"/>
      <c r="G266" s="62"/>
      <c r="H266" s="111">
        <v>96</v>
      </c>
      <c r="I266" s="112" t="s">
        <v>122</v>
      </c>
      <c r="J266" s="113">
        <v>68.319999999999993</v>
      </c>
      <c r="K266" s="114">
        <v>6558.7199999999993</v>
      </c>
      <c r="L266" s="113">
        <v>20.495999999999999</v>
      </c>
      <c r="M266" s="114">
        <v>1967.616</v>
      </c>
      <c r="N266" s="115">
        <v>0</v>
      </c>
      <c r="O266" s="114">
        <v>0</v>
      </c>
      <c r="P266" s="116">
        <v>8526.3359999999993</v>
      </c>
      <c r="Q266" s="117">
        <f t="shared" si="84"/>
        <v>2.4255468849050286E-5</v>
      </c>
      <c r="R266" s="114">
        <f t="shared" si="85"/>
        <v>0.70975259528964596</v>
      </c>
      <c r="S266" s="377">
        <f t="shared" si="86"/>
        <v>27.682909090909089</v>
      </c>
      <c r="T266" s="357"/>
      <c r="U266" s="104"/>
      <c r="V266" s="95"/>
      <c r="W266" s="105"/>
      <c r="X266" s="95"/>
      <c r="Y266" s="95"/>
      <c r="Z266" s="95"/>
      <c r="AA266" s="95"/>
      <c r="AB266" s="95"/>
      <c r="AC266" s="95"/>
      <c r="AD266" s="17">
        <f t="shared" si="69"/>
        <v>0</v>
      </c>
      <c r="AE266" s="17">
        <f t="shared" si="83"/>
        <v>0</v>
      </c>
      <c r="AF266" s="17">
        <f t="shared" si="83"/>
        <v>0</v>
      </c>
      <c r="AG266" s="17">
        <f t="shared" si="83"/>
        <v>0</v>
      </c>
      <c r="AH266" s="18" t="str">
        <f t="shared" si="71"/>
        <v>0,;!0,;!0,;!0</v>
      </c>
      <c r="AI266" s="18" t="e">
        <f>INDEX([1]Library!$AL:$AL,MATCH(AH266,[1]Library!$AJ:$AJ,0),1)</f>
        <v>#N/A</v>
      </c>
      <c r="AJ266" s="18" t="e">
        <f>TEXT(INDEX([1]Library!$W:$W,MATCH(AH266,[1]Library!$AJ:$AJ,0),1),"")</f>
        <v>#N/A</v>
      </c>
    </row>
    <row r="267" spans="1:36" ht="25.05" customHeight="1" outlineLevel="2">
      <c r="A267" s="376" t="s">
        <v>44</v>
      </c>
      <c r="B267" s="107" t="s">
        <v>44</v>
      </c>
      <c r="C267" s="108" t="s">
        <v>44</v>
      </c>
      <c r="D267" s="109" t="s">
        <v>294</v>
      </c>
      <c r="E267" s="289"/>
      <c r="F267" s="299"/>
      <c r="G267" s="62"/>
      <c r="H267" s="111">
        <v>117</v>
      </c>
      <c r="I267" s="112" t="s">
        <v>122</v>
      </c>
      <c r="J267" s="113">
        <v>38.151785714285708</v>
      </c>
      <c r="K267" s="114">
        <v>4463.7589285714275</v>
      </c>
      <c r="L267" s="113">
        <v>46.491071428571423</v>
      </c>
      <c r="M267" s="114">
        <v>5439.4553571428569</v>
      </c>
      <c r="N267" s="115">
        <v>0</v>
      </c>
      <c r="O267" s="114">
        <v>0</v>
      </c>
      <c r="P267" s="116">
        <v>9903.2142857142844</v>
      </c>
      <c r="Q267" s="117">
        <f t="shared" si="84"/>
        <v>2.8172371533635621E-5</v>
      </c>
      <c r="R267" s="114">
        <f t="shared" si="85"/>
        <v>0.8243672359375952</v>
      </c>
      <c r="S267" s="377">
        <f t="shared" si="86"/>
        <v>32.153293135435987</v>
      </c>
      <c r="T267" s="357"/>
      <c r="U267" s="104"/>
      <c r="V267" s="95"/>
      <c r="W267" s="105"/>
      <c r="X267" s="95"/>
      <c r="Y267" s="95"/>
      <c r="Z267" s="95"/>
      <c r="AA267" s="95"/>
      <c r="AB267" s="95"/>
      <c r="AC267" s="95"/>
      <c r="AD267" s="17">
        <f t="shared" si="69"/>
        <v>0</v>
      </c>
      <c r="AE267" s="17">
        <f t="shared" si="83"/>
        <v>0</v>
      </c>
      <c r="AF267" s="17">
        <f t="shared" si="83"/>
        <v>0</v>
      </c>
      <c r="AG267" s="17">
        <f t="shared" si="83"/>
        <v>0</v>
      </c>
      <c r="AH267" s="18" t="str">
        <f t="shared" si="71"/>
        <v>0,;!0,;!0,;!0</v>
      </c>
      <c r="AI267" s="18" t="e">
        <f>INDEX([1]Library!$AL:$AL,MATCH(AH267,[1]Library!$AJ:$AJ,0),1)</f>
        <v>#N/A</v>
      </c>
      <c r="AJ267" s="18" t="e">
        <f>TEXT(INDEX([1]Library!$W:$W,MATCH(AH267,[1]Library!$AJ:$AJ,0),1),"")</f>
        <v>#N/A</v>
      </c>
    </row>
    <row r="268" spans="1:36" ht="25.05" customHeight="1" outlineLevel="1">
      <c r="A268" s="374" t="s">
        <v>44</v>
      </c>
      <c r="B268" s="96" t="s">
        <v>44</v>
      </c>
      <c r="C268" s="97" t="s">
        <v>295</v>
      </c>
      <c r="D268" s="97"/>
      <c r="E268" s="98"/>
      <c r="F268" s="298"/>
      <c r="G268" s="62"/>
      <c r="H268" s="99">
        <v>1</v>
      </c>
      <c r="I268" s="100" t="s">
        <v>35</v>
      </c>
      <c r="J268" s="99">
        <v>69068.399999999994</v>
      </c>
      <c r="K268" s="99">
        <v>69068.399999999994</v>
      </c>
      <c r="L268" s="99">
        <v>17470.52</v>
      </c>
      <c r="M268" s="99">
        <v>17470.52</v>
      </c>
      <c r="N268" s="99">
        <v>0</v>
      </c>
      <c r="O268" s="99">
        <v>0</v>
      </c>
      <c r="P268" s="101">
        <v>86538.92</v>
      </c>
      <c r="Q268" s="102">
        <f>P268/P$13</f>
        <v>2.4618336390806728E-4</v>
      </c>
      <c r="R268" s="103">
        <f>P268/I$5</f>
        <v>7.2037066171873887</v>
      </c>
      <c r="S268" s="375">
        <f>P268/I$7</f>
        <v>280.9705194805195</v>
      </c>
      <c r="T268" s="356"/>
      <c r="U268" s="104"/>
      <c r="V268" s="95"/>
      <c r="W268" s="105"/>
      <c r="X268" s="95"/>
      <c r="Y268" s="95"/>
      <c r="Z268" s="95"/>
      <c r="AA268" s="95"/>
      <c r="AB268" s="95"/>
      <c r="AC268" s="95"/>
      <c r="AD268" s="17">
        <f t="shared" si="69"/>
        <v>0</v>
      </c>
      <c r="AE268" s="17">
        <f t="shared" si="83"/>
        <v>0</v>
      </c>
      <c r="AF268" s="17">
        <f t="shared" si="83"/>
        <v>0</v>
      </c>
      <c r="AG268" s="17">
        <f t="shared" si="83"/>
        <v>0</v>
      </c>
      <c r="AH268" s="18" t="str">
        <f t="shared" si="71"/>
        <v>0,;!0,;!0,;!0</v>
      </c>
      <c r="AI268" s="18" t="e">
        <f>INDEX([1]Library!$AL:$AL,MATCH(AH268,[1]Library!$AJ:$AJ,0),1)</f>
        <v>#N/A</v>
      </c>
      <c r="AJ268" s="18" t="e">
        <f>TEXT(INDEX([1]Library!$W:$W,MATCH(AH268,[1]Library!$AJ:$AJ,0),1),"")</f>
        <v>#N/A</v>
      </c>
    </row>
    <row r="269" spans="1:36" ht="25.05" customHeight="1" outlineLevel="2">
      <c r="A269" s="376" t="s">
        <v>44</v>
      </c>
      <c r="B269" s="107" t="s">
        <v>44</v>
      </c>
      <c r="C269" s="108" t="s">
        <v>44</v>
      </c>
      <c r="D269" s="109" t="s">
        <v>296</v>
      </c>
      <c r="E269" s="289"/>
      <c r="F269" s="299"/>
      <c r="G269" s="62"/>
      <c r="H269" s="111">
        <v>40</v>
      </c>
      <c r="I269" s="112" t="s">
        <v>122</v>
      </c>
      <c r="J269" s="113">
        <v>414.20999999999992</v>
      </c>
      <c r="K269" s="114">
        <v>16568.399999999998</v>
      </c>
      <c r="L269" s="113">
        <v>124.26299999999999</v>
      </c>
      <c r="M269" s="114">
        <v>4970.5199999999995</v>
      </c>
      <c r="N269" s="115">
        <v>0</v>
      </c>
      <c r="O269" s="114">
        <v>0</v>
      </c>
      <c r="P269" s="116">
        <v>21538.92</v>
      </c>
      <c r="Q269" s="117">
        <f t="shared" ref="Q269:Q270" si="87">P269/P$13</f>
        <v>6.1273283518522632E-5</v>
      </c>
      <c r="R269" s="114">
        <f t="shared" ref="R269:R270" si="88">P269/I$5</f>
        <v>1.7929512008131114</v>
      </c>
      <c r="S269" s="377">
        <f t="shared" ref="S269:S270" si="89">P269/I$7</f>
        <v>69.931558441558437</v>
      </c>
      <c r="T269" s="357"/>
      <c r="U269" s="104"/>
      <c r="V269" s="95"/>
      <c r="W269" s="105"/>
      <c r="X269" s="95"/>
      <c r="Y269" s="95"/>
      <c r="Z269" s="95"/>
      <c r="AA269" s="95"/>
      <c r="AB269" s="95"/>
      <c r="AC269" s="95"/>
      <c r="AD269" s="17">
        <f t="shared" si="69"/>
        <v>0</v>
      </c>
      <c r="AE269" s="17">
        <f t="shared" si="83"/>
        <v>0</v>
      </c>
      <c r="AF269" s="17">
        <f t="shared" si="83"/>
        <v>0</v>
      </c>
      <c r="AG269" s="17">
        <f t="shared" si="83"/>
        <v>0</v>
      </c>
      <c r="AH269" s="18" t="str">
        <f t="shared" si="71"/>
        <v>0,;!0,;!0,;!0</v>
      </c>
      <c r="AI269" s="18" t="e">
        <f>INDEX([1]Library!$AL:$AL,MATCH(AH269,[1]Library!$AJ:$AJ,0),1)</f>
        <v>#N/A</v>
      </c>
      <c r="AJ269" s="18" t="e">
        <f>TEXT(INDEX([1]Library!$W:$W,MATCH(AH269,[1]Library!$AJ:$AJ,0),1),"")</f>
        <v>#N/A</v>
      </c>
    </row>
    <row r="270" spans="1:36" ht="25.05" customHeight="1" outlineLevel="2">
      <c r="A270" s="376" t="s">
        <v>44</v>
      </c>
      <c r="B270" s="107" t="s">
        <v>44</v>
      </c>
      <c r="C270" s="108" t="s">
        <v>44</v>
      </c>
      <c r="D270" s="109" t="s">
        <v>297</v>
      </c>
      <c r="E270" s="289"/>
      <c r="F270" s="299"/>
      <c r="G270" s="62"/>
      <c r="H270" s="111">
        <v>5</v>
      </c>
      <c r="I270" s="112" t="s">
        <v>122</v>
      </c>
      <c r="J270" s="113">
        <v>10500</v>
      </c>
      <c r="K270" s="114">
        <v>52500</v>
      </c>
      <c r="L270" s="113">
        <v>2500</v>
      </c>
      <c r="M270" s="114">
        <v>12500</v>
      </c>
      <c r="N270" s="115">
        <v>0</v>
      </c>
      <c r="O270" s="114">
        <v>0</v>
      </c>
      <c r="P270" s="116">
        <v>65000</v>
      </c>
      <c r="Q270" s="117">
        <f t="shared" si="87"/>
        <v>1.8491008038954465E-4</v>
      </c>
      <c r="R270" s="114">
        <f t="shared" si="88"/>
        <v>5.4107554163742773</v>
      </c>
      <c r="S270" s="377">
        <f t="shared" si="89"/>
        <v>211.03896103896105</v>
      </c>
      <c r="T270" s="357"/>
      <c r="U270" s="104"/>
      <c r="V270" s="95"/>
      <c r="W270" s="105"/>
      <c r="X270" s="95"/>
      <c r="Y270" s="95"/>
      <c r="Z270" s="95"/>
      <c r="AA270" s="95"/>
      <c r="AB270" s="95"/>
      <c r="AC270" s="95"/>
      <c r="AD270" s="17">
        <f t="shared" ref="AD270:AD333" si="90">IF(X270&lt;&gt;0,IF($X270&gt;=AD$12,AD269,""),Z270)</f>
        <v>0</v>
      </c>
      <c r="AE270" s="17">
        <f t="shared" ref="AE270:AG285" si="91">IF(AA270=" ",IF($X270&gt;=AE$12,AE269,""),AA270)</f>
        <v>0</v>
      </c>
      <c r="AF270" s="17">
        <f t="shared" si="91"/>
        <v>0</v>
      </c>
      <c r="AG270" s="17">
        <f t="shared" si="91"/>
        <v>0</v>
      </c>
      <c r="AH270" s="18" t="str">
        <f t="shared" ref="AH270:AH333" si="92">AD270&amp;",;!"&amp;AE270&amp;",;!"&amp;AF270&amp;",;!"&amp;AG270</f>
        <v>0,;!0,;!0,;!0</v>
      </c>
      <c r="AI270" s="18" t="e">
        <f>INDEX([1]Library!$AL:$AL,MATCH(AH270,[1]Library!$AJ:$AJ,0),1)</f>
        <v>#N/A</v>
      </c>
      <c r="AJ270" s="18" t="e">
        <f>TEXT(INDEX([1]Library!$W:$W,MATCH(AH270,[1]Library!$AJ:$AJ,0),1),"")</f>
        <v>#N/A</v>
      </c>
    </row>
    <row r="271" spans="1:36" ht="25.05" customHeight="1" outlineLevel="1">
      <c r="A271" s="374" t="s">
        <v>44</v>
      </c>
      <c r="B271" s="96" t="s">
        <v>44</v>
      </c>
      <c r="C271" s="97" t="s">
        <v>298</v>
      </c>
      <c r="D271" s="97"/>
      <c r="E271" s="98"/>
      <c r="F271" s="298"/>
      <c r="G271" s="62"/>
      <c r="H271" s="99">
        <v>1</v>
      </c>
      <c r="I271" s="100" t="s">
        <v>35</v>
      </c>
      <c r="J271" s="99">
        <v>391490</v>
      </c>
      <c r="K271" s="99">
        <v>391490</v>
      </c>
      <c r="L271" s="99">
        <v>78298</v>
      </c>
      <c r="M271" s="99">
        <v>78298</v>
      </c>
      <c r="N271" s="99">
        <v>2331791.9999999995</v>
      </c>
      <c r="O271" s="99">
        <v>2331791.9999999995</v>
      </c>
      <c r="P271" s="101">
        <v>2801579.9999999995</v>
      </c>
      <c r="Q271" s="102">
        <f>P271/P$13</f>
        <v>7.9698520464267751E-3</v>
      </c>
      <c r="R271" s="103">
        <f>P271/I$5</f>
        <v>233.210217837013</v>
      </c>
      <c r="S271" s="375">
        <f>P271/I$7</f>
        <v>9096.0389610389593</v>
      </c>
      <c r="T271" s="356"/>
      <c r="U271" s="104"/>
      <c r="V271" s="95"/>
      <c r="W271" s="105"/>
      <c r="X271" s="95"/>
      <c r="Y271" s="95"/>
      <c r="Z271" s="95"/>
      <c r="AA271" s="95"/>
      <c r="AB271" s="95"/>
      <c r="AC271" s="95"/>
      <c r="AD271" s="17">
        <f t="shared" si="90"/>
        <v>0</v>
      </c>
      <c r="AE271" s="17">
        <f t="shared" si="91"/>
        <v>0</v>
      </c>
      <c r="AF271" s="17">
        <f t="shared" si="91"/>
        <v>0</v>
      </c>
      <c r="AG271" s="17">
        <f t="shared" si="91"/>
        <v>0</v>
      </c>
      <c r="AH271" s="18" t="str">
        <f t="shared" si="92"/>
        <v>0,;!0,;!0,;!0</v>
      </c>
      <c r="AI271" s="18" t="e">
        <f>INDEX([1]Library!$AL:$AL,MATCH(AH271,[1]Library!$AJ:$AJ,0),1)</f>
        <v>#N/A</v>
      </c>
      <c r="AJ271" s="18" t="e">
        <f>TEXT(INDEX([1]Library!$W:$W,MATCH(AH271,[1]Library!$AJ:$AJ,0),1),"")</f>
        <v>#N/A</v>
      </c>
    </row>
    <row r="272" spans="1:36" ht="25.05" customHeight="1" outlineLevel="2">
      <c r="A272" s="376" t="s">
        <v>44</v>
      </c>
      <c r="B272" s="107" t="s">
        <v>44</v>
      </c>
      <c r="C272" s="108" t="s">
        <v>44</v>
      </c>
      <c r="D272" s="109" t="s">
        <v>299</v>
      </c>
      <c r="E272" s="289"/>
      <c r="F272" s="299"/>
      <c r="G272" s="62"/>
      <c r="H272" s="111">
        <v>1</v>
      </c>
      <c r="I272" s="112" t="s">
        <v>35</v>
      </c>
      <c r="J272" s="113">
        <v>0</v>
      </c>
      <c r="K272" s="114">
        <v>0</v>
      </c>
      <c r="L272" s="113">
        <v>0</v>
      </c>
      <c r="M272" s="114">
        <v>0</v>
      </c>
      <c r="N272" s="115">
        <v>2331791.9999999995</v>
      </c>
      <c r="O272" s="114">
        <v>2331791.9999999995</v>
      </c>
      <c r="P272" s="116">
        <v>2331791.9999999995</v>
      </c>
      <c r="Q272" s="117">
        <f>P272/P$13</f>
        <v>6.6334130180261078E-3</v>
      </c>
      <c r="R272" s="114">
        <f>P272/I$5</f>
        <v>194.10394144397242</v>
      </c>
      <c r="S272" s="377">
        <f>P272/I$7</f>
        <v>7570.7532467532455</v>
      </c>
      <c r="T272" s="357"/>
      <c r="U272" s="104"/>
      <c r="V272" s="95"/>
      <c r="W272" s="105"/>
      <c r="X272" s="95"/>
      <c r="Y272" s="95"/>
      <c r="Z272" s="95"/>
      <c r="AA272" s="95"/>
      <c r="AB272" s="95"/>
      <c r="AC272" s="95"/>
      <c r="AD272" s="17">
        <f t="shared" si="90"/>
        <v>0</v>
      </c>
      <c r="AE272" s="17">
        <f t="shared" si="91"/>
        <v>0</v>
      </c>
      <c r="AF272" s="17">
        <f t="shared" si="91"/>
        <v>0</v>
      </c>
      <c r="AG272" s="17">
        <f t="shared" si="91"/>
        <v>0</v>
      </c>
      <c r="AH272" s="18" t="str">
        <f t="shared" si="92"/>
        <v>0,;!0,;!0,;!0</v>
      </c>
      <c r="AI272" s="18" t="e">
        <f>INDEX([1]Library!$AL:$AL,MATCH(AH272,[1]Library!$AJ:$AJ,0),1)</f>
        <v>#N/A</v>
      </c>
      <c r="AJ272" s="18" t="e">
        <f>TEXT(INDEX([1]Library!$W:$W,MATCH(AH272,[1]Library!$AJ:$AJ,0),1),"")</f>
        <v>#N/A</v>
      </c>
    </row>
    <row r="273" spans="1:36" ht="25.05" customHeight="1" outlineLevel="2">
      <c r="A273" s="378" t="s">
        <v>44</v>
      </c>
      <c r="B273" s="118" t="s">
        <v>44</v>
      </c>
      <c r="C273" s="119" t="s">
        <v>44</v>
      </c>
      <c r="D273" s="120" t="s">
        <v>44</v>
      </c>
      <c r="E273" s="290" t="s">
        <v>300</v>
      </c>
      <c r="F273" s="300"/>
      <c r="G273" s="304"/>
      <c r="H273" s="122">
        <v>72</v>
      </c>
      <c r="I273" s="123" t="s">
        <v>122</v>
      </c>
      <c r="J273" s="124">
        <v>0</v>
      </c>
      <c r="K273" s="125">
        <v>0</v>
      </c>
      <c r="L273" s="124">
        <v>0</v>
      </c>
      <c r="M273" s="125">
        <v>0</v>
      </c>
      <c r="N273" s="126">
        <v>32385.999999999993</v>
      </c>
      <c r="O273" s="125">
        <v>2331791.9999999995</v>
      </c>
      <c r="P273" s="127">
        <v>2331791.9999999995</v>
      </c>
      <c r="Q273" s="128">
        <f t="shared" ref="Q273:Q333" si="93">P273/P$13</f>
        <v>6.6334130180261078E-3</v>
      </c>
      <c r="R273" s="129">
        <f t="shared" ref="R273:R333" si="94">P273/I$5</f>
        <v>194.10394144397242</v>
      </c>
      <c r="S273" s="379">
        <f t="shared" ref="S273:S333" si="95">P273/I$7</f>
        <v>7570.7532467532455</v>
      </c>
      <c r="T273" s="358"/>
      <c r="U273" s="104"/>
      <c r="V273" s="95"/>
      <c r="W273" s="105"/>
      <c r="X273" s="95"/>
      <c r="Y273" s="95"/>
      <c r="Z273" s="95"/>
      <c r="AA273" s="95"/>
      <c r="AB273" s="95"/>
      <c r="AC273" s="95"/>
      <c r="AD273" s="17">
        <f t="shared" si="90"/>
        <v>0</v>
      </c>
      <c r="AE273" s="17">
        <f t="shared" si="91"/>
        <v>0</v>
      </c>
      <c r="AF273" s="17">
        <f t="shared" si="91"/>
        <v>0</v>
      </c>
      <c r="AG273" s="17">
        <f t="shared" si="91"/>
        <v>0</v>
      </c>
      <c r="AH273" s="18" t="str">
        <f t="shared" si="92"/>
        <v>0,;!0,;!0,;!0</v>
      </c>
      <c r="AI273" s="18" t="e">
        <f>INDEX([1]Library!$AL:$AL,MATCH(AH273,[1]Library!$AJ:$AJ,0),1)</f>
        <v>#N/A</v>
      </c>
      <c r="AJ273" s="18" t="e">
        <f>TEXT(INDEX([1]Library!$W:$W,MATCH(AH273,[1]Library!$AJ:$AJ,0),1),"")</f>
        <v>#N/A</v>
      </c>
    </row>
    <row r="274" spans="1:36" ht="25.05" customHeight="1" outlineLevel="2">
      <c r="A274" s="376" t="s">
        <v>44</v>
      </c>
      <c r="B274" s="107" t="s">
        <v>44</v>
      </c>
      <c r="C274" s="108" t="s">
        <v>44</v>
      </c>
      <c r="D274" s="109" t="s">
        <v>301</v>
      </c>
      <c r="E274" s="289"/>
      <c r="F274" s="299"/>
      <c r="G274" s="62"/>
      <c r="H274" s="111">
        <v>1</v>
      </c>
      <c r="I274" s="112" t="s">
        <v>35</v>
      </c>
      <c r="J274" s="113">
        <v>391490</v>
      </c>
      <c r="K274" s="114">
        <v>391490</v>
      </c>
      <c r="L274" s="113">
        <v>78298</v>
      </c>
      <c r="M274" s="114">
        <v>78298</v>
      </c>
      <c r="N274" s="115">
        <v>0</v>
      </c>
      <c r="O274" s="114">
        <v>0</v>
      </c>
      <c r="P274" s="116">
        <v>469788</v>
      </c>
      <c r="Q274" s="117">
        <f>P274/P$13</f>
        <v>1.3364390284006677E-3</v>
      </c>
      <c r="R274" s="114">
        <f>P274/I$5</f>
        <v>39.106276393040602</v>
      </c>
      <c r="S274" s="377">
        <f>P274/I$7</f>
        <v>1525.2857142857142</v>
      </c>
      <c r="T274" s="357"/>
      <c r="U274" s="104"/>
      <c r="V274" s="95"/>
      <c r="W274" s="105"/>
      <c r="X274" s="95"/>
      <c r="Y274" s="95"/>
      <c r="Z274" s="95"/>
      <c r="AA274" s="95"/>
      <c r="AB274" s="95"/>
      <c r="AC274" s="95"/>
      <c r="AD274" s="17">
        <f t="shared" si="90"/>
        <v>0</v>
      </c>
      <c r="AE274" s="17">
        <f t="shared" si="91"/>
        <v>0</v>
      </c>
      <c r="AF274" s="17">
        <f t="shared" si="91"/>
        <v>0</v>
      </c>
      <c r="AG274" s="17">
        <f t="shared" si="91"/>
        <v>0</v>
      </c>
      <c r="AH274" s="18" t="str">
        <f t="shared" si="92"/>
        <v>0,;!0,;!0,;!0</v>
      </c>
      <c r="AI274" s="18" t="e">
        <f>INDEX([1]Library!$AL:$AL,MATCH(AH274,[1]Library!$AJ:$AJ,0),1)</f>
        <v>#N/A</v>
      </c>
      <c r="AJ274" s="18" t="e">
        <f>TEXT(INDEX([1]Library!$W:$W,MATCH(AH274,[1]Library!$AJ:$AJ,0),1),"")</f>
        <v>#N/A</v>
      </c>
    </row>
    <row r="275" spans="1:36" ht="25.05" customHeight="1" outlineLevel="2">
      <c r="A275" s="378" t="s">
        <v>44</v>
      </c>
      <c r="B275" s="118" t="s">
        <v>44</v>
      </c>
      <c r="C275" s="119" t="s">
        <v>44</v>
      </c>
      <c r="D275" s="120" t="s">
        <v>44</v>
      </c>
      <c r="E275" s="290" t="s">
        <v>302</v>
      </c>
      <c r="F275" s="300"/>
      <c r="G275" s="304"/>
      <c r="H275" s="122">
        <v>11</v>
      </c>
      <c r="I275" s="123" t="s">
        <v>140</v>
      </c>
      <c r="J275" s="124">
        <v>35590</v>
      </c>
      <c r="K275" s="125">
        <v>391490</v>
      </c>
      <c r="L275" s="124">
        <v>7118</v>
      </c>
      <c r="M275" s="125">
        <v>78298</v>
      </c>
      <c r="N275" s="126">
        <v>0</v>
      </c>
      <c r="O275" s="125">
        <v>0</v>
      </c>
      <c r="P275" s="127">
        <v>469788</v>
      </c>
      <c r="Q275" s="128">
        <f t="shared" si="93"/>
        <v>1.3364390284006677E-3</v>
      </c>
      <c r="R275" s="129">
        <f t="shared" si="94"/>
        <v>39.106276393040602</v>
      </c>
      <c r="S275" s="379">
        <f t="shared" si="95"/>
        <v>1525.2857142857142</v>
      </c>
      <c r="T275" s="358"/>
      <c r="U275" s="104"/>
      <c r="V275" s="95"/>
      <c r="W275" s="105"/>
      <c r="X275" s="95"/>
      <c r="Y275" s="95"/>
      <c r="Z275" s="95"/>
      <c r="AA275" s="95"/>
      <c r="AB275" s="95"/>
      <c r="AC275" s="95"/>
      <c r="AD275" s="17">
        <f t="shared" si="90"/>
        <v>0</v>
      </c>
      <c r="AE275" s="17">
        <f t="shared" si="91"/>
        <v>0</v>
      </c>
      <c r="AF275" s="17">
        <f t="shared" si="91"/>
        <v>0</v>
      </c>
      <c r="AG275" s="17">
        <f t="shared" si="91"/>
        <v>0</v>
      </c>
      <c r="AH275" s="18" t="str">
        <f t="shared" si="92"/>
        <v>0,;!0,;!0,;!0</v>
      </c>
      <c r="AI275" s="18" t="e">
        <f>INDEX([1]Library!$AL:$AL,MATCH(AH275,[1]Library!$AJ:$AJ,0),1)</f>
        <v>#N/A</v>
      </c>
      <c r="AJ275" s="18" t="e">
        <f>TEXT(INDEX([1]Library!$W:$W,MATCH(AH275,[1]Library!$AJ:$AJ,0),1),"")</f>
        <v>#N/A</v>
      </c>
    </row>
    <row r="276" spans="1:36" ht="25.05" customHeight="1" outlineLevel="1">
      <c r="A276" s="374" t="s">
        <v>44</v>
      </c>
      <c r="B276" s="96" t="s">
        <v>44</v>
      </c>
      <c r="C276" s="97" t="s">
        <v>303</v>
      </c>
      <c r="D276" s="97"/>
      <c r="E276" s="98"/>
      <c r="F276" s="298"/>
      <c r="G276" s="62"/>
      <c r="H276" s="99">
        <v>1</v>
      </c>
      <c r="I276" s="100" t="s">
        <v>35</v>
      </c>
      <c r="J276" s="99">
        <v>437250</v>
      </c>
      <c r="K276" s="99">
        <v>437250</v>
      </c>
      <c r="L276" s="99">
        <v>154000</v>
      </c>
      <c r="M276" s="99">
        <v>154000</v>
      </c>
      <c r="N276" s="99">
        <v>0</v>
      </c>
      <c r="O276" s="99">
        <v>0</v>
      </c>
      <c r="P276" s="101">
        <v>591250</v>
      </c>
      <c r="Q276" s="102">
        <f>P276/P$13</f>
        <v>1.6819705389279735E-3</v>
      </c>
      <c r="R276" s="103">
        <f>P276/I$5</f>
        <v>49.217063691250637</v>
      </c>
      <c r="S276" s="375">
        <f>P276/I$7</f>
        <v>1919.6428571428571</v>
      </c>
      <c r="T276" s="356"/>
      <c r="U276" s="104"/>
      <c r="V276" s="95"/>
      <c r="W276" s="105"/>
      <c r="X276" s="95"/>
      <c r="Y276" s="95"/>
      <c r="Z276" s="95"/>
      <c r="AA276" s="95"/>
      <c r="AB276" s="95"/>
      <c r="AC276" s="95"/>
      <c r="AD276" s="17">
        <f t="shared" si="90"/>
        <v>0</v>
      </c>
      <c r="AE276" s="17">
        <f t="shared" si="91"/>
        <v>0</v>
      </c>
      <c r="AF276" s="17">
        <f t="shared" si="91"/>
        <v>0</v>
      </c>
      <c r="AG276" s="17">
        <f t="shared" si="91"/>
        <v>0</v>
      </c>
      <c r="AH276" s="18" t="str">
        <f t="shared" si="92"/>
        <v>0,;!0,;!0,;!0</v>
      </c>
      <c r="AI276" s="18" t="e">
        <f>INDEX([1]Library!$AL:$AL,MATCH(AH276,[1]Library!$AJ:$AJ,0),1)</f>
        <v>#N/A</v>
      </c>
      <c r="AJ276" s="18" t="e">
        <f>TEXT(INDEX([1]Library!$W:$W,MATCH(AH276,[1]Library!$AJ:$AJ,0),1),"")</f>
        <v>#N/A</v>
      </c>
    </row>
    <row r="277" spans="1:36" ht="25.05" customHeight="1" outlineLevel="2">
      <c r="A277" s="376" t="s">
        <v>44</v>
      </c>
      <c r="B277" s="107" t="s">
        <v>44</v>
      </c>
      <c r="C277" s="108" t="s">
        <v>44</v>
      </c>
      <c r="D277" s="109" t="s">
        <v>304</v>
      </c>
      <c r="E277" s="289"/>
      <c r="F277" s="299"/>
      <c r="G277" s="62"/>
      <c r="H277" s="111">
        <v>44</v>
      </c>
      <c r="I277" s="112" t="s">
        <v>140</v>
      </c>
      <c r="J277" s="113">
        <v>1419.6428571428571</v>
      </c>
      <c r="K277" s="114">
        <v>62464.28571428571</v>
      </c>
      <c r="L277" s="113">
        <v>500</v>
      </c>
      <c r="M277" s="114">
        <v>22000</v>
      </c>
      <c r="N277" s="115">
        <v>0</v>
      </c>
      <c r="O277" s="114">
        <v>0</v>
      </c>
      <c r="P277" s="116">
        <v>84464.28571428571</v>
      </c>
      <c r="Q277" s="117">
        <f>P277/P$13</f>
        <v>2.4028150556113905E-4</v>
      </c>
      <c r="R277" s="114">
        <f>P277/I$5</f>
        <v>7.0310090987500908</v>
      </c>
      <c r="S277" s="377">
        <f>P277/I$7</f>
        <v>274.23469387755102</v>
      </c>
      <c r="T277" s="357"/>
      <c r="U277" s="104"/>
      <c r="V277" s="95"/>
      <c r="W277" s="105"/>
      <c r="X277" s="95"/>
      <c r="Y277" s="95"/>
      <c r="Z277" s="95"/>
      <c r="AA277" s="95"/>
      <c r="AB277" s="95"/>
      <c r="AC277" s="95"/>
      <c r="AD277" s="17">
        <f t="shared" si="90"/>
        <v>0</v>
      </c>
      <c r="AE277" s="17">
        <f t="shared" si="91"/>
        <v>0</v>
      </c>
      <c r="AF277" s="17">
        <f t="shared" si="91"/>
        <v>0</v>
      </c>
      <c r="AG277" s="17">
        <f t="shared" si="91"/>
        <v>0</v>
      </c>
      <c r="AH277" s="18" t="str">
        <f t="shared" si="92"/>
        <v>0,;!0,;!0,;!0</v>
      </c>
      <c r="AI277" s="18" t="e">
        <f>INDEX([1]Library!$AL:$AL,MATCH(AH277,[1]Library!$AJ:$AJ,0),1)</f>
        <v>#N/A</v>
      </c>
      <c r="AJ277" s="18" t="e">
        <f>TEXT(INDEX([1]Library!$W:$W,MATCH(AH277,[1]Library!$AJ:$AJ,0),1),"")</f>
        <v>#N/A</v>
      </c>
    </row>
    <row r="278" spans="1:36" ht="25.05" customHeight="1" outlineLevel="2">
      <c r="A278" s="378" t="s">
        <v>44</v>
      </c>
      <c r="B278" s="118" t="s">
        <v>44</v>
      </c>
      <c r="C278" s="119" t="s">
        <v>44</v>
      </c>
      <c r="D278" s="120" t="s">
        <v>44</v>
      </c>
      <c r="E278" s="290" t="s">
        <v>305</v>
      </c>
      <c r="F278" s="300"/>
      <c r="G278" s="304"/>
      <c r="H278" s="122">
        <v>44</v>
      </c>
      <c r="I278" s="123" t="s">
        <v>140</v>
      </c>
      <c r="J278" s="124">
        <v>1419.6428571428571</v>
      </c>
      <c r="K278" s="125">
        <v>62464.28571428571</v>
      </c>
      <c r="L278" s="124">
        <v>500</v>
      </c>
      <c r="M278" s="125">
        <v>22000</v>
      </c>
      <c r="N278" s="126">
        <v>0</v>
      </c>
      <c r="O278" s="125">
        <v>0</v>
      </c>
      <c r="P278" s="127">
        <v>84464.28571428571</v>
      </c>
      <c r="Q278" s="128">
        <f t="shared" si="93"/>
        <v>2.4028150556113905E-4</v>
      </c>
      <c r="R278" s="129">
        <f t="shared" si="94"/>
        <v>7.0310090987500908</v>
      </c>
      <c r="S278" s="379">
        <f t="shared" si="95"/>
        <v>274.23469387755102</v>
      </c>
      <c r="T278" s="358"/>
      <c r="U278" s="104"/>
      <c r="V278" s="95"/>
      <c r="W278" s="105"/>
      <c r="X278" s="95"/>
      <c r="Y278" s="95"/>
      <c r="Z278" s="95"/>
      <c r="AA278" s="95"/>
      <c r="AB278" s="95"/>
      <c r="AC278" s="95"/>
      <c r="AD278" s="17">
        <f t="shared" si="90"/>
        <v>0</v>
      </c>
      <c r="AE278" s="17">
        <f t="shared" si="91"/>
        <v>0</v>
      </c>
      <c r="AF278" s="17">
        <f t="shared" si="91"/>
        <v>0</v>
      </c>
      <c r="AG278" s="17">
        <f t="shared" si="91"/>
        <v>0</v>
      </c>
      <c r="AH278" s="18" t="str">
        <f t="shared" si="92"/>
        <v>0,;!0,;!0,;!0</v>
      </c>
      <c r="AI278" s="18" t="e">
        <f>INDEX([1]Library!$AL:$AL,MATCH(AH278,[1]Library!$AJ:$AJ,0),1)</f>
        <v>#N/A</v>
      </c>
      <c r="AJ278" s="18" t="e">
        <f>TEXT(INDEX([1]Library!$W:$W,MATCH(AH278,[1]Library!$AJ:$AJ,0),1),"")</f>
        <v>#N/A</v>
      </c>
    </row>
    <row r="279" spans="1:36" ht="25.05" customHeight="1" outlineLevel="2">
      <c r="A279" s="378" t="s">
        <v>44</v>
      </c>
      <c r="B279" s="118" t="s">
        <v>44</v>
      </c>
      <c r="C279" s="119" t="s">
        <v>44</v>
      </c>
      <c r="D279" s="120" t="s">
        <v>44</v>
      </c>
      <c r="E279" s="290" t="s">
        <v>306</v>
      </c>
      <c r="F279" s="300"/>
      <c r="G279" s="304"/>
      <c r="H279" s="122">
        <v>0</v>
      </c>
      <c r="I279" s="123">
        <v>0</v>
      </c>
      <c r="J279" s="124">
        <v>0</v>
      </c>
      <c r="K279" s="125">
        <v>0</v>
      </c>
      <c r="L279" s="124">
        <v>0</v>
      </c>
      <c r="M279" s="125">
        <v>0</v>
      </c>
      <c r="N279" s="126">
        <v>0</v>
      </c>
      <c r="O279" s="125">
        <v>0</v>
      </c>
      <c r="P279" s="127">
        <v>0</v>
      </c>
      <c r="Q279" s="128">
        <f t="shared" si="93"/>
        <v>0</v>
      </c>
      <c r="R279" s="129">
        <f t="shared" si="94"/>
        <v>0</v>
      </c>
      <c r="S279" s="379">
        <f t="shared" si="95"/>
        <v>0</v>
      </c>
      <c r="T279" s="358"/>
      <c r="U279" s="104"/>
      <c r="V279" s="95"/>
      <c r="W279" s="105"/>
      <c r="X279" s="95"/>
      <c r="Y279" s="95"/>
      <c r="Z279" s="95"/>
      <c r="AA279" s="95"/>
      <c r="AB279" s="95"/>
      <c r="AC279" s="95"/>
      <c r="AD279" s="17">
        <f t="shared" si="90"/>
        <v>0</v>
      </c>
      <c r="AE279" s="17">
        <f t="shared" si="91"/>
        <v>0</v>
      </c>
      <c r="AF279" s="17">
        <f t="shared" si="91"/>
        <v>0</v>
      </c>
      <c r="AG279" s="17">
        <f t="shared" si="91"/>
        <v>0</v>
      </c>
      <c r="AH279" s="18" t="str">
        <f t="shared" si="92"/>
        <v>0,;!0,;!0,;!0</v>
      </c>
      <c r="AI279" s="18" t="e">
        <f>INDEX([1]Library!$AL:$AL,MATCH(AH279,[1]Library!$AJ:$AJ,0),1)</f>
        <v>#N/A</v>
      </c>
      <c r="AJ279" s="18" t="e">
        <f>TEXT(INDEX([1]Library!$W:$W,MATCH(AH279,[1]Library!$AJ:$AJ,0),1),"")</f>
        <v>#N/A</v>
      </c>
    </row>
    <row r="280" spans="1:36" ht="25.05" customHeight="1" outlineLevel="2">
      <c r="A280" s="378" t="s">
        <v>44</v>
      </c>
      <c r="B280" s="118" t="s">
        <v>44</v>
      </c>
      <c r="C280" s="119" t="s">
        <v>44</v>
      </c>
      <c r="D280" s="120" t="s">
        <v>44</v>
      </c>
      <c r="E280" s="290" t="s">
        <v>307</v>
      </c>
      <c r="F280" s="300"/>
      <c r="G280" s="304"/>
      <c r="H280" s="122">
        <v>0</v>
      </c>
      <c r="I280" s="123">
        <v>0</v>
      </c>
      <c r="J280" s="124">
        <v>0</v>
      </c>
      <c r="K280" s="125">
        <v>0</v>
      </c>
      <c r="L280" s="124">
        <v>0</v>
      </c>
      <c r="M280" s="125">
        <v>0</v>
      </c>
      <c r="N280" s="126">
        <v>0</v>
      </c>
      <c r="O280" s="125">
        <v>0</v>
      </c>
      <c r="P280" s="127">
        <v>0</v>
      </c>
      <c r="Q280" s="128">
        <f t="shared" si="93"/>
        <v>0</v>
      </c>
      <c r="R280" s="129">
        <f t="shared" si="94"/>
        <v>0</v>
      </c>
      <c r="S280" s="379">
        <f t="shared" si="95"/>
        <v>0</v>
      </c>
      <c r="T280" s="358"/>
      <c r="U280" s="104"/>
      <c r="V280" s="95"/>
      <c r="W280" s="105"/>
      <c r="X280" s="95"/>
      <c r="Y280" s="95"/>
      <c r="Z280" s="95"/>
      <c r="AA280" s="95"/>
      <c r="AB280" s="95"/>
      <c r="AC280" s="95"/>
      <c r="AD280" s="17">
        <f t="shared" si="90"/>
        <v>0</v>
      </c>
      <c r="AE280" s="17">
        <f t="shared" si="91"/>
        <v>0</v>
      </c>
      <c r="AF280" s="17">
        <f t="shared" si="91"/>
        <v>0</v>
      </c>
      <c r="AG280" s="17">
        <f t="shared" si="91"/>
        <v>0</v>
      </c>
      <c r="AH280" s="18" t="str">
        <f t="shared" si="92"/>
        <v>0,;!0,;!0,;!0</v>
      </c>
      <c r="AI280" s="18" t="e">
        <f>INDEX([1]Library!$AL:$AL,MATCH(AH280,[1]Library!$AJ:$AJ,0),1)</f>
        <v>#N/A</v>
      </c>
      <c r="AJ280" s="18" t="e">
        <f>TEXT(INDEX([1]Library!$W:$W,MATCH(AH280,[1]Library!$AJ:$AJ,0),1),"")</f>
        <v>#N/A</v>
      </c>
    </row>
    <row r="281" spans="1:36" ht="25.05" customHeight="1" outlineLevel="2">
      <c r="A281" s="378" t="s">
        <v>44</v>
      </c>
      <c r="B281" s="118" t="s">
        <v>44</v>
      </c>
      <c r="C281" s="119" t="s">
        <v>44</v>
      </c>
      <c r="D281" s="120" t="s">
        <v>44</v>
      </c>
      <c r="E281" s="290" t="s">
        <v>308</v>
      </c>
      <c r="F281" s="300"/>
      <c r="G281" s="304"/>
      <c r="H281" s="122">
        <v>0</v>
      </c>
      <c r="I281" s="123">
        <v>0</v>
      </c>
      <c r="J281" s="124">
        <v>0</v>
      </c>
      <c r="K281" s="125">
        <v>0</v>
      </c>
      <c r="L281" s="124">
        <v>0</v>
      </c>
      <c r="M281" s="125">
        <v>0</v>
      </c>
      <c r="N281" s="126">
        <v>0</v>
      </c>
      <c r="O281" s="125">
        <v>0</v>
      </c>
      <c r="P281" s="127">
        <v>0</v>
      </c>
      <c r="Q281" s="128">
        <f t="shared" si="93"/>
        <v>0</v>
      </c>
      <c r="R281" s="129">
        <f t="shared" si="94"/>
        <v>0</v>
      </c>
      <c r="S281" s="379">
        <f t="shared" si="95"/>
        <v>0</v>
      </c>
      <c r="T281" s="358"/>
      <c r="U281" s="104"/>
      <c r="V281" s="95"/>
      <c r="W281" s="105"/>
      <c r="X281" s="95"/>
      <c r="Y281" s="95"/>
      <c r="Z281" s="95"/>
      <c r="AA281" s="95"/>
      <c r="AB281" s="95"/>
      <c r="AC281" s="95"/>
      <c r="AD281" s="17">
        <f t="shared" si="90"/>
        <v>0</v>
      </c>
      <c r="AE281" s="17">
        <f t="shared" si="91"/>
        <v>0</v>
      </c>
      <c r="AF281" s="17">
        <f t="shared" si="91"/>
        <v>0</v>
      </c>
      <c r="AG281" s="17">
        <f t="shared" si="91"/>
        <v>0</v>
      </c>
      <c r="AH281" s="18" t="str">
        <f t="shared" si="92"/>
        <v>0,;!0,;!0,;!0</v>
      </c>
      <c r="AI281" s="18" t="e">
        <f>INDEX([1]Library!$AL:$AL,MATCH(AH281,[1]Library!$AJ:$AJ,0),1)</f>
        <v>#N/A</v>
      </c>
      <c r="AJ281" s="18" t="e">
        <f>TEXT(INDEX([1]Library!$W:$W,MATCH(AH281,[1]Library!$AJ:$AJ,0),1),"")</f>
        <v>#N/A</v>
      </c>
    </row>
    <row r="282" spans="1:36" ht="25.05" customHeight="1" outlineLevel="2">
      <c r="A282" s="376" t="s">
        <v>44</v>
      </c>
      <c r="B282" s="107" t="s">
        <v>44</v>
      </c>
      <c r="C282" s="108" t="s">
        <v>44</v>
      </c>
      <c r="D282" s="109" t="s">
        <v>309</v>
      </c>
      <c r="E282" s="289"/>
      <c r="F282" s="299"/>
      <c r="G282" s="62"/>
      <c r="H282" s="111">
        <v>264</v>
      </c>
      <c r="I282" s="112" t="s">
        <v>140</v>
      </c>
      <c r="J282" s="113">
        <v>1419.6428571428571</v>
      </c>
      <c r="K282" s="114">
        <v>374785.71428571426</v>
      </c>
      <c r="L282" s="113">
        <v>500</v>
      </c>
      <c r="M282" s="114">
        <v>132000</v>
      </c>
      <c r="N282" s="115">
        <v>0</v>
      </c>
      <c r="O282" s="114">
        <v>0</v>
      </c>
      <c r="P282" s="116">
        <v>506785.71428571426</v>
      </c>
      <c r="Q282" s="117">
        <f>P282/P$13</f>
        <v>1.4416890333668344E-3</v>
      </c>
      <c r="R282" s="114">
        <f>P282/I$5</f>
        <v>42.186054592500547</v>
      </c>
      <c r="S282" s="377">
        <f>P282/I$7</f>
        <v>1645.408163265306</v>
      </c>
      <c r="T282" s="357"/>
      <c r="U282" s="104"/>
      <c r="V282" s="95"/>
      <c r="W282" s="105"/>
      <c r="X282" s="95"/>
      <c r="Y282" s="95"/>
      <c r="Z282" s="95"/>
      <c r="AA282" s="95"/>
      <c r="AB282" s="95"/>
      <c r="AC282" s="95"/>
      <c r="AD282" s="17">
        <f t="shared" si="90"/>
        <v>0</v>
      </c>
      <c r="AE282" s="17">
        <f t="shared" si="91"/>
        <v>0</v>
      </c>
      <c r="AF282" s="17">
        <f t="shared" si="91"/>
        <v>0</v>
      </c>
      <c r="AG282" s="17">
        <f t="shared" si="91"/>
        <v>0</v>
      </c>
      <c r="AH282" s="18" t="str">
        <f t="shared" si="92"/>
        <v>0,;!0,;!0,;!0</v>
      </c>
      <c r="AI282" s="18" t="e">
        <f>INDEX([1]Library!$AL:$AL,MATCH(AH282,[1]Library!$AJ:$AJ,0),1)</f>
        <v>#N/A</v>
      </c>
      <c r="AJ282" s="18" t="e">
        <f>TEXT(INDEX([1]Library!$W:$W,MATCH(AH282,[1]Library!$AJ:$AJ,0),1),"")</f>
        <v>#N/A</v>
      </c>
    </row>
    <row r="283" spans="1:36" ht="25.05" customHeight="1" outlineLevel="2">
      <c r="A283" s="378" t="s">
        <v>44</v>
      </c>
      <c r="B283" s="118" t="s">
        <v>44</v>
      </c>
      <c r="C283" s="119" t="s">
        <v>44</v>
      </c>
      <c r="D283" s="120" t="s">
        <v>44</v>
      </c>
      <c r="E283" s="290" t="s">
        <v>305</v>
      </c>
      <c r="F283" s="300"/>
      <c r="G283" s="304"/>
      <c r="H283" s="122">
        <v>264</v>
      </c>
      <c r="I283" s="123" t="s">
        <v>140</v>
      </c>
      <c r="J283" s="124">
        <v>1419.6428571428571</v>
      </c>
      <c r="K283" s="125">
        <v>374785.71428571426</v>
      </c>
      <c r="L283" s="124">
        <v>500</v>
      </c>
      <c r="M283" s="125">
        <v>132000</v>
      </c>
      <c r="N283" s="126">
        <v>0</v>
      </c>
      <c r="O283" s="125">
        <v>0</v>
      </c>
      <c r="P283" s="127">
        <v>506785.71428571426</v>
      </c>
      <c r="Q283" s="128">
        <f t="shared" si="93"/>
        <v>1.4416890333668344E-3</v>
      </c>
      <c r="R283" s="129">
        <f t="shared" si="94"/>
        <v>42.186054592500547</v>
      </c>
      <c r="S283" s="379">
        <f t="shared" si="95"/>
        <v>1645.408163265306</v>
      </c>
      <c r="T283" s="358"/>
      <c r="U283" s="104"/>
      <c r="V283" s="95"/>
      <c r="W283" s="105"/>
      <c r="X283" s="95"/>
      <c r="Y283" s="95"/>
      <c r="Z283" s="95"/>
      <c r="AA283" s="95"/>
      <c r="AB283" s="95"/>
      <c r="AC283" s="95"/>
      <c r="AD283" s="17">
        <f t="shared" si="90"/>
        <v>0</v>
      </c>
      <c r="AE283" s="17">
        <f t="shared" si="91"/>
        <v>0</v>
      </c>
      <c r="AF283" s="17">
        <f t="shared" si="91"/>
        <v>0</v>
      </c>
      <c r="AG283" s="17">
        <f t="shared" si="91"/>
        <v>0</v>
      </c>
      <c r="AH283" s="18" t="str">
        <f t="shared" si="92"/>
        <v>0,;!0,;!0,;!0</v>
      </c>
      <c r="AI283" s="18" t="e">
        <f>INDEX([1]Library!$AL:$AL,MATCH(AH283,[1]Library!$AJ:$AJ,0),1)</f>
        <v>#N/A</v>
      </c>
      <c r="AJ283" s="18" t="e">
        <f>TEXT(INDEX([1]Library!$W:$W,MATCH(AH283,[1]Library!$AJ:$AJ,0),1),"")</f>
        <v>#N/A</v>
      </c>
    </row>
    <row r="284" spans="1:36" ht="25.05" customHeight="1" outlineLevel="2">
      <c r="A284" s="378" t="s">
        <v>44</v>
      </c>
      <c r="B284" s="118" t="s">
        <v>44</v>
      </c>
      <c r="C284" s="119" t="s">
        <v>44</v>
      </c>
      <c r="D284" s="120" t="s">
        <v>44</v>
      </c>
      <c r="E284" s="290" t="s">
        <v>306</v>
      </c>
      <c r="F284" s="300"/>
      <c r="G284" s="304"/>
      <c r="H284" s="122">
        <v>0</v>
      </c>
      <c r="I284" s="123">
        <v>0</v>
      </c>
      <c r="J284" s="124">
        <v>0</v>
      </c>
      <c r="K284" s="125">
        <v>0</v>
      </c>
      <c r="L284" s="124">
        <v>0</v>
      </c>
      <c r="M284" s="125">
        <v>0</v>
      </c>
      <c r="N284" s="126">
        <v>0</v>
      </c>
      <c r="O284" s="125">
        <v>0</v>
      </c>
      <c r="P284" s="127">
        <v>0</v>
      </c>
      <c r="Q284" s="128">
        <f t="shared" si="93"/>
        <v>0</v>
      </c>
      <c r="R284" s="129">
        <f t="shared" si="94"/>
        <v>0</v>
      </c>
      <c r="S284" s="379">
        <f t="shared" si="95"/>
        <v>0</v>
      </c>
      <c r="T284" s="358"/>
      <c r="U284" s="104"/>
      <c r="V284" s="95"/>
      <c r="W284" s="105"/>
      <c r="X284" s="95"/>
      <c r="Y284" s="95"/>
      <c r="Z284" s="95"/>
      <c r="AA284" s="95"/>
      <c r="AB284" s="95"/>
      <c r="AC284" s="95"/>
      <c r="AD284" s="17">
        <f t="shared" si="90"/>
        <v>0</v>
      </c>
      <c r="AE284" s="17">
        <f t="shared" si="91"/>
        <v>0</v>
      </c>
      <c r="AF284" s="17">
        <f t="shared" si="91"/>
        <v>0</v>
      </c>
      <c r="AG284" s="17">
        <f t="shared" si="91"/>
        <v>0</v>
      </c>
      <c r="AH284" s="18" t="str">
        <f t="shared" si="92"/>
        <v>0,;!0,;!0,;!0</v>
      </c>
      <c r="AI284" s="18" t="e">
        <f>INDEX([1]Library!$AL:$AL,MATCH(AH284,[1]Library!$AJ:$AJ,0),1)</f>
        <v>#N/A</v>
      </c>
      <c r="AJ284" s="18" t="e">
        <f>TEXT(INDEX([1]Library!$W:$W,MATCH(AH284,[1]Library!$AJ:$AJ,0),1),"")</f>
        <v>#N/A</v>
      </c>
    </row>
    <row r="285" spans="1:36" ht="25.05" customHeight="1" outlineLevel="2">
      <c r="A285" s="378" t="s">
        <v>44</v>
      </c>
      <c r="B285" s="118" t="s">
        <v>44</v>
      </c>
      <c r="C285" s="119" t="s">
        <v>44</v>
      </c>
      <c r="D285" s="120" t="s">
        <v>44</v>
      </c>
      <c r="E285" s="290" t="s">
        <v>307</v>
      </c>
      <c r="F285" s="300"/>
      <c r="G285" s="304"/>
      <c r="H285" s="122">
        <v>0</v>
      </c>
      <c r="I285" s="123">
        <v>0</v>
      </c>
      <c r="J285" s="124">
        <v>0</v>
      </c>
      <c r="K285" s="125">
        <v>0</v>
      </c>
      <c r="L285" s="124">
        <v>0</v>
      </c>
      <c r="M285" s="125">
        <v>0</v>
      </c>
      <c r="N285" s="126">
        <v>0</v>
      </c>
      <c r="O285" s="125">
        <v>0</v>
      </c>
      <c r="P285" s="127">
        <v>0</v>
      </c>
      <c r="Q285" s="128">
        <f t="shared" si="93"/>
        <v>0</v>
      </c>
      <c r="R285" s="129">
        <f t="shared" si="94"/>
        <v>0</v>
      </c>
      <c r="S285" s="379">
        <f t="shared" si="95"/>
        <v>0</v>
      </c>
      <c r="T285" s="358"/>
      <c r="U285" s="104"/>
      <c r="V285" s="95"/>
      <c r="W285" s="105"/>
      <c r="X285" s="95"/>
      <c r="Y285" s="95"/>
      <c r="Z285" s="95"/>
      <c r="AA285" s="95"/>
      <c r="AB285" s="95"/>
      <c r="AC285" s="95"/>
      <c r="AD285" s="17">
        <f t="shared" si="90"/>
        <v>0</v>
      </c>
      <c r="AE285" s="17">
        <f t="shared" si="91"/>
        <v>0</v>
      </c>
      <c r="AF285" s="17">
        <f t="shared" si="91"/>
        <v>0</v>
      </c>
      <c r="AG285" s="17">
        <f t="shared" si="91"/>
        <v>0</v>
      </c>
      <c r="AH285" s="18" t="str">
        <f t="shared" si="92"/>
        <v>0,;!0,;!0,;!0</v>
      </c>
      <c r="AI285" s="18" t="e">
        <f>INDEX([1]Library!$AL:$AL,MATCH(AH285,[1]Library!$AJ:$AJ,0),1)</f>
        <v>#N/A</v>
      </c>
      <c r="AJ285" s="18" t="e">
        <f>TEXT(INDEX([1]Library!$W:$W,MATCH(AH285,[1]Library!$AJ:$AJ,0),1),"")</f>
        <v>#N/A</v>
      </c>
    </row>
    <row r="286" spans="1:36" ht="25.05" customHeight="1" outlineLevel="2">
      <c r="A286" s="378" t="s">
        <v>44</v>
      </c>
      <c r="B286" s="118" t="s">
        <v>44</v>
      </c>
      <c r="C286" s="119" t="s">
        <v>44</v>
      </c>
      <c r="D286" s="120" t="s">
        <v>44</v>
      </c>
      <c r="E286" s="290" t="s">
        <v>308</v>
      </c>
      <c r="F286" s="300"/>
      <c r="G286" s="304"/>
      <c r="H286" s="122">
        <v>0</v>
      </c>
      <c r="I286" s="123">
        <v>0</v>
      </c>
      <c r="J286" s="124">
        <v>0</v>
      </c>
      <c r="K286" s="125">
        <v>0</v>
      </c>
      <c r="L286" s="124">
        <v>0</v>
      </c>
      <c r="M286" s="125">
        <v>0</v>
      </c>
      <c r="N286" s="126">
        <v>0</v>
      </c>
      <c r="O286" s="125">
        <v>0</v>
      </c>
      <c r="P286" s="127">
        <v>0</v>
      </c>
      <c r="Q286" s="128">
        <f t="shared" si="93"/>
        <v>0</v>
      </c>
      <c r="R286" s="129">
        <f t="shared" si="94"/>
        <v>0</v>
      </c>
      <c r="S286" s="379">
        <f t="shared" si="95"/>
        <v>0</v>
      </c>
      <c r="T286" s="358"/>
      <c r="U286" s="104"/>
      <c r="V286" s="95"/>
      <c r="W286" s="105"/>
      <c r="X286" s="95"/>
      <c r="Y286" s="95"/>
      <c r="Z286" s="95"/>
      <c r="AA286" s="95"/>
      <c r="AB286" s="95"/>
      <c r="AC286" s="95"/>
      <c r="AD286" s="17">
        <f t="shared" si="90"/>
        <v>0</v>
      </c>
      <c r="AE286" s="17">
        <f t="shared" ref="AE286:AG301" si="96">IF(AA286=" ",IF($X286&gt;=AE$12,AE285,""),AA286)</f>
        <v>0</v>
      </c>
      <c r="AF286" s="17">
        <f t="shared" si="96"/>
        <v>0</v>
      </c>
      <c r="AG286" s="17">
        <f t="shared" si="96"/>
        <v>0</v>
      </c>
      <c r="AH286" s="18" t="str">
        <f t="shared" si="92"/>
        <v>0,;!0,;!0,;!0</v>
      </c>
      <c r="AI286" s="18" t="e">
        <f>INDEX([1]Library!$AL:$AL,MATCH(AH286,[1]Library!$AJ:$AJ,0),1)</f>
        <v>#N/A</v>
      </c>
      <c r="AJ286" s="18" t="e">
        <f>TEXT(INDEX([1]Library!$W:$W,MATCH(AH286,[1]Library!$AJ:$AJ,0),1),"")</f>
        <v>#N/A</v>
      </c>
    </row>
    <row r="287" spans="1:36" ht="25.05" customHeight="1" outlineLevel="1">
      <c r="A287" s="374" t="s">
        <v>44</v>
      </c>
      <c r="B287" s="96" t="s">
        <v>44</v>
      </c>
      <c r="C287" s="97" t="s">
        <v>310</v>
      </c>
      <c r="D287" s="97"/>
      <c r="E287" s="98"/>
      <c r="F287" s="298"/>
      <c r="G287" s="62"/>
      <c r="H287" s="99">
        <v>1</v>
      </c>
      <c r="I287" s="100" t="s">
        <v>35</v>
      </c>
      <c r="J287" s="99">
        <v>299668.36820000003</v>
      </c>
      <c r="K287" s="99">
        <v>299668.36820000003</v>
      </c>
      <c r="L287" s="99">
        <v>59933.673640000008</v>
      </c>
      <c r="M287" s="99">
        <v>59933.673640000008</v>
      </c>
      <c r="N287" s="99">
        <v>0</v>
      </c>
      <c r="O287" s="99">
        <v>0</v>
      </c>
      <c r="P287" s="101">
        <v>359602.04184000002</v>
      </c>
      <c r="Q287" s="102">
        <f>P287/P$13</f>
        <v>1.0229852686904431E-3</v>
      </c>
      <c r="R287" s="103">
        <f>P287/I$5</f>
        <v>29.934133778846611</v>
      </c>
      <c r="S287" s="375">
        <f>P287/I$7</f>
        <v>1167.5390968831171</v>
      </c>
      <c r="T287" s="356"/>
      <c r="U287" s="104"/>
      <c r="V287" s="95"/>
      <c r="W287" s="105"/>
      <c r="X287" s="95"/>
      <c r="Y287" s="95"/>
      <c r="Z287" s="95"/>
      <c r="AA287" s="95"/>
      <c r="AB287" s="95"/>
      <c r="AC287" s="95"/>
      <c r="AD287" s="17">
        <f t="shared" si="90"/>
        <v>0</v>
      </c>
      <c r="AE287" s="17">
        <f t="shared" si="96"/>
        <v>0</v>
      </c>
      <c r="AF287" s="17">
        <f t="shared" si="96"/>
        <v>0</v>
      </c>
      <c r="AG287" s="17">
        <f t="shared" si="96"/>
        <v>0</v>
      </c>
      <c r="AH287" s="18" t="str">
        <f t="shared" si="92"/>
        <v>0,;!0,;!0,;!0</v>
      </c>
      <c r="AI287" s="18" t="e">
        <f>INDEX([1]Library!$AL:$AL,MATCH(AH287,[1]Library!$AJ:$AJ,0),1)</f>
        <v>#N/A</v>
      </c>
      <c r="AJ287" s="18" t="e">
        <f>TEXT(INDEX([1]Library!$W:$W,MATCH(AH287,[1]Library!$AJ:$AJ,0),1),"")</f>
        <v>#N/A</v>
      </c>
    </row>
    <row r="288" spans="1:36" ht="25.05" customHeight="1" outlineLevel="2">
      <c r="A288" s="376" t="s">
        <v>44</v>
      </c>
      <c r="B288" s="107" t="s">
        <v>44</v>
      </c>
      <c r="C288" s="108" t="s">
        <v>44</v>
      </c>
      <c r="D288" s="109" t="s">
        <v>311</v>
      </c>
      <c r="E288" s="289"/>
      <c r="F288" s="299"/>
      <c r="G288" s="62"/>
      <c r="H288" s="111">
        <v>1</v>
      </c>
      <c r="I288" s="112" t="s">
        <v>242</v>
      </c>
      <c r="J288" s="113">
        <v>78908.210000000006</v>
      </c>
      <c r="K288" s="114">
        <v>78908.210000000006</v>
      </c>
      <c r="L288" s="113">
        <v>15781.642000000002</v>
      </c>
      <c r="M288" s="114">
        <v>15781.642000000002</v>
      </c>
      <c r="N288" s="115">
        <v>0</v>
      </c>
      <c r="O288" s="114">
        <v>0</v>
      </c>
      <c r="P288" s="116">
        <v>94689.852000000014</v>
      </c>
      <c r="Q288" s="117">
        <f>P288/P$13</f>
        <v>2.6937089454452445E-4</v>
      </c>
      <c r="R288" s="114">
        <f>P288/I$5</f>
        <v>7.8822096859181352</v>
      </c>
      <c r="S288" s="377">
        <f>P288/I$7</f>
        <v>307.43458441558448</v>
      </c>
      <c r="T288" s="357"/>
      <c r="U288" s="104"/>
      <c r="V288" s="95"/>
      <c r="W288" s="105"/>
      <c r="X288" s="95"/>
      <c r="Y288" s="95"/>
      <c r="Z288" s="95"/>
      <c r="AA288" s="95"/>
      <c r="AB288" s="95"/>
      <c r="AC288" s="95"/>
      <c r="AD288" s="17">
        <f t="shared" si="90"/>
        <v>0</v>
      </c>
      <c r="AE288" s="17">
        <f t="shared" si="96"/>
        <v>0</v>
      </c>
      <c r="AF288" s="17">
        <f t="shared" si="96"/>
        <v>0</v>
      </c>
      <c r="AG288" s="17">
        <f t="shared" si="96"/>
        <v>0</v>
      </c>
      <c r="AH288" s="18" t="str">
        <f t="shared" si="92"/>
        <v>0,;!0,;!0,;!0</v>
      </c>
      <c r="AI288" s="18" t="e">
        <f>INDEX([1]Library!$AL:$AL,MATCH(AH288,[1]Library!$AJ:$AJ,0),1)</f>
        <v>#N/A</v>
      </c>
      <c r="AJ288" s="18" t="e">
        <f>TEXT(INDEX([1]Library!$W:$W,MATCH(AH288,[1]Library!$AJ:$AJ,0),1),"")</f>
        <v>#N/A</v>
      </c>
    </row>
    <row r="289" spans="1:36" ht="25.05" customHeight="1" outlineLevel="2">
      <c r="A289" s="378" t="s">
        <v>44</v>
      </c>
      <c r="B289" s="118" t="s">
        <v>44</v>
      </c>
      <c r="C289" s="119" t="s">
        <v>44</v>
      </c>
      <c r="D289" s="120" t="s">
        <v>44</v>
      </c>
      <c r="E289" s="290" t="s">
        <v>312</v>
      </c>
      <c r="F289" s="300"/>
      <c r="G289" s="304"/>
      <c r="H289" s="122">
        <v>1</v>
      </c>
      <c r="I289" s="123" t="s">
        <v>242</v>
      </c>
      <c r="J289" s="124">
        <v>78908.210000000006</v>
      </c>
      <c r="K289" s="125">
        <v>78908.210000000006</v>
      </c>
      <c r="L289" s="124">
        <v>15781.642000000002</v>
      </c>
      <c r="M289" s="125">
        <v>15781.642000000002</v>
      </c>
      <c r="N289" s="126">
        <v>0</v>
      </c>
      <c r="O289" s="125">
        <v>0</v>
      </c>
      <c r="P289" s="127">
        <v>94689.852000000014</v>
      </c>
      <c r="Q289" s="128">
        <f t="shared" si="93"/>
        <v>2.6937089454452445E-4</v>
      </c>
      <c r="R289" s="129">
        <f t="shared" si="94"/>
        <v>7.8822096859181352</v>
      </c>
      <c r="S289" s="379">
        <f t="shared" si="95"/>
        <v>307.43458441558448</v>
      </c>
      <c r="T289" s="358"/>
      <c r="U289" s="104"/>
      <c r="V289" s="95"/>
      <c r="W289" s="105"/>
      <c r="X289" s="95"/>
      <c r="Y289" s="95"/>
      <c r="Z289" s="95"/>
      <c r="AA289" s="95"/>
      <c r="AB289" s="95"/>
      <c r="AC289" s="95"/>
      <c r="AD289" s="17">
        <f t="shared" si="90"/>
        <v>0</v>
      </c>
      <c r="AE289" s="17">
        <f t="shared" si="96"/>
        <v>0</v>
      </c>
      <c r="AF289" s="17">
        <f t="shared" si="96"/>
        <v>0</v>
      </c>
      <c r="AG289" s="17">
        <f t="shared" si="96"/>
        <v>0</v>
      </c>
      <c r="AH289" s="18" t="str">
        <f t="shared" si="92"/>
        <v>0,;!0,;!0,;!0</v>
      </c>
      <c r="AI289" s="18" t="e">
        <f>INDEX([1]Library!$AL:$AL,MATCH(AH289,[1]Library!$AJ:$AJ,0),1)</f>
        <v>#N/A</v>
      </c>
      <c r="AJ289" s="18" t="e">
        <f>TEXT(INDEX([1]Library!$W:$W,MATCH(AH289,[1]Library!$AJ:$AJ,0),1),"")</f>
        <v>#N/A</v>
      </c>
    </row>
    <row r="290" spans="1:36" ht="25.05" customHeight="1" outlineLevel="2">
      <c r="A290" s="378" t="s">
        <v>44</v>
      </c>
      <c r="B290" s="118" t="s">
        <v>44</v>
      </c>
      <c r="C290" s="119" t="s">
        <v>44</v>
      </c>
      <c r="D290" s="120" t="s">
        <v>44</v>
      </c>
      <c r="E290" s="290" t="s">
        <v>313</v>
      </c>
      <c r="F290" s="300"/>
      <c r="G290" s="304"/>
      <c r="H290" s="122">
        <v>0</v>
      </c>
      <c r="I290" s="123">
        <v>0</v>
      </c>
      <c r="J290" s="124">
        <v>0</v>
      </c>
      <c r="K290" s="125">
        <v>0</v>
      </c>
      <c r="L290" s="124">
        <v>0</v>
      </c>
      <c r="M290" s="125">
        <v>0</v>
      </c>
      <c r="N290" s="126">
        <v>0</v>
      </c>
      <c r="O290" s="125">
        <v>0</v>
      </c>
      <c r="P290" s="127">
        <v>0</v>
      </c>
      <c r="Q290" s="128">
        <f t="shared" si="93"/>
        <v>0</v>
      </c>
      <c r="R290" s="129">
        <f t="shared" si="94"/>
        <v>0</v>
      </c>
      <c r="S290" s="379">
        <f t="shared" si="95"/>
        <v>0</v>
      </c>
      <c r="T290" s="358"/>
      <c r="U290" s="104"/>
      <c r="V290" s="95"/>
      <c r="W290" s="105"/>
      <c r="X290" s="95"/>
      <c r="Y290" s="95"/>
      <c r="Z290" s="95"/>
      <c r="AA290" s="95"/>
      <c r="AB290" s="95"/>
      <c r="AC290" s="95"/>
      <c r="AD290" s="17">
        <f t="shared" si="90"/>
        <v>0</v>
      </c>
      <c r="AE290" s="17">
        <f t="shared" si="96"/>
        <v>0</v>
      </c>
      <c r="AF290" s="17">
        <f t="shared" si="96"/>
        <v>0</v>
      </c>
      <c r="AG290" s="17">
        <f t="shared" si="96"/>
        <v>0</v>
      </c>
      <c r="AH290" s="18" t="str">
        <f t="shared" si="92"/>
        <v>0,;!0,;!0,;!0</v>
      </c>
      <c r="AI290" s="18" t="e">
        <f>INDEX([1]Library!$AL:$AL,MATCH(AH290,[1]Library!$AJ:$AJ,0),1)</f>
        <v>#N/A</v>
      </c>
      <c r="AJ290" s="18" t="e">
        <f>TEXT(INDEX([1]Library!$W:$W,MATCH(AH290,[1]Library!$AJ:$AJ,0),1),"")</f>
        <v>#N/A</v>
      </c>
    </row>
    <row r="291" spans="1:36" ht="25.05" customHeight="1" outlineLevel="2">
      <c r="A291" s="376" t="s">
        <v>44</v>
      </c>
      <c r="B291" s="107" t="s">
        <v>44</v>
      </c>
      <c r="C291" s="108" t="s">
        <v>44</v>
      </c>
      <c r="D291" s="109" t="s">
        <v>314</v>
      </c>
      <c r="E291" s="289"/>
      <c r="F291" s="299"/>
      <c r="G291" s="62"/>
      <c r="H291" s="111">
        <v>1</v>
      </c>
      <c r="I291" s="112" t="s">
        <v>242</v>
      </c>
      <c r="J291" s="113">
        <v>55235.747000000003</v>
      </c>
      <c r="K291" s="114">
        <v>55235.747000000003</v>
      </c>
      <c r="L291" s="113">
        <v>11047.149400000002</v>
      </c>
      <c r="M291" s="114">
        <v>11047.149400000002</v>
      </c>
      <c r="N291" s="115">
        <v>0</v>
      </c>
      <c r="O291" s="114">
        <v>0</v>
      </c>
      <c r="P291" s="116">
        <v>66282.896399999998</v>
      </c>
      <c r="Q291" s="117">
        <f>P291/P$13</f>
        <v>1.8855962618116707E-4</v>
      </c>
      <c r="R291" s="114">
        <f>P291/I$5</f>
        <v>5.5175467801426938</v>
      </c>
      <c r="S291" s="377">
        <f>P291/I$7</f>
        <v>215.20420909090907</v>
      </c>
      <c r="T291" s="357"/>
      <c r="U291" s="104"/>
      <c r="V291" s="95"/>
      <c r="W291" s="105"/>
      <c r="X291" s="95"/>
      <c r="Y291" s="95"/>
      <c r="Z291" s="95"/>
      <c r="AA291" s="95"/>
      <c r="AB291" s="95"/>
      <c r="AC291" s="95"/>
      <c r="AD291" s="17">
        <f t="shared" si="90"/>
        <v>0</v>
      </c>
      <c r="AE291" s="17">
        <f t="shared" si="96"/>
        <v>0</v>
      </c>
      <c r="AF291" s="17">
        <f t="shared" si="96"/>
        <v>0</v>
      </c>
      <c r="AG291" s="17">
        <f t="shared" si="96"/>
        <v>0</v>
      </c>
      <c r="AH291" s="18" t="str">
        <f t="shared" si="92"/>
        <v>0,;!0,;!0,;!0</v>
      </c>
      <c r="AI291" s="18" t="e">
        <f>INDEX([1]Library!$AL:$AL,MATCH(AH291,[1]Library!$AJ:$AJ,0),1)</f>
        <v>#N/A</v>
      </c>
      <c r="AJ291" s="18" t="e">
        <f>TEXT(INDEX([1]Library!$W:$W,MATCH(AH291,[1]Library!$AJ:$AJ,0),1),"")</f>
        <v>#N/A</v>
      </c>
    </row>
    <row r="292" spans="1:36" ht="25.05" customHeight="1" outlineLevel="2">
      <c r="A292" s="378" t="s">
        <v>44</v>
      </c>
      <c r="B292" s="118" t="s">
        <v>44</v>
      </c>
      <c r="C292" s="119" t="s">
        <v>44</v>
      </c>
      <c r="D292" s="120" t="s">
        <v>44</v>
      </c>
      <c r="E292" s="290" t="s">
        <v>315</v>
      </c>
      <c r="F292" s="300"/>
      <c r="G292" s="304"/>
      <c r="H292" s="122">
        <v>1</v>
      </c>
      <c r="I292" s="123" t="s">
        <v>242</v>
      </c>
      <c r="J292" s="124">
        <v>55235.747000000003</v>
      </c>
      <c r="K292" s="125">
        <v>55235.747000000003</v>
      </c>
      <c r="L292" s="124">
        <v>11047.149400000002</v>
      </c>
      <c r="M292" s="125">
        <v>11047.149400000002</v>
      </c>
      <c r="N292" s="126">
        <v>0</v>
      </c>
      <c r="O292" s="125">
        <v>0</v>
      </c>
      <c r="P292" s="127">
        <v>66282.896399999998</v>
      </c>
      <c r="Q292" s="128">
        <f t="shared" si="93"/>
        <v>1.8855962618116707E-4</v>
      </c>
      <c r="R292" s="129">
        <f t="shared" si="94"/>
        <v>5.5175467801426938</v>
      </c>
      <c r="S292" s="379">
        <f t="shared" si="95"/>
        <v>215.20420909090907</v>
      </c>
      <c r="T292" s="358"/>
      <c r="U292" s="104"/>
      <c r="V292" s="95"/>
      <c r="W292" s="105"/>
      <c r="X292" s="95"/>
      <c r="Y292" s="95"/>
      <c r="Z292" s="95"/>
      <c r="AA292" s="95"/>
      <c r="AB292" s="95"/>
      <c r="AC292" s="95"/>
      <c r="AD292" s="17">
        <f t="shared" si="90"/>
        <v>0</v>
      </c>
      <c r="AE292" s="17">
        <f t="shared" si="96"/>
        <v>0</v>
      </c>
      <c r="AF292" s="17">
        <f t="shared" si="96"/>
        <v>0</v>
      </c>
      <c r="AG292" s="17">
        <f t="shared" si="96"/>
        <v>0</v>
      </c>
      <c r="AH292" s="18" t="str">
        <f t="shared" si="92"/>
        <v>0,;!0,;!0,;!0</v>
      </c>
      <c r="AI292" s="18" t="e">
        <f>INDEX([1]Library!$AL:$AL,MATCH(AH292,[1]Library!$AJ:$AJ,0),1)</f>
        <v>#N/A</v>
      </c>
      <c r="AJ292" s="18" t="e">
        <f>TEXT(INDEX([1]Library!$W:$W,MATCH(AH292,[1]Library!$AJ:$AJ,0),1),"")</f>
        <v>#N/A</v>
      </c>
    </row>
    <row r="293" spans="1:36" ht="25.05" customHeight="1" outlineLevel="2">
      <c r="A293" s="378" t="s">
        <v>44</v>
      </c>
      <c r="B293" s="118" t="s">
        <v>44</v>
      </c>
      <c r="C293" s="119" t="s">
        <v>44</v>
      </c>
      <c r="D293" s="120" t="s">
        <v>44</v>
      </c>
      <c r="E293" s="290" t="s">
        <v>316</v>
      </c>
      <c r="F293" s="300"/>
      <c r="G293" s="304"/>
      <c r="H293" s="122">
        <v>0</v>
      </c>
      <c r="I293" s="123">
        <v>0</v>
      </c>
      <c r="J293" s="124">
        <v>0</v>
      </c>
      <c r="K293" s="125">
        <v>0</v>
      </c>
      <c r="L293" s="124">
        <v>0</v>
      </c>
      <c r="M293" s="125">
        <v>0</v>
      </c>
      <c r="N293" s="126">
        <v>0</v>
      </c>
      <c r="O293" s="125">
        <v>0</v>
      </c>
      <c r="P293" s="127">
        <v>0</v>
      </c>
      <c r="Q293" s="128">
        <f t="shared" si="93"/>
        <v>0</v>
      </c>
      <c r="R293" s="129">
        <f t="shared" si="94"/>
        <v>0</v>
      </c>
      <c r="S293" s="379">
        <f t="shared" si="95"/>
        <v>0</v>
      </c>
      <c r="T293" s="358"/>
      <c r="U293" s="104"/>
      <c r="V293" s="95"/>
      <c r="W293" s="105"/>
      <c r="X293" s="95"/>
      <c r="Y293" s="95"/>
      <c r="Z293" s="95"/>
      <c r="AA293" s="95"/>
      <c r="AB293" s="95"/>
      <c r="AC293" s="95"/>
      <c r="AD293" s="17">
        <f t="shared" si="90"/>
        <v>0</v>
      </c>
      <c r="AE293" s="17">
        <f t="shared" si="96"/>
        <v>0</v>
      </c>
      <c r="AF293" s="17">
        <f t="shared" si="96"/>
        <v>0</v>
      </c>
      <c r="AG293" s="17">
        <f t="shared" si="96"/>
        <v>0</v>
      </c>
      <c r="AH293" s="18" t="str">
        <f t="shared" si="92"/>
        <v>0,;!0,;!0,;!0</v>
      </c>
      <c r="AI293" s="18" t="e">
        <f>INDEX([1]Library!$AL:$AL,MATCH(AH293,[1]Library!$AJ:$AJ,0),1)</f>
        <v>#N/A</v>
      </c>
      <c r="AJ293" s="18" t="e">
        <f>TEXT(INDEX([1]Library!$W:$W,MATCH(AH293,[1]Library!$AJ:$AJ,0),1),"")</f>
        <v>#N/A</v>
      </c>
    </row>
    <row r="294" spans="1:36" ht="25.05" customHeight="1" outlineLevel="2">
      <c r="A294" s="378" t="s">
        <v>44</v>
      </c>
      <c r="B294" s="118" t="s">
        <v>44</v>
      </c>
      <c r="C294" s="119" t="s">
        <v>44</v>
      </c>
      <c r="D294" s="120" t="s">
        <v>44</v>
      </c>
      <c r="E294" s="290" t="s">
        <v>317</v>
      </c>
      <c r="F294" s="300"/>
      <c r="G294" s="304"/>
      <c r="H294" s="122">
        <v>0</v>
      </c>
      <c r="I294" s="123">
        <v>0</v>
      </c>
      <c r="J294" s="124">
        <v>0</v>
      </c>
      <c r="K294" s="125">
        <v>0</v>
      </c>
      <c r="L294" s="124">
        <v>0</v>
      </c>
      <c r="M294" s="125">
        <v>0</v>
      </c>
      <c r="N294" s="126">
        <v>0</v>
      </c>
      <c r="O294" s="125">
        <v>0</v>
      </c>
      <c r="P294" s="127">
        <v>0</v>
      </c>
      <c r="Q294" s="128">
        <f t="shared" si="93"/>
        <v>0</v>
      </c>
      <c r="R294" s="129">
        <f t="shared" si="94"/>
        <v>0</v>
      </c>
      <c r="S294" s="379">
        <f t="shared" si="95"/>
        <v>0</v>
      </c>
      <c r="T294" s="358"/>
      <c r="U294" s="104"/>
      <c r="V294" s="95"/>
      <c r="W294" s="105"/>
      <c r="X294" s="95"/>
      <c r="Y294" s="95"/>
      <c r="Z294" s="95"/>
      <c r="AA294" s="95"/>
      <c r="AB294" s="95"/>
      <c r="AC294" s="95"/>
      <c r="AD294" s="17">
        <f t="shared" si="90"/>
        <v>0</v>
      </c>
      <c r="AE294" s="17">
        <f t="shared" si="96"/>
        <v>0</v>
      </c>
      <c r="AF294" s="17">
        <f t="shared" si="96"/>
        <v>0</v>
      </c>
      <c r="AG294" s="17">
        <f t="shared" si="96"/>
        <v>0</v>
      </c>
      <c r="AH294" s="18" t="str">
        <f t="shared" si="92"/>
        <v>0,;!0,;!0,;!0</v>
      </c>
      <c r="AI294" s="18" t="e">
        <f>INDEX([1]Library!$AL:$AL,MATCH(AH294,[1]Library!$AJ:$AJ,0),1)</f>
        <v>#N/A</v>
      </c>
      <c r="AJ294" s="18" t="e">
        <f>TEXT(INDEX([1]Library!$W:$W,MATCH(AH294,[1]Library!$AJ:$AJ,0),1),"")</f>
        <v>#N/A</v>
      </c>
    </row>
    <row r="295" spans="1:36" ht="25.05" customHeight="1" outlineLevel="2">
      <c r="A295" s="378" t="s">
        <v>44</v>
      </c>
      <c r="B295" s="118" t="s">
        <v>44</v>
      </c>
      <c r="C295" s="119" t="s">
        <v>44</v>
      </c>
      <c r="D295" s="120" t="s">
        <v>44</v>
      </c>
      <c r="E295" s="290" t="s">
        <v>318</v>
      </c>
      <c r="F295" s="300"/>
      <c r="G295" s="304"/>
      <c r="H295" s="122">
        <v>0</v>
      </c>
      <c r="I295" s="123">
        <v>0</v>
      </c>
      <c r="J295" s="124">
        <v>0</v>
      </c>
      <c r="K295" s="125">
        <v>0</v>
      </c>
      <c r="L295" s="124">
        <v>0</v>
      </c>
      <c r="M295" s="125">
        <v>0</v>
      </c>
      <c r="N295" s="126">
        <v>0</v>
      </c>
      <c r="O295" s="125">
        <v>0</v>
      </c>
      <c r="P295" s="127">
        <v>0</v>
      </c>
      <c r="Q295" s="128">
        <f t="shared" si="93"/>
        <v>0</v>
      </c>
      <c r="R295" s="129">
        <f t="shared" si="94"/>
        <v>0</v>
      </c>
      <c r="S295" s="379">
        <f t="shared" si="95"/>
        <v>0</v>
      </c>
      <c r="T295" s="358"/>
      <c r="U295" s="104"/>
      <c r="V295" s="95"/>
      <c r="W295" s="105"/>
      <c r="X295" s="95"/>
      <c r="Y295" s="95"/>
      <c r="Z295" s="95"/>
      <c r="AA295" s="95"/>
      <c r="AB295" s="95"/>
      <c r="AC295" s="95"/>
      <c r="AD295" s="17">
        <f t="shared" si="90"/>
        <v>0</v>
      </c>
      <c r="AE295" s="17">
        <f t="shared" si="96"/>
        <v>0</v>
      </c>
      <c r="AF295" s="17">
        <f t="shared" si="96"/>
        <v>0</v>
      </c>
      <c r="AG295" s="17">
        <f t="shared" si="96"/>
        <v>0</v>
      </c>
      <c r="AH295" s="18" t="str">
        <f t="shared" si="92"/>
        <v>0,;!0,;!0,;!0</v>
      </c>
      <c r="AI295" s="18" t="e">
        <f>INDEX([1]Library!$AL:$AL,MATCH(AH295,[1]Library!$AJ:$AJ,0),1)</f>
        <v>#N/A</v>
      </c>
      <c r="AJ295" s="18" t="e">
        <f>TEXT(INDEX([1]Library!$W:$W,MATCH(AH295,[1]Library!$AJ:$AJ,0),1),"")</f>
        <v>#N/A</v>
      </c>
    </row>
    <row r="296" spans="1:36" ht="25.05" customHeight="1" outlineLevel="2">
      <c r="A296" s="376" t="s">
        <v>44</v>
      </c>
      <c r="B296" s="107" t="s">
        <v>44</v>
      </c>
      <c r="C296" s="108" t="s">
        <v>44</v>
      </c>
      <c r="D296" s="109" t="s">
        <v>319</v>
      </c>
      <c r="E296" s="289"/>
      <c r="F296" s="299"/>
      <c r="G296" s="62"/>
      <c r="H296" s="111">
        <v>1</v>
      </c>
      <c r="I296" s="112" t="s">
        <v>242</v>
      </c>
      <c r="J296" s="113">
        <v>131280.6612</v>
      </c>
      <c r="K296" s="114">
        <v>131280.6612</v>
      </c>
      <c r="L296" s="113">
        <v>26256.132240000003</v>
      </c>
      <c r="M296" s="114">
        <v>26256.132240000003</v>
      </c>
      <c r="N296" s="115">
        <v>0</v>
      </c>
      <c r="O296" s="114">
        <v>0</v>
      </c>
      <c r="P296" s="116">
        <v>157536.79344000001</v>
      </c>
      <c r="Q296" s="117">
        <f>P296/P$13</f>
        <v>4.4815601752771529E-4</v>
      </c>
      <c r="R296" s="114">
        <f>P296/I$5</f>
        <v>13.113739359749474</v>
      </c>
      <c r="S296" s="377">
        <f>P296/I$7</f>
        <v>511.48309558441559</v>
      </c>
      <c r="T296" s="357"/>
      <c r="U296" s="104"/>
      <c r="V296" s="95"/>
      <c r="W296" s="105"/>
      <c r="X296" s="95"/>
      <c r="Y296" s="95"/>
      <c r="Z296" s="95"/>
      <c r="AA296" s="95"/>
      <c r="AB296" s="95"/>
      <c r="AC296" s="95"/>
      <c r="AD296" s="17">
        <f t="shared" si="90"/>
        <v>0</v>
      </c>
      <c r="AE296" s="17">
        <f t="shared" si="96"/>
        <v>0</v>
      </c>
      <c r="AF296" s="17">
        <f t="shared" si="96"/>
        <v>0</v>
      </c>
      <c r="AG296" s="17">
        <f t="shared" si="96"/>
        <v>0</v>
      </c>
      <c r="AH296" s="18" t="str">
        <f t="shared" si="92"/>
        <v>0,;!0,;!0,;!0</v>
      </c>
      <c r="AI296" s="18" t="e">
        <f>INDEX([1]Library!$AL:$AL,MATCH(AH296,[1]Library!$AJ:$AJ,0),1)</f>
        <v>#N/A</v>
      </c>
      <c r="AJ296" s="18" t="e">
        <f>TEXT(INDEX([1]Library!$W:$W,MATCH(AH296,[1]Library!$AJ:$AJ,0),1),"")</f>
        <v>#N/A</v>
      </c>
    </row>
    <row r="297" spans="1:36" ht="25.05" customHeight="1" outlineLevel="2">
      <c r="A297" s="378" t="s">
        <v>44</v>
      </c>
      <c r="B297" s="118" t="s">
        <v>44</v>
      </c>
      <c r="C297" s="119" t="s">
        <v>44</v>
      </c>
      <c r="D297" s="120" t="s">
        <v>44</v>
      </c>
      <c r="E297" s="290" t="s">
        <v>320</v>
      </c>
      <c r="F297" s="300"/>
      <c r="G297" s="304"/>
      <c r="H297" s="122">
        <v>1</v>
      </c>
      <c r="I297" s="123" t="s">
        <v>242</v>
      </c>
      <c r="J297" s="124">
        <v>131280.6612</v>
      </c>
      <c r="K297" s="125">
        <v>131280.6612</v>
      </c>
      <c r="L297" s="124">
        <v>26256.132240000003</v>
      </c>
      <c r="M297" s="125">
        <v>26256.132240000003</v>
      </c>
      <c r="N297" s="126">
        <v>0</v>
      </c>
      <c r="O297" s="125">
        <v>0</v>
      </c>
      <c r="P297" s="127">
        <v>157536.79344000001</v>
      </c>
      <c r="Q297" s="128">
        <f t="shared" si="93"/>
        <v>4.4815601752771529E-4</v>
      </c>
      <c r="R297" s="129">
        <f t="shared" si="94"/>
        <v>13.113739359749474</v>
      </c>
      <c r="S297" s="379">
        <f t="shared" si="95"/>
        <v>511.48309558441559</v>
      </c>
      <c r="T297" s="358"/>
      <c r="U297" s="104"/>
      <c r="V297" s="95"/>
      <c r="W297" s="105"/>
      <c r="X297" s="95"/>
      <c r="Y297" s="95"/>
      <c r="Z297" s="95"/>
      <c r="AA297" s="95"/>
      <c r="AB297" s="95"/>
      <c r="AC297" s="95"/>
      <c r="AD297" s="17">
        <f t="shared" si="90"/>
        <v>0</v>
      </c>
      <c r="AE297" s="17">
        <f t="shared" si="96"/>
        <v>0</v>
      </c>
      <c r="AF297" s="17">
        <f t="shared" si="96"/>
        <v>0</v>
      </c>
      <c r="AG297" s="17">
        <f t="shared" si="96"/>
        <v>0</v>
      </c>
      <c r="AH297" s="18" t="str">
        <f t="shared" si="92"/>
        <v>0,;!0,;!0,;!0</v>
      </c>
      <c r="AI297" s="18" t="e">
        <f>INDEX([1]Library!$AL:$AL,MATCH(AH297,[1]Library!$AJ:$AJ,0),1)</f>
        <v>#N/A</v>
      </c>
      <c r="AJ297" s="18" t="e">
        <f>TEXT(INDEX([1]Library!$W:$W,MATCH(AH297,[1]Library!$AJ:$AJ,0),1),"")</f>
        <v>#N/A</v>
      </c>
    </row>
    <row r="298" spans="1:36" ht="25.05" customHeight="1" outlineLevel="2">
      <c r="A298" s="378" t="s">
        <v>44</v>
      </c>
      <c r="B298" s="118" t="s">
        <v>44</v>
      </c>
      <c r="C298" s="119" t="s">
        <v>44</v>
      </c>
      <c r="D298" s="120" t="s">
        <v>44</v>
      </c>
      <c r="E298" s="290" t="s">
        <v>321</v>
      </c>
      <c r="F298" s="300"/>
      <c r="G298" s="304"/>
      <c r="H298" s="122">
        <v>0</v>
      </c>
      <c r="I298" s="123">
        <v>0</v>
      </c>
      <c r="J298" s="124">
        <v>0</v>
      </c>
      <c r="K298" s="125">
        <v>0</v>
      </c>
      <c r="L298" s="124">
        <v>0</v>
      </c>
      <c r="M298" s="125">
        <v>0</v>
      </c>
      <c r="N298" s="126">
        <v>0</v>
      </c>
      <c r="O298" s="125">
        <v>0</v>
      </c>
      <c r="P298" s="127">
        <v>0</v>
      </c>
      <c r="Q298" s="128">
        <f t="shared" si="93"/>
        <v>0</v>
      </c>
      <c r="R298" s="129">
        <f t="shared" si="94"/>
        <v>0</v>
      </c>
      <c r="S298" s="379">
        <f t="shared" si="95"/>
        <v>0</v>
      </c>
      <c r="T298" s="358"/>
      <c r="U298" s="104"/>
      <c r="V298" s="95"/>
      <c r="W298" s="105"/>
      <c r="X298" s="95"/>
      <c r="Y298" s="95"/>
      <c r="Z298" s="95"/>
      <c r="AA298" s="95"/>
      <c r="AB298" s="95"/>
      <c r="AC298" s="95"/>
      <c r="AD298" s="17">
        <f t="shared" si="90"/>
        <v>0</v>
      </c>
      <c r="AE298" s="17">
        <f t="shared" si="96"/>
        <v>0</v>
      </c>
      <c r="AF298" s="17">
        <f t="shared" si="96"/>
        <v>0</v>
      </c>
      <c r="AG298" s="17">
        <f t="shared" si="96"/>
        <v>0</v>
      </c>
      <c r="AH298" s="18" t="str">
        <f t="shared" si="92"/>
        <v>0,;!0,;!0,;!0</v>
      </c>
      <c r="AI298" s="18" t="e">
        <f>INDEX([1]Library!$AL:$AL,MATCH(AH298,[1]Library!$AJ:$AJ,0),1)</f>
        <v>#N/A</v>
      </c>
      <c r="AJ298" s="18" t="e">
        <f>TEXT(INDEX([1]Library!$W:$W,MATCH(AH298,[1]Library!$AJ:$AJ,0),1),"")</f>
        <v>#N/A</v>
      </c>
    </row>
    <row r="299" spans="1:36" ht="25.05" customHeight="1" outlineLevel="2">
      <c r="A299" s="378" t="s">
        <v>44</v>
      </c>
      <c r="B299" s="118" t="s">
        <v>44</v>
      </c>
      <c r="C299" s="119" t="s">
        <v>44</v>
      </c>
      <c r="D299" s="120" t="s">
        <v>44</v>
      </c>
      <c r="E299" s="290" t="s">
        <v>322</v>
      </c>
      <c r="F299" s="300"/>
      <c r="G299" s="304"/>
      <c r="H299" s="122">
        <v>0</v>
      </c>
      <c r="I299" s="123">
        <v>0</v>
      </c>
      <c r="J299" s="124">
        <v>0</v>
      </c>
      <c r="K299" s="125">
        <v>0</v>
      </c>
      <c r="L299" s="124">
        <v>0</v>
      </c>
      <c r="M299" s="125">
        <v>0</v>
      </c>
      <c r="N299" s="126">
        <v>0</v>
      </c>
      <c r="O299" s="125">
        <v>0</v>
      </c>
      <c r="P299" s="127">
        <v>0</v>
      </c>
      <c r="Q299" s="128">
        <f t="shared" si="93"/>
        <v>0</v>
      </c>
      <c r="R299" s="129">
        <f t="shared" si="94"/>
        <v>0</v>
      </c>
      <c r="S299" s="379">
        <f t="shared" si="95"/>
        <v>0</v>
      </c>
      <c r="T299" s="358"/>
      <c r="U299" s="104"/>
      <c r="V299" s="95"/>
      <c r="W299" s="105"/>
      <c r="X299" s="95"/>
      <c r="Y299" s="95"/>
      <c r="Z299" s="95"/>
      <c r="AA299" s="95"/>
      <c r="AB299" s="95"/>
      <c r="AC299" s="95"/>
      <c r="AD299" s="17">
        <f t="shared" si="90"/>
        <v>0</v>
      </c>
      <c r="AE299" s="17">
        <f t="shared" si="96"/>
        <v>0</v>
      </c>
      <c r="AF299" s="17">
        <f t="shared" si="96"/>
        <v>0</v>
      </c>
      <c r="AG299" s="17">
        <f t="shared" si="96"/>
        <v>0</v>
      </c>
      <c r="AH299" s="18" t="str">
        <f t="shared" si="92"/>
        <v>0,;!0,;!0,;!0</v>
      </c>
      <c r="AI299" s="18" t="e">
        <f>INDEX([1]Library!$AL:$AL,MATCH(AH299,[1]Library!$AJ:$AJ,0),1)</f>
        <v>#N/A</v>
      </c>
      <c r="AJ299" s="18" t="e">
        <f>TEXT(INDEX([1]Library!$W:$W,MATCH(AH299,[1]Library!$AJ:$AJ,0),1),"")</f>
        <v>#N/A</v>
      </c>
    </row>
    <row r="300" spans="1:36" ht="25.05" customHeight="1" outlineLevel="2">
      <c r="A300" s="378" t="s">
        <v>44</v>
      </c>
      <c r="B300" s="118" t="s">
        <v>44</v>
      </c>
      <c r="C300" s="119" t="s">
        <v>44</v>
      </c>
      <c r="D300" s="120" t="s">
        <v>44</v>
      </c>
      <c r="E300" s="290" t="s">
        <v>323</v>
      </c>
      <c r="F300" s="300"/>
      <c r="G300" s="304"/>
      <c r="H300" s="122">
        <v>0</v>
      </c>
      <c r="I300" s="123">
        <v>0</v>
      </c>
      <c r="J300" s="124">
        <v>0</v>
      </c>
      <c r="K300" s="125">
        <v>0</v>
      </c>
      <c r="L300" s="124">
        <v>0</v>
      </c>
      <c r="M300" s="125">
        <v>0</v>
      </c>
      <c r="N300" s="126">
        <v>0</v>
      </c>
      <c r="O300" s="125">
        <v>0</v>
      </c>
      <c r="P300" s="127">
        <v>0</v>
      </c>
      <c r="Q300" s="128">
        <f t="shared" si="93"/>
        <v>0</v>
      </c>
      <c r="R300" s="129">
        <f t="shared" si="94"/>
        <v>0</v>
      </c>
      <c r="S300" s="379">
        <f t="shared" si="95"/>
        <v>0</v>
      </c>
      <c r="T300" s="358"/>
      <c r="U300" s="104"/>
      <c r="V300" s="95"/>
      <c r="W300" s="105"/>
      <c r="X300" s="95"/>
      <c r="Y300" s="95"/>
      <c r="Z300" s="95"/>
      <c r="AA300" s="95"/>
      <c r="AB300" s="95"/>
      <c r="AC300" s="95"/>
      <c r="AD300" s="17">
        <f t="shared" si="90"/>
        <v>0</v>
      </c>
      <c r="AE300" s="17">
        <f t="shared" si="96"/>
        <v>0</v>
      </c>
      <c r="AF300" s="17">
        <f t="shared" si="96"/>
        <v>0</v>
      </c>
      <c r="AG300" s="17">
        <f t="shared" si="96"/>
        <v>0</v>
      </c>
      <c r="AH300" s="18" t="str">
        <f t="shared" si="92"/>
        <v>0,;!0,;!0,;!0</v>
      </c>
      <c r="AI300" s="18" t="e">
        <f>INDEX([1]Library!$AL:$AL,MATCH(AH300,[1]Library!$AJ:$AJ,0),1)</f>
        <v>#N/A</v>
      </c>
      <c r="AJ300" s="18" t="e">
        <f>TEXT(INDEX([1]Library!$W:$W,MATCH(AH300,[1]Library!$AJ:$AJ,0),1),"")</f>
        <v>#N/A</v>
      </c>
    </row>
    <row r="301" spans="1:36" ht="25.05" customHeight="1" outlineLevel="2">
      <c r="A301" s="378" t="s">
        <v>44</v>
      </c>
      <c r="B301" s="118" t="s">
        <v>44</v>
      </c>
      <c r="C301" s="119" t="s">
        <v>44</v>
      </c>
      <c r="D301" s="120" t="s">
        <v>44</v>
      </c>
      <c r="E301" s="290" t="s">
        <v>324</v>
      </c>
      <c r="F301" s="300"/>
      <c r="G301" s="304"/>
      <c r="H301" s="122">
        <v>0</v>
      </c>
      <c r="I301" s="123">
        <v>0</v>
      </c>
      <c r="J301" s="124">
        <v>0</v>
      </c>
      <c r="K301" s="125">
        <v>0</v>
      </c>
      <c r="L301" s="124">
        <v>0</v>
      </c>
      <c r="M301" s="125">
        <v>0</v>
      </c>
      <c r="N301" s="126">
        <v>0</v>
      </c>
      <c r="O301" s="125">
        <v>0</v>
      </c>
      <c r="P301" s="127">
        <v>0</v>
      </c>
      <c r="Q301" s="128">
        <f t="shared" si="93"/>
        <v>0</v>
      </c>
      <c r="R301" s="129">
        <f t="shared" si="94"/>
        <v>0</v>
      </c>
      <c r="S301" s="379">
        <f t="shared" si="95"/>
        <v>0</v>
      </c>
      <c r="T301" s="358"/>
      <c r="U301" s="104"/>
      <c r="V301" s="95"/>
      <c r="W301" s="105"/>
      <c r="X301" s="95"/>
      <c r="Y301" s="95"/>
      <c r="Z301" s="95"/>
      <c r="AA301" s="95"/>
      <c r="AB301" s="95"/>
      <c r="AC301" s="95"/>
      <c r="AD301" s="17">
        <f t="shared" si="90"/>
        <v>0</v>
      </c>
      <c r="AE301" s="17">
        <f t="shared" si="96"/>
        <v>0</v>
      </c>
      <c r="AF301" s="17">
        <f t="shared" si="96"/>
        <v>0</v>
      </c>
      <c r="AG301" s="17">
        <f t="shared" si="96"/>
        <v>0</v>
      </c>
      <c r="AH301" s="18" t="str">
        <f t="shared" si="92"/>
        <v>0,;!0,;!0,;!0</v>
      </c>
      <c r="AI301" s="18" t="e">
        <f>INDEX([1]Library!$AL:$AL,MATCH(AH301,[1]Library!$AJ:$AJ,0),1)</f>
        <v>#N/A</v>
      </c>
      <c r="AJ301" s="18" t="e">
        <f>TEXT(INDEX([1]Library!$W:$W,MATCH(AH301,[1]Library!$AJ:$AJ,0),1),"")</f>
        <v>#N/A</v>
      </c>
    </row>
    <row r="302" spans="1:36" ht="25.05" customHeight="1" outlineLevel="2">
      <c r="A302" s="378" t="s">
        <v>44</v>
      </c>
      <c r="B302" s="118" t="s">
        <v>44</v>
      </c>
      <c r="C302" s="119" t="s">
        <v>44</v>
      </c>
      <c r="D302" s="120" t="s">
        <v>44</v>
      </c>
      <c r="E302" s="290" t="s">
        <v>325</v>
      </c>
      <c r="F302" s="300"/>
      <c r="G302" s="304"/>
      <c r="H302" s="122">
        <v>0</v>
      </c>
      <c r="I302" s="123">
        <v>0</v>
      </c>
      <c r="J302" s="124">
        <v>0</v>
      </c>
      <c r="K302" s="125">
        <v>0</v>
      </c>
      <c r="L302" s="124">
        <v>0</v>
      </c>
      <c r="M302" s="125">
        <v>0</v>
      </c>
      <c r="N302" s="126">
        <v>0</v>
      </c>
      <c r="O302" s="125">
        <v>0</v>
      </c>
      <c r="P302" s="127">
        <v>0</v>
      </c>
      <c r="Q302" s="128">
        <f t="shared" si="93"/>
        <v>0</v>
      </c>
      <c r="R302" s="129">
        <f t="shared" si="94"/>
        <v>0</v>
      </c>
      <c r="S302" s="379">
        <f t="shared" si="95"/>
        <v>0</v>
      </c>
      <c r="T302" s="358"/>
      <c r="U302" s="104"/>
      <c r="V302" s="95"/>
      <c r="W302" s="105"/>
      <c r="X302" s="95"/>
      <c r="Y302" s="95"/>
      <c r="Z302" s="95"/>
      <c r="AA302" s="95"/>
      <c r="AB302" s="95"/>
      <c r="AC302" s="95"/>
      <c r="AD302" s="17">
        <f t="shared" si="90"/>
        <v>0</v>
      </c>
      <c r="AE302" s="17">
        <f t="shared" ref="AE302:AG317" si="97">IF(AA302=" ",IF($X302&gt;=AE$12,AE301,""),AA302)</f>
        <v>0</v>
      </c>
      <c r="AF302" s="17">
        <f t="shared" si="97"/>
        <v>0</v>
      </c>
      <c r="AG302" s="17">
        <f t="shared" si="97"/>
        <v>0</v>
      </c>
      <c r="AH302" s="18" t="str">
        <f t="shared" si="92"/>
        <v>0,;!0,;!0,;!0</v>
      </c>
      <c r="AI302" s="18" t="e">
        <f>INDEX([1]Library!$AL:$AL,MATCH(AH302,[1]Library!$AJ:$AJ,0),1)</f>
        <v>#N/A</v>
      </c>
      <c r="AJ302" s="18" t="e">
        <f>TEXT(INDEX([1]Library!$W:$W,MATCH(AH302,[1]Library!$AJ:$AJ,0),1),"")</f>
        <v>#N/A</v>
      </c>
    </row>
    <row r="303" spans="1:36" ht="25.05" customHeight="1" outlineLevel="2">
      <c r="A303" s="378" t="s">
        <v>44</v>
      </c>
      <c r="B303" s="118" t="s">
        <v>44</v>
      </c>
      <c r="C303" s="119" t="s">
        <v>44</v>
      </c>
      <c r="D303" s="120" t="s">
        <v>44</v>
      </c>
      <c r="E303" s="290" t="s">
        <v>326</v>
      </c>
      <c r="F303" s="300"/>
      <c r="G303" s="304"/>
      <c r="H303" s="122">
        <v>0</v>
      </c>
      <c r="I303" s="123">
        <v>0</v>
      </c>
      <c r="J303" s="124">
        <v>0</v>
      </c>
      <c r="K303" s="125">
        <v>0</v>
      </c>
      <c r="L303" s="124">
        <v>0</v>
      </c>
      <c r="M303" s="125">
        <v>0</v>
      </c>
      <c r="N303" s="126">
        <v>0</v>
      </c>
      <c r="O303" s="125">
        <v>0</v>
      </c>
      <c r="P303" s="127">
        <v>0</v>
      </c>
      <c r="Q303" s="128">
        <f t="shared" si="93"/>
        <v>0</v>
      </c>
      <c r="R303" s="129">
        <f t="shared" si="94"/>
        <v>0</v>
      </c>
      <c r="S303" s="379">
        <f t="shared" si="95"/>
        <v>0</v>
      </c>
      <c r="T303" s="358"/>
      <c r="U303" s="104"/>
      <c r="V303" s="95"/>
      <c r="W303" s="105"/>
      <c r="X303" s="95"/>
      <c r="Y303" s="95"/>
      <c r="Z303" s="95"/>
      <c r="AA303" s="95"/>
      <c r="AB303" s="95"/>
      <c r="AC303" s="95"/>
      <c r="AD303" s="17">
        <f t="shared" si="90"/>
        <v>0</v>
      </c>
      <c r="AE303" s="17">
        <f t="shared" si="97"/>
        <v>0</v>
      </c>
      <c r="AF303" s="17">
        <f t="shared" si="97"/>
        <v>0</v>
      </c>
      <c r="AG303" s="17">
        <f t="shared" si="97"/>
        <v>0</v>
      </c>
      <c r="AH303" s="18" t="str">
        <f t="shared" si="92"/>
        <v>0,;!0,;!0,;!0</v>
      </c>
      <c r="AI303" s="18" t="e">
        <f>INDEX([1]Library!$AL:$AL,MATCH(AH303,[1]Library!$AJ:$AJ,0),1)</f>
        <v>#N/A</v>
      </c>
      <c r="AJ303" s="18" t="e">
        <f>TEXT(INDEX([1]Library!$W:$W,MATCH(AH303,[1]Library!$AJ:$AJ,0),1),"")</f>
        <v>#N/A</v>
      </c>
    </row>
    <row r="304" spans="1:36" ht="25.05" customHeight="1" outlineLevel="2">
      <c r="A304" s="376" t="s">
        <v>44</v>
      </c>
      <c r="B304" s="107" t="s">
        <v>44</v>
      </c>
      <c r="C304" s="108" t="s">
        <v>44</v>
      </c>
      <c r="D304" s="109" t="s">
        <v>327</v>
      </c>
      <c r="E304" s="289"/>
      <c r="F304" s="299"/>
      <c r="G304" s="62"/>
      <c r="H304" s="111">
        <v>1</v>
      </c>
      <c r="I304" s="112" t="s">
        <v>242</v>
      </c>
      <c r="J304" s="113">
        <v>34243.75</v>
      </c>
      <c r="K304" s="114">
        <v>34243.75</v>
      </c>
      <c r="L304" s="113">
        <v>6848.75</v>
      </c>
      <c r="M304" s="114">
        <v>6848.75</v>
      </c>
      <c r="N304" s="115">
        <v>0</v>
      </c>
      <c r="O304" s="114">
        <v>0</v>
      </c>
      <c r="P304" s="116">
        <v>41092.5</v>
      </c>
      <c r="Q304" s="117">
        <f>P304/P$13</f>
        <v>1.1689873043703637E-4</v>
      </c>
      <c r="R304" s="114">
        <f>P304/I$5</f>
        <v>3.4206379530363078</v>
      </c>
      <c r="S304" s="377">
        <f>P304/I$7</f>
        <v>133.41720779220779</v>
      </c>
      <c r="T304" s="357"/>
      <c r="U304" s="104"/>
      <c r="V304" s="95"/>
      <c r="W304" s="105"/>
      <c r="X304" s="95"/>
      <c r="Y304" s="95"/>
      <c r="Z304" s="95"/>
      <c r="AA304" s="95"/>
      <c r="AB304" s="95"/>
      <c r="AC304" s="95"/>
      <c r="AD304" s="17">
        <f t="shared" si="90"/>
        <v>0</v>
      </c>
      <c r="AE304" s="17">
        <f t="shared" si="97"/>
        <v>0</v>
      </c>
      <c r="AF304" s="17">
        <f t="shared" si="97"/>
        <v>0</v>
      </c>
      <c r="AG304" s="17">
        <f t="shared" si="97"/>
        <v>0</v>
      </c>
      <c r="AH304" s="18" t="str">
        <f t="shared" si="92"/>
        <v>0,;!0,;!0,;!0</v>
      </c>
      <c r="AI304" s="18" t="e">
        <f>INDEX([1]Library!$AL:$AL,MATCH(AH304,[1]Library!$AJ:$AJ,0),1)</f>
        <v>#N/A</v>
      </c>
      <c r="AJ304" s="18" t="e">
        <f>TEXT(INDEX([1]Library!$W:$W,MATCH(AH304,[1]Library!$AJ:$AJ,0),1),"")</f>
        <v>#N/A</v>
      </c>
    </row>
    <row r="305" spans="1:36" ht="25.05" customHeight="1" outlineLevel="2">
      <c r="A305" s="378" t="s">
        <v>44</v>
      </c>
      <c r="B305" s="118" t="s">
        <v>44</v>
      </c>
      <c r="C305" s="119" t="s">
        <v>44</v>
      </c>
      <c r="D305" s="120" t="s">
        <v>44</v>
      </c>
      <c r="E305" s="290" t="s">
        <v>328</v>
      </c>
      <c r="F305" s="300"/>
      <c r="G305" s="304"/>
      <c r="H305" s="122">
        <v>1</v>
      </c>
      <c r="I305" s="123" t="s">
        <v>242</v>
      </c>
      <c r="J305" s="124">
        <v>34243.75</v>
      </c>
      <c r="K305" s="125">
        <v>34243.75</v>
      </c>
      <c r="L305" s="124">
        <v>6848.75</v>
      </c>
      <c r="M305" s="125">
        <v>6848.75</v>
      </c>
      <c r="N305" s="126">
        <v>0</v>
      </c>
      <c r="O305" s="125">
        <v>0</v>
      </c>
      <c r="P305" s="127">
        <v>41092.5</v>
      </c>
      <c r="Q305" s="128">
        <f t="shared" si="93"/>
        <v>1.1689873043703637E-4</v>
      </c>
      <c r="R305" s="129">
        <f t="shared" si="94"/>
        <v>3.4206379530363078</v>
      </c>
      <c r="S305" s="379">
        <f t="shared" si="95"/>
        <v>133.41720779220779</v>
      </c>
      <c r="T305" s="358"/>
      <c r="U305" s="104"/>
      <c r="V305" s="95"/>
      <c r="W305" s="105"/>
      <c r="X305" s="95"/>
      <c r="Y305" s="95"/>
      <c r="Z305" s="95"/>
      <c r="AA305" s="95"/>
      <c r="AB305" s="95"/>
      <c r="AC305" s="95"/>
      <c r="AD305" s="17">
        <f t="shared" si="90"/>
        <v>0</v>
      </c>
      <c r="AE305" s="17">
        <f t="shared" si="97"/>
        <v>0</v>
      </c>
      <c r="AF305" s="17">
        <f t="shared" si="97"/>
        <v>0</v>
      </c>
      <c r="AG305" s="17">
        <f t="shared" si="97"/>
        <v>0</v>
      </c>
      <c r="AH305" s="18" t="str">
        <f t="shared" si="92"/>
        <v>0,;!0,;!0,;!0</v>
      </c>
      <c r="AI305" s="18" t="e">
        <f>INDEX([1]Library!$AL:$AL,MATCH(AH305,[1]Library!$AJ:$AJ,0),1)</f>
        <v>#N/A</v>
      </c>
      <c r="AJ305" s="18" t="e">
        <f>TEXT(INDEX([1]Library!$W:$W,MATCH(AH305,[1]Library!$AJ:$AJ,0),1),"")</f>
        <v>#N/A</v>
      </c>
    </row>
    <row r="306" spans="1:36" ht="25.05" customHeight="1" outlineLevel="2">
      <c r="A306" s="378" t="s">
        <v>44</v>
      </c>
      <c r="B306" s="118" t="s">
        <v>44</v>
      </c>
      <c r="C306" s="119" t="s">
        <v>44</v>
      </c>
      <c r="D306" s="120" t="s">
        <v>44</v>
      </c>
      <c r="E306" s="290" t="s">
        <v>329</v>
      </c>
      <c r="F306" s="300"/>
      <c r="G306" s="304"/>
      <c r="H306" s="122">
        <v>0</v>
      </c>
      <c r="I306" s="123">
        <v>0</v>
      </c>
      <c r="J306" s="124">
        <v>0</v>
      </c>
      <c r="K306" s="125">
        <v>0</v>
      </c>
      <c r="L306" s="124">
        <v>0</v>
      </c>
      <c r="M306" s="125">
        <v>0</v>
      </c>
      <c r="N306" s="126">
        <v>0</v>
      </c>
      <c r="O306" s="125">
        <v>0</v>
      </c>
      <c r="P306" s="127">
        <v>0</v>
      </c>
      <c r="Q306" s="128">
        <f t="shared" si="93"/>
        <v>0</v>
      </c>
      <c r="R306" s="129">
        <f t="shared" si="94"/>
        <v>0</v>
      </c>
      <c r="S306" s="379">
        <f t="shared" si="95"/>
        <v>0</v>
      </c>
      <c r="T306" s="358"/>
      <c r="U306" s="104"/>
      <c r="V306" s="95"/>
      <c r="W306" s="105"/>
      <c r="X306" s="95"/>
      <c r="Y306" s="95"/>
      <c r="Z306" s="95"/>
      <c r="AA306" s="95"/>
      <c r="AB306" s="95"/>
      <c r="AC306" s="95"/>
      <c r="AD306" s="17">
        <f t="shared" si="90"/>
        <v>0</v>
      </c>
      <c r="AE306" s="17">
        <f t="shared" si="97"/>
        <v>0</v>
      </c>
      <c r="AF306" s="17">
        <f t="shared" si="97"/>
        <v>0</v>
      </c>
      <c r="AG306" s="17">
        <f t="shared" si="97"/>
        <v>0</v>
      </c>
      <c r="AH306" s="18" t="str">
        <f t="shared" si="92"/>
        <v>0,;!0,;!0,;!0</v>
      </c>
      <c r="AI306" s="18" t="e">
        <f>INDEX([1]Library!$AL:$AL,MATCH(AH306,[1]Library!$AJ:$AJ,0),1)</f>
        <v>#N/A</v>
      </c>
      <c r="AJ306" s="18" t="e">
        <f>TEXT(INDEX([1]Library!$W:$W,MATCH(AH306,[1]Library!$AJ:$AJ,0),1),"")</f>
        <v>#N/A</v>
      </c>
    </row>
    <row r="307" spans="1:36" ht="25.05" customHeight="1" outlineLevel="2">
      <c r="A307" s="378" t="s">
        <v>44</v>
      </c>
      <c r="B307" s="118" t="s">
        <v>44</v>
      </c>
      <c r="C307" s="119" t="s">
        <v>44</v>
      </c>
      <c r="D307" s="120" t="s">
        <v>44</v>
      </c>
      <c r="E307" s="290" t="s">
        <v>330</v>
      </c>
      <c r="F307" s="300"/>
      <c r="G307" s="304"/>
      <c r="H307" s="122">
        <v>0</v>
      </c>
      <c r="I307" s="123">
        <v>0</v>
      </c>
      <c r="J307" s="124">
        <v>0</v>
      </c>
      <c r="K307" s="125">
        <v>0</v>
      </c>
      <c r="L307" s="124">
        <v>0</v>
      </c>
      <c r="M307" s="125">
        <v>0</v>
      </c>
      <c r="N307" s="126">
        <v>0</v>
      </c>
      <c r="O307" s="125">
        <v>0</v>
      </c>
      <c r="P307" s="127">
        <v>0</v>
      </c>
      <c r="Q307" s="128">
        <f t="shared" si="93"/>
        <v>0</v>
      </c>
      <c r="R307" s="129">
        <f t="shared" si="94"/>
        <v>0</v>
      </c>
      <c r="S307" s="379">
        <f t="shared" si="95"/>
        <v>0</v>
      </c>
      <c r="T307" s="358"/>
      <c r="U307" s="104"/>
      <c r="V307" s="95"/>
      <c r="W307" s="105"/>
      <c r="X307" s="95"/>
      <c r="Y307" s="95"/>
      <c r="Z307" s="95"/>
      <c r="AA307" s="95"/>
      <c r="AB307" s="95"/>
      <c r="AC307" s="95"/>
      <c r="AD307" s="17">
        <f t="shared" si="90"/>
        <v>0</v>
      </c>
      <c r="AE307" s="17">
        <f t="shared" si="97"/>
        <v>0</v>
      </c>
      <c r="AF307" s="17">
        <f t="shared" si="97"/>
        <v>0</v>
      </c>
      <c r="AG307" s="17">
        <f t="shared" si="97"/>
        <v>0</v>
      </c>
      <c r="AH307" s="18" t="str">
        <f t="shared" si="92"/>
        <v>0,;!0,;!0,;!0</v>
      </c>
      <c r="AI307" s="18" t="e">
        <f>INDEX([1]Library!$AL:$AL,MATCH(AH307,[1]Library!$AJ:$AJ,0),1)</f>
        <v>#N/A</v>
      </c>
      <c r="AJ307" s="18" t="e">
        <f>TEXT(INDEX([1]Library!$W:$W,MATCH(AH307,[1]Library!$AJ:$AJ,0),1),"")</f>
        <v>#N/A</v>
      </c>
    </row>
    <row r="308" spans="1:36" ht="25.05" customHeight="1" outlineLevel="2">
      <c r="A308" s="378" t="s">
        <v>44</v>
      </c>
      <c r="B308" s="118" t="s">
        <v>44</v>
      </c>
      <c r="C308" s="119" t="s">
        <v>44</v>
      </c>
      <c r="D308" s="120" t="s">
        <v>44</v>
      </c>
      <c r="E308" s="290" t="s">
        <v>331</v>
      </c>
      <c r="F308" s="300"/>
      <c r="G308" s="304"/>
      <c r="H308" s="122">
        <v>0</v>
      </c>
      <c r="I308" s="123">
        <v>0</v>
      </c>
      <c r="J308" s="124">
        <v>0</v>
      </c>
      <c r="K308" s="125">
        <v>0</v>
      </c>
      <c r="L308" s="124">
        <v>0</v>
      </c>
      <c r="M308" s="125">
        <v>0</v>
      </c>
      <c r="N308" s="126">
        <v>0</v>
      </c>
      <c r="O308" s="125">
        <v>0</v>
      </c>
      <c r="P308" s="127">
        <v>0</v>
      </c>
      <c r="Q308" s="128">
        <f t="shared" si="93"/>
        <v>0</v>
      </c>
      <c r="R308" s="129">
        <f t="shared" si="94"/>
        <v>0</v>
      </c>
      <c r="S308" s="379">
        <f t="shared" si="95"/>
        <v>0</v>
      </c>
      <c r="T308" s="358"/>
      <c r="U308" s="104"/>
      <c r="V308" s="95"/>
      <c r="W308" s="105"/>
      <c r="X308" s="95"/>
      <c r="Y308" s="95"/>
      <c r="Z308" s="95"/>
      <c r="AA308" s="95"/>
      <c r="AB308" s="95"/>
      <c r="AC308" s="95"/>
      <c r="AD308" s="17">
        <f t="shared" si="90"/>
        <v>0</v>
      </c>
      <c r="AE308" s="17">
        <f t="shared" si="97"/>
        <v>0</v>
      </c>
      <c r="AF308" s="17">
        <f t="shared" si="97"/>
        <v>0</v>
      </c>
      <c r="AG308" s="17">
        <f t="shared" si="97"/>
        <v>0</v>
      </c>
      <c r="AH308" s="18" t="str">
        <f t="shared" si="92"/>
        <v>0,;!0,;!0,;!0</v>
      </c>
      <c r="AI308" s="18" t="e">
        <f>INDEX([1]Library!$AL:$AL,MATCH(AH308,[1]Library!$AJ:$AJ,0),1)</f>
        <v>#N/A</v>
      </c>
      <c r="AJ308" s="18" t="e">
        <f>TEXT(INDEX([1]Library!$W:$W,MATCH(AH308,[1]Library!$AJ:$AJ,0),1),"")</f>
        <v>#N/A</v>
      </c>
    </row>
    <row r="309" spans="1:36" ht="25.05" customHeight="1" outlineLevel="2">
      <c r="A309" s="378" t="s">
        <v>44</v>
      </c>
      <c r="B309" s="118" t="s">
        <v>44</v>
      </c>
      <c r="C309" s="119" t="s">
        <v>44</v>
      </c>
      <c r="D309" s="120" t="s">
        <v>44</v>
      </c>
      <c r="E309" s="290" t="s">
        <v>332</v>
      </c>
      <c r="F309" s="300"/>
      <c r="G309" s="304"/>
      <c r="H309" s="122">
        <v>0</v>
      </c>
      <c r="I309" s="123">
        <v>0</v>
      </c>
      <c r="J309" s="124">
        <v>0</v>
      </c>
      <c r="K309" s="125">
        <v>0</v>
      </c>
      <c r="L309" s="124">
        <v>0</v>
      </c>
      <c r="M309" s="125">
        <v>0</v>
      </c>
      <c r="N309" s="126">
        <v>0</v>
      </c>
      <c r="O309" s="125">
        <v>0</v>
      </c>
      <c r="P309" s="127">
        <v>0</v>
      </c>
      <c r="Q309" s="128">
        <f t="shared" si="93"/>
        <v>0</v>
      </c>
      <c r="R309" s="129">
        <f t="shared" si="94"/>
        <v>0</v>
      </c>
      <c r="S309" s="379">
        <f t="shared" si="95"/>
        <v>0</v>
      </c>
      <c r="T309" s="358"/>
      <c r="U309" s="104"/>
      <c r="V309" s="95"/>
      <c r="W309" s="105"/>
      <c r="X309" s="95"/>
      <c r="Y309" s="95"/>
      <c r="Z309" s="95"/>
      <c r="AA309" s="95"/>
      <c r="AB309" s="95"/>
      <c r="AC309" s="95"/>
      <c r="AD309" s="17">
        <f t="shared" si="90"/>
        <v>0</v>
      </c>
      <c r="AE309" s="17">
        <f t="shared" si="97"/>
        <v>0</v>
      </c>
      <c r="AF309" s="17">
        <f t="shared" si="97"/>
        <v>0</v>
      </c>
      <c r="AG309" s="17">
        <f t="shared" si="97"/>
        <v>0</v>
      </c>
      <c r="AH309" s="18" t="str">
        <f t="shared" si="92"/>
        <v>0,;!0,;!0,;!0</v>
      </c>
      <c r="AI309" s="18" t="e">
        <f>INDEX([1]Library!$AL:$AL,MATCH(AH309,[1]Library!$AJ:$AJ,0),1)</f>
        <v>#N/A</v>
      </c>
      <c r="AJ309" s="18" t="e">
        <f>TEXT(INDEX([1]Library!$W:$W,MATCH(AH309,[1]Library!$AJ:$AJ,0),1),"")</f>
        <v>#N/A</v>
      </c>
    </row>
    <row r="310" spans="1:36" ht="25.05" customHeight="1" outlineLevel="1">
      <c r="A310" s="374" t="s">
        <v>44</v>
      </c>
      <c r="B310" s="96" t="s">
        <v>44</v>
      </c>
      <c r="C310" s="97" t="s">
        <v>333</v>
      </c>
      <c r="D310" s="97"/>
      <c r="E310" s="98"/>
      <c r="F310" s="298"/>
      <c r="G310" s="62"/>
      <c r="H310" s="99">
        <v>1</v>
      </c>
      <c r="I310" s="100" t="s">
        <v>35</v>
      </c>
      <c r="J310" s="99">
        <v>34243.75</v>
      </c>
      <c r="K310" s="99">
        <v>34243.75</v>
      </c>
      <c r="L310" s="99">
        <v>6848.75</v>
      </c>
      <c r="M310" s="99">
        <v>6848.75</v>
      </c>
      <c r="N310" s="99">
        <v>0</v>
      </c>
      <c r="O310" s="99">
        <v>0</v>
      </c>
      <c r="P310" s="101">
        <v>41092.5</v>
      </c>
      <c r="Q310" s="102">
        <f>P310/P$13</f>
        <v>1.1689873043703637E-4</v>
      </c>
      <c r="R310" s="103">
        <f>P310/I$5</f>
        <v>3.4206379530363078</v>
      </c>
      <c r="S310" s="375">
        <f>P310/I$7</f>
        <v>133.41720779220779</v>
      </c>
      <c r="T310" s="356"/>
      <c r="U310" s="104"/>
      <c r="V310" s="95"/>
      <c r="W310" s="105"/>
      <c r="X310" s="95"/>
      <c r="Y310" s="95"/>
      <c r="Z310" s="95"/>
      <c r="AA310" s="95"/>
      <c r="AB310" s="95"/>
      <c r="AC310" s="95"/>
      <c r="AD310" s="17">
        <f t="shared" si="90"/>
        <v>0</v>
      </c>
      <c r="AE310" s="17">
        <f t="shared" si="97"/>
        <v>0</v>
      </c>
      <c r="AF310" s="17">
        <f t="shared" si="97"/>
        <v>0</v>
      </c>
      <c r="AG310" s="17">
        <f t="shared" si="97"/>
        <v>0</v>
      </c>
      <c r="AH310" s="18" t="str">
        <f t="shared" si="92"/>
        <v>0,;!0,;!0,;!0</v>
      </c>
      <c r="AI310" s="18" t="e">
        <f>INDEX([1]Library!$AL:$AL,MATCH(AH310,[1]Library!$AJ:$AJ,0),1)</f>
        <v>#N/A</v>
      </c>
      <c r="AJ310" s="18" t="e">
        <f>TEXT(INDEX([1]Library!$W:$W,MATCH(AH310,[1]Library!$AJ:$AJ,0),1),"")</f>
        <v>#N/A</v>
      </c>
    </row>
    <row r="311" spans="1:36" ht="25.05" customHeight="1" outlineLevel="2">
      <c r="A311" s="376" t="s">
        <v>44</v>
      </c>
      <c r="B311" s="107" t="s">
        <v>44</v>
      </c>
      <c r="C311" s="108" t="s">
        <v>44</v>
      </c>
      <c r="D311" s="109" t="s">
        <v>334</v>
      </c>
      <c r="E311" s="289"/>
      <c r="F311" s="299"/>
      <c r="G311" s="62"/>
      <c r="H311" s="111">
        <v>1</v>
      </c>
      <c r="I311" s="112" t="s">
        <v>140</v>
      </c>
      <c r="J311" s="113">
        <v>34243.75</v>
      </c>
      <c r="K311" s="114">
        <v>34243.75</v>
      </c>
      <c r="L311" s="113">
        <v>6848.75</v>
      </c>
      <c r="M311" s="114">
        <v>6848.75</v>
      </c>
      <c r="N311" s="115">
        <v>0</v>
      </c>
      <c r="O311" s="114">
        <v>0</v>
      </c>
      <c r="P311" s="116">
        <v>41092.5</v>
      </c>
      <c r="Q311" s="117">
        <f>P311/P$13</f>
        <v>1.1689873043703637E-4</v>
      </c>
      <c r="R311" s="114">
        <f>P311/I$5</f>
        <v>3.4206379530363078</v>
      </c>
      <c r="S311" s="377">
        <f>P311/I$7</f>
        <v>133.41720779220779</v>
      </c>
      <c r="T311" s="357"/>
      <c r="U311" s="104"/>
      <c r="V311" s="95"/>
      <c r="W311" s="105"/>
      <c r="X311" s="95"/>
      <c r="Y311" s="95"/>
      <c r="Z311" s="95"/>
      <c r="AA311" s="95"/>
      <c r="AB311" s="95"/>
      <c r="AC311" s="95"/>
      <c r="AD311" s="17">
        <f t="shared" si="90"/>
        <v>0</v>
      </c>
      <c r="AE311" s="17">
        <f t="shared" si="97"/>
        <v>0</v>
      </c>
      <c r="AF311" s="17">
        <f t="shared" si="97"/>
        <v>0</v>
      </c>
      <c r="AG311" s="17">
        <f t="shared" si="97"/>
        <v>0</v>
      </c>
      <c r="AH311" s="18" t="str">
        <f t="shared" si="92"/>
        <v>0,;!0,;!0,;!0</v>
      </c>
      <c r="AI311" s="18" t="e">
        <f>INDEX([1]Library!$AL:$AL,MATCH(AH311,[1]Library!$AJ:$AJ,0),1)</f>
        <v>#N/A</v>
      </c>
      <c r="AJ311" s="18" t="e">
        <f>TEXT(INDEX([1]Library!$W:$W,MATCH(AH311,[1]Library!$AJ:$AJ,0),1),"")</f>
        <v>#N/A</v>
      </c>
    </row>
    <row r="312" spans="1:36" ht="25.05" customHeight="1" outlineLevel="2">
      <c r="A312" s="378" t="s">
        <v>44</v>
      </c>
      <c r="B312" s="118" t="s">
        <v>44</v>
      </c>
      <c r="C312" s="119" t="s">
        <v>44</v>
      </c>
      <c r="D312" s="120" t="s">
        <v>44</v>
      </c>
      <c r="E312" s="290" t="s">
        <v>335</v>
      </c>
      <c r="F312" s="300"/>
      <c r="G312" s="304"/>
      <c r="H312" s="122">
        <v>1</v>
      </c>
      <c r="I312" s="123" t="s">
        <v>140</v>
      </c>
      <c r="J312" s="124">
        <v>34243.75</v>
      </c>
      <c r="K312" s="125">
        <v>34243.75</v>
      </c>
      <c r="L312" s="124">
        <v>6848.75</v>
      </c>
      <c r="M312" s="125">
        <v>6848.75</v>
      </c>
      <c r="N312" s="126">
        <v>0</v>
      </c>
      <c r="O312" s="125">
        <v>0</v>
      </c>
      <c r="P312" s="127">
        <v>41092.5</v>
      </c>
      <c r="Q312" s="128">
        <f t="shared" si="93"/>
        <v>1.1689873043703637E-4</v>
      </c>
      <c r="R312" s="129">
        <f t="shared" si="94"/>
        <v>3.4206379530363078</v>
      </c>
      <c r="S312" s="379">
        <f t="shared" si="95"/>
        <v>133.41720779220779</v>
      </c>
      <c r="T312" s="358"/>
      <c r="U312" s="104"/>
      <c r="V312" s="95"/>
      <c r="W312" s="105"/>
      <c r="X312" s="95"/>
      <c r="Y312" s="95"/>
      <c r="Z312" s="95"/>
      <c r="AA312" s="95"/>
      <c r="AB312" s="95"/>
      <c r="AC312" s="95"/>
      <c r="AD312" s="17">
        <f t="shared" si="90"/>
        <v>0</v>
      </c>
      <c r="AE312" s="17">
        <f t="shared" si="97"/>
        <v>0</v>
      </c>
      <c r="AF312" s="17">
        <f t="shared" si="97"/>
        <v>0</v>
      </c>
      <c r="AG312" s="17">
        <f t="shared" si="97"/>
        <v>0</v>
      </c>
      <c r="AH312" s="18" t="str">
        <f t="shared" si="92"/>
        <v>0,;!0,;!0,;!0</v>
      </c>
      <c r="AI312" s="18" t="e">
        <f>INDEX([1]Library!$AL:$AL,MATCH(AH312,[1]Library!$AJ:$AJ,0),1)</f>
        <v>#N/A</v>
      </c>
      <c r="AJ312" s="18" t="e">
        <f>TEXT(INDEX([1]Library!$W:$W,MATCH(AH312,[1]Library!$AJ:$AJ,0),1),"")</f>
        <v>#N/A</v>
      </c>
    </row>
    <row r="313" spans="1:36" ht="25.05" customHeight="1" outlineLevel="2">
      <c r="A313" s="378" t="s">
        <v>44</v>
      </c>
      <c r="B313" s="118" t="s">
        <v>44</v>
      </c>
      <c r="C313" s="119" t="s">
        <v>44</v>
      </c>
      <c r="D313" s="120" t="s">
        <v>44</v>
      </c>
      <c r="E313" s="290" t="s">
        <v>336</v>
      </c>
      <c r="F313" s="300"/>
      <c r="G313" s="304"/>
      <c r="H313" s="122">
        <v>0</v>
      </c>
      <c r="I313" s="123">
        <v>0</v>
      </c>
      <c r="J313" s="124">
        <v>0</v>
      </c>
      <c r="K313" s="125">
        <v>0</v>
      </c>
      <c r="L313" s="124">
        <v>0</v>
      </c>
      <c r="M313" s="125">
        <v>0</v>
      </c>
      <c r="N313" s="126">
        <v>0</v>
      </c>
      <c r="O313" s="125">
        <v>0</v>
      </c>
      <c r="P313" s="127">
        <v>0</v>
      </c>
      <c r="Q313" s="128">
        <f t="shared" si="93"/>
        <v>0</v>
      </c>
      <c r="R313" s="129">
        <f t="shared" si="94"/>
        <v>0</v>
      </c>
      <c r="S313" s="379">
        <f t="shared" si="95"/>
        <v>0</v>
      </c>
      <c r="T313" s="358"/>
      <c r="U313" s="104"/>
      <c r="V313" s="95"/>
      <c r="W313" s="105"/>
      <c r="X313" s="95"/>
      <c r="Y313" s="95"/>
      <c r="Z313" s="95"/>
      <c r="AA313" s="95"/>
      <c r="AB313" s="95"/>
      <c r="AC313" s="95"/>
      <c r="AD313" s="17">
        <f t="shared" si="90"/>
        <v>0</v>
      </c>
      <c r="AE313" s="17">
        <f t="shared" si="97"/>
        <v>0</v>
      </c>
      <c r="AF313" s="17">
        <f t="shared" si="97"/>
        <v>0</v>
      </c>
      <c r="AG313" s="17">
        <f t="shared" si="97"/>
        <v>0</v>
      </c>
      <c r="AH313" s="18" t="str">
        <f t="shared" si="92"/>
        <v>0,;!0,;!0,;!0</v>
      </c>
      <c r="AI313" s="18" t="e">
        <f>INDEX([1]Library!$AL:$AL,MATCH(AH313,[1]Library!$AJ:$AJ,0),1)</f>
        <v>#N/A</v>
      </c>
      <c r="AJ313" s="18" t="e">
        <f>TEXT(INDEX([1]Library!$W:$W,MATCH(AH313,[1]Library!$AJ:$AJ,0),1),"")</f>
        <v>#N/A</v>
      </c>
    </row>
    <row r="314" spans="1:36" ht="25.05" customHeight="1" outlineLevel="2">
      <c r="A314" s="378" t="s">
        <v>44</v>
      </c>
      <c r="B314" s="118" t="s">
        <v>44</v>
      </c>
      <c r="C314" s="119" t="s">
        <v>44</v>
      </c>
      <c r="D314" s="120" t="s">
        <v>44</v>
      </c>
      <c r="E314" s="290" t="s">
        <v>337</v>
      </c>
      <c r="F314" s="300"/>
      <c r="G314" s="304"/>
      <c r="H314" s="122">
        <v>0</v>
      </c>
      <c r="I314" s="123">
        <v>0</v>
      </c>
      <c r="J314" s="124">
        <v>0</v>
      </c>
      <c r="K314" s="125">
        <v>0</v>
      </c>
      <c r="L314" s="124">
        <v>0</v>
      </c>
      <c r="M314" s="125">
        <v>0</v>
      </c>
      <c r="N314" s="126">
        <v>0</v>
      </c>
      <c r="O314" s="125">
        <v>0</v>
      </c>
      <c r="P314" s="127">
        <v>0</v>
      </c>
      <c r="Q314" s="128">
        <f t="shared" si="93"/>
        <v>0</v>
      </c>
      <c r="R314" s="129">
        <f t="shared" si="94"/>
        <v>0</v>
      </c>
      <c r="S314" s="379">
        <f t="shared" si="95"/>
        <v>0</v>
      </c>
      <c r="T314" s="358"/>
      <c r="U314" s="104"/>
      <c r="V314" s="95"/>
      <c r="W314" s="105"/>
      <c r="X314" s="95"/>
      <c r="Y314" s="95"/>
      <c r="Z314" s="95"/>
      <c r="AA314" s="95"/>
      <c r="AB314" s="95"/>
      <c r="AC314" s="95"/>
      <c r="AD314" s="17">
        <f t="shared" si="90"/>
        <v>0</v>
      </c>
      <c r="AE314" s="17">
        <f t="shared" si="97"/>
        <v>0</v>
      </c>
      <c r="AF314" s="17">
        <f t="shared" si="97"/>
        <v>0</v>
      </c>
      <c r="AG314" s="17">
        <f t="shared" si="97"/>
        <v>0</v>
      </c>
      <c r="AH314" s="18" t="str">
        <f t="shared" si="92"/>
        <v>0,;!0,;!0,;!0</v>
      </c>
      <c r="AI314" s="18" t="e">
        <f>INDEX([1]Library!$AL:$AL,MATCH(AH314,[1]Library!$AJ:$AJ,0),1)</f>
        <v>#N/A</v>
      </c>
      <c r="AJ314" s="18" t="e">
        <f>TEXT(INDEX([1]Library!$W:$W,MATCH(AH314,[1]Library!$AJ:$AJ,0),1),"")</f>
        <v>#N/A</v>
      </c>
    </row>
    <row r="315" spans="1:36" ht="25.05" customHeight="1" outlineLevel="1">
      <c r="A315" s="374" t="s">
        <v>44</v>
      </c>
      <c r="B315" s="96" t="s">
        <v>44</v>
      </c>
      <c r="C315" s="97" t="s">
        <v>338</v>
      </c>
      <c r="D315" s="97"/>
      <c r="E315" s="98"/>
      <c r="F315" s="298"/>
      <c r="G315" s="62"/>
      <c r="H315" s="99">
        <v>1</v>
      </c>
      <c r="I315" s="100" t="s">
        <v>35</v>
      </c>
      <c r="J315" s="99">
        <v>25794.639999999999</v>
      </c>
      <c r="K315" s="99">
        <v>25794.639999999999</v>
      </c>
      <c r="L315" s="99">
        <v>5158.9279999999999</v>
      </c>
      <c r="M315" s="99">
        <v>5158.9279999999999</v>
      </c>
      <c r="N315" s="99">
        <v>0</v>
      </c>
      <c r="O315" s="99">
        <v>0</v>
      </c>
      <c r="P315" s="101">
        <v>30953.567999999999</v>
      </c>
      <c r="Q315" s="102">
        <f>P315/P$13</f>
        <v>8.8055796111126725E-5</v>
      </c>
      <c r="R315" s="103">
        <f>P315/I$5</f>
        <v>2.5766490109555309</v>
      </c>
      <c r="S315" s="375">
        <f>P315/I$7</f>
        <v>100.4985974025974</v>
      </c>
      <c r="T315" s="356"/>
      <c r="U315" s="104"/>
      <c r="V315" s="95"/>
      <c r="W315" s="105"/>
      <c r="X315" s="95"/>
      <c r="Y315" s="95"/>
      <c r="Z315" s="95"/>
      <c r="AA315" s="95"/>
      <c r="AB315" s="95"/>
      <c r="AC315" s="95"/>
      <c r="AD315" s="17">
        <f t="shared" si="90"/>
        <v>0</v>
      </c>
      <c r="AE315" s="17">
        <f t="shared" si="97"/>
        <v>0</v>
      </c>
      <c r="AF315" s="17">
        <f t="shared" si="97"/>
        <v>0</v>
      </c>
      <c r="AG315" s="17">
        <f t="shared" si="97"/>
        <v>0</v>
      </c>
      <c r="AH315" s="18" t="str">
        <f t="shared" si="92"/>
        <v>0,;!0,;!0,;!0</v>
      </c>
      <c r="AI315" s="18" t="e">
        <f>INDEX([1]Library!$AL:$AL,MATCH(AH315,[1]Library!$AJ:$AJ,0),1)</f>
        <v>#N/A</v>
      </c>
      <c r="AJ315" s="18" t="e">
        <f>TEXT(INDEX([1]Library!$W:$W,MATCH(AH315,[1]Library!$AJ:$AJ,0),1),"")</f>
        <v>#N/A</v>
      </c>
    </row>
    <row r="316" spans="1:36" ht="25.05" customHeight="1" outlineLevel="2">
      <c r="A316" s="376" t="s">
        <v>44</v>
      </c>
      <c r="B316" s="107" t="s">
        <v>44</v>
      </c>
      <c r="C316" s="108" t="s">
        <v>44</v>
      </c>
      <c r="D316" s="109" t="s">
        <v>339</v>
      </c>
      <c r="E316" s="289"/>
      <c r="F316" s="299"/>
      <c r="G316" s="62"/>
      <c r="H316" s="111">
        <v>1</v>
      </c>
      <c r="I316" s="112" t="s">
        <v>140</v>
      </c>
      <c r="J316" s="113">
        <v>15749.999999999998</v>
      </c>
      <c r="K316" s="114">
        <v>15749.999999999998</v>
      </c>
      <c r="L316" s="113">
        <v>3150</v>
      </c>
      <c r="M316" s="114">
        <v>3150</v>
      </c>
      <c r="N316" s="115">
        <v>0</v>
      </c>
      <c r="O316" s="114">
        <v>0</v>
      </c>
      <c r="P316" s="116">
        <v>18900</v>
      </c>
      <c r="Q316" s="117">
        <f>P316/P$13</f>
        <v>5.3766161836344523E-5</v>
      </c>
      <c r="R316" s="114">
        <f>P316/I$5</f>
        <v>1.5732811902995976</v>
      </c>
      <c r="S316" s="377">
        <f>P316/I$7</f>
        <v>61.363636363636367</v>
      </c>
      <c r="T316" s="357"/>
      <c r="U316" s="104"/>
      <c r="V316" s="95"/>
      <c r="W316" s="105"/>
      <c r="X316" s="95"/>
      <c r="Y316" s="95"/>
      <c r="Z316" s="95"/>
      <c r="AA316" s="95"/>
      <c r="AB316" s="95"/>
      <c r="AC316" s="95"/>
      <c r="AD316" s="17">
        <f t="shared" si="90"/>
        <v>0</v>
      </c>
      <c r="AE316" s="17">
        <f t="shared" si="97"/>
        <v>0</v>
      </c>
      <c r="AF316" s="17">
        <f t="shared" si="97"/>
        <v>0</v>
      </c>
      <c r="AG316" s="17">
        <f t="shared" si="97"/>
        <v>0</v>
      </c>
      <c r="AH316" s="18" t="str">
        <f t="shared" si="92"/>
        <v>0,;!0,;!0,;!0</v>
      </c>
      <c r="AI316" s="18" t="e">
        <f>INDEX([1]Library!$AL:$AL,MATCH(AH316,[1]Library!$AJ:$AJ,0),1)</f>
        <v>#N/A</v>
      </c>
      <c r="AJ316" s="18" t="e">
        <f>TEXT(INDEX([1]Library!$W:$W,MATCH(AH316,[1]Library!$AJ:$AJ,0),1),"")</f>
        <v>#N/A</v>
      </c>
    </row>
    <row r="317" spans="1:36" ht="25.05" customHeight="1" outlineLevel="2">
      <c r="A317" s="378" t="s">
        <v>44</v>
      </c>
      <c r="B317" s="118" t="s">
        <v>44</v>
      </c>
      <c r="C317" s="119" t="s">
        <v>44</v>
      </c>
      <c r="D317" s="120" t="s">
        <v>44</v>
      </c>
      <c r="E317" s="290" t="s">
        <v>340</v>
      </c>
      <c r="F317" s="300"/>
      <c r="G317" s="304"/>
      <c r="H317" s="122">
        <v>1</v>
      </c>
      <c r="I317" s="123" t="s">
        <v>140</v>
      </c>
      <c r="J317" s="124">
        <v>15749.999999999998</v>
      </c>
      <c r="K317" s="125">
        <v>15749.999999999998</v>
      </c>
      <c r="L317" s="124">
        <v>3150</v>
      </c>
      <c r="M317" s="125">
        <v>3150</v>
      </c>
      <c r="N317" s="126">
        <v>0</v>
      </c>
      <c r="O317" s="125">
        <v>0</v>
      </c>
      <c r="P317" s="127">
        <v>18900</v>
      </c>
      <c r="Q317" s="128">
        <f t="shared" si="93"/>
        <v>5.3766161836344523E-5</v>
      </c>
      <c r="R317" s="129">
        <f t="shared" si="94"/>
        <v>1.5732811902995976</v>
      </c>
      <c r="S317" s="379">
        <f t="shared" si="95"/>
        <v>61.363636363636367</v>
      </c>
      <c r="T317" s="358"/>
      <c r="U317" s="104"/>
      <c r="V317" s="95"/>
      <c r="W317" s="105"/>
      <c r="X317" s="95"/>
      <c r="Y317" s="95"/>
      <c r="Z317" s="95"/>
      <c r="AA317" s="95"/>
      <c r="AB317" s="95"/>
      <c r="AC317" s="95"/>
      <c r="AD317" s="17">
        <f t="shared" si="90"/>
        <v>0</v>
      </c>
      <c r="AE317" s="17">
        <f t="shared" si="97"/>
        <v>0</v>
      </c>
      <c r="AF317" s="17">
        <f t="shared" si="97"/>
        <v>0</v>
      </c>
      <c r="AG317" s="17">
        <f t="shared" si="97"/>
        <v>0</v>
      </c>
      <c r="AH317" s="18" t="str">
        <f t="shared" si="92"/>
        <v>0,;!0,;!0,;!0</v>
      </c>
      <c r="AI317" s="18" t="e">
        <f>INDEX([1]Library!$AL:$AL,MATCH(AH317,[1]Library!$AJ:$AJ,0),1)</f>
        <v>#N/A</v>
      </c>
      <c r="AJ317" s="18" t="e">
        <f>TEXT(INDEX([1]Library!$W:$W,MATCH(AH317,[1]Library!$AJ:$AJ,0),1),"")</f>
        <v>#N/A</v>
      </c>
    </row>
    <row r="318" spans="1:36" ht="25.05" customHeight="1" outlineLevel="2">
      <c r="A318" s="378" t="s">
        <v>44</v>
      </c>
      <c r="B318" s="118" t="s">
        <v>44</v>
      </c>
      <c r="C318" s="119" t="s">
        <v>44</v>
      </c>
      <c r="D318" s="120" t="s">
        <v>44</v>
      </c>
      <c r="E318" s="290" t="s">
        <v>341</v>
      </c>
      <c r="F318" s="300"/>
      <c r="G318" s="304"/>
      <c r="H318" s="122">
        <v>0</v>
      </c>
      <c r="I318" s="123">
        <v>0</v>
      </c>
      <c r="J318" s="124">
        <v>0</v>
      </c>
      <c r="K318" s="125">
        <v>0</v>
      </c>
      <c r="L318" s="124">
        <v>0</v>
      </c>
      <c r="M318" s="125">
        <v>0</v>
      </c>
      <c r="N318" s="126">
        <v>0</v>
      </c>
      <c r="O318" s="125">
        <v>0</v>
      </c>
      <c r="P318" s="127">
        <v>0</v>
      </c>
      <c r="Q318" s="128">
        <f t="shared" si="93"/>
        <v>0</v>
      </c>
      <c r="R318" s="129">
        <f t="shared" si="94"/>
        <v>0</v>
      </c>
      <c r="S318" s="379">
        <f t="shared" si="95"/>
        <v>0</v>
      </c>
      <c r="T318" s="358"/>
      <c r="U318" s="104"/>
      <c r="V318" s="95"/>
      <c r="W318" s="105"/>
      <c r="X318" s="95"/>
      <c r="Y318" s="95"/>
      <c r="Z318" s="95"/>
      <c r="AA318" s="95"/>
      <c r="AB318" s="95"/>
      <c r="AC318" s="95"/>
      <c r="AD318" s="17">
        <f t="shared" si="90"/>
        <v>0</v>
      </c>
      <c r="AE318" s="17">
        <f t="shared" ref="AE318:AG333" si="98">IF(AA318=" ",IF($X318&gt;=AE$12,AE317,""),AA318)</f>
        <v>0</v>
      </c>
      <c r="AF318" s="17">
        <f t="shared" si="98"/>
        <v>0</v>
      </c>
      <c r="AG318" s="17">
        <f t="shared" si="98"/>
        <v>0</v>
      </c>
      <c r="AH318" s="18" t="str">
        <f t="shared" si="92"/>
        <v>0,;!0,;!0,;!0</v>
      </c>
      <c r="AI318" s="18" t="e">
        <f>INDEX([1]Library!$AL:$AL,MATCH(AH318,[1]Library!$AJ:$AJ,0),1)</f>
        <v>#N/A</v>
      </c>
      <c r="AJ318" s="18" t="e">
        <f>TEXT(INDEX([1]Library!$W:$W,MATCH(AH318,[1]Library!$AJ:$AJ,0),1),"")</f>
        <v>#N/A</v>
      </c>
    </row>
    <row r="319" spans="1:36" ht="25.05" customHeight="1" outlineLevel="2">
      <c r="A319" s="378" t="s">
        <v>44</v>
      </c>
      <c r="B319" s="118" t="s">
        <v>44</v>
      </c>
      <c r="C319" s="119" t="s">
        <v>44</v>
      </c>
      <c r="D319" s="120" t="s">
        <v>44</v>
      </c>
      <c r="E319" s="290" t="s">
        <v>342</v>
      </c>
      <c r="F319" s="300"/>
      <c r="G319" s="304"/>
      <c r="H319" s="122">
        <v>0</v>
      </c>
      <c r="I319" s="123">
        <v>0</v>
      </c>
      <c r="J319" s="124">
        <v>0</v>
      </c>
      <c r="K319" s="125">
        <v>0</v>
      </c>
      <c r="L319" s="124">
        <v>0</v>
      </c>
      <c r="M319" s="125">
        <v>0</v>
      </c>
      <c r="N319" s="126">
        <v>0</v>
      </c>
      <c r="O319" s="125">
        <v>0</v>
      </c>
      <c r="P319" s="127">
        <v>0</v>
      </c>
      <c r="Q319" s="128">
        <f t="shared" si="93"/>
        <v>0</v>
      </c>
      <c r="R319" s="129">
        <f t="shared" si="94"/>
        <v>0</v>
      </c>
      <c r="S319" s="379">
        <f t="shared" si="95"/>
        <v>0</v>
      </c>
      <c r="T319" s="358"/>
      <c r="U319" s="104"/>
      <c r="V319" s="95"/>
      <c r="W319" s="105"/>
      <c r="X319" s="95"/>
      <c r="Y319" s="95"/>
      <c r="Z319" s="95"/>
      <c r="AA319" s="95"/>
      <c r="AB319" s="95"/>
      <c r="AC319" s="95"/>
      <c r="AD319" s="17">
        <f t="shared" si="90"/>
        <v>0</v>
      </c>
      <c r="AE319" s="17">
        <f t="shared" si="98"/>
        <v>0</v>
      </c>
      <c r="AF319" s="17">
        <f t="shared" si="98"/>
        <v>0</v>
      </c>
      <c r="AG319" s="17">
        <f t="shared" si="98"/>
        <v>0</v>
      </c>
      <c r="AH319" s="18" t="str">
        <f t="shared" si="92"/>
        <v>0,;!0,;!0,;!0</v>
      </c>
      <c r="AI319" s="18" t="e">
        <f>INDEX([1]Library!$AL:$AL,MATCH(AH319,[1]Library!$AJ:$AJ,0),1)</f>
        <v>#N/A</v>
      </c>
      <c r="AJ319" s="18" t="e">
        <f>TEXT(INDEX([1]Library!$W:$W,MATCH(AH319,[1]Library!$AJ:$AJ,0),1),"")</f>
        <v>#N/A</v>
      </c>
    </row>
    <row r="320" spans="1:36" ht="25.05" customHeight="1" outlineLevel="2">
      <c r="A320" s="378" t="s">
        <v>44</v>
      </c>
      <c r="B320" s="118" t="s">
        <v>44</v>
      </c>
      <c r="C320" s="119" t="s">
        <v>44</v>
      </c>
      <c r="D320" s="120" t="s">
        <v>44</v>
      </c>
      <c r="E320" s="290" t="s">
        <v>343</v>
      </c>
      <c r="F320" s="300"/>
      <c r="G320" s="304"/>
      <c r="H320" s="122">
        <v>0</v>
      </c>
      <c r="I320" s="123">
        <v>0</v>
      </c>
      <c r="J320" s="124">
        <v>0</v>
      </c>
      <c r="K320" s="125">
        <v>0</v>
      </c>
      <c r="L320" s="124">
        <v>0</v>
      </c>
      <c r="M320" s="125">
        <v>0</v>
      </c>
      <c r="N320" s="126">
        <v>0</v>
      </c>
      <c r="O320" s="125">
        <v>0</v>
      </c>
      <c r="P320" s="127">
        <v>0</v>
      </c>
      <c r="Q320" s="128">
        <f t="shared" si="93"/>
        <v>0</v>
      </c>
      <c r="R320" s="129">
        <f t="shared" si="94"/>
        <v>0</v>
      </c>
      <c r="S320" s="379">
        <f t="shared" si="95"/>
        <v>0</v>
      </c>
      <c r="T320" s="358"/>
      <c r="U320" s="104"/>
      <c r="V320" s="95"/>
      <c r="W320" s="105"/>
      <c r="X320" s="95"/>
      <c r="Y320" s="95"/>
      <c r="Z320" s="95"/>
      <c r="AA320" s="95"/>
      <c r="AB320" s="95"/>
      <c r="AC320" s="95"/>
      <c r="AD320" s="17">
        <f t="shared" si="90"/>
        <v>0</v>
      </c>
      <c r="AE320" s="17">
        <f t="shared" si="98"/>
        <v>0</v>
      </c>
      <c r="AF320" s="17">
        <f t="shared" si="98"/>
        <v>0</v>
      </c>
      <c r="AG320" s="17">
        <f t="shared" si="98"/>
        <v>0</v>
      </c>
      <c r="AH320" s="18" t="str">
        <f t="shared" si="92"/>
        <v>0,;!0,;!0,;!0</v>
      </c>
      <c r="AI320" s="18" t="e">
        <f>INDEX([1]Library!$AL:$AL,MATCH(AH320,[1]Library!$AJ:$AJ,0),1)</f>
        <v>#N/A</v>
      </c>
      <c r="AJ320" s="18" t="e">
        <f>TEXT(INDEX([1]Library!$W:$W,MATCH(AH320,[1]Library!$AJ:$AJ,0),1),"")</f>
        <v>#N/A</v>
      </c>
    </row>
    <row r="321" spans="1:36" ht="25.05" customHeight="1" outlineLevel="2">
      <c r="A321" s="378" t="s">
        <v>44</v>
      </c>
      <c r="B321" s="118" t="s">
        <v>44</v>
      </c>
      <c r="C321" s="119" t="s">
        <v>44</v>
      </c>
      <c r="D321" s="120" t="s">
        <v>44</v>
      </c>
      <c r="E321" s="290" t="s">
        <v>344</v>
      </c>
      <c r="F321" s="300"/>
      <c r="G321" s="304"/>
      <c r="H321" s="122">
        <v>0</v>
      </c>
      <c r="I321" s="123">
        <v>0</v>
      </c>
      <c r="J321" s="124">
        <v>0</v>
      </c>
      <c r="K321" s="125">
        <v>0</v>
      </c>
      <c r="L321" s="124">
        <v>0</v>
      </c>
      <c r="M321" s="125">
        <v>0</v>
      </c>
      <c r="N321" s="126">
        <v>0</v>
      </c>
      <c r="O321" s="125">
        <v>0</v>
      </c>
      <c r="P321" s="127">
        <v>0</v>
      </c>
      <c r="Q321" s="128">
        <f t="shared" si="93"/>
        <v>0</v>
      </c>
      <c r="R321" s="129">
        <f t="shared" si="94"/>
        <v>0</v>
      </c>
      <c r="S321" s="379">
        <f t="shared" si="95"/>
        <v>0</v>
      </c>
      <c r="T321" s="358"/>
      <c r="U321" s="104"/>
      <c r="V321" s="95"/>
      <c r="W321" s="105"/>
      <c r="X321" s="95"/>
      <c r="Y321" s="95"/>
      <c r="Z321" s="95"/>
      <c r="AA321" s="95"/>
      <c r="AB321" s="95"/>
      <c r="AC321" s="95"/>
      <c r="AD321" s="17">
        <f t="shared" si="90"/>
        <v>0</v>
      </c>
      <c r="AE321" s="17">
        <f t="shared" si="98"/>
        <v>0</v>
      </c>
      <c r="AF321" s="17">
        <f t="shared" si="98"/>
        <v>0</v>
      </c>
      <c r="AG321" s="17">
        <f t="shared" si="98"/>
        <v>0</v>
      </c>
      <c r="AH321" s="18" t="str">
        <f t="shared" si="92"/>
        <v>0,;!0,;!0,;!0</v>
      </c>
      <c r="AI321" s="18" t="e">
        <f>INDEX([1]Library!$AL:$AL,MATCH(AH321,[1]Library!$AJ:$AJ,0),1)</f>
        <v>#N/A</v>
      </c>
      <c r="AJ321" s="18" t="e">
        <f>TEXT(INDEX([1]Library!$W:$W,MATCH(AH321,[1]Library!$AJ:$AJ,0),1),"")</f>
        <v>#N/A</v>
      </c>
    </row>
    <row r="322" spans="1:36" ht="25.05" customHeight="1" outlineLevel="2">
      <c r="A322" s="378" t="s">
        <v>44</v>
      </c>
      <c r="B322" s="118" t="s">
        <v>44</v>
      </c>
      <c r="C322" s="119" t="s">
        <v>44</v>
      </c>
      <c r="D322" s="120" t="s">
        <v>44</v>
      </c>
      <c r="E322" s="290" t="s">
        <v>345</v>
      </c>
      <c r="F322" s="300"/>
      <c r="G322" s="304"/>
      <c r="H322" s="122">
        <v>0</v>
      </c>
      <c r="I322" s="123">
        <v>0</v>
      </c>
      <c r="J322" s="124">
        <v>0</v>
      </c>
      <c r="K322" s="125">
        <v>0</v>
      </c>
      <c r="L322" s="124">
        <v>0</v>
      </c>
      <c r="M322" s="125">
        <v>0</v>
      </c>
      <c r="N322" s="126">
        <v>0</v>
      </c>
      <c r="O322" s="125">
        <v>0</v>
      </c>
      <c r="P322" s="127">
        <v>0</v>
      </c>
      <c r="Q322" s="128">
        <f t="shared" si="93"/>
        <v>0</v>
      </c>
      <c r="R322" s="129">
        <f t="shared" si="94"/>
        <v>0</v>
      </c>
      <c r="S322" s="379">
        <f t="shared" si="95"/>
        <v>0</v>
      </c>
      <c r="T322" s="358"/>
      <c r="U322" s="104"/>
      <c r="V322" s="95"/>
      <c r="W322" s="105"/>
      <c r="X322" s="95"/>
      <c r="Y322" s="95"/>
      <c r="Z322" s="95"/>
      <c r="AA322" s="95"/>
      <c r="AB322" s="95"/>
      <c r="AC322" s="95"/>
      <c r="AD322" s="17">
        <f t="shared" si="90"/>
        <v>0</v>
      </c>
      <c r="AE322" s="17">
        <f t="shared" si="98"/>
        <v>0</v>
      </c>
      <c r="AF322" s="17">
        <f t="shared" si="98"/>
        <v>0</v>
      </c>
      <c r="AG322" s="17">
        <f t="shared" si="98"/>
        <v>0</v>
      </c>
      <c r="AH322" s="18" t="str">
        <f t="shared" si="92"/>
        <v>0,;!0,;!0,;!0</v>
      </c>
      <c r="AI322" s="18" t="e">
        <f>INDEX([1]Library!$AL:$AL,MATCH(AH322,[1]Library!$AJ:$AJ,0),1)</f>
        <v>#N/A</v>
      </c>
      <c r="AJ322" s="18" t="e">
        <f>TEXT(INDEX([1]Library!$W:$W,MATCH(AH322,[1]Library!$AJ:$AJ,0),1),"")</f>
        <v>#N/A</v>
      </c>
    </row>
    <row r="323" spans="1:36" ht="25.05" customHeight="1" outlineLevel="2">
      <c r="A323" s="378" t="s">
        <v>44</v>
      </c>
      <c r="B323" s="118" t="s">
        <v>44</v>
      </c>
      <c r="C323" s="119" t="s">
        <v>44</v>
      </c>
      <c r="D323" s="120" t="s">
        <v>44</v>
      </c>
      <c r="E323" s="290" t="s">
        <v>346</v>
      </c>
      <c r="F323" s="300"/>
      <c r="G323" s="304"/>
      <c r="H323" s="122">
        <v>0</v>
      </c>
      <c r="I323" s="123">
        <v>0</v>
      </c>
      <c r="J323" s="124">
        <v>0</v>
      </c>
      <c r="K323" s="125">
        <v>0</v>
      </c>
      <c r="L323" s="124">
        <v>0</v>
      </c>
      <c r="M323" s="125">
        <v>0</v>
      </c>
      <c r="N323" s="126">
        <v>0</v>
      </c>
      <c r="O323" s="125">
        <v>0</v>
      </c>
      <c r="P323" s="127">
        <v>0</v>
      </c>
      <c r="Q323" s="128">
        <f t="shared" si="93"/>
        <v>0</v>
      </c>
      <c r="R323" s="129">
        <f t="shared" si="94"/>
        <v>0</v>
      </c>
      <c r="S323" s="379">
        <f t="shared" si="95"/>
        <v>0</v>
      </c>
      <c r="T323" s="358"/>
      <c r="U323" s="104"/>
      <c r="V323" s="95"/>
      <c r="W323" s="105"/>
      <c r="X323" s="95"/>
      <c r="Y323" s="95"/>
      <c r="Z323" s="95"/>
      <c r="AA323" s="95"/>
      <c r="AB323" s="95"/>
      <c r="AC323" s="95"/>
      <c r="AD323" s="17">
        <f t="shared" si="90"/>
        <v>0</v>
      </c>
      <c r="AE323" s="17">
        <f t="shared" si="98"/>
        <v>0</v>
      </c>
      <c r="AF323" s="17">
        <f t="shared" si="98"/>
        <v>0</v>
      </c>
      <c r="AG323" s="17">
        <f t="shared" si="98"/>
        <v>0</v>
      </c>
      <c r="AH323" s="18" t="str">
        <f t="shared" si="92"/>
        <v>0,;!0,;!0,;!0</v>
      </c>
      <c r="AI323" s="18" t="e">
        <f>INDEX([1]Library!$AL:$AL,MATCH(AH323,[1]Library!$AJ:$AJ,0),1)</f>
        <v>#N/A</v>
      </c>
      <c r="AJ323" s="18" t="e">
        <f>TEXT(INDEX([1]Library!$W:$W,MATCH(AH323,[1]Library!$AJ:$AJ,0),1),"")</f>
        <v>#N/A</v>
      </c>
    </row>
    <row r="324" spans="1:36" ht="25.05" customHeight="1" outlineLevel="2">
      <c r="A324" s="376" t="s">
        <v>44</v>
      </c>
      <c r="B324" s="107" t="s">
        <v>44</v>
      </c>
      <c r="C324" s="108" t="s">
        <v>44</v>
      </c>
      <c r="D324" s="109" t="s">
        <v>347</v>
      </c>
      <c r="E324" s="289"/>
      <c r="F324" s="299"/>
      <c r="G324" s="62"/>
      <c r="H324" s="111">
        <v>1</v>
      </c>
      <c r="I324" s="112" t="s">
        <v>140</v>
      </c>
      <c r="J324" s="113">
        <v>10044.64</v>
      </c>
      <c r="K324" s="114">
        <v>10044.64</v>
      </c>
      <c r="L324" s="113">
        <v>2008.9279999999999</v>
      </c>
      <c r="M324" s="114">
        <v>2008.9279999999999</v>
      </c>
      <c r="N324" s="115">
        <v>0</v>
      </c>
      <c r="O324" s="114">
        <v>0</v>
      </c>
      <c r="P324" s="116">
        <v>12053.567999999999</v>
      </c>
      <c r="Q324" s="117">
        <f>P324/P$13</f>
        <v>3.4289634274782195E-5</v>
      </c>
      <c r="R324" s="114">
        <f>P324/I$5</f>
        <v>1.0033678206559333</v>
      </c>
      <c r="S324" s="377">
        <f>P324/I$7</f>
        <v>39.134961038961038</v>
      </c>
      <c r="T324" s="357"/>
      <c r="U324" s="104"/>
      <c r="V324" s="95"/>
      <c r="W324" s="105"/>
      <c r="X324" s="95"/>
      <c r="Y324" s="95"/>
      <c r="Z324" s="95"/>
      <c r="AA324" s="95"/>
      <c r="AB324" s="95"/>
      <c r="AC324" s="95"/>
      <c r="AD324" s="17">
        <f t="shared" si="90"/>
        <v>0</v>
      </c>
      <c r="AE324" s="17">
        <f t="shared" si="98"/>
        <v>0</v>
      </c>
      <c r="AF324" s="17">
        <f t="shared" si="98"/>
        <v>0</v>
      </c>
      <c r="AG324" s="17">
        <f t="shared" si="98"/>
        <v>0</v>
      </c>
      <c r="AH324" s="18" t="str">
        <f t="shared" si="92"/>
        <v>0,;!0,;!0,;!0</v>
      </c>
      <c r="AI324" s="18" t="e">
        <f>INDEX([1]Library!$AL:$AL,MATCH(AH324,[1]Library!$AJ:$AJ,0),1)</f>
        <v>#N/A</v>
      </c>
      <c r="AJ324" s="18" t="e">
        <f>TEXT(INDEX([1]Library!$W:$W,MATCH(AH324,[1]Library!$AJ:$AJ,0),1),"")</f>
        <v>#N/A</v>
      </c>
    </row>
    <row r="325" spans="1:36" ht="25.05" customHeight="1" outlineLevel="2">
      <c r="A325" s="378" t="s">
        <v>44</v>
      </c>
      <c r="B325" s="118" t="s">
        <v>44</v>
      </c>
      <c r="C325" s="119" t="s">
        <v>44</v>
      </c>
      <c r="D325" s="120" t="s">
        <v>44</v>
      </c>
      <c r="E325" s="290" t="s">
        <v>348</v>
      </c>
      <c r="F325" s="300"/>
      <c r="G325" s="304"/>
      <c r="H325" s="122">
        <v>1</v>
      </c>
      <c r="I325" s="123" t="s">
        <v>140</v>
      </c>
      <c r="J325" s="124">
        <v>10044.64</v>
      </c>
      <c r="K325" s="125">
        <v>10044.64</v>
      </c>
      <c r="L325" s="124">
        <v>2008.9279999999999</v>
      </c>
      <c r="M325" s="125">
        <v>2008.9279999999999</v>
      </c>
      <c r="N325" s="126">
        <v>0</v>
      </c>
      <c r="O325" s="125">
        <v>0</v>
      </c>
      <c r="P325" s="127">
        <v>12053.567999999999</v>
      </c>
      <c r="Q325" s="128">
        <f t="shared" si="93"/>
        <v>3.4289634274782195E-5</v>
      </c>
      <c r="R325" s="129">
        <f t="shared" si="94"/>
        <v>1.0033678206559333</v>
      </c>
      <c r="S325" s="379">
        <f t="shared" si="95"/>
        <v>39.134961038961038</v>
      </c>
      <c r="T325" s="358"/>
      <c r="U325" s="104"/>
      <c r="V325" s="95"/>
      <c r="W325" s="105"/>
      <c r="X325" s="95"/>
      <c r="Y325" s="95"/>
      <c r="Z325" s="95"/>
      <c r="AA325" s="95"/>
      <c r="AB325" s="95"/>
      <c r="AC325" s="95"/>
      <c r="AD325" s="17">
        <f t="shared" si="90"/>
        <v>0</v>
      </c>
      <c r="AE325" s="17">
        <f t="shared" si="98"/>
        <v>0</v>
      </c>
      <c r="AF325" s="17">
        <f t="shared" si="98"/>
        <v>0</v>
      </c>
      <c r="AG325" s="17">
        <f t="shared" si="98"/>
        <v>0</v>
      </c>
      <c r="AH325" s="18" t="str">
        <f t="shared" si="92"/>
        <v>0,;!0,;!0,;!0</v>
      </c>
      <c r="AI325" s="18" t="e">
        <f>INDEX([1]Library!$AL:$AL,MATCH(AH325,[1]Library!$AJ:$AJ,0),1)</f>
        <v>#N/A</v>
      </c>
      <c r="AJ325" s="18" t="e">
        <f>TEXT(INDEX([1]Library!$W:$W,MATCH(AH325,[1]Library!$AJ:$AJ,0),1),"")</f>
        <v>#N/A</v>
      </c>
    </row>
    <row r="326" spans="1:36" ht="25.05" customHeight="1" outlineLevel="2">
      <c r="A326" s="378" t="s">
        <v>44</v>
      </c>
      <c r="B326" s="118" t="s">
        <v>44</v>
      </c>
      <c r="C326" s="119" t="s">
        <v>44</v>
      </c>
      <c r="D326" s="120" t="s">
        <v>44</v>
      </c>
      <c r="E326" s="290" t="s">
        <v>349</v>
      </c>
      <c r="F326" s="300"/>
      <c r="G326" s="304"/>
      <c r="H326" s="122">
        <v>0</v>
      </c>
      <c r="I326" s="123">
        <v>0</v>
      </c>
      <c r="J326" s="124">
        <v>0</v>
      </c>
      <c r="K326" s="125">
        <v>0</v>
      </c>
      <c r="L326" s="124">
        <v>0</v>
      </c>
      <c r="M326" s="125">
        <v>0</v>
      </c>
      <c r="N326" s="126">
        <v>0</v>
      </c>
      <c r="O326" s="125">
        <v>0</v>
      </c>
      <c r="P326" s="127">
        <v>0</v>
      </c>
      <c r="Q326" s="128">
        <f t="shared" si="93"/>
        <v>0</v>
      </c>
      <c r="R326" s="129">
        <f t="shared" si="94"/>
        <v>0</v>
      </c>
      <c r="S326" s="379">
        <f t="shared" si="95"/>
        <v>0</v>
      </c>
      <c r="T326" s="358"/>
      <c r="U326" s="104"/>
      <c r="V326" s="95"/>
      <c r="W326" s="105"/>
      <c r="X326" s="95"/>
      <c r="Y326" s="95"/>
      <c r="Z326" s="95"/>
      <c r="AA326" s="95"/>
      <c r="AB326" s="95"/>
      <c r="AC326" s="95"/>
      <c r="AD326" s="17">
        <f t="shared" si="90"/>
        <v>0</v>
      </c>
      <c r="AE326" s="17">
        <f t="shared" si="98"/>
        <v>0</v>
      </c>
      <c r="AF326" s="17">
        <f t="shared" si="98"/>
        <v>0</v>
      </c>
      <c r="AG326" s="17">
        <f t="shared" si="98"/>
        <v>0</v>
      </c>
      <c r="AH326" s="18" t="str">
        <f t="shared" si="92"/>
        <v>0,;!0,;!0,;!0</v>
      </c>
      <c r="AI326" s="18" t="e">
        <f>INDEX([1]Library!$AL:$AL,MATCH(AH326,[1]Library!$AJ:$AJ,0),1)</f>
        <v>#N/A</v>
      </c>
      <c r="AJ326" s="18" t="e">
        <f>TEXT(INDEX([1]Library!$W:$W,MATCH(AH326,[1]Library!$AJ:$AJ,0),1),"")</f>
        <v>#N/A</v>
      </c>
    </row>
    <row r="327" spans="1:36" ht="25.05" customHeight="1" outlineLevel="2">
      <c r="A327" s="378" t="s">
        <v>44</v>
      </c>
      <c r="B327" s="118" t="s">
        <v>44</v>
      </c>
      <c r="C327" s="119" t="s">
        <v>44</v>
      </c>
      <c r="D327" s="120" t="s">
        <v>44</v>
      </c>
      <c r="E327" s="290" t="s">
        <v>346</v>
      </c>
      <c r="F327" s="300"/>
      <c r="G327" s="304"/>
      <c r="H327" s="122">
        <v>0</v>
      </c>
      <c r="I327" s="123">
        <v>0</v>
      </c>
      <c r="J327" s="124">
        <v>0</v>
      </c>
      <c r="K327" s="125">
        <v>0</v>
      </c>
      <c r="L327" s="124">
        <v>0</v>
      </c>
      <c r="M327" s="125">
        <v>0</v>
      </c>
      <c r="N327" s="126">
        <v>0</v>
      </c>
      <c r="O327" s="125">
        <v>0</v>
      </c>
      <c r="P327" s="127">
        <v>0</v>
      </c>
      <c r="Q327" s="128">
        <f t="shared" si="93"/>
        <v>0</v>
      </c>
      <c r="R327" s="129">
        <f t="shared" si="94"/>
        <v>0</v>
      </c>
      <c r="S327" s="379">
        <f t="shared" si="95"/>
        <v>0</v>
      </c>
      <c r="T327" s="358"/>
      <c r="U327" s="104"/>
      <c r="V327" s="95"/>
      <c r="W327" s="105"/>
      <c r="X327" s="95"/>
      <c r="Y327" s="95"/>
      <c r="Z327" s="95"/>
      <c r="AA327" s="95"/>
      <c r="AB327" s="95"/>
      <c r="AC327" s="95"/>
      <c r="AD327" s="17">
        <f t="shared" si="90"/>
        <v>0</v>
      </c>
      <c r="AE327" s="17">
        <f t="shared" si="98"/>
        <v>0</v>
      </c>
      <c r="AF327" s="17">
        <f t="shared" si="98"/>
        <v>0</v>
      </c>
      <c r="AG327" s="17">
        <f t="shared" si="98"/>
        <v>0</v>
      </c>
      <c r="AH327" s="18" t="str">
        <f t="shared" si="92"/>
        <v>0,;!0,;!0,;!0</v>
      </c>
      <c r="AI327" s="18" t="e">
        <f>INDEX([1]Library!$AL:$AL,MATCH(AH327,[1]Library!$AJ:$AJ,0),1)</f>
        <v>#N/A</v>
      </c>
      <c r="AJ327" s="18" t="e">
        <f>TEXT(INDEX([1]Library!$W:$W,MATCH(AH327,[1]Library!$AJ:$AJ,0),1),"")</f>
        <v>#N/A</v>
      </c>
    </row>
    <row r="328" spans="1:36" ht="25.05" customHeight="1" outlineLevel="1">
      <c r="A328" s="374" t="s">
        <v>44</v>
      </c>
      <c r="B328" s="96" t="s">
        <v>44</v>
      </c>
      <c r="C328" s="97" t="s">
        <v>350</v>
      </c>
      <c r="D328" s="97"/>
      <c r="E328" s="98"/>
      <c r="F328" s="298"/>
      <c r="G328" s="62"/>
      <c r="H328" s="99">
        <v>1</v>
      </c>
      <c r="I328" s="100" t="s">
        <v>35</v>
      </c>
      <c r="J328" s="99">
        <v>987271.03750000009</v>
      </c>
      <c r="K328" s="99">
        <v>987271.03750000009</v>
      </c>
      <c r="L328" s="99">
        <v>324181.31124999997</v>
      </c>
      <c r="M328" s="99">
        <v>324181.31124999997</v>
      </c>
      <c r="N328" s="99">
        <v>1500000</v>
      </c>
      <c r="O328" s="99">
        <v>1500000</v>
      </c>
      <c r="P328" s="101">
        <v>2811452.3487499999</v>
      </c>
      <c r="Q328" s="102">
        <f>P328/P$13</f>
        <v>7.9979366125959486E-3</v>
      </c>
      <c r="R328" s="103">
        <f>P328/I$5</f>
        <v>234.03201575195763</v>
      </c>
      <c r="S328" s="375">
        <f>P328/I$7</f>
        <v>9128.092041396103</v>
      </c>
      <c r="T328" s="356"/>
      <c r="U328" s="104"/>
      <c r="V328" s="95"/>
      <c r="W328" s="105"/>
      <c r="X328" s="95"/>
      <c r="Y328" s="95"/>
      <c r="Z328" s="95"/>
      <c r="AA328" s="95"/>
      <c r="AB328" s="95"/>
      <c r="AC328" s="95"/>
      <c r="AD328" s="17">
        <f t="shared" si="90"/>
        <v>0</v>
      </c>
      <c r="AE328" s="17">
        <f t="shared" si="98"/>
        <v>0</v>
      </c>
      <c r="AF328" s="17">
        <f t="shared" si="98"/>
        <v>0</v>
      </c>
      <c r="AG328" s="17">
        <f t="shared" si="98"/>
        <v>0</v>
      </c>
      <c r="AH328" s="18" t="str">
        <f t="shared" si="92"/>
        <v>0,;!0,;!0,;!0</v>
      </c>
      <c r="AI328" s="18" t="e">
        <f>INDEX([1]Library!$AL:$AL,MATCH(AH328,[1]Library!$AJ:$AJ,0),1)</f>
        <v>#N/A</v>
      </c>
      <c r="AJ328" s="18" t="e">
        <f>TEXT(INDEX([1]Library!$W:$W,MATCH(AH328,[1]Library!$AJ:$AJ,0),1),"")</f>
        <v>#N/A</v>
      </c>
    </row>
    <row r="329" spans="1:36" ht="25.05" customHeight="1" outlineLevel="2">
      <c r="A329" s="376" t="s">
        <v>44</v>
      </c>
      <c r="B329" s="107" t="s">
        <v>44</v>
      </c>
      <c r="C329" s="108" t="s">
        <v>44</v>
      </c>
      <c r="D329" s="109" t="s">
        <v>351</v>
      </c>
      <c r="E329" s="289"/>
      <c r="F329" s="299"/>
      <c r="G329" s="62"/>
      <c r="H329" s="111">
        <v>11</v>
      </c>
      <c r="I329" s="112" t="s">
        <v>140</v>
      </c>
      <c r="J329" s="113">
        <v>89751.912500000006</v>
      </c>
      <c r="K329" s="114">
        <v>987271.03750000009</v>
      </c>
      <c r="L329" s="113">
        <v>26925.573749999996</v>
      </c>
      <c r="M329" s="114">
        <v>296181.31124999997</v>
      </c>
      <c r="N329" s="115">
        <v>0</v>
      </c>
      <c r="O329" s="114">
        <v>0</v>
      </c>
      <c r="P329" s="116">
        <v>1283452.3487500001</v>
      </c>
      <c r="Q329" s="117">
        <f>P329/P$13</f>
        <v>3.6511273382078832E-3</v>
      </c>
      <c r="R329" s="114">
        <f>P329/I$5</f>
        <v>106.83764227165156</v>
      </c>
      <c r="S329" s="377">
        <f>P329/I$7</f>
        <v>4167.0530803571437</v>
      </c>
      <c r="T329" s="357"/>
      <c r="U329" s="104"/>
      <c r="V329" s="95"/>
      <c r="W329" s="105"/>
      <c r="X329" s="95"/>
      <c r="Y329" s="95"/>
      <c r="Z329" s="95"/>
      <c r="AA329" s="95"/>
      <c r="AB329" s="95"/>
      <c r="AC329" s="95"/>
      <c r="AD329" s="17">
        <f t="shared" si="90"/>
        <v>0</v>
      </c>
      <c r="AE329" s="17">
        <f t="shared" si="98"/>
        <v>0</v>
      </c>
      <c r="AF329" s="17">
        <f t="shared" si="98"/>
        <v>0</v>
      </c>
      <c r="AG329" s="17">
        <f t="shared" si="98"/>
        <v>0</v>
      </c>
      <c r="AH329" s="18" t="str">
        <f t="shared" si="92"/>
        <v>0,;!0,;!0,;!0</v>
      </c>
      <c r="AI329" s="18" t="e">
        <f>INDEX([1]Library!$AL:$AL,MATCH(AH329,[1]Library!$AJ:$AJ,0),1)</f>
        <v>#N/A</v>
      </c>
      <c r="AJ329" s="18" t="e">
        <f>TEXT(INDEX([1]Library!$W:$W,MATCH(AH329,[1]Library!$AJ:$AJ,0),1),"")</f>
        <v>#N/A</v>
      </c>
    </row>
    <row r="330" spans="1:36" ht="25.05" customHeight="1" outlineLevel="2">
      <c r="A330" s="378" t="s">
        <v>44</v>
      </c>
      <c r="B330" s="118" t="s">
        <v>44</v>
      </c>
      <c r="C330" s="119" t="s">
        <v>44</v>
      </c>
      <c r="D330" s="120" t="s">
        <v>44</v>
      </c>
      <c r="E330" s="290" t="s">
        <v>352</v>
      </c>
      <c r="F330" s="300"/>
      <c r="G330" s="304"/>
      <c r="H330" s="122">
        <v>11</v>
      </c>
      <c r="I330" s="123" t="s">
        <v>140</v>
      </c>
      <c r="J330" s="124">
        <v>89751.912500000006</v>
      </c>
      <c r="K330" s="125">
        <v>987271.03750000009</v>
      </c>
      <c r="L330" s="124">
        <v>26925.573749999996</v>
      </c>
      <c r="M330" s="125">
        <v>296181.31124999997</v>
      </c>
      <c r="N330" s="126">
        <v>0</v>
      </c>
      <c r="O330" s="125">
        <v>0</v>
      </c>
      <c r="P330" s="127">
        <v>1283452.3487500001</v>
      </c>
      <c r="Q330" s="128">
        <f t="shared" si="93"/>
        <v>3.6511273382078832E-3</v>
      </c>
      <c r="R330" s="129">
        <f t="shared" si="94"/>
        <v>106.83764227165156</v>
      </c>
      <c r="S330" s="379">
        <f t="shared" si="95"/>
        <v>4167.0530803571437</v>
      </c>
      <c r="T330" s="358"/>
      <c r="U330" s="104"/>
      <c r="V330" s="95"/>
      <c r="W330" s="105"/>
      <c r="X330" s="95"/>
      <c r="Y330" s="95"/>
      <c r="Z330" s="95"/>
      <c r="AA330" s="95"/>
      <c r="AB330" s="95"/>
      <c r="AC330" s="95"/>
      <c r="AD330" s="17">
        <f t="shared" si="90"/>
        <v>0</v>
      </c>
      <c r="AE330" s="17">
        <f t="shared" si="98"/>
        <v>0</v>
      </c>
      <c r="AF330" s="17">
        <f t="shared" si="98"/>
        <v>0</v>
      </c>
      <c r="AG330" s="17">
        <f t="shared" si="98"/>
        <v>0</v>
      </c>
      <c r="AH330" s="18" t="str">
        <f t="shared" si="92"/>
        <v>0,;!0,;!0,;!0</v>
      </c>
      <c r="AI330" s="18" t="e">
        <f>INDEX([1]Library!$AL:$AL,MATCH(AH330,[1]Library!$AJ:$AJ,0),1)</f>
        <v>#N/A</v>
      </c>
      <c r="AJ330" s="18" t="e">
        <f>TEXT(INDEX([1]Library!$W:$W,MATCH(AH330,[1]Library!$AJ:$AJ,0),1),"")</f>
        <v>#N/A</v>
      </c>
    </row>
    <row r="331" spans="1:36" ht="25.05" customHeight="1" outlineLevel="2">
      <c r="A331" s="378" t="s">
        <v>44</v>
      </c>
      <c r="B331" s="118" t="s">
        <v>44</v>
      </c>
      <c r="C331" s="119" t="s">
        <v>44</v>
      </c>
      <c r="D331" s="120" t="s">
        <v>44</v>
      </c>
      <c r="E331" s="290" t="s">
        <v>353</v>
      </c>
      <c r="F331" s="300"/>
      <c r="G331" s="304"/>
      <c r="H331" s="122">
        <v>0</v>
      </c>
      <c r="I331" s="123">
        <v>0</v>
      </c>
      <c r="J331" s="124">
        <v>0</v>
      </c>
      <c r="K331" s="125">
        <v>0</v>
      </c>
      <c r="L331" s="124">
        <v>0</v>
      </c>
      <c r="M331" s="125">
        <v>0</v>
      </c>
      <c r="N331" s="126">
        <v>0</v>
      </c>
      <c r="O331" s="125">
        <v>0</v>
      </c>
      <c r="P331" s="127">
        <v>0</v>
      </c>
      <c r="Q331" s="128">
        <f t="shared" si="93"/>
        <v>0</v>
      </c>
      <c r="R331" s="129">
        <f t="shared" si="94"/>
        <v>0</v>
      </c>
      <c r="S331" s="379">
        <f t="shared" si="95"/>
        <v>0</v>
      </c>
      <c r="T331" s="358"/>
      <c r="U331" s="104"/>
      <c r="V331" s="95"/>
      <c r="W331" s="105"/>
      <c r="X331" s="95"/>
      <c r="Y331" s="95"/>
      <c r="Z331" s="95"/>
      <c r="AA331" s="95"/>
      <c r="AB331" s="95"/>
      <c r="AC331" s="95"/>
      <c r="AD331" s="17">
        <f t="shared" si="90"/>
        <v>0</v>
      </c>
      <c r="AE331" s="17">
        <f t="shared" si="98"/>
        <v>0</v>
      </c>
      <c r="AF331" s="17">
        <f t="shared" si="98"/>
        <v>0</v>
      </c>
      <c r="AG331" s="17">
        <f t="shared" si="98"/>
        <v>0</v>
      </c>
      <c r="AH331" s="18" t="str">
        <f t="shared" si="92"/>
        <v>0,;!0,;!0,;!0</v>
      </c>
      <c r="AI331" s="18" t="e">
        <f>INDEX([1]Library!$AL:$AL,MATCH(AH331,[1]Library!$AJ:$AJ,0),1)</f>
        <v>#N/A</v>
      </c>
      <c r="AJ331" s="18" t="e">
        <f>TEXT(INDEX([1]Library!$W:$W,MATCH(AH331,[1]Library!$AJ:$AJ,0),1),"")</f>
        <v>#N/A</v>
      </c>
    </row>
    <row r="332" spans="1:36" ht="25.05" customHeight="1" outlineLevel="2">
      <c r="A332" s="376" t="s">
        <v>44</v>
      </c>
      <c r="B332" s="107" t="s">
        <v>44</v>
      </c>
      <c r="C332" s="108" t="s">
        <v>44</v>
      </c>
      <c r="D332" s="109" t="s">
        <v>354</v>
      </c>
      <c r="E332" s="289"/>
      <c r="F332" s="299"/>
      <c r="G332" s="62"/>
      <c r="H332" s="111">
        <v>28</v>
      </c>
      <c r="I332" s="112" t="s">
        <v>140</v>
      </c>
      <c r="J332" s="113">
        <v>0</v>
      </c>
      <c r="K332" s="114">
        <v>0</v>
      </c>
      <c r="L332" s="113">
        <v>1000</v>
      </c>
      <c r="M332" s="114">
        <v>28000</v>
      </c>
      <c r="N332" s="115">
        <v>0</v>
      </c>
      <c r="O332" s="114">
        <v>0</v>
      </c>
      <c r="P332" s="116">
        <v>28000</v>
      </c>
      <c r="Q332" s="117">
        <f t="shared" si="93"/>
        <v>7.9653573090880772E-5</v>
      </c>
      <c r="R332" s="114">
        <f t="shared" si="94"/>
        <v>2.3307869485919963</v>
      </c>
      <c r="S332" s="377">
        <f t="shared" si="95"/>
        <v>90.909090909090907</v>
      </c>
      <c r="T332" s="357"/>
      <c r="U332" s="104"/>
      <c r="V332" s="95"/>
      <c r="W332" s="105"/>
      <c r="X332" s="95"/>
      <c r="Y332" s="95"/>
      <c r="Z332" s="95"/>
      <c r="AA332" s="95"/>
      <c r="AB332" s="95"/>
      <c r="AC332" s="95"/>
      <c r="AD332" s="17">
        <f t="shared" si="90"/>
        <v>0</v>
      </c>
      <c r="AE332" s="17">
        <f t="shared" si="98"/>
        <v>0</v>
      </c>
      <c r="AF332" s="17">
        <f t="shared" si="98"/>
        <v>0</v>
      </c>
      <c r="AG332" s="17">
        <f t="shared" si="98"/>
        <v>0</v>
      </c>
      <c r="AH332" s="18" t="str">
        <f t="shared" si="92"/>
        <v>0,;!0,;!0,;!0</v>
      </c>
      <c r="AI332" s="18" t="e">
        <f>INDEX([1]Library!$AL:$AL,MATCH(AH332,[1]Library!$AJ:$AJ,0),1)</f>
        <v>#N/A</v>
      </c>
      <c r="AJ332" s="18" t="e">
        <f>TEXT(INDEX([1]Library!$W:$W,MATCH(AH332,[1]Library!$AJ:$AJ,0),1),"")</f>
        <v>#N/A</v>
      </c>
    </row>
    <row r="333" spans="1:36" ht="25.05" customHeight="1" outlineLevel="2">
      <c r="A333" s="376" t="s">
        <v>44</v>
      </c>
      <c r="B333" s="107" t="s">
        <v>44</v>
      </c>
      <c r="C333" s="108" t="s">
        <v>44</v>
      </c>
      <c r="D333" s="109" t="s">
        <v>355</v>
      </c>
      <c r="E333" s="289"/>
      <c r="F333" s="299"/>
      <c r="G333" s="62"/>
      <c r="H333" s="111">
        <v>1</v>
      </c>
      <c r="I333" s="112" t="s">
        <v>35</v>
      </c>
      <c r="J333" s="113">
        <v>0</v>
      </c>
      <c r="K333" s="114">
        <v>0</v>
      </c>
      <c r="L333" s="113">
        <v>0</v>
      </c>
      <c r="M333" s="114">
        <v>0</v>
      </c>
      <c r="N333" s="115">
        <v>1500000</v>
      </c>
      <c r="O333" s="114">
        <v>1500000</v>
      </c>
      <c r="P333" s="116">
        <v>1500000</v>
      </c>
      <c r="Q333" s="117">
        <f t="shared" si="93"/>
        <v>4.2671557012971843E-3</v>
      </c>
      <c r="R333" s="114">
        <f t="shared" si="94"/>
        <v>124.86358653171409</v>
      </c>
      <c r="S333" s="377">
        <f t="shared" si="95"/>
        <v>4870.1298701298701</v>
      </c>
      <c r="T333" s="357"/>
      <c r="U333" s="104"/>
      <c r="V333" s="95"/>
      <c r="W333" s="105"/>
      <c r="X333" s="95"/>
      <c r="Y333" s="95"/>
      <c r="Z333" s="95"/>
      <c r="AA333" s="95"/>
      <c r="AB333" s="95"/>
      <c r="AC333" s="95"/>
      <c r="AD333" s="17">
        <f t="shared" si="90"/>
        <v>0</v>
      </c>
      <c r="AE333" s="17">
        <f t="shared" si="98"/>
        <v>0</v>
      </c>
      <c r="AF333" s="17">
        <f t="shared" si="98"/>
        <v>0</v>
      </c>
      <c r="AG333" s="17">
        <f t="shared" si="98"/>
        <v>0</v>
      </c>
      <c r="AH333" s="18" t="str">
        <f t="shared" si="92"/>
        <v>0,;!0,;!0,;!0</v>
      </c>
      <c r="AI333" s="18" t="e">
        <f>INDEX([1]Library!$AL:$AL,MATCH(AH333,[1]Library!$AJ:$AJ,0),1)</f>
        <v>#N/A</v>
      </c>
      <c r="AJ333" s="18" t="e">
        <f>TEXT(INDEX([1]Library!$W:$W,MATCH(AH333,[1]Library!$AJ:$AJ,0),1),"")</f>
        <v>#N/A</v>
      </c>
    </row>
    <row r="334" spans="1:36" ht="25.05" customHeight="1" outlineLevel="1">
      <c r="A334" s="374" t="s">
        <v>44</v>
      </c>
      <c r="B334" s="96" t="s">
        <v>44</v>
      </c>
      <c r="C334" s="97" t="s">
        <v>356</v>
      </c>
      <c r="D334" s="97"/>
      <c r="E334" s="98"/>
      <c r="F334" s="298"/>
      <c r="G334" s="62"/>
      <c r="H334" s="99">
        <v>1</v>
      </c>
      <c r="I334" s="100" t="s">
        <v>35</v>
      </c>
      <c r="J334" s="99">
        <v>38887.800000000003</v>
      </c>
      <c r="K334" s="99">
        <v>38887.800000000003</v>
      </c>
      <c r="L334" s="99">
        <v>11000</v>
      </c>
      <c r="M334" s="99">
        <v>11000</v>
      </c>
      <c r="N334" s="99">
        <v>0</v>
      </c>
      <c r="O334" s="99">
        <v>0</v>
      </c>
      <c r="P334" s="101">
        <v>49887.8</v>
      </c>
      <c r="Q334" s="102">
        <f>P334/P$13</f>
        <v>1.4191934013011578E-4</v>
      </c>
      <c r="R334" s="103">
        <f>P334/I$5</f>
        <v>4.1527797547845644</v>
      </c>
      <c r="S334" s="375">
        <f>P334/I$7</f>
        <v>161.97337662337662</v>
      </c>
      <c r="T334" s="356"/>
      <c r="U334" s="104"/>
      <c r="V334" s="95"/>
      <c r="W334" s="105"/>
      <c r="X334" s="95"/>
      <c r="Y334" s="95"/>
      <c r="Z334" s="95"/>
      <c r="AA334" s="95"/>
      <c r="AB334" s="95"/>
      <c r="AC334" s="95"/>
      <c r="AD334" s="17">
        <f t="shared" ref="AD334:AD397" si="99">IF(X334&lt;&gt;0,IF($X334&gt;=AD$12,AD333,""),Z334)</f>
        <v>0</v>
      </c>
      <c r="AE334" s="17">
        <f t="shared" ref="AE334:AG349" si="100">IF(AA334=" ",IF($X334&gt;=AE$12,AE333,""),AA334)</f>
        <v>0</v>
      </c>
      <c r="AF334" s="17">
        <f t="shared" si="100"/>
        <v>0</v>
      </c>
      <c r="AG334" s="17">
        <f t="shared" si="100"/>
        <v>0</v>
      </c>
      <c r="AH334" s="18" t="str">
        <f t="shared" ref="AH334:AH397" si="101">AD334&amp;",;!"&amp;AE334&amp;",;!"&amp;AF334&amp;",;!"&amp;AG334</f>
        <v>0,;!0,;!0,;!0</v>
      </c>
      <c r="AI334" s="18" t="e">
        <f>INDEX([1]Library!$AL:$AL,MATCH(AH334,[1]Library!$AJ:$AJ,0),1)</f>
        <v>#N/A</v>
      </c>
      <c r="AJ334" s="18" t="e">
        <f>TEXT(INDEX([1]Library!$W:$W,MATCH(AH334,[1]Library!$AJ:$AJ,0),1),"")</f>
        <v>#N/A</v>
      </c>
    </row>
    <row r="335" spans="1:36" ht="25.05" customHeight="1" outlineLevel="2">
      <c r="A335" s="376" t="s">
        <v>44</v>
      </c>
      <c r="B335" s="107" t="s">
        <v>44</v>
      </c>
      <c r="C335" s="108" t="s">
        <v>44</v>
      </c>
      <c r="D335" s="109" t="s">
        <v>357</v>
      </c>
      <c r="E335" s="289"/>
      <c r="F335" s="299"/>
      <c r="G335" s="62"/>
      <c r="H335" s="111">
        <v>3</v>
      </c>
      <c r="I335" s="112" t="s">
        <v>140</v>
      </c>
      <c r="J335" s="113">
        <v>2815</v>
      </c>
      <c r="K335" s="114">
        <v>8445</v>
      </c>
      <c r="L335" s="113">
        <v>1000</v>
      </c>
      <c r="M335" s="114">
        <v>3000</v>
      </c>
      <c r="N335" s="115">
        <v>0</v>
      </c>
      <c r="O335" s="114">
        <v>0</v>
      </c>
      <c r="P335" s="116">
        <v>11445</v>
      </c>
      <c r="Q335" s="117">
        <f t="shared" ref="Q335:Q340" si="102">P335/P$13</f>
        <v>3.2558398000897514E-5</v>
      </c>
      <c r="R335" s="114">
        <f t="shared" ref="R335:R340" si="103">P335/I$5</f>
        <v>0.95270916523697857</v>
      </c>
      <c r="S335" s="377">
        <f t="shared" ref="S335:S340" si="104">P335/I$7</f>
        <v>37.159090909090907</v>
      </c>
      <c r="T335" s="357"/>
      <c r="U335" s="104"/>
      <c r="V335" s="95"/>
      <c r="W335" s="105"/>
      <c r="X335" s="95"/>
      <c r="Y335" s="95"/>
      <c r="Z335" s="95"/>
      <c r="AA335" s="95"/>
      <c r="AB335" s="95"/>
      <c r="AC335" s="95"/>
      <c r="AD335" s="17">
        <f t="shared" si="99"/>
        <v>0</v>
      </c>
      <c r="AE335" s="17">
        <f t="shared" si="100"/>
        <v>0</v>
      </c>
      <c r="AF335" s="17">
        <f t="shared" si="100"/>
        <v>0</v>
      </c>
      <c r="AG335" s="17">
        <f t="shared" si="100"/>
        <v>0</v>
      </c>
      <c r="AH335" s="18" t="str">
        <f t="shared" si="101"/>
        <v>0,;!0,;!0,;!0</v>
      </c>
      <c r="AI335" s="18" t="e">
        <f>INDEX([1]Library!$AL:$AL,MATCH(AH335,[1]Library!$AJ:$AJ,0),1)</f>
        <v>#N/A</v>
      </c>
      <c r="AJ335" s="18" t="e">
        <f>TEXT(INDEX([1]Library!$W:$W,MATCH(AH335,[1]Library!$AJ:$AJ,0),1),"")</f>
        <v>#N/A</v>
      </c>
    </row>
    <row r="336" spans="1:36" ht="25.05" customHeight="1" outlineLevel="2">
      <c r="A336" s="376" t="s">
        <v>44</v>
      </c>
      <c r="B336" s="107" t="s">
        <v>44</v>
      </c>
      <c r="C336" s="108" t="s">
        <v>44</v>
      </c>
      <c r="D336" s="109" t="s">
        <v>358</v>
      </c>
      <c r="E336" s="289"/>
      <c r="F336" s="299"/>
      <c r="G336" s="62"/>
      <c r="H336" s="111">
        <v>1</v>
      </c>
      <c r="I336" s="112" t="s">
        <v>140</v>
      </c>
      <c r="J336" s="113">
        <v>2815</v>
      </c>
      <c r="K336" s="114">
        <v>2815</v>
      </c>
      <c r="L336" s="113">
        <v>1000</v>
      </c>
      <c r="M336" s="114">
        <v>1000</v>
      </c>
      <c r="N336" s="115">
        <v>0</v>
      </c>
      <c r="O336" s="114">
        <v>0</v>
      </c>
      <c r="P336" s="116">
        <v>3815</v>
      </c>
      <c r="Q336" s="117">
        <f t="shared" si="102"/>
        <v>1.0852799333632505E-5</v>
      </c>
      <c r="R336" s="114">
        <f t="shared" si="103"/>
        <v>0.31756972174565951</v>
      </c>
      <c r="S336" s="377">
        <f t="shared" si="104"/>
        <v>12.386363636363637</v>
      </c>
      <c r="T336" s="357"/>
      <c r="U336" s="104"/>
      <c r="V336" s="95"/>
      <c r="W336" s="105"/>
      <c r="X336" s="95"/>
      <c r="Y336" s="95"/>
      <c r="Z336" s="95"/>
      <c r="AA336" s="95"/>
      <c r="AB336" s="95"/>
      <c r="AC336" s="95"/>
      <c r="AD336" s="17">
        <f t="shared" si="99"/>
        <v>0</v>
      </c>
      <c r="AE336" s="17">
        <f t="shared" si="100"/>
        <v>0</v>
      </c>
      <c r="AF336" s="17">
        <f t="shared" si="100"/>
        <v>0</v>
      </c>
      <c r="AG336" s="17">
        <f t="shared" si="100"/>
        <v>0</v>
      </c>
      <c r="AH336" s="18" t="str">
        <f t="shared" si="101"/>
        <v>0,;!0,;!0,;!0</v>
      </c>
      <c r="AI336" s="18" t="e">
        <f>INDEX([1]Library!$AL:$AL,MATCH(AH336,[1]Library!$AJ:$AJ,0),1)</f>
        <v>#N/A</v>
      </c>
      <c r="AJ336" s="18" t="e">
        <f>TEXT(INDEX([1]Library!$W:$W,MATCH(AH336,[1]Library!$AJ:$AJ,0),1),"")</f>
        <v>#N/A</v>
      </c>
    </row>
    <row r="337" spans="1:36" ht="25.05" customHeight="1" outlineLevel="2">
      <c r="A337" s="376" t="s">
        <v>44</v>
      </c>
      <c r="B337" s="107" t="s">
        <v>44</v>
      </c>
      <c r="C337" s="108" t="s">
        <v>44</v>
      </c>
      <c r="D337" s="109" t="s">
        <v>359</v>
      </c>
      <c r="E337" s="289"/>
      <c r="F337" s="299"/>
      <c r="G337" s="62"/>
      <c r="H337" s="111">
        <v>1</v>
      </c>
      <c r="I337" s="112" t="s">
        <v>140</v>
      </c>
      <c r="J337" s="113">
        <v>5244.8</v>
      </c>
      <c r="K337" s="114">
        <v>5244.8</v>
      </c>
      <c r="L337" s="113">
        <v>1000</v>
      </c>
      <c r="M337" s="114">
        <v>1000</v>
      </c>
      <c r="N337" s="115">
        <v>0</v>
      </c>
      <c r="O337" s="114">
        <v>0</v>
      </c>
      <c r="P337" s="116">
        <v>6244.8</v>
      </c>
      <c r="Q337" s="117">
        <f t="shared" si="102"/>
        <v>1.776502261564044E-5</v>
      </c>
      <c r="R337" s="114">
        <f t="shared" si="103"/>
        <v>0.51983208344883214</v>
      </c>
      <c r="S337" s="377">
        <f t="shared" si="104"/>
        <v>20.275324675324676</v>
      </c>
      <c r="T337" s="357"/>
      <c r="U337" s="104"/>
      <c r="V337" s="95"/>
      <c r="W337" s="105"/>
      <c r="X337" s="95"/>
      <c r="Y337" s="95"/>
      <c r="Z337" s="95"/>
      <c r="AA337" s="95"/>
      <c r="AB337" s="95"/>
      <c r="AC337" s="95"/>
      <c r="AD337" s="17">
        <f t="shared" si="99"/>
        <v>0</v>
      </c>
      <c r="AE337" s="17">
        <f t="shared" si="100"/>
        <v>0</v>
      </c>
      <c r="AF337" s="17">
        <f t="shared" si="100"/>
        <v>0</v>
      </c>
      <c r="AG337" s="17">
        <f t="shared" si="100"/>
        <v>0</v>
      </c>
      <c r="AH337" s="18" t="str">
        <f t="shared" si="101"/>
        <v>0,;!0,;!0,;!0</v>
      </c>
      <c r="AI337" s="18" t="e">
        <f>INDEX([1]Library!$AL:$AL,MATCH(AH337,[1]Library!$AJ:$AJ,0),1)</f>
        <v>#N/A</v>
      </c>
      <c r="AJ337" s="18" t="e">
        <f>TEXT(INDEX([1]Library!$W:$W,MATCH(AH337,[1]Library!$AJ:$AJ,0),1),"")</f>
        <v>#N/A</v>
      </c>
    </row>
    <row r="338" spans="1:36" ht="25.05" customHeight="1" outlineLevel="2">
      <c r="A338" s="376" t="s">
        <v>44</v>
      </c>
      <c r="B338" s="107" t="s">
        <v>44</v>
      </c>
      <c r="C338" s="108" t="s">
        <v>44</v>
      </c>
      <c r="D338" s="109" t="s">
        <v>360</v>
      </c>
      <c r="E338" s="289"/>
      <c r="F338" s="299"/>
      <c r="G338" s="62"/>
      <c r="H338" s="111">
        <v>3</v>
      </c>
      <c r="I338" s="112" t="s">
        <v>140</v>
      </c>
      <c r="J338" s="113">
        <v>3678</v>
      </c>
      <c r="K338" s="114">
        <v>11034</v>
      </c>
      <c r="L338" s="113">
        <v>1000</v>
      </c>
      <c r="M338" s="114">
        <v>3000</v>
      </c>
      <c r="N338" s="115">
        <v>0</v>
      </c>
      <c r="O338" s="114">
        <v>0</v>
      </c>
      <c r="P338" s="116">
        <v>14034</v>
      </c>
      <c r="Q338" s="117">
        <f t="shared" si="102"/>
        <v>3.9923508741336456E-5</v>
      </c>
      <c r="R338" s="114">
        <f t="shared" si="103"/>
        <v>1.1682237155907171</v>
      </c>
      <c r="S338" s="377">
        <f t="shared" si="104"/>
        <v>45.564935064935064</v>
      </c>
      <c r="T338" s="357"/>
      <c r="U338" s="104"/>
      <c r="V338" s="95"/>
      <c r="W338" s="105"/>
      <c r="X338" s="95"/>
      <c r="Y338" s="95"/>
      <c r="Z338" s="95"/>
      <c r="AA338" s="95"/>
      <c r="AB338" s="95"/>
      <c r="AC338" s="95"/>
      <c r="AD338" s="17">
        <f t="shared" si="99"/>
        <v>0</v>
      </c>
      <c r="AE338" s="17">
        <f t="shared" si="100"/>
        <v>0</v>
      </c>
      <c r="AF338" s="17">
        <f t="shared" si="100"/>
        <v>0</v>
      </c>
      <c r="AG338" s="17">
        <f t="shared" si="100"/>
        <v>0</v>
      </c>
      <c r="AH338" s="18" t="str">
        <f t="shared" si="101"/>
        <v>0,;!0,;!0,;!0</v>
      </c>
      <c r="AI338" s="18" t="e">
        <f>INDEX([1]Library!$AL:$AL,MATCH(AH338,[1]Library!$AJ:$AJ,0),1)</f>
        <v>#N/A</v>
      </c>
      <c r="AJ338" s="18" t="e">
        <f>TEXT(INDEX([1]Library!$W:$W,MATCH(AH338,[1]Library!$AJ:$AJ,0),1),"")</f>
        <v>#N/A</v>
      </c>
    </row>
    <row r="339" spans="1:36" ht="25.05" customHeight="1" outlineLevel="2">
      <c r="A339" s="376" t="s">
        <v>44</v>
      </c>
      <c r="B339" s="107" t="s">
        <v>44</v>
      </c>
      <c r="C339" s="108" t="s">
        <v>44</v>
      </c>
      <c r="D339" s="109" t="s">
        <v>361</v>
      </c>
      <c r="E339" s="289"/>
      <c r="F339" s="299"/>
      <c r="G339" s="62"/>
      <c r="H339" s="111">
        <v>2</v>
      </c>
      <c r="I339" s="112" t="s">
        <v>140</v>
      </c>
      <c r="J339" s="113">
        <v>3783</v>
      </c>
      <c r="K339" s="114">
        <v>7566</v>
      </c>
      <c r="L339" s="113">
        <v>1000</v>
      </c>
      <c r="M339" s="114">
        <v>2000</v>
      </c>
      <c r="N339" s="115">
        <v>0</v>
      </c>
      <c r="O339" s="114">
        <v>0</v>
      </c>
      <c r="P339" s="116">
        <v>9566</v>
      </c>
      <c r="Q339" s="117">
        <f t="shared" si="102"/>
        <v>2.7213074292405912E-5</v>
      </c>
      <c r="R339" s="114">
        <f t="shared" si="103"/>
        <v>0.7962967125082514</v>
      </c>
      <c r="S339" s="377">
        <f t="shared" si="104"/>
        <v>31.058441558441558</v>
      </c>
      <c r="T339" s="357"/>
      <c r="U339" s="104"/>
      <c r="V339" s="95"/>
      <c r="W339" s="105"/>
      <c r="X339" s="95"/>
      <c r="Y339" s="95"/>
      <c r="Z339" s="95"/>
      <c r="AA339" s="95"/>
      <c r="AB339" s="95"/>
      <c r="AC339" s="95"/>
      <c r="AD339" s="17">
        <f t="shared" si="99"/>
        <v>0</v>
      </c>
      <c r="AE339" s="17">
        <f t="shared" si="100"/>
        <v>0</v>
      </c>
      <c r="AF339" s="17">
        <f t="shared" si="100"/>
        <v>0</v>
      </c>
      <c r="AG339" s="17">
        <f t="shared" si="100"/>
        <v>0</v>
      </c>
      <c r="AH339" s="18" t="str">
        <f t="shared" si="101"/>
        <v>0,;!0,;!0,;!0</v>
      </c>
      <c r="AI339" s="18" t="e">
        <f>INDEX([1]Library!$AL:$AL,MATCH(AH339,[1]Library!$AJ:$AJ,0),1)</f>
        <v>#N/A</v>
      </c>
      <c r="AJ339" s="18" t="e">
        <f>TEXT(INDEX([1]Library!$W:$W,MATCH(AH339,[1]Library!$AJ:$AJ,0),1),"")</f>
        <v>#N/A</v>
      </c>
    </row>
    <row r="340" spans="1:36" ht="25.05" customHeight="1" outlineLevel="2">
      <c r="A340" s="376" t="s">
        <v>44</v>
      </c>
      <c r="B340" s="107" t="s">
        <v>44</v>
      </c>
      <c r="C340" s="108" t="s">
        <v>44</v>
      </c>
      <c r="D340" s="109" t="s">
        <v>362</v>
      </c>
      <c r="E340" s="289"/>
      <c r="F340" s="299"/>
      <c r="G340" s="62"/>
      <c r="H340" s="111">
        <v>1</v>
      </c>
      <c r="I340" s="112" t="s">
        <v>140</v>
      </c>
      <c r="J340" s="113">
        <v>3783</v>
      </c>
      <c r="K340" s="114">
        <v>3783</v>
      </c>
      <c r="L340" s="113">
        <v>1000</v>
      </c>
      <c r="M340" s="114">
        <v>1000</v>
      </c>
      <c r="N340" s="115">
        <v>0</v>
      </c>
      <c r="O340" s="114">
        <v>0</v>
      </c>
      <c r="P340" s="116">
        <v>4783</v>
      </c>
      <c r="Q340" s="117">
        <f t="shared" si="102"/>
        <v>1.3606537146202956E-5</v>
      </c>
      <c r="R340" s="114">
        <f t="shared" si="103"/>
        <v>0.3981483562541257</v>
      </c>
      <c r="S340" s="377">
        <f t="shared" si="104"/>
        <v>15.529220779220779</v>
      </c>
      <c r="T340" s="357"/>
      <c r="U340" s="104"/>
      <c r="V340" s="95"/>
      <c r="W340" s="105"/>
      <c r="X340" s="95"/>
      <c r="Y340" s="95"/>
      <c r="Z340" s="95"/>
      <c r="AA340" s="95"/>
      <c r="AB340" s="95"/>
      <c r="AC340" s="95"/>
      <c r="AD340" s="17">
        <f t="shared" si="99"/>
        <v>0</v>
      </c>
      <c r="AE340" s="17">
        <f t="shared" si="100"/>
        <v>0</v>
      </c>
      <c r="AF340" s="17">
        <f t="shared" si="100"/>
        <v>0</v>
      </c>
      <c r="AG340" s="17">
        <f t="shared" si="100"/>
        <v>0</v>
      </c>
      <c r="AH340" s="18" t="str">
        <f t="shared" si="101"/>
        <v>0,;!0,;!0,;!0</v>
      </c>
      <c r="AI340" s="18" t="e">
        <f>INDEX([1]Library!$AL:$AL,MATCH(AH340,[1]Library!$AJ:$AJ,0),1)</f>
        <v>#N/A</v>
      </c>
      <c r="AJ340" s="18" t="e">
        <f>TEXT(INDEX([1]Library!$W:$W,MATCH(AH340,[1]Library!$AJ:$AJ,0),1),"")</f>
        <v>#N/A</v>
      </c>
    </row>
    <row r="341" spans="1:36" ht="25.05" customHeight="1" outlineLevel="1">
      <c r="A341" s="374" t="s">
        <v>44</v>
      </c>
      <c r="B341" s="96" t="s">
        <v>44</v>
      </c>
      <c r="C341" s="97" t="s">
        <v>363</v>
      </c>
      <c r="D341" s="97"/>
      <c r="E341" s="98"/>
      <c r="F341" s="298"/>
      <c r="G341" s="62"/>
      <c r="H341" s="99">
        <v>1</v>
      </c>
      <c r="I341" s="100" t="s">
        <v>35</v>
      </c>
      <c r="J341" s="99">
        <v>2216757.7798407739</v>
      </c>
      <c r="K341" s="99">
        <v>2216757.7798407739</v>
      </c>
      <c r="L341" s="99">
        <v>1216713.7224024553</v>
      </c>
      <c r="M341" s="99">
        <v>1216713.7224024553</v>
      </c>
      <c r="N341" s="99">
        <v>0</v>
      </c>
      <c r="O341" s="99">
        <v>0</v>
      </c>
      <c r="P341" s="101">
        <v>3433471.5022432292</v>
      </c>
      <c r="Q341" s="102">
        <f>P341/P$13</f>
        <v>9.7674383306924021E-3</v>
      </c>
      <c r="R341" s="103">
        <f>P341/I$5</f>
        <v>285.81037734968123</v>
      </c>
      <c r="S341" s="375">
        <f>P341/I$7</f>
        <v>11147.634747542952</v>
      </c>
      <c r="T341" s="356"/>
      <c r="U341" s="104"/>
      <c r="V341" s="95"/>
      <c r="W341" s="105"/>
      <c r="X341" s="95"/>
      <c r="Y341" s="95"/>
      <c r="Z341" s="95"/>
      <c r="AA341" s="95"/>
      <c r="AB341" s="95"/>
      <c r="AC341" s="95"/>
      <c r="AD341" s="17">
        <f t="shared" si="99"/>
        <v>0</v>
      </c>
      <c r="AE341" s="17">
        <f t="shared" si="100"/>
        <v>0</v>
      </c>
      <c r="AF341" s="17">
        <f t="shared" si="100"/>
        <v>0</v>
      </c>
      <c r="AG341" s="17">
        <f t="shared" si="100"/>
        <v>0</v>
      </c>
      <c r="AH341" s="18" t="str">
        <f t="shared" si="101"/>
        <v>0,;!0,;!0,;!0</v>
      </c>
      <c r="AI341" s="18" t="e">
        <f>INDEX([1]Library!$AL:$AL,MATCH(AH341,[1]Library!$AJ:$AJ,0),1)</f>
        <v>#N/A</v>
      </c>
      <c r="AJ341" s="18" t="e">
        <f>TEXT(INDEX([1]Library!$W:$W,MATCH(AH341,[1]Library!$AJ:$AJ,0),1),"")</f>
        <v>#N/A</v>
      </c>
    </row>
    <row r="342" spans="1:36" ht="25.05" customHeight="1" outlineLevel="2">
      <c r="A342" s="376" t="s">
        <v>44</v>
      </c>
      <c r="B342" s="107" t="s">
        <v>44</v>
      </c>
      <c r="C342" s="108" t="s">
        <v>44</v>
      </c>
      <c r="D342" s="109" t="s">
        <v>364</v>
      </c>
      <c r="E342" s="289"/>
      <c r="F342" s="299"/>
      <c r="G342" s="62"/>
      <c r="H342" s="111">
        <v>924</v>
      </c>
      <c r="I342" s="112" t="s">
        <v>122</v>
      </c>
      <c r="J342" s="113">
        <v>199.61607142857142</v>
      </c>
      <c r="K342" s="114">
        <v>184445.25</v>
      </c>
      <c r="L342" s="113">
        <v>59.884821428571421</v>
      </c>
      <c r="M342" s="114">
        <v>55333.57499999999</v>
      </c>
      <c r="N342" s="115">
        <v>0</v>
      </c>
      <c r="O342" s="114">
        <v>0</v>
      </c>
      <c r="P342" s="116">
        <v>239778.82499999998</v>
      </c>
      <c r="Q342" s="117">
        <f t="shared" ref="Q342:Q361" si="105">P342/P$13</f>
        <v>6.8211572009939316E-4</v>
      </c>
      <c r="R342" s="114">
        <f t="shared" ref="R342:R361" si="106">P342/I$5</f>
        <v>19.959762709240152</v>
      </c>
      <c r="S342" s="377">
        <f t="shared" ref="S342:S361" si="107">P342/I$7</f>
        <v>778.50267857142853</v>
      </c>
      <c r="T342" s="357"/>
      <c r="U342" s="104"/>
      <c r="V342" s="95"/>
      <c r="W342" s="105"/>
      <c r="X342" s="95"/>
      <c r="Y342" s="95"/>
      <c r="Z342" s="95"/>
      <c r="AA342" s="95"/>
      <c r="AB342" s="95"/>
      <c r="AC342" s="95"/>
      <c r="AD342" s="17">
        <f t="shared" si="99"/>
        <v>0</v>
      </c>
      <c r="AE342" s="17">
        <f t="shared" si="100"/>
        <v>0</v>
      </c>
      <c r="AF342" s="17">
        <f t="shared" si="100"/>
        <v>0</v>
      </c>
      <c r="AG342" s="17">
        <f t="shared" si="100"/>
        <v>0</v>
      </c>
      <c r="AH342" s="18" t="str">
        <f t="shared" si="101"/>
        <v>0,;!0,;!0,;!0</v>
      </c>
      <c r="AI342" s="18" t="e">
        <f>INDEX([1]Library!$AL:$AL,MATCH(AH342,[1]Library!$AJ:$AJ,0),1)</f>
        <v>#N/A</v>
      </c>
      <c r="AJ342" s="18" t="e">
        <f>TEXT(INDEX([1]Library!$W:$W,MATCH(AH342,[1]Library!$AJ:$AJ,0),1),"")</f>
        <v>#N/A</v>
      </c>
    </row>
    <row r="343" spans="1:36" ht="25.05" customHeight="1" outlineLevel="2">
      <c r="A343" s="376" t="s">
        <v>44</v>
      </c>
      <c r="B343" s="107" t="s">
        <v>44</v>
      </c>
      <c r="C343" s="108" t="s">
        <v>44</v>
      </c>
      <c r="D343" s="109" t="s">
        <v>365</v>
      </c>
      <c r="E343" s="289"/>
      <c r="F343" s="299"/>
      <c r="G343" s="62"/>
      <c r="H343" s="111">
        <v>9</v>
      </c>
      <c r="I343" s="112" t="s">
        <v>122</v>
      </c>
      <c r="J343" s="113">
        <v>256.85119047619048</v>
      </c>
      <c r="K343" s="114">
        <v>2311.6607142857142</v>
      </c>
      <c r="L343" s="113">
        <v>77.055357142857147</v>
      </c>
      <c r="M343" s="114">
        <v>693.49821428571431</v>
      </c>
      <c r="N343" s="115">
        <v>0</v>
      </c>
      <c r="O343" s="114">
        <v>0</v>
      </c>
      <c r="P343" s="116">
        <v>3005.1589285714285</v>
      </c>
      <c r="Q343" s="117">
        <f t="shared" si="105"/>
        <v>8.5489873702384723E-6</v>
      </c>
      <c r="R343" s="114">
        <f t="shared" si="106"/>
        <v>0.25015661461282118</v>
      </c>
      <c r="S343" s="377">
        <f t="shared" si="107"/>
        <v>9.7570095083487942</v>
      </c>
      <c r="T343" s="357"/>
      <c r="U343" s="104"/>
      <c r="V343" s="95"/>
      <c r="W343" s="105"/>
      <c r="X343" s="95"/>
      <c r="Y343" s="95"/>
      <c r="Z343" s="95"/>
      <c r="AA343" s="95"/>
      <c r="AB343" s="95"/>
      <c r="AC343" s="95"/>
      <c r="AD343" s="17">
        <f t="shared" si="99"/>
        <v>0</v>
      </c>
      <c r="AE343" s="17">
        <f t="shared" si="100"/>
        <v>0</v>
      </c>
      <c r="AF343" s="17">
        <f t="shared" si="100"/>
        <v>0</v>
      </c>
      <c r="AG343" s="17">
        <f t="shared" si="100"/>
        <v>0</v>
      </c>
      <c r="AH343" s="18" t="str">
        <f t="shared" si="101"/>
        <v>0,;!0,;!0,;!0</v>
      </c>
      <c r="AI343" s="18" t="e">
        <f>INDEX([1]Library!$AL:$AL,MATCH(AH343,[1]Library!$AJ:$AJ,0),1)</f>
        <v>#N/A</v>
      </c>
      <c r="AJ343" s="18" t="e">
        <f>TEXT(INDEX([1]Library!$W:$W,MATCH(AH343,[1]Library!$AJ:$AJ,0),1),"")</f>
        <v>#N/A</v>
      </c>
    </row>
    <row r="344" spans="1:36" ht="25.05" customHeight="1" outlineLevel="2">
      <c r="A344" s="376" t="s">
        <v>44</v>
      </c>
      <c r="B344" s="107" t="s">
        <v>44</v>
      </c>
      <c r="C344" s="108" t="s">
        <v>44</v>
      </c>
      <c r="D344" s="109" t="s">
        <v>366</v>
      </c>
      <c r="E344" s="289"/>
      <c r="F344" s="299"/>
      <c r="G344" s="62"/>
      <c r="H344" s="111">
        <v>77</v>
      </c>
      <c r="I344" s="112" t="s">
        <v>122</v>
      </c>
      <c r="J344" s="113">
        <v>933.75</v>
      </c>
      <c r="K344" s="114">
        <v>71898.75</v>
      </c>
      <c r="L344" s="113">
        <v>280.125</v>
      </c>
      <c r="M344" s="114">
        <v>21569.625</v>
      </c>
      <c r="N344" s="115">
        <v>0</v>
      </c>
      <c r="O344" s="114">
        <v>0</v>
      </c>
      <c r="P344" s="116">
        <v>93468.375</v>
      </c>
      <c r="Q344" s="117">
        <f t="shared" si="105"/>
        <v>2.6589607284815546E-4</v>
      </c>
      <c r="R344" s="114">
        <f t="shared" si="106"/>
        <v>7.7805310198608018</v>
      </c>
      <c r="S344" s="377">
        <f t="shared" si="107"/>
        <v>303.46875</v>
      </c>
      <c r="T344" s="357"/>
      <c r="U344" s="104"/>
      <c r="V344" s="95"/>
      <c r="W344" s="105"/>
      <c r="X344" s="95"/>
      <c r="Y344" s="95"/>
      <c r="Z344" s="95"/>
      <c r="AA344" s="95"/>
      <c r="AB344" s="95"/>
      <c r="AC344" s="95"/>
      <c r="AD344" s="17">
        <f t="shared" si="99"/>
        <v>0</v>
      </c>
      <c r="AE344" s="17">
        <f t="shared" si="100"/>
        <v>0</v>
      </c>
      <c r="AF344" s="17">
        <f t="shared" si="100"/>
        <v>0</v>
      </c>
      <c r="AG344" s="17">
        <f t="shared" si="100"/>
        <v>0</v>
      </c>
      <c r="AH344" s="18" t="str">
        <f t="shared" si="101"/>
        <v>0,;!0,;!0,;!0</v>
      </c>
      <c r="AI344" s="18" t="e">
        <f>INDEX([1]Library!$AL:$AL,MATCH(AH344,[1]Library!$AJ:$AJ,0),1)</f>
        <v>#N/A</v>
      </c>
      <c r="AJ344" s="18" t="e">
        <f>TEXT(INDEX([1]Library!$W:$W,MATCH(AH344,[1]Library!$AJ:$AJ,0),1),"")</f>
        <v>#N/A</v>
      </c>
    </row>
    <row r="345" spans="1:36" ht="25.05" customHeight="1" outlineLevel="2">
      <c r="A345" s="376" t="s">
        <v>44</v>
      </c>
      <c r="B345" s="107" t="s">
        <v>44</v>
      </c>
      <c r="C345" s="108" t="s">
        <v>44</v>
      </c>
      <c r="D345" s="109" t="s">
        <v>367</v>
      </c>
      <c r="E345" s="289"/>
      <c r="F345" s="299"/>
      <c r="G345" s="62"/>
      <c r="H345" s="111">
        <v>81</v>
      </c>
      <c r="I345" s="112" t="s">
        <v>122</v>
      </c>
      <c r="J345" s="113">
        <v>1135.8</v>
      </c>
      <c r="K345" s="114">
        <v>91999.8</v>
      </c>
      <c r="L345" s="113">
        <v>340.73999999999995</v>
      </c>
      <c r="M345" s="114">
        <v>27599.939999999995</v>
      </c>
      <c r="N345" s="115">
        <v>0</v>
      </c>
      <c r="O345" s="114">
        <v>0</v>
      </c>
      <c r="P345" s="116">
        <v>119599.73999999999</v>
      </c>
      <c r="Q345" s="117">
        <f t="shared" si="105"/>
        <v>3.4023380827644058E-4</v>
      </c>
      <c r="R345" s="114">
        <f t="shared" si="106"/>
        <v>9.9557683231070051</v>
      </c>
      <c r="S345" s="377">
        <f t="shared" si="107"/>
        <v>388.31084415584411</v>
      </c>
      <c r="T345" s="357"/>
      <c r="U345" s="104"/>
      <c r="V345" s="95"/>
      <c r="W345" s="105"/>
      <c r="X345" s="95"/>
      <c r="Y345" s="95"/>
      <c r="Z345" s="95"/>
      <c r="AA345" s="95"/>
      <c r="AB345" s="95"/>
      <c r="AC345" s="95"/>
      <c r="AD345" s="17">
        <f t="shared" si="99"/>
        <v>0</v>
      </c>
      <c r="AE345" s="17">
        <f t="shared" si="100"/>
        <v>0</v>
      </c>
      <c r="AF345" s="17">
        <f t="shared" si="100"/>
        <v>0</v>
      </c>
      <c r="AG345" s="17">
        <f t="shared" si="100"/>
        <v>0</v>
      </c>
      <c r="AH345" s="18" t="str">
        <f t="shared" si="101"/>
        <v>0,;!0,;!0,;!0</v>
      </c>
      <c r="AI345" s="18" t="e">
        <f>INDEX([1]Library!$AL:$AL,MATCH(AH345,[1]Library!$AJ:$AJ,0),1)</f>
        <v>#N/A</v>
      </c>
      <c r="AJ345" s="18" t="e">
        <f>TEXT(INDEX([1]Library!$W:$W,MATCH(AH345,[1]Library!$AJ:$AJ,0),1),"")</f>
        <v>#N/A</v>
      </c>
    </row>
    <row r="346" spans="1:36" ht="25.05" customHeight="1" outlineLevel="2">
      <c r="A346" s="376" t="s">
        <v>44</v>
      </c>
      <c r="B346" s="107" t="s">
        <v>44</v>
      </c>
      <c r="C346" s="108" t="s">
        <v>44</v>
      </c>
      <c r="D346" s="109" t="s">
        <v>368</v>
      </c>
      <c r="E346" s="289"/>
      <c r="F346" s="299"/>
      <c r="G346" s="62"/>
      <c r="H346" s="111">
        <v>10</v>
      </c>
      <c r="I346" s="112" t="s">
        <v>122</v>
      </c>
      <c r="J346" s="113">
        <v>1230.5468749999998</v>
      </c>
      <c r="K346" s="114">
        <v>12305.468749999998</v>
      </c>
      <c r="L346" s="113">
        <v>369.16406249999994</v>
      </c>
      <c r="M346" s="114">
        <v>3691.6406249999995</v>
      </c>
      <c r="N346" s="115">
        <v>0</v>
      </c>
      <c r="O346" s="114">
        <v>0</v>
      </c>
      <c r="P346" s="116">
        <v>15997.109374999998</v>
      </c>
      <c r="Q346" s="117">
        <f t="shared" si="105"/>
        <v>4.5508104315870583E-5</v>
      </c>
      <c r="R346" s="114">
        <f t="shared" si="106"/>
        <v>1.3316376338017379</v>
      </c>
      <c r="S346" s="377">
        <f t="shared" si="107"/>
        <v>51.938666801948045</v>
      </c>
      <c r="T346" s="357"/>
      <c r="U346" s="104"/>
      <c r="V346" s="95"/>
      <c r="W346" s="105"/>
      <c r="X346" s="95"/>
      <c r="Y346" s="95"/>
      <c r="Z346" s="95"/>
      <c r="AA346" s="95"/>
      <c r="AB346" s="95"/>
      <c r="AC346" s="95"/>
      <c r="AD346" s="17">
        <f t="shared" si="99"/>
        <v>0</v>
      </c>
      <c r="AE346" s="17">
        <f t="shared" si="100"/>
        <v>0</v>
      </c>
      <c r="AF346" s="17">
        <f t="shared" si="100"/>
        <v>0</v>
      </c>
      <c r="AG346" s="17">
        <f t="shared" si="100"/>
        <v>0</v>
      </c>
      <c r="AH346" s="18" t="str">
        <f t="shared" si="101"/>
        <v>0,;!0,;!0,;!0</v>
      </c>
      <c r="AI346" s="18" t="e">
        <f>INDEX([1]Library!$AL:$AL,MATCH(AH346,[1]Library!$AJ:$AJ,0),1)</f>
        <v>#N/A</v>
      </c>
      <c r="AJ346" s="18" t="e">
        <f>TEXT(INDEX([1]Library!$W:$W,MATCH(AH346,[1]Library!$AJ:$AJ,0),1),"")</f>
        <v>#N/A</v>
      </c>
    </row>
    <row r="347" spans="1:36" ht="25.05" customHeight="1" outlineLevel="2">
      <c r="A347" s="376" t="s">
        <v>44</v>
      </c>
      <c r="B347" s="107" t="s">
        <v>44</v>
      </c>
      <c r="C347" s="108" t="s">
        <v>44</v>
      </c>
      <c r="D347" s="109" t="s">
        <v>369</v>
      </c>
      <c r="E347" s="289"/>
      <c r="F347" s="299"/>
      <c r="G347" s="62"/>
      <c r="H347" s="111">
        <v>173</v>
      </c>
      <c r="I347" s="112" t="s">
        <v>122</v>
      </c>
      <c r="J347" s="113">
        <v>227.20000000000005</v>
      </c>
      <c r="K347" s="114">
        <v>39305.600000000006</v>
      </c>
      <c r="L347" s="113">
        <v>68.16</v>
      </c>
      <c r="M347" s="114">
        <v>11791.68</v>
      </c>
      <c r="N347" s="115">
        <v>0</v>
      </c>
      <c r="O347" s="114">
        <v>0</v>
      </c>
      <c r="P347" s="116">
        <v>51097.280000000006</v>
      </c>
      <c r="Q347" s="117">
        <f t="shared" si="105"/>
        <v>1.4536003311518576E-4</v>
      </c>
      <c r="R347" s="114">
        <f t="shared" si="106"/>
        <v>4.2534597618768162</v>
      </c>
      <c r="S347" s="377">
        <f t="shared" si="107"/>
        <v>165.90025974025977</v>
      </c>
      <c r="T347" s="357"/>
      <c r="U347" s="104"/>
      <c r="V347" s="95"/>
      <c r="W347" s="105"/>
      <c r="X347" s="95"/>
      <c r="Y347" s="95"/>
      <c r="Z347" s="95"/>
      <c r="AA347" s="95"/>
      <c r="AB347" s="95"/>
      <c r="AC347" s="95"/>
      <c r="AD347" s="17">
        <f t="shared" si="99"/>
        <v>0</v>
      </c>
      <c r="AE347" s="17">
        <f t="shared" si="100"/>
        <v>0</v>
      </c>
      <c r="AF347" s="17">
        <f t="shared" si="100"/>
        <v>0</v>
      </c>
      <c r="AG347" s="17">
        <f t="shared" si="100"/>
        <v>0</v>
      </c>
      <c r="AH347" s="18" t="str">
        <f t="shared" si="101"/>
        <v>0,;!0,;!0,;!0</v>
      </c>
      <c r="AI347" s="18" t="e">
        <f>INDEX([1]Library!$AL:$AL,MATCH(AH347,[1]Library!$AJ:$AJ,0),1)</f>
        <v>#N/A</v>
      </c>
      <c r="AJ347" s="18" t="e">
        <f>TEXT(INDEX([1]Library!$W:$W,MATCH(AH347,[1]Library!$AJ:$AJ,0),1),"")</f>
        <v>#N/A</v>
      </c>
    </row>
    <row r="348" spans="1:36" ht="25.05" customHeight="1" outlineLevel="2">
      <c r="A348" s="376" t="s">
        <v>44</v>
      </c>
      <c r="B348" s="107" t="s">
        <v>44</v>
      </c>
      <c r="C348" s="108" t="s">
        <v>44</v>
      </c>
      <c r="D348" s="109" t="s">
        <v>370</v>
      </c>
      <c r="E348" s="289"/>
      <c r="F348" s="299"/>
      <c r="G348" s="62"/>
      <c r="H348" s="111">
        <v>19</v>
      </c>
      <c r="I348" s="112" t="s">
        <v>122</v>
      </c>
      <c r="J348" s="113">
        <v>302.93333333333334</v>
      </c>
      <c r="K348" s="114">
        <v>5755.7333333333336</v>
      </c>
      <c r="L348" s="113">
        <v>90.88</v>
      </c>
      <c r="M348" s="114">
        <v>1726.7199999999998</v>
      </c>
      <c r="N348" s="115">
        <v>0</v>
      </c>
      <c r="O348" s="114">
        <v>0</v>
      </c>
      <c r="P348" s="116">
        <v>7482.4533333333329</v>
      </c>
      <c r="Q348" s="117">
        <f t="shared" si="105"/>
        <v>2.1285862267348967E-5</v>
      </c>
      <c r="R348" s="114">
        <f t="shared" si="106"/>
        <v>0.62285730617078616</v>
      </c>
      <c r="S348" s="377">
        <f t="shared" si="107"/>
        <v>24.293679653679654</v>
      </c>
      <c r="T348" s="357"/>
      <c r="U348" s="104"/>
      <c r="V348" s="95"/>
      <c r="W348" s="105"/>
      <c r="X348" s="95"/>
      <c r="Y348" s="95"/>
      <c r="Z348" s="95"/>
      <c r="AA348" s="95"/>
      <c r="AB348" s="95"/>
      <c r="AC348" s="95"/>
      <c r="AD348" s="17">
        <f t="shared" si="99"/>
        <v>0</v>
      </c>
      <c r="AE348" s="17">
        <f t="shared" si="100"/>
        <v>0</v>
      </c>
      <c r="AF348" s="17">
        <f t="shared" si="100"/>
        <v>0</v>
      </c>
      <c r="AG348" s="17">
        <f t="shared" si="100"/>
        <v>0</v>
      </c>
      <c r="AH348" s="18" t="str">
        <f t="shared" si="101"/>
        <v>0,;!0,;!0,;!0</v>
      </c>
      <c r="AI348" s="18" t="e">
        <f>INDEX([1]Library!$AL:$AL,MATCH(AH348,[1]Library!$AJ:$AJ,0),1)</f>
        <v>#N/A</v>
      </c>
      <c r="AJ348" s="18" t="e">
        <f>TEXT(INDEX([1]Library!$W:$W,MATCH(AH348,[1]Library!$AJ:$AJ,0),1),"")</f>
        <v>#N/A</v>
      </c>
    </row>
    <row r="349" spans="1:36" ht="25.05" customHeight="1" outlineLevel="2">
      <c r="A349" s="376" t="s">
        <v>44</v>
      </c>
      <c r="B349" s="107" t="s">
        <v>44</v>
      </c>
      <c r="C349" s="108" t="s">
        <v>44</v>
      </c>
      <c r="D349" s="109" t="s">
        <v>371</v>
      </c>
      <c r="E349" s="289"/>
      <c r="F349" s="299"/>
      <c r="G349" s="62"/>
      <c r="H349" s="111">
        <v>41</v>
      </c>
      <c r="I349" s="112" t="s">
        <v>122</v>
      </c>
      <c r="J349" s="113">
        <v>378.66666666666669</v>
      </c>
      <c r="K349" s="114">
        <v>15525.333333333334</v>
      </c>
      <c r="L349" s="113">
        <v>113.60000000000001</v>
      </c>
      <c r="M349" s="114">
        <v>4657.6000000000004</v>
      </c>
      <c r="N349" s="115">
        <v>0</v>
      </c>
      <c r="O349" s="114">
        <v>0</v>
      </c>
      <c r="P349" s="116">
        <v>20182.933333333334</v>
      </c>
      <c r="Q349" s="117">
        <f t="shared" si="105"/>
        <v>5.7415812694822881E-5</v>
      </c>
      <c r="R349" s="114">
        <f t="shared" si="106"/>
        <v>1.6800756284869891</v>
      </c>
      <c r="S349" s="377">
        <f t="shared" si="107"/>
        <v>65.529004329004337</v>
      </c>
      <c r="T349" s="357"/>
      <c r="U349" s="104"/>
      <c r="V349" s="95"/>
      <c r="W349" s="105"/>
      <c r="X349" s="95"/>
      <c r="Y349" s="95"/>
      <c r="Z349" s="95"/>
      <c r="AA349" s="95"/>
      <c r="AB349" s="95"/>
      <c r="AC349" s="95"/>
      <c r="AD349" s="17">
        <f t="shared" si="99"/>
        <v>0</v>
      </c>
      <c r="AE349" s="17">
        <f t="shared" si="100"/>
        <v>0</v>
      </c>
      <c r="AF349" s="17">
        <f t="shared" si="100"/>
        <v>0</v>
      </c>
      <c r="AG349" s="17">
        <f t="shared" si="100"/>
        <v>0</v>
      </c>
      <c r="AH349" s="18" t="str">
        <f t="shared" si="101"/>
        <v>0,;!0,;!0,;!0</v>
      </c>
      <c r="AI349" s="18" t="e">
        <f>INDEX([1]Library!$AL:$AL,MATCH(AH349,[1]Library!$AJ:$AJ,0),1)</f>
        <v>#N/A</v>
      </c>
      <c r="AJ349" s="18" t="e">
        <f>TEXT(INDEX([1]Library!$W:$W,MATCH(AH349,[1]Library!$AJ:$AJ,0),1),"")</f>
        <v>#N/A</v>
      </c>
    </row>
    <row r="350" spans="1:36" ht="25.05" customHeight="1" outlineLevel="2">
      <c r="A350" s="376" t="s">
        <v>44</v>
      </c>
      <c r="B350" s="107" t="s">
        <v>44</v>
      </c>
      <c r="C350" s="108" t="s">
        <v>44</v>
      </c>
      <c r="D350" s="109" t="s">
        <v>372</v>
      </c>
      <c r="E350" s="289"/>
      <c r="F350" s="299"/>
      <c r="G350" s="62"/>
      <c r="H350" s="111">
        <v>32148</v>
      </c>
      <c r="I350" s="112" t="s">
        <v>122</v>
      </c>
      <c r="J350" s="113">
        <v>34.4</v>
      </c>
      <c r="K350" s="114">
        <v>1105891.2</v>
      </c>
      <c r="L350" s="113">
        <v>28.178571428571427</v>
      </c>
      <c r="M350" s="114">
        <v>905884.7142857142</v>
      </c>
      <c r="N350" s="115">
        <v>0</v>
      </c>
      <c r="O350" s="114">
        <v>0</v>
      </c>
      <c r="P350" s="116">
        <v>2011775.9142857143</v>
      </c>
      <c r="Q350" s="117">
        <f t="shared" si="105"/>
        <v>5.7230407082510945E-3</v>
      </c>
      <c r="R350" s="114">
        <f t="shared" si="106"/>
        <v>167.46503730388835</v>
      </c>
      <c r="S350" s="377">
        <f t="shared" si="107"/>
        <v>6531.7399814471246</v>
      </c>
      <c r="T350" s="357"/>
      <c r="U350" s="104"/>
      <c r="V350" s="95"/>
      <c r="W350" s="105"/>
      <c r="X350" s="95"/>
      <c r="Y350" s="95"/>
      <c r="Z350" s="95"/>
      <c r="AA350" s="95"/>
      <c r="AB350" s="95"/>
      <c r="AC350" s="95"/>
      <c r="AD350" s="17">
        <f t="shared" si="99"/>
        <v>0</v>
      </c>
      <c r="AE350" s="17">
        <f t="shared" ref="AE350:AG365" si="108">IF(AA350=" ",IF($X350&gt;=AE$12,AE349,""),AA350)</f>
        <v>0</v>
      </c>
      <c r="AF350" s="17">
        <f t="shared" si="108"/>
        <v>0</v>
      </c>
      <c r="AG350" s="17">
        <f t="shared" si="108"/>
        <v>0</v>
      </c>
      <c r="AH350" s="18" t="str">
        <f t="shared" si="101"/>
        <v>0,;!0,;!0,;!0</v>
      </c>
      <c r="AI350" s="18" t="e">
        <f>INDEX([1]Library!$AL:$AL,MATCH(AH350,[1]Library!$AJ:$AJ,0),1)</f>
        <v>#N/A</v>
      </c>
      <c r="AJ350" s="18" t="e">
        <f>TEXT(INDEX([1]Library!$W:$W,MATCH(AH350,[1]Library!$AJ:$AJ,0),1),"")</f>
        <v>#N/A</v>
      </c>
    </row>
    <row r="351" spans="1:36" ht="25.05" customHeight="1" outlineLevel="2">
      <c r="A351" s="376" t="s">
        <v>44</v>
      </c>
      <c r="B351" s="107" t="s">
        <v>44</v>
      </c>
      <c r="C351" s="108" t="s">
        <v>44</v>
      </c>
      <c r="D351" s="109" t="s">
        <v>373</v>
      </c>
      <c r="E351" s="289"/>
      <c r="F351" s="299"/>
      <c r="G351" s="62"/>
      <c r="H351" s="111">
        <v>61</v>
      </c>
      <c r="I351" s="112" t="s">
        <v>122</v>
      </c>
      <c r="J351" s="113">
        <v>38.151785714285708</v>
      </c>
      <c r="K351" s="114">
        <v>2327.258928571428</v>
      </c>
      <c r="L351" s="113">
        <v>46.491071428571423</v>
      </c>
      <c r="M351" s="114">
        <v>2835.9553571428569</v>
      </c>
      <c r="N351" s="115">
        <v>0</v>
      </c>
      <c r="O351" s="114">
        <v>0</v>
      </c>
      <c r="P351" s="116">
        <v>5163.2142857142844</v>
      </c>
      <c r="Q351" s="117">
        <f t="shared" si="105"/>
        <v>1.4688159517536518E-5</v>
      </c>
      <c r="R351" s="114">
        <f t="shared" si="106"/>
        <v>0.4297983024973786</v>
      </c>
      <c r="S351" s="377">
        <f t="shared" si="107"/>
        <v>16.763682745825598</v>
      </c>
      <c r="T351" s="357"/>
      <c r="U351" s="104"/>
      <c r="V351" s="95"/>
      <c r="W351" s="105"/>
      <c r="X351" s="95"/>
      <c r="Y351" s="95"/>
      <c r="Z351" s="95"/>
      <c r="AA351" s="95"/>
      <c r="AB351" s="95"/>
      <c r="AC351" s="95"/>
      <c r="AD351" s="17">
        <f t="shared" si="99"/>
        <v>0</v>
      </c>
      <c r="AE351" s="17">
        <f t="shared" si="108"/>
        <v>0</v>
      </c>
      <c r="AF351" s="17">
        <f t="shared" si="108"/>
        <v>0</v>
      </c>
      <c r="AG351" s="17">
        <f t="shared" si="108"/>
        <v>0</v>
      </c>
      <c r="AH351" s="18" t="str">
        <f t="shared" si="101"/>
        <v>0,;!0,;!0,;!0</v>
      </c>
      <c r="AI351" s="18" t="e">
        <f>INDEX([1]Library!$AL:$AL,MATCH(AH351,[1]Library!$AJ:$AJ,0),1)</f>
        <v>#N/A</v>
      </c>
      <c r="AJ351" s="18" t="e">
        <f>TEXT(INDEX([1]Library!$W:$W,MATCH(AH351,[1]Library!$AJ:$AJ,0),1),"")</f>
        <v>#N/A</v>
      </c>
    </row>
    <row r="352" spans="1:36" ht="25.05" customHeight="1" outlineLevel="2">
      <c r="A352" s="376" t="s">
        <v>44</v>
      </c>
      <c r="B352" s="107" t="s">
        <v>44</v>
      </c>
      <c r="C352" s="108" t="s">
        <v>44</v>
      </c>
      <c r="D352" s="109" t="s">
        <v>374</v>
      </c>
      <c r="E352" s="289"/>
      <c r="F352" s="299"/>
      <c r="G352" s="62"/>
      <c r="H352" s="111">
        <v>45</v>
      </c>
      <c r="I352" s="112" t="s">
        <v>122</v>
      </c>
      <c r="J352" s="113">
        <v>68.319999999999993</v>
      </c>
      <c r="K352" s="114">
        <v>3074.3999999999996</v>
      </c>
      <c r="L352" s="113">
        <v>20.495999999999999</v>
      </c>
      <c r="M352" s="114">
        <v>922.31999999999994</v>
      </c>
      <c r="N352" s="115">
        <v>0</v>
      </c>
      <c r="O352" s="114">
        <v>0</v>
      </c>
      <c r="P352" s="116">
        <v>3996.7199999999993</v>
      </c>
      <c r="Q352" s="117">
        <f t="shared" si="105"/>
        <v>1.136975102299232E-5</v>
      </c>
      <c r="R352" s="114">
        <f t="shared" si="106"/>
        <v>0.33269652904202152</v>
      </c>
      <c r="S352" s="377">
        <f t="shared" si="107"/>
        <v>12.976363636363635</v>
      </c>
      <c r="T352" s="357"/>
      <c r="U352" s="104"/>
      <c r="V352" s="95"/>
      <c r="W352" s="105"/>
      <c r="X352" s="95"/>
      <c r="Y352" s="95"/>
      <c r="Z352" s="95"/>
      <c r="AA352" s="95"/>
      <c r="AB352" s="95"/>
      <c r="AC352" s="95"/>
      <c r="AD352" s="17">
        <f t="shared" si="99"/>
        <v>0</v>
      </c>
      <c r="AE352" s="17">
        <f t="shared" si="108"/>
        <v>0</v>
      </c>
      <c r="AF352" s="17">
        <f t="shared" si="108"/>
        <v>0</v>
      </c>
      <c r="AG352" s="17">
        <f t="shared" si="108"/>
        <v>0</v>
      </c>
      <c r="AH352" s="18" t="str">
        <f t="shared" si="101"/>
        <v>0,;!0,;!0,;!0</v>
      </c>
      <c r="AI352" s="18" t="e">
        <f>INDEX([1]Library!$AL:$AL,MATCH(AH352,[1]Library!$AJ:$AJ,0),1)</f>
        <v>#N/A</v>
      </c>
      <c r="AJ352" s="18" t="e">
        <f>TEXT(INDEX([1]Library!$W:$W,MATCH(AH352,[1]Library!$AJ:$AJ,0),1),"")</f>
        <v>#N/A</v>
      </c>
    </row>
    <row r="353" spans="1:36" ht="25.05" customHeight="1" outlineLevel="2">
      <c r="A353" s="376" t="s">
        <v>44</v>
      </c>
      <c r="B353" s="107" t="s">
        <v>44</v>
      </c>
      <c r="C353" s="108" t="s">
        <v>44</v>
      </c>
      <c r="D353" s="109" t="s">
        <v>296</v>
      </c>
      <c r="E353" s="289"/>
      <c r="F353" s="299"/>
      <c r="G353" s="62"/>
      <c r="H353" s="111">
        <v>10</v>
      </c>
      <c r="I353" s="112" t="s">
        <v>122</v>
      </c>
      <c r="J353" s="113">
        <v>414.20999999999992</v>
      </c>
      <c r="K353" s="114">
        <v>4142.0999999999995</v>
      </c>
      <c r="L353" s="113">
        <v>124.26299999999999</v>
      </c>
      <c r="M353" s="114">
        <v>1242.6299999999999</v>
      </c>
      <c r="N353" s="115">
        <v>0</v>
      </c>
      <c r="O353" s="114">
        <v>0</v>
      </c>
      <c r="P353" s="116">
        <v>5384.73</v>
      </c>
      <c r="Q353" s="117">
        <f t="shared" si="105"/>
        <v>1.5318320879630658E-5</v>
      </c>
      <c r="R353" s="114">
        <f t="shared" si="106"/>
        <v>0.44823780020327786</v>
      </c>
      <c r="S353" s="377">
        <f t="shared" si="107"/>
        <v>17.482889610389609</v>
      </c>
      <c r="T353" s="357"/>
      <c r="U353" s="104"/>
      <c r="V353" s="95"/>
      <c r="W353" s="105"/>
      <c r="X353" s="95"/>
      <c r="Y353" s="95"/>
      <c r="Z353" s="95"/>
      <c r="AA353" s="95"/>
      <c r="AB353" s="95"/>
      <c r="AC353" s="95"/>
      <c r="AD353" s="17">
        <f t="shared" si="99"/>
        <v>0</v>
      </c>
      <c r="AE353" s="17">
        <f t="shared" si="108"/>
        <v>0</v>
      </c>
      <c r="AF353" s="17">
        <f t="shared" si="108"/>
        <v>0</v>
      </c>
      <c r="AG353" s="17">
        <f t="shared" si="108"/>
        <v>0</v>
      </c>
      <c r="AH353" s="18" t="str">
        <f t="shared" si="101"/>
        <v>0,;!0,;!0,;!0</v>
      </c>
      <c r="AI353" s="18" t="e">
        <f>INDEX([1]Library!$AL:$AL,MATCH(AH353,[1]Library!$AJ:$AJ,0),1)</f>
        <v>#N/A</v>
      </c>
      <c r="AJ353" s="18" t="e">
        <f>TEXT(INDEX([1]Library!$W:$W,MATCH(AH353,[1]Library!$AJ:$AJ,0),1),"")</f>
        <v>#N/A</v>
      </c>
    </row>
    <row r="354" spans="1:36" ht="25.05" customHeight="1" outlineLevel="2">
      <c r="A354" s="376" t="s">
        <v>44</v>
      </c>
      <c r="B354" s="107" t="s">
        <v>44</v>
      </c>
      <c r="C354" s="108" t="s">
        <v>44</v>
      </c>
      <c r="D354" s="109" t="s">
        <v>375</v>
      </c>
      <c r="E354" s="289"/>
      <c r="F354" s="299"/>
      <c r="G354" s="62"/>
      <c r="H354" s="111">
        <v>212</v>
      </c>
      <c r="I354" s="112" t="s">
        <v>122</v>
      </c>
      <c r="J354" s="113">
        <v>121.00000000000001</v>
      </c>
      <c r="K354" s="114">
        <v>25652.000000000004</v>
      </c>
      <c r="L354" s="113">
        <v>20.570000000000004</v>
      </c>
      <c r="M354" s="114">
        <v>4360.8400000000011</v>
      </c>
      <c r="N354" s="115">
        <v>0</v>
      </c>
      <c r="O354" s="114">
        <v>0</v>
      </c>
      <c r="P354" s="116">
        <v>30012.840000000004</v>
      </c>
      <c r="Q354" s="117">
        <f t="shared" si="105"/>
        <v>8.5379640878746797E-5</v>
      </c>
      <c r="R354" s="114">
        <f t="shared" si="106"/>
        <v>2.4983405629349935</v>
      </c>
      <c r="S354" s="377">
        <f t="shared" si="107"/>
        <v>97.444285714285726</v>
      </c>
      <c r="T354" s="357"/>
      <c r="U354" s="104"/>
      <c r="V354" s="95"/>
      <c r="W354" s="105"/>
      <c r="X354" s="95"/>
      <c r="Y354" s="95"/>
      <c r="Z354" s="95"/>
      <c r="AA354" s="95"/>
      <c r="AB354" s="95"/>
      <c r="AC354" s="95"/>
      <c r="AD354" s="17">
        <f t="shared" si="99"/>
        <v>0</v>
      </c>
      <c r="AE354" s="17">
        <f t="shared" si="108"/>
        <v>0</v>
      </c>
      <c r="AF354" s="17">
        <f t="shared" si="108"/>
        <v>0</v>
      </c>
      <c r="AG354" s="17">
        <f t="shared" si="108"/>
        <v>0</v>
      </c>
      <c r="AH354" s="18" t="str">
        <f t="shared" si="101"/>
        <v>0,;!0,;!0,;!0</v>
      </c>
      <c r="AI354" s="18" t="e">
        <f>INDEX([1]Library!$AL:$AL,MATCH(AH354,[1]Library!$AJ:$AJ,0),1)</f>
        <v>#N/A</v>
      </c>
      <c r="AJ354" s="18" t="e">
        <f>TEXT(INDEX([1]Library!$W:$W,MATCH(AH354,[1]Library!$AJ:$AJ,0),1),"")</f>
        <v>#N/A</v>
      </c>
    </row>
    <row r="355" spans="1:36" ht="25.05" customHeight="1" outlineLevel="2">
      <c r="A355" s="376" t="s">
        <v>44</v>
      </c>
      <c r="B355" s="107" t="s">
        <v>44</v>
      </c>
      <c r="C355" s="108" t="s">
        <v>44</v>
      </c>
      <c r="D355" s="109" t="s">
        <v>376</v>
      </c>
      <c r="E355" s="289"/>
      <c r="F355" s="299"/>
      <c r="G355" s="62"/>
      <c r="H355" s="111">
        <v>1546</v>
      </c>
      <c r="I355" s="112" t="s">
        <v>122</v>
      </c>
      <c r="J355" s="113">
        <v>76.667671874999996</v>
      </c>
      <c r="K355" s="114">
        <v>118528.22071875</v>
      </c>
      <c r="L355" s="113">
        <v>11.500150781249998</v>
      </c>
      <c r="M355" s="114">
        <v>17779.233107812495</v>
      </c>
      <c r="N355" s="115">
        <v>0</v>
      </c>
      <c r="O355" s="114">
        <v>0</v>
      </c>
      <c r="P355" s="116">
        <v>136307.4538265625</v>
      </c>
      <c r="Q355" s="117">
        <f t="shared" si="105"/>
        <v>3.8776341915021259E-4</v>
      </c>
      <c r="R355" s="114">
        <f t="shared" si="106"/>
        <v>11.346558370527074</v>
      </c>
      <c r="S355" s="377">
        <f t="shared" si="107"/>
        <v>442.55666826806009</v>
      </c>
      <c r="T355" s="357"/>
      <c r="U355" s="104"/>
      <c r="V355" s="95"/>
      <c r="W355" s="105"/>
      <c r="X355" s="95"/>
      <c r="Y355" s="95"/>
      <c r="Z355" s="95"/>
      <c r="AA355" s="95"/>
      <c r="AB355" s="95"/>
      <c r="AC355" s="95"/>
      <c r="AD355" s="17">
        <f t="shared" si="99"/>
        <v>0</v>
      </c>
      <c r="AE355" s="17">
        <f t="shared" si="108"/>
        <v>0</v>
      </c>
      <c r="AF355" s="17">
        <f t="shared" si="108"/>
        <v>0</v>
      </c>
      <c r="AG355" s="17">
        <f t="shared" si="108"/>
        <v>0</v>
      </c>
      <c r="AH355" s="18" t="str">
        <f t="shared" si="101"/>
        <v>0,;!0,;!0,;!0</v>
      </c>
      <c r="AI355" s="18" t="e">
        <f>INDEX([1]Library!$AL:$AL,MATCH(AH355,[1]Library!$AJ:$AJ,0),1)</f>
        <v>#N/A</v>
      </c>
      <c r="AJ355" s="18" t="e">
        <f>TEXT(INDEX([1]Library!$W:$W,MATCH(AH355,[1]Library!$AJ:$AJ,0),1),"")</f>
        <v>#N/A</v>
      </c>
    </row>
    <row r="356" spans="1:36" ht="25.05" customHeight="1" outlineLevel="2">
      <c r="A356" s="376" t="s">
        <v>44</v>
      </c>
      <c r="B356" s="107" t="s">
        <v>44</v>
      </c>
      <c r="C356" s="108" t="s">
        <v>44</v>
      </c>
      <c r="D356" s="109" t="s">
        <v>377</v>
      </c>
      <c r="E356" s="289"/>
      <c r="F356" s="299"/>
      <c r="G356" s="62"/>
      <c r="H356" s="111">
        <v>55</v>
      </c>
      <c r="I356" s="112" t="s">
        <v>122</v>
      </c>
      <c r="J356" s="113">
        <v>628.13643749999994</v>
      </c>
      <c r="K356" s="114">
        <v>34547.504062499997</v>
      </c>
      <c r="L356" s="113">
        <v>125.62728749999998</v>
      </c>
      <c r="M356" s="114">
        <v>6909.5008124999986</v>
      </c>
      <c r="N356" s="115">
        <v>0</v>
      </c>
      <c r="O356" s="114">
        <v>0</v>
      </c>
      <c r="P356" s="116">
        <v>41457.004874999999</v>
      </c>
      <c r="Q356" s="117">
        <f t="shared" si="105"/>
        <v>1.179356631407076E-4</v>
      </c>
      <c r="R356" s="114">
        <f t="shared" si="106"/>
        <v>3.4509802103701701</v>
      </c>
      <c r="S356" s="377">
        <f t="shared" si="107"/>
        <v>134.60066517857143</v>
      </c>
      <c r="T356" s="357"/>
      <c r="U356" s="104"/>
      <c r="V356" s="95"/>
      <c r="W356" s="105"/>
      <c r="X356" s="95"/>
      <c r="Y356" s="95"/>
      <c r="Z356" s="95"/>
      <c r="AA356" s="95"/>
      <c r="AB356" s="95"/>
      <c r="AC356" s="95"/>
      <c r="AD356" s="17">
        <f t="shared" si="99"/>
        <v>0</v>
      </c>
      <c r="AE356" s="17">
        <f t="shared" si="108"/>
        <v>0</v>
      </c>
      <c r="AF356" s="17">
        <f t="shared" si="108"/>
        <v>0</v>
      </c>
      <c r="AG356" s="17">
        <f t="shared" si="108"/>
        <v>0</v>
      </c>
      <c r="AH356" s="18" t="str">
        <f t="shared" si="101"/>
        <v>0,;!0,;!0,;!0</v>
      </c>
      <c r="AI356" s="18" t="e">
        <f>INDEX([1]Library!$AL:$AL,MATCH(AH356,[1]Library!$AJ:$AJ,0),1)</f>
        <v>#N/A</v>
      </c>
      <c r="AJ356" s="18" t="e">
        <f>TEXT(INDEX([1]Library!$W:$W,MATCH(AH356,[1]Library!$AJ:$AJ,0),1),"")</f>
        <v>#N/A</v>
      </c>
    </row>
    <row r="357" spans="1:36" ht="25.05" customHeight="1" outlineLevel="2" collapsed="1">
      <c r="A357" s="376" t="s">
        <v>44</v>
      </c>
      <c r="B357" s="107" t="s">
        <v>44</v>
      </c>
      <c r="C357" s="108" t="s">
        <v>44</v>
      </c>
      <c r="D357" s="109" t="s">
        <v>378</v>
      </c>
      <c r="E357" s="289"/>
      <c r="F357" s="299"/>
      <c r="G357" s="62"/>
      <c r="H357" s="111">
        <v>167</v>
      </c>
      <c r="I357" s="112" t="s">
        <v>140</v>
      </c>
      <c r="J357" s="113">
        <v>68.75</v>
      </c>
      <c r="K357" s="114">
        <v>11481.25</v>
      </c>
      <c r="L357" s="113">
        <v>20.625</v>
      </c>
      <c r="M357" s="114">
        <v>3444.375</v>
      </c>
      <c r="N357" s="115">
        <v>0</v>
      </c>
      <c r="O357" s="114">
        <v>0</v>
      </c>
      <c r="P357" s="116">
        <v>14925.625</v>
      </c>
      <c r="Q357" s="117">
        <f t="shared" si="105"/>
        <v>4.2459977209449192E-5</v>
      </c>
      <c r="R357" s="114">
        <f t="shared" si="106"/>
        <v>1.2424447124849434</v>
      </c>
      <c r="S357" s="377">
        <f t="shared" si="107"/>
        <v>48.459821428571431</v>
      </c>
      <c r="T357" s="357"/>
      <c r="U357" s="104"/>
      <c r="V357" s="95"/>
      <c r="W357" s="105"/>
      <c r="X357" s="95"/>
      <c r="Y357" s="95"/>
      <c r="Z357" s="95"/>
      <c r="AA357" s="95"/>
      <c r="AB357" s="95"/>
      <c r="AC357" s="95"/>
      <c r="AD357" s="17">
        <f t="shared" si="99"/>
        <v>0</v>
      </c>
      <c r="AE357" s="17">
        <f t="shared" si="108"/>
        <v>0</v>
      </c>
      <c r="AF357" s="17">
        <f t="shared" si="108"/>
        <v>0</v>
      </c>
      <c r="AG357" s="17">
        <f t="shared" si="108"/>
        <v>0</v>
      </c>
      <c r="AH357" s="18" t="str">
        <f t="shared" si="101"/>
        <v>0,;!0,;!0,;!0</v>
      </c>
      <c r="AI357" s="18" t="e">
        <f>INDEX([1]Library!$AL:$AL,MATCH(AH357,[1]Library!$AJ:$AJ,0),1)</f>
        <v>#N/A</v>
      </c>
      <c r="AJ357" s="18" t="e">
        <f>TEXT(INDEX([1]Library!$W:$W,MATCH(AH357,[1]Library!$AJ:$AJ,0),1),"")</f>
        <v>#N/A</v>
      </c>
    </row>
    <row r="358" spans="1:36" ht="25.05" customHeight="1" outlineLevel="2">
      <c r="A358" s="376" t="s">
        <v>44</v>
      </c>
      <c r="B358" s="107" t="s">
        <v>44</v>
      </c>
      <c r="C358" s="108" t="s">
        <v>44</v>
      </c>
      <c r="D358" s="109" t="s">
        <v>379</v>
      </c>
      <c r="E358" s="289"/>
      <c r="F358" s="299"/>
      <c r="G358" s="62"/>
      <c r="H358" s="111">
        <v>36</v>
      </c>
      <c r="I358" s="112" t="s">
        <v>140</v>
      </c>
      <c r="J358" s="113">
        <v>97.5</v>
      </c>
      <c r="K358" s="114">
        <v>3510</v>
      </c>
      <c r="L358" s="113">
        <v>29.25</v>
      </c>
      <c r="M358" s="114">
        <v>1053</v>
      </c>
      <c r="N358" s="115">
        <v>0</v>
      </c>
      <c r="O358" s="114">
        <v>0</v>
      </c>
      <c r="P358" s="116">
        <v>4563</v>
      </c>
      <c r="Q358" s="117">
        <f t="shared" si="105"/>
        <v>1.2980687643346035E-5</v>
      </c>
      <c r="R358" s="114">
        <f t="shared" si="106"/>
        <v>0.37983503022947429</v>
      </c>
      <c r="S358" s="377">
        <f t="shared" si="107"/>
        <v>14.814935064935066</v>
      </c>
      <c r="T358" s="357"/>
      <c r="U358" s="104"/>
      <c r="V358" s="95"/>
      <c r="W358" s="105"/>
      <c r="X358" s="95"/>
      <c r="Y358" s="95"/>
      <c r="Z358" s="95"/>
      <c r="AA358" s="95"/>
      <c r="AB358" s="95"/>
      <c r="AC358" s="95"/>
      <c r="AD358" s="17">
        <f t="shared" si="99"/>
        <v>0</v>
      </c>
      <c r="AE358" s="17">
        <f t="shared" si="108"/>
        <v>0</v>
      </c>
      <c r="AF358" s="17">
        <f t="shared" si="108"/>
        <v>0</v>
      </c>
      <c r="AG358" s="17">
        <f t="shared" si="108"/>
        <v>0</v>
      </c>
      <c r="AH358" s="18" t="str">
        <f t="shared" si="101"/>
        <v>0,;!0,;!0,;!0</v>
      </c>
      <c r="AI358" s="18" t="e">
        <f>INDEX([1]Library!$AL:$AL,MATCH(AH358,[1]Library!$AJ:$AJ,0),1)</f>
        <v>#N/A</v>
      </c>
      <c r="AJ358" s="18" t="e">
        <f>TEXT(INDEX([1]Library!$W:$W,MATCH(AH358,[1]Library!$AJ:$AJ,0),1),"")</f>
        <v>#N/A</v>
      </c>
    </row>
    <row r="359" spans="1:36" ht="25.05" customHeight="1" outlineLevel="2">
      <c r="A359" s="376" t="s">
        <v>44</v>
      </c>
      <c r="B359" s="107" t="s">
        <v>44</v>
      </c>
      <c r="C359" s="108" t="s">
        <v>44</v>
      </c>
      <c r="D359" s="109" t="s">
        <v>380</v>
      </c>
      <c r="E359" s="289"/>
      <c r="F359" s="299"/>
      <c r="G359" s="62"/>
      <c r="H359" s="111">
        <v>4312</v>
      </c>
      <c r="I359" s="112" t="s">
        <v>140</v>
      </c>
      <c r="J359" s="113">
        <v>68.75</v>
      </c>
      <c r="K359" s="114">
        <v>296450</v>
      </c>
      <c r="L359" s="113">
        <v>20.625</v>
      </c>
      <c r="M359" s="114">
        <v>88935</v>
      </c>
      <c r="N359" s="115">
        <v>0</v>
      </c>
      <c r="O359" s="114">
        <v>0</v>
      </c>
      <c r="P359" s="116">
        <v>385385</v>
      </c>
      <c r="Q359" s="117">
        <f t="shared" si="105"/>
        <v>1.0963318666296102E-3</v>
      </c>
      <c r="R359" s="114">
        <f t="shared" si="106"/>
        <v>32.080368863683091</v>
      </c>
      <c r="S359" s="377">
        <f t="shared" si="107"/>
        <v>1251.25</v>
      </c>
      <c r="T359" s="357"/>
      <c r="U359" s="104"/>
      <c r="V359" s="95"/>
      <c r="W359" s="105"/>
      <c r="X359" s="95"/>
      <c r="Y359" s="95"/>
      <c r="Z359" s="95"/>
      <c r="AA359" s="95"/>
      <c r="AB359" s="95"/>
      <c r="AC359" s="95"/>
      <c r="AD359" s="17">
        <f t="shared" si="99"/>
        <v>0</v>
      </c>
      <c r="AE359" s="17">
        <f t="shared" si="108"/>
        <v>0</v>
      </c>
      <c r="AF359" s="17">
        <f t="shared" si="108"/>
        <v>0</v>
      </c>
      <c r="AG359" s="17">
        <f t="shared" si="108"/>
        <v>0</v>
      </c>
      <c r="AH359" s="18" t="str">
        <f t="shared" si="101"/>
        <v>0,;!0,;!0,;!0</v>
      </c>
      <c r="AI359" s="18" t="e">
        <f>INDEX([1]Library!$AL:$AL,MATCH(AH359,[1]Library!$AJ:$AJ,0),1)</f>
        <v>#N/A</v>
      </c>
      <c r="AJ359" s="18" t="e">
        <f>TEXT(INDEX([1]Library!$W:$W,MATCH(AH359,[1]Library!$AJ:$AJ,0),1),"")</f>
        <v>#N/A</v>
      </c>
    </row>
    <row r="360" spans="1:36" ht="25.05" customHeight="1" outlineLevel="2">
      <c r="A360" s="376" t="s">
        <v>44</v>
      </c>
      <c r="B360" s="107" t="s">
        <v>44</v>
      </c>
      <c r="C360" s="108" t="s">
        <v>44</v>
      </c>
      <c r="D360" s="109" t="s">
        <v>381</v>
      </c>
      <c r="E360" s="289"/>
      <c r="F360" s="299"/>
      <c r="G360" s="62"/>
      <c r="H360" s="111">
        <v>1996</v>
      </c>
      <c r="I360" s="112" t="s">
        <v>140</v>
      </c>
      <c r="J360" s="113">
        <v>81.25</v>
      </c>
      <c r="K360" s="114">
        <v>162175</v>
      </c>
      <c r="L360" s="113">
        <v>24.375</v>
      </c>
      <c r="M360" s="114">
        <v>48652.5</v>
      </c>
      <c r="N360" s="115">
        <v>0</v>
      </c>
      <c r="O360" s="114">
        <v>0</v>
      </c>
      <c r="P360" s="116">
        <v>210827.5</v>
      </c>
      <c r="Q360" s="117">
        <f t="shared" si="105"/>
        <v>5.9975584574348804E-4</v>
      </c>
      <c r="R360" s="114">
        <f t="shared" si="106"/>
        <v>17.549785193009971</v>
      </c>
      <c r="S360" s="377">
        <f t="shared" si="107"/>
        <v>684.50487012987014</v>
      </c>
      <c r="T360" s="357"/>
      <c r="U360" s="104"/>
      <c r="V360" s="95"/>
      <c r="W360" s="105"/>
      <c r="X360" s="95"/>
      <c r="Y360" s="95"/>
      <c r="Z360" s="95"/>
      <c r="AA360" s="95"/>
      <c r="AB360" s="95"/>
      <c r="AC360" s="95"/>
      <c r="AD360" s="17">
        <f t="shared" si="99"/>
        <v>0</v>
      </c>
      <c r="AE360" s="17">
        <f t="shared" si="108"/>
        <v>0</v>
      </c>
      <c r="AF360" s="17">
        <f t="shared" si="108"/>
        <v>0</v>
      </c>
      <c r="AG360" s="17">
        <f t="shared" si="108"/>
        <v>0</v>
      </c>
      <c r="AH360" s="18" t="str">
        <f t="shared" si="101"/>
        <v>0,;!0,;!0,;!0</v>
      </c>
      <c r="AI360" s="18" t="e">
        <f>INDEX([1]Library!$AL:$AL,MATCH(AH360,[1]Library!$AJ:$AJ,0),1)</f>
        <v>#N/A</v>
      </c>
      <c r="AJ360" s="18" t="e">
        <f>TEXT(INDEX([1]Library!$W:$W,MATCH(AH360,[1]Library!$AJ:$AJ,0),1),"")</f>
        <v>#N/A</v>
      </c>
    </row>
    <row r="361" spans="1:36" ht="25.05" customHeight="1" outlineLevel="2">
      <c r="A361" s="376" t="s">
        <v>44</v>
      </c>
      <c r="B361" s="107" t="s">
        <v>44</v>
      </c>
      <c r="C361" s="108" t="s">
        <v>44</v>
      </c>
      <c r="D361" s="109" t="s">
        <v>382</v>
      </c>
      <c r="E361" s="289"/>
      <c r="F361" s="299"/>
      <c r="G361" s="62"/>
      <c r="H361" s="111">
        <v>313</v>
      </c>
      <c r="I361" s="112" t="s">
        <v>140</v>
      </c>
      <c r="J361" s="113">
        <v>81.25</v>
      </c>
      <c r="K361" s="114">
        <v>25431.25</v>
      </c>
      <c r="L361" s="113">
        <v>24.375</v>
      </c>
      <c r="M361" s="114">
        <v>7629.375</v>
      </c>
      <c r="N361" s="115">
        <v>0</v>
      </c>
      <c r="O361" s="114">
        <v>0</v>
      </c>
      <c r="P361" s="116">
        <v>33060.625</v>
      </c>
      <c r="Q361" s="117">
        <f t="shared" si="105"/>
        <v>9.4049889638132144E-5</v>
      </c>
      <c r="R361" s="114">
        <f t="shared" si="106"/>
        <v>2.752045473653367</v>
      </c>
      <c r="S361" s="377">
        <f t="shared" si="107"/>
        <v>107.33969155844156</v>
      </c>
      <c r="T361" s="357"/>
      <c r="U361" s="104"/>
      <c r="V361" s="95"/>
      <c r="W361" s="105"/>
      <c r="X361" s="95"/>
      <c r="Y361" s="95"/>
      <c r="Z361" s="95"/>
      <c r="AA361" s="95"/>
      <c r="AB361" s="95"/>
      <c r="AC361" s="95"/>
      <c r="AD361" s="17">
        <f t="shared" si="99"/>
        <v>0</v>
      </c>
      <c r="AE361" s="17">
        <f t="shared" si="108"/>
        <v>0</v>
      </c>
      <c r="AF361" s="17">
        <f t="shared" si="108"/>
        <v>0</v>
      </c>
      <c r="AG361" s="17">
        <f t="shared" si="108"/>
        <v>0</v>
      </c>
      <c r="AH361" s="18" t="str">
        <f t="shared" si="101"/>
        <v>0,;!0,;!0,;!0</v>
      </c>
      <c r="AI361" s="18" t="e">
        <f>INDEX([1]Library!$AL:$AL,MATCH(AH361,[1]Library!$AJ:$AJ,0),1)</f>
        <v>#N/A</v>
      </c>
      <c r="AJ361" s="18" t="e">
        <f>TEXT(INDEX([1]Library!$W:$W,MATCH(AH361,[1]Library!$AJ:$AJ,0),1),"")</f>
        <v>#N/A</v>
      </c>
    </row>
    <row r="362" spans="1:36" ht="25.05" customHeight="1" outlineLevel="1">
      <c r="A362" s="374" t="s">
        <v>44</v>
      </c>
      <c r="B362" s="96" t="s">
        <v>44</v>
      </c>
      <c r="C362" s="97" t="s">
        <v>383</v>
      </c>
      <c r="D362" s="97"/>
      <c r="E362" s="98"/>
      <c r="F362" s="298"/>
      <c r="G362" s="62"/>
      <c r="H362" s="99">
        <v>1</v>
      </c>
      <c r="I362" s="100" t="s">
        <v>35</v>
      </c>
      <c r="J362" s="99">
        <v>1769929.2626610058</v>
      </c>
      <c r="K362" s="99">
        <v>1769929.2626610058</v>
      </c>
      <c r="L362" s="99">
        <v>530978.7787983017</v>
      </c>
      <c r="M362" s="99">
        <v>530978.7787983017</v>
      </c>
      <c r="N362" s="99">
        <v>0</v>
      </c>
      <c r="O362" s="99">
        <v>0</v>
      </c>
      <c r="P362" s="101">
        <v>2300908.0414593075</v>
      </c>
      <c r="Q362" s="102">
        <f>P362/P$13</f>
        <v>6.5455552448490818E-3</v>
      </c>
      <c r="R362" s="103">
        <f>P362/I$5</f>
        <v>191.53308689084736</v>
      </c>
      <c r="S362" s="375">
        <f>P362/I$7</f>
        <v>7470.4806540886611</v>
      </c>
      <c r="T362" s="356"/>
      <c r="U362" s="104"/>
      <c r="V362" s="95"/>
      <c r="W362" s="105"/>
      <c r="X362" s="95"/>
      <c r="Y362" s="95"/>
      <c r="Z362" s="95"/>
      <c r="AA362" s="95"/>
      <c r="AB362" s="95"/>
      <c r="AC362" s="95"/>
      <c r="AD362" s="17">
        <f t="shared" si="99"/>
        <v>0</v>
      </c>
      <c r="AE362" s="17">
        <f t="shared" si="108"/>
        <v>0</v>
      </c>
      <c r="AF362" s="17">
        <f t="shared" si="108"/>
        <v>0</v>
      </c>
      <c r="AG362" s="17">
        <f t="shared" si="108"/>
        <v>0</v>
      </c>
      <c r="AH362" s="18" t="str">
        <f t="shared" si="101"/>
        <v>0,;!0,;!0,;!0</v>
      </c>
      <c r="AI362" s="18" t="e">
        <f>INDEX([1]Library!$AL:$AL,MATCH(AH362,[1]Library!$AJ:$AJ,0),1)</f>
        <v>#N/A</v>
      </c>
      <c r="AJ362" s="18" t="e">
        <f>TEXT(INDEX([1]Library!$W:$W,MATCH(AH362,[1]Library!$AJ:$AJ,0),1),"")</f>
        <v>#N/A</v>
      </c>
    </row>
    <row r="363" spans="1:36" ht="25.05" customHeight="1" outlineLevel="2">
      <c r="A363" s="376" t="s">
        <v>44</v>
      </c>
      <c r="B363" s="107" t="s">
        <v>44</v>
      </c>
      <c r="C363" s="108" t="s">
        <v>44</v>
      </c>
      <c r="D363" s="109" t="s">
        <v>384</v>
      </c>
      <c r="E363" s="289"/>
      <c r="F363" s="299"/>
      <c r="G363" s="62"/>
      <c r="H363" s="111">
        <v>116</v>
      </c>
      <c r="I363" s="112" t="s">
        <v>122</v>
      </c>
      <c r="J363" s="113">
        <v>2349.0998243559702</v>
      </c>
      <c r="K363" s="114">
        <v>272495.57962529256</v>
      </c>
      <c r="L363" s="113">
        <v>704.72994730679102</v>
      </c>
      <c r="M363" s="114">
        <v>81748.673887587764</v>
      </c>
      <c r="N363" s="115">
        <v>0</v>
      </c>
      <c r="O363" s="114">
        <v>0</v>
      </c>
      <c r="P363" s="116">
        <v>354244.2535128803</v>
      </c>
      <c r="Q363" s="117">
        <f t="shared" ref="Q363:Q364" si="109">P363/P$13</f>
        <v>1.0077435906861681E-3</v>
      </c>
      <c r="R363" s="114">
        <f t="shared" ref="R363:R364" si="110">P363/I$5</f>
        <v>29.488138667911997</v>
      </c>
      <c r="S363" s="377">
        <f t="shared" ref="S363:S364" si="111">P363/I$7</f>
        <v>1150.1436802366243</v>
      </c>
      <c r="T363" s="357"/>
      <c r="U363" s="104"/>
      <c r="V363" s="95"/>
      <c r="W363" s="105"/>
      <c r="X363" s="95"/>
      <c r="Y363" s="95"/>
      <c r="Z363" s="95"/>
      <c r="AA363" s="95"/>
      <c r="AB363" s="95"/>
      <c r="AC363" s="95"/>
      <c r="AD363" s="17">
        <f t="shared" si="99"/>
        <v>0</v>
      </c>
      <c r="AE363" s="17">
        <f t="shared" si="108"/>
        <v>0</v>
      </c>
      <c r="AF363" s="17">
        <f t="shared" si="108"/>
        <v>0</v>
      </c>
      <c r="AG363" s="17">
        <f t="shared" si="108"/>
        <v>0</v>
      </c>
      <c r="AH363" s="18" t="str">
        <f t="shared" si="101"/>
        <v>0,;!0,;!0,;!0</v>
      </c>
      <c r="AI363" s="18" t="e">
        <f>INDEX([1]Library!$AL:$AL,MATCH(AH363,[1]Library!$AJ:$AJ,0),1)</f>
        <v>#N/A</v>
      </c>
      <c r="AJ363" s="18" t="e">
        <f>TEXT(INDEX([1]Library!$W:$W,MATCH(AH363,[1]Library!$AJ:$AJ,0),1),"")</f>
        <v>#N/A</v>
      </c>
    </row>
    <row r="364" spans="1:36" ht="25.05" customHeight="1" outlineLevel="2">
      <c r="A364" s="376" t="s">
        <v>44</v>
      </c>
      <c r="B364" s="107" t="s">
        <v>44</v>
      </c>
      <c r="C364" s="108" t="s">
        <v>44</v>
      </c>
      <c r="D364" s="109" t="s">
        <v>385</v>
      </c>
      <c r="E364" s="289"/>
      <c r="F364" s="299"/>
      <c r="G364" s="62"/>
      <c r="H364" s="111">
        <v>671</v>
      </c>
      <c r="I364" s="112" t="s">
        <v>122</v>
      </c>
      <c r="J364" s="113">
        <v>2231.6448331381716</v>
      </c>
      <c r="K364" s="114">
        <v>1497433.6830357132</v>
      </c>
      <c r="L364" s="113">
        <v>669.49344994145144</v>
      </c>
      <c r="M364" s="114">
        <v>449230.10491071391</v>
      </c>
      <c r="N364" s="115">
        <v>0</v>
      </c>
      <c r="O364" s="114">
        <v>0</v>
      </c>
      <c r="P364" s="116">
        <v>1946663.787946427</v>
      </c>
      <c r="Q364" s="117">
        <f t="shared" si="109"/>
        <v>5.5378116541629123E-3</v>
      </c>
      <c r="R364" s="114">
        <f t="shared" si="110"/>
        <v>162.04494822293535</v>
      </c>
      <c r="S364" s="377">
        <f t="shared" si="111"/>
        <v>6320.336973852036</v>
      </c>
      <c r="T364" s="357"/>
      <c r="U364" s="104"/>
      <c r="V364" s="95"/>
      <c r="W364" s="105"/>
      <c r="X364" s="95"/>
      <c r="Y364" s="95"/>
      <c r="Z364" s="95"/>
      <c r="AA364" s="95"/>
      <c r="AB364" s="95"/>
      <c r="AC364" s="95"/>
      <c r="AD364" s="17">
        <f t="shared" si="99"/>
        <v>0</v>
      </c>
      <c r="AE364" s="17">
        <f t="shared" si="108"/>
        <v>0</v>
      </c>
      <c r="AF364" s="17">
        <f t="shared" si="108"/>
        <v>0</v>
      </c>
      <c r="AG364" s="17">
        <f t="shared" si="108"/>
        <v>0</v>
      </c>
      <c r="AH364" s="18" t="str">
        <f t="shared" si="101"/>
        <v>0,;!0,;!0,;!0</v>
      </c>
      <c r="AI364" s="18" t="e">
        <f>INDEX([1]Library!$AL:$AL,MATCH(AH364,[1]Library!$AJ:$AJ,0),1)</f>
        <v>#N/A</v>
      </c>
      <c r="AJ364" s="18" t="e">
        <f>TEXT(INDEX([1]Library!$W:$W,MATCH(AH364,[1]Library!$AJ:$AJ,0),1),"")</f>
        <v>#N/A</v>
      </c>
    </row>
    <row r="365" spans="1:36" ht="25.05" customHeight="1" outlineLevel="1">
      <c r="A365" s="374" t="s">
        <v>44</v>
      </c>
      <c r="B365" s="96" t="s">
        <v>44</v>
      </c>
      <c r="C365" s="97" t="s">
        <v>386</v>
      </c>
      <c r="D365" s="97"/>
      <c r="E365" s="98"/>
      <c r="F365" s="298"/>
      <c r="G365" s="62"/>
      <c r="H365" s="99">
        <v>1</v>
      </c>
      <c r="I365" s="100" t="s">
        <v>35</v>
      </c>
      <c r="J365" s="99">
        <v>3246439.86</v>
      </c>
      <c r="K365" s="99">
        <v>3246439.86</v>
      </c>
      <c r="L365" s="99">
        <v>1298575.9439999999</v>
      </c>
      <c r="M365" s="99">
        <v>1298575.9439999999</v>
      </c>
      <c r="N365" s="99">
        <v>0</v>
      </c>
      <c r="O365" s="99">
        <v>0</v>
      </c>
      <c r="P365" s="101">
        <v>4545015.8039999995</v>
      </c>
      <c r="Q365" s="102">
        <f>P365/P$13</f>
        <v>1.2929526733682936E-2</v>
      </c>
      <c r="R365" s="103">
        <f>P365/I$5</f>
        <v>378.33798275384135</v>
      </c>
      <c r="S365" s="375">
        <f>P365/I$7</f>
        <v>14756.544818181817</v>
      </c>
      <c r="T365" s="356"/>
      <c r="U365" s="104"/>
      <c r="V365" s="95"/>
      <c r="W365" s="105"/>
      <c r="X365" s="95"/>
      <c r="Y365" s="95"/>
      <c r="Z365" s="95"/>
      <c r="AA365" s="95"/>
      <c r="AB365" s="95"/>
      <c r="AC365" s="95"/>
      <c r="AD365" s="17">
        <f t="shared" si="99"/>
        <v>0</v>
      </c>
      <c r="AE365" s="17">
        <f t="shared" si="108"/>
        <v>0</v>
      </c>
      <c r="AF365" s="17">
        <f t="shared" si="108"/>
        <v>0</v>
      </c>
      <c r="AG365" s="17">
        <f t="shared" si="108"/>
        <v>0</v>
      </c>
      <c r="AH365" s="18" t="str">
        <f t="shared" si="101"/>
        <v>0,;!0,;!0,;!0</v>
      </c>
      <c r="AI365" s="18" t="e">
        <f>INDEX([1]Library!$AL:$AL,MATCH(AH365,[1]Library!$AJ:$AJ,0),1)</f>
        <v>#N/A</v>
      </c>
      <c r="AJ365" s="18" t="e">
        <f>TEXT(INDEX([1]Library!$W:$W,MATCH(AH365,[1]Library!$AJ:$AJ,0),1),"")</f>
        <v>#N/A</v>
      </c>
    </row>
    <row r="366" spans="1:36" ht="25.05" customHeight="1" outlineLevel="2">
      <c r="A366" s="376" t="s">
        <v>44</v>
      </c>
      <c r="B366" s="107" t="s">
        <v>44</v>
      </c>
      <c r="C366" s="108" t="s">
        <v>44</v>
      </c>
      <c r="D366" s="109" t="s">
        <v>387</v>
      </c>
      <c r="E366" s="289"/>
      <c r="F366" s="299"/>
      <c r="G366" s="62"/>
      <c r="H366" s="111">
        <v>25087</v>
      </c>
      <c r="I366" s="112" t="s">
        <v>122</v>
      </c>
      <c r="J366" s="113">
        <v>79</v>
      </c>
      <c r="K366" s="114">
        <v>1981873</v>
      </c>
      <c r="L366" s="113">
        <v>31.6</v>
      </c>
      <c r="M366" s="114">
        <v>792749.20000000007</v>
      </c>
      <c r="N366" s="115">
        <v>0</v>
      </c>
      <c r="O366" s="114">
        <v>0</v>
      </c>
      <c r="P366" s="116">
        <v>2774622.2</v>
      </c>
      <c r="Q366" s="117">
        <f t="shared" ref="Q366:Q380" si="112">P366/P$13</f>
        <v>7.8931632931171589E-3</v>
      </c>
      <c r="R366" s="114">
        <f t="shared" ref="R366:R380" si="113">P366/I$5</f>
        <v>230.96618610834329</v>
      </c>
      <c r="S366" s="377">
        <f t="shared" ref="S366:S380" si="114">P366/I$7</f>
        <v>9008.5136363636375</v>
      </c>
      <c r="T366" s="357"/>
      <c r="U366" s="104"/>
      <c r="V366" s="95"/>
      <c r="W366" s="105"/>
      <c r="X366" s="95"/>
      <c r="Y366" s="95"/>
      <c r="Z366" s="95"/>
      <c r="AA366" s="95"/>
      <c r="AB366" s="95"/>
      <c r="AC366" s="95"/>
      <c r="AD366" s="17">
        <f t="shared" si="99"/>
        <v>0</v>
      </c>
      <c r="AE366" s="17">
        <f t="shared" ref="AE366:AG381" si="115">IF(AA366=" ",IF($X366&gt;=AE$12,AE365,""),AA366)</f>
        <v>0</v>
      </c>
      <c r="AF366" s="17">
        <f t="shared" si="115"/>
        <v>0</v>
      </c>
      <c r="AG366" s="17">
        <f t="shared" si="115"/>
        <v>0</v>
      </c>
      <c r="AH366" s="18" t="str">
        <f t="shared" si="101"/>
        <v>0,;!0,;!0,;!0</v>
      </c>
      <c r="AI366" s="18" t="e">
        <f>INDEX([1]Library!$AL:$AL,MATCH(AH366,[1]Library!$AJ:$AJ,0),1)</f>
        <v>#N/A</v>
      </c>
      <c r="AJ366" s="18" t="e">
        <f>TEXT(INDEX([1]Library!$W:$W,MATCH(AH366,[1]Library!$AJ:$AJ,0),1),"")</f>
        <v>#N/A</v>
      </c>
    </row>
    <row r="367" spans="1:36" ht="25.05" customHeight="1" outlineLevel="2">
      <c r="A367" s="376" t="s">
        <v>44</v>
      </c>
      <c r="B367" s="107" t="s">
        <v>44</v>
      </c>
      <c r="C367" s="108" t="s">
        <v>44</v>
      </c>
      <c r="D367" s="109" t="s">
        <v>388</v>
      </c>
      <c r="E367" s="289"/>
      <c r="F367" s="299"/>
      <c r="G367" s="62"/>
      <c r="H367" s="111">
        <v>9</v>
      </c>
      <c r="I367" s="112" t="s">
        <v>122</v>
      </c>
      <c r="J367" s="113">
        <v>125.75</v>
      </c>
      <c r="K367" s="114">
        <v>1131.75</v>
      </c>
      <c r="L367" s="113">
        <v>50.300000000000004</v>
      </c>
      <c r="M367" s="114">
        <v>452.70000000000005</v>
      </c>
      <c r="N367" s="115">
        <v>0</v>
      </c>
      <c r="O367" s="114">
        <v>0</v>
      </c>
      <c r="P367" s="116">
        <v>1584.45</v>
      </c>
      <c r="Q367" s="117">
        <f t="shared" si="112"/>
        <v>4.5073965672802156E-6</v>
      </c>
      <c r="R367" s="114">
        <f t="shared" si="113"/>
        <v>0.1318934064534496</v>
      </c>
      <c r="S367" s="377">
        <f t="shared" si="114"/>
        <v>5.144318181818182</v>
      </c>
      <c r="T367" s="357"/>
      <c r="U367" s="104"/>
      <c r="V367" s="95"/>
      <c r="W367" s="105"/>
      <c r="X367" s="95"/>
      <c r="Y367" s="95"/>
      <c r="Z367" s="95"/>
      <c r="AA367" s="95"/>
      <c r="AB367" s="95"/>
      <c r="AC367" s="95"/>
      <c r="AD367" s="17">
        <f t="shared" si="99"/>
        <v>0</v>
      </c>
      <c r="AE367" s="17">
        <f t="shared" si="115"/>
        <v>0</v>
      </c>
      <c r="AF367" s="17">
        <f t="shared" si="115"/>
        <v>0</v>
      </c>
      <c r="AG367" s="17">
        <f t="shared" si="115"/>
        <v>0</v>
      </c>
      <c r="AH367" s="18" t="str">
        <f t="shared" si="101"/>
        <v>0,;!0,;!0,;!0</v>
      </c>
      <c r="AI367" s="18" t="e">
        <f>INDEX([1]Library!$AL:$AL,MATCH(AH367,[1]Library!$AJ:$AJ,0),1)</f>
        <v>#N/A</v>
      </c>
      <c r="AJ367" s="18" t="e">
        <f>TEXT(INDEX([1]Library!$W:$W,MATCH(AH367,[1]Library!$AJ:$AJ,0),1),"")</f>
        <v>#N/A</v>
      </c>
    </row>
    <row r="368" spans="1:36" ht="25.05" customHeight="1" outlineLevel="2">
      <c r="A368" s="376" t="s">
        <v>44</v>
      </c>
      <c r="B368" s="107" t="s">
        <v>44</v>
      </c>
      <c r="C368" s="108" t="s">
        <v>44</v>
      </c>
      <c r="D368" s="109" t="s">
        <v>389</v>
      </c>
      <c r="E368" s="289"/>
      <c r="F368" s="299"/>
      <c r="G368" s="62"/>
      <c r="H368" s="111">
        <v>6</v>
      </c>
      <c r="I368" s="112" t="s">
        <v>122</v>
      </c>
      <c r="J368" s="113">
        <v>197.5</v>
      </c>
      <c r="K368" s="114">
        <v>1185</v>
      </c>
      <c r="L368" s="113">
        <v>79</v>
      </c>
      <c r="M368" s="114">
        <v>474</v>
      </c>
      <c r="N368" s="115">
        <v>0</v>
      </c>
      <c r="O368" s="114">
        <v>0</v>
      </c>
      <c r="P368" s="116">
        <v>1659</v>
      </c>
      <c r="Q368" s="117">
        <f t="shared" si="112"/>
        <v>4.7194742056346858E-6</v>
      </c>
      <c r="R368" s="114">
        <f t="shared" si="113"/>
        <v>0.13809912670407579</v>
      </c>
      <c r="S368" s="377">
        <f t="shared" si="114"/>
        <v>5.3863636363636367</v>
      </c>
      <c r="T368" s="357"/>
      <c r="U368" s="104"/>
      <c r="V368" s="95"/>
      <c r="W368" s="105"/>
      <c r="X368" s="95"/>
      <c r="Y368" s="95"/>
      <c r="Z368" s="95"/>
      <c r="AA368" s="95"/>
      <c r="AB368" s="95"/>
      <c r="AC368" s="95"/>
      <c r="AD368" s="17">
        <f t="shared" si="99"/>
        <v>0</v>
      </c>
      <c r="AE368" s="17">
        <f t="shared" si="115"/>
        <v>0</v>
      </c>
      <c r="AF368" s="17">
        <f t="shared" si="115"/>
        <v>0</v>
      </c>
      <c r="AG368" s="17">
        <f t="shared" si="115"/>
        <v>0</v>
      </c>
      <c r="AH368" s="18" t="str">
        <f t="shared" si="101"/>
        <v>0,;!0,;!0,;!0</v>
      </c>
      <c r="AI368" s="18" t="e">
        <f>INDEX([1]Library!$AL:$AL,MATCH(AH368,[1]Library!$AJ:$AJ,0),1)</f>
        <v>#N/A</v>
      </c>
      <c r="AJ368" s="18" t="e">
        <f>TEXT(INDEX([1]Library!$W:$W,MATCH(AH368,[1]Library!$AJ:$AJ,0),1),"")</f>
        <v>#N/A</v>
      </c>
    </row>
    <row r="369" spans="1:36" ht="25.05" customHeight="1" outlineLevel="2">
      <c r="A369" s="376" t="s">
        <v>44</v>
      </c>
      <c r="B369" s="107" t="s">
        <v>44</v>
      </c>
      <c r="C369" s="108" t="s">
        <v>44</v>
      </c>
      <c r="D369" s="109" t="s">
        <v>390</v>
      </c>
      <c r="E369" s="289"/>
      <c r="F369" s="299"/>
      <c r="G369" s="62"/>
      <c r="H369" s="111">
        <v>266</v>
      </c>
      <c r="I369" s="112" t="s">
        <v>122</v>
      </c>
      <c r="J369" s="113">
        <v>287.75</v>
      </c>
      <c r="K369" s="114">
        <v>76541.5</v>
      </c>
      <c r="L369" s="113">
        <v>115.10000000000001</v>
      </c>
      <c r="M369" s="114">
        <v>30616.600000000002</v>
      </c>
      <c r="N369" s="115">
        <v>0</v>
      </c>
      <c r="O369" s="114">
        <v>0</v>
      </c>
      <c r="P369" s="116">
        <v>107158.1</v>
      </c>
      <c r="Q369" s="117">
        <f t="shared" si="112"/>
        <v>3.0484019823678253E-4</v>
      </c>
      <c r="R369" s="114">
        <f t="shared" si="113"/>
        <v>8.920096461282716</v>
      </c>
      <c r="S369" s="377">
        <f t="shared" si="114"/>
        <v>347.91590909090911</v>
      </c>
      <c r="T369" s="357"/>
      <c r="U369" s="104"/>
      <c r="V369" s="95"/>
      <c r="W369" s="105"/>
      <c r="X369" s="95"/>
      <c r="Y369" s="95"/>
      <c r="Z369" s="95"/>
      <c r="AA369" s="95"/>
      <c r="AB369" s="95"/>
      <c r="AC369" s="95"/>
      <c r="AD369" s="17">
        <f t="shared" si="99"/>
        <v>0</v>
      </c>
      <c r="AE369" s="17">
        <f t="shared" si="115"/>
        <v>0</v>
      </c>
      <c r="AF369" s="17">
        <f t="shared" si="115"/>
        <v>0</v>
      </c>
      <c r="AG369" s="17">
        <f t="shared" si="115"/>
        <v>0</v>
      </c>
      <c r="AH369" s="18" t="str">
        <f t="shared" si="101"/>
        <v>0,;!0,;!0,;!0</v>
      </c>
      <c r="AI369" s="18" t="e">
        <f>INDEX([1]Library!$AL:$AL,MATCH(AH369,[1]Library!$AJ:$AJ,0),1)</f>
        <v>#N/A</v>
      </c>
      <c r="AJ369" s="18" t="e">
        <f>TEXT(INDEX([1]Library!$W:$W,MATCH(AH369,[1]Library!$AJ:$AJ,0),1),"")</f>
        <v>#N/A</v>
      </c>
    </row>
    <row r="370" spans="1:36" ht="25.05" customHeight="1" outlineLevel="2">
      <c r="A370" s="376" t="s">
        <v>44</v>
      </c>
      <c r="B370" s="107" t="s">
        <v>44</v>
      </c>
      <c r="C370" s="108" t="s">
        <v>44</v>
      </c>
      <c r="D370" s="109" t="s">
        <v>391</v>
      </c>
      <c r="E370" s="289"/>
      <c r="F370" s="299"/>
      <c r="G370" s="62"/>
      <c r="H370" s="111">
        <v>24</v>
      </c>
      <c r="I370" s="112" t="s">
        <v>122</v>
      </c>
      <c r="J370" s="113">
        <v>1075.78125</v>
      </c>
      <c r="K370" s="114">
        <v>25818.75</v>
      </c>
      <c r="L370" s="113">
        <v>430.3125</v>
      </c>
      <c r="M370" s="114">
        <v>10327.5</v>
      </c>
      <c r="N370" s="115">
        <v>0</v>
      </c>
      <c r="O370" s="114">
        <v>0</v>
      </c>
      <c r="P370" s="116">
        <v>36146.25</v>
      </c>
      <c r="Q370" s="117">
        <f t="shared" si="112"/>
        <v>1.028277845120089E-4</v>
      </c>
      <c r="R370" s="114">
        <f t="shared" si="113"/>
        <v>3.0089002764479806</v>
      </c>
      <c r="S370" s="377">
        <f t="shared" si="114"/>
        <v>117.35795454545455</v>
      </c>
      <c r="T370" s="357"/>
      <c r="U370" s="104"/>
      <c r="V370" s="95"/>
      <c r="W370" s="105"/>
      <c r="X370" s="95"/>
      <c r="Y370" s="95"/>
      <c r="Z370" s="95"/>
      <c r="AA370" s="95"/>
      <c r="AB370" s="95"/>
      <c r="AC370" s="95"/>
      <c r="AD370" s="17">
        <f t="shared" si="99"/>
        <v>0</v>
      </c>
      <c r="AE370" s="17">
        <f t="shared" si="115"/>
        <v>0</v>
      </c>
      <c r="AF370" s="17">
        <f t="shared" si="115"/>
        <v>0</v>
      </c>
      <c r="AG370" s="17">
        <f t="shared" si="115"/>
        <v>0</v>
      </c>
      <c r="AH370" s="18" t="str">
        <f t="shared" si="101"/>
        <v>0,;!0,;!0,;!0</v>
      </c>
      <c r="AI370" s="18" t="e">
        <f>INDEX([1]Library!$AL:$AL,MATCH(AH370,[1]Library!$AJ:$AJ,0),1)</f>
        <v>#N/A</v>
      </c>
      <c r="AJ370" s="18" t="e">
        <f>TEXT(INDEX([1]Library!$W:$W,MATCH(AH370,[1]Library!$AJ:$AJ,0),1),"")</f>
        <v>#N/A</v>
      </c>
    </row>
    <row r="371" spans="1:36" ht="25.05" customHeight="1" outlineLevel="2">
      <c r="A371" s="376" t="s">
        <v>44</v>
      </c>
      <c r="B371" s="107" t="s">
        <v>44</v>
      </c>
      <c r="C371" s="108" t="s">
        <v>44</v>
      </c>
      <c r="D371" s="109" t="s">
        <v>392</v>
      </c>
      <c r="E371" s="289"/>
      <c r="F371" s="299"/>
      <c r="G371" s="62"/>
      <c r="H371" s="111">
        <v>40</v>
      </c>
      <c r="I371" s="112" t="s">
        <v>122</v>
      </c>
      <c r="J371" s="113">
        <v>2262</v>
      </c>
      <c r="K371" s="114">
        <v>90480</v>
      </c>
      <c r="L371" s="113">
        <v>904.8</v>
      </c>
      <c r="M371" s="114">
        <v>36192</v>
      </c>
      <c r="N371" s="115">
        <v>0</v>
      </c>
      <c r="O371" s="114">
        <v>0</v>
      </c>
      <c r="P371" s="116">
        <v>126672</v>
      </c>
      <c r="Q371" s="117">
        <f t="shared" si="112"/>
        <v>3.6035276466314463E-4</v>
      </c>
      <c r="R371" s="114">
        <f t="shared" si="113"/>
        <v>10.544480155430191</v>
      </c>
      <c r="S371" s="377">
        <f t="shared" si="114"/>
        <v>411.27272727272725</v>
      </c>
      <c r="T371" s="357"/>
      <c r="U371" s="104"/>
      <c r="V371" s="95"/>
      <c r="W371" s="105"/>
      <c r="X371" s="95"/>
      <c r="Y371" s="95"/>
      <c r="Z371" s="95"/>
      <c r="AA371" s="95"/>
      <c r="AB371" s="95"/>
      <c r="AC371" s="95"/>
      <c r="AD371" s="17">
        <f t="shared" si="99"/>
        <v>0</v>
      </c>
      <c r="AE371" s="17">
        <f t="shared" si="115"/>
        <v>0</v>
      </c>
      <c r="AF371" s="17">
        <f t="shared" si="115"/>
        <v>0</v>
      </c>
      <c r="AG371" s="17">
        <f t="shared" si="115"/>
        <v>0</v>
      </c>
      <c r="AH371" s="18" t="str">
        <f t="shared" si="101"/>
        <v>0,;!0,;!0,;!0</v>
      </c>
      <c r="AI371" s="18" t="e">
        <f>INDEX([1]Library!$AL:$AL,MATCH(AH371,[1]Library!$AJ:$AJ,0),1)</f>
        <v>#N/A</v>
      </c>
      <c r="AJ371" s="18" t="e">
        <f>TEXT(INDEX([1]Library!$W:$W,MATCH(AH371,[1]Library!$AJ:$AJ,0),1),"")</f>
        <v>#N/A</v>
      </c>
    </row>
    <row r="372" spans="1:36" ht="25.05" customHeight="1" outlineLevel="2">
      <c r="A372" s="376" t="s">
        <v>44</v>
      </c>
      <c r="B372" s="107" t="s">
        <v>44</v>
      </c>
      <c r="C372" s="108" t="s">
        <v>44</v>
      </c>
      <c r="D372" s="109" t="s">
        <v>393</v>
      </c>
      <c r="E372" s="289"/>
      <c r="F372" s="299"/>
      <c r="G372" s="62"/>
      <c r="H372" s="111">
        <v>101351</v>
      </c>
      <c r="I372" s="112" t="s">
        <v>122</v>
      </c>
      <c r="J372" s="113">
        <v>7.919999999999999</v>
      </c>
      <c r="K372" s="114">
        <v>802699.91999999993</v>
      </c>
      <c r="L372" s="113">
        <v>3.1680000000000001</v>
      </c>
      <c r="M372" s="114">
        <v>321079.96799999999</v>
      </c>
      <c r="N372" s="115">
        <v>0</v>
      </c>
      <c r="O372" s="114">
        <v>0</v>
      </c>
      <c r="P372" s="116">
        <v>1123779.8879999998</v>
      </c>
      <c r="Q372" s="117">
        <f t="shared" si="112"/>
        <v>3.1968958373882069E-3</v>
      </c>
      <c r="R372" s="114">
        <f t="shared" si="113"/>
        <v>93.546124858591966</v>
      </c>
      <c r="S372" s="377">
        <f t="shared" si="114"/>
        <v>3648.6359999999995</v>
      </c>
      <c r="T372" s="357"/>
      <c r="U372" s="104"/>
      <c r="V372" s="95"/>
      <c r="W372" s="105"/>
      <c r="X372" s="95"/>
      <c r="Y372" s="95"/>
      <c r="Z372" s="95"/>
      <c r="AA372" s="95"/>
      <c r="AB372" s="95"/>
      <c r="AC372" s="95"/>
      <c r="AD372" s="17">
        <f t="shared" si="99"/>
        <v>0</v>
      </c>
      <c r="AE372" s="17">
        <f t="shared" si="115"/>
        <v>0</v>
      </c>
      <c r="AF372" s="17">
        <f t="shared" si="115"/>
        <v>0</v>
      </c>
      <c r="AG372" s="17">
        <f t="shared" si="115"/>
        <v>0</v>
      </c>
      <c r="AH372" s="18" t="str">
        <f t="shared" si="101"/>
        <v>0,;!0,;!0,;!0</v>
      </c>
      <c r="AI372" s="18" t="e">
        <f>INDEX([1]Library!$AL:$AL,MATCH(AH372,[1]Library!$AJ:$AJ,0),1)</f>
        <v>#N/A</v>
      </c>
      <c r="AJ372" s="18" t="e">
        <f>TEXT(INDEX([1]Library!$W:$W,MATCH(AH372,[1]Library!$AJ:$AJ,0),1),"")</f>
        <v>#N/A</v>
      </c>
    </row>
    <row r="373" spans="1:36" ht="25.05" customHeight="1" outlineLevel="2">
      <c r="A373" s="376" t="s">
        <v>44</v>
      </c>
      <c r="B373" s="107" t="s">
        <v>44</v>
      </c>
      <c r="C373" s="108" t="s">
        <v>44</v>
      </c>
      <c r="D373" s="109" t="s">
        <v>394</v>
      </c>
      <c r="E373" s="289"/>
      <c r="F373" s="299"/>
      <c r="G373" s="62"/>
      <c r="H373" s="111">
        <v>228</v>
      </c>
      <c r="I373" s="112" t="s">
        <v>122</v>
      </c>
      <c r="J373" s="113">
        <v>12.12</v>
      </c>
      <c r="K373" s="114">
        <v>2763.3599999999997</v>
      </c>
      <c r="L373" s="113">
        <v>4.8479999999999999</v>
      </c>
      <c r="M373" s="114">
        <v>1105.3440000000001</v>
      </c>
      <c r="N373" s="115">
        <v>0</v>
      </c>
      <c r="O373" s="114">
        <v>0</v>
      </c>
      <c r="P373" s="116">
        <v>3868.7039999999997</v>
      </c>
      <c r="Q373" s="117">
        <f t="shared" si="112"/>
        <v>1.1005574886820815E-5</v>
      </c>
      <c r="R373" s="114">
        <f t="shared" si="113"/>
        <v>0.32204017111305894</v>
      </c>
      <c r="S373" s="377">
        <f t="shared" si="114"/>
        <v>12.560727272727272</v>
      </c>
      <c r="T373" s="357"/>
      <c r="U373" s="104"/>
      <c r="V373" s="95"/>
      <c r="W373" s="105"/>
      <c r="X373" s="95"/>
      <c r="Y373" s="95"/>
      <c r="Z373" s="95"/>
      <c r="AA373" s="95"/>
      <c r="AB373" s="95"/>
      <c r="AC373" s="95"/>
      <c r="AD373" s="17">
        <f t="shared" si="99"/>
        <v>0</v>
      </c>
      <c r="AE373" s="17">
        <f t="shared" si="115"/>
        <v>0</v>
      </c>
      <c r="AF373" s="17">
        <f t="shared" si="115"/>
        <v>0</v>
      </c>
      <c r="AG373" s="17">
        <f t="shared" si="115"/>
        <v>0</v>
      </c>
      <c r="AH373" s="18" t="str">
        <f t="shared" si="101"/>
        <v>0,;!0,;!0,;!0</v>
      </c>
      <c r="AI373" s="18" t="e">
        <f>INDEX([1]Library!$AL:$AL,MATCH(AH373,[1]Library!$AJ:$AJ,0),1)</f>
        <v>#N/A</v>
      </c>
      <c r="AJ373" s="18" t="e">
        <f>TEXT(INDEX([1]Library!$W:$W,MATCH(AH373,[1]Library!$AJ:$AJ,0),1),"")</f>
        <v>#N/A</v>
      </c>
    </row>
    <row r="374" spans="1:36" ht="25.05" customHeight="1" outlineLevel="2">
      <c r="A374" s="376" t="s">
        <v>44</v>
      </c>
      <c r="B374" s="107" t="s">
        <v>44</v>
      </c>
      <c r="C374" s="108" t="s">
        <v>44</v>
      </c>
      <c r="D374" s="109" t="s">
        <v>395</v>
      </c>
      <c r="E374" s="289"/>
      <c r="F374" s="299"/>
      <c r="G374" s="62"/>
      <c r="H374" s="111">
        <v>1925</v>
      </c>
      <c r="I374" s="112" t="s">
        <v>122</v>
      </c>
      <c r="J374" s="113">
        <v>18.96</v>
      </c>
      <c r="K374" s="114">
        <v>36498</v>
      </c>
      <c r="L374" s="113">
        <v>7.5840000000000005</v>
      </c>
      <c r="M374" s="114">
        <v>14599.2</v>
      </c>
      <c r="N374" s="115">
        <v>0</v>
      </c>
      <c r="O374" s="114">
        <v>0</v>
      </c>
      <c r="P374" s="116">
        <v>51097.2</v>
      </c>
      <c r="Q374" s="117">
        <f t="shared" si="112"/>
        <v>1.4535980553354833E-4</v>
      </c>
      <c r="R374" s="114">
        <f t="shared" si="113"/>
        <v>4.2534531024855342</v>
      </c>
      <c r="S374" s="377">
        <f t="shared" si="114"/>
        <v>165.89999999999998</v>
      </c>
      <c r="T374" s="357"/>
      <c r="U374" s="104"/>
      <c r="V374" s="95"/>
      <c r="W374" s="105"/>
      <c r="X374" s="95"/>
      <c r="Y374" s="95"/>
      <c r="Z374" s="95"/>
      <c r="AA374" s="95"/>
      <c r="AB374" s="95"/>
      <c r="AC374" s="95"/>
      <c r="AD374" s="17">
        <f t="shared" si="99"/>
        <v>0</v>
      </c>
      <c r="AE374" s="17">
        <f t="shared" si="115"/>
        <v>0</v>
      </c>
      <c r="AF374" s="17">
        <f t="shared" si="115"/>
        <v>0</v>
      </c>
      <c r="AG374" s="17">
        <f t="shared" si="115"/>
        <v>0</v>
      </c>
      <c r="AH374" s="18" t="str">
        <f t="shared" si="101"/>
        <v>0,;!0,;!0,;!0</v>
      </c>
      <c r="AI374" s="18" t="e">
        <f>INDEX([1]Library!$AL:$AL,MATCH(AH374,[1]Library!$AJ:$AJ,0),1)</f>
        <v>#N/A</v>
      </c>
      <c r="AJ374" s="18" t="e">
        <f>TEXT(INDEX([1]Library!$W:$W,MATCH(AH374,[1]Library!$AJ:$AJ,0),1),"")</f>
        <v>#N/A</v>
      </c>
    </row>
    <row r="375" spans="1:36" ht="25.05" customHeight="1" outlineLevel="2">
      <c r="A375" s="376" t="s">
        <v>44</v>
      </c>
      <c r="B375" s="107" t="s">
        <v>44</v>
      </c>
      <c r="C375" s="108" t="s">
        <v>44</v>
      </c>
      <c r="D375" s="109" t="s">
        <v>396</v>
      </c>
      <c r="E375" s="289"/>
      <c r="F375" s="299"/>
      <c r="G375" s="62"/>
      <c r="H375" s="111">
        <v>3473</v>
      </c>
      <c r="I375" s="112" t="s">
        <v>122</v>
      </c>
      <c r="J375" s="113">
        <v>30.18</v>
      </c>
      <c r="K375" s="114">
        <v>104815.14</v>
      </c>
      <c r="L375" s="113">
        <v>12.072000000000001</v>
      </c>
      <c r="M375" s="114">
        <v>41926.056000000004</v>
      </c>
      <c r="N375" s="115">
        <v>0</v>
      </c>
      <c r="O375" s="114">
        <v>0</v>
      </c>
      <c r="P375" s="116">
        <v>146741.196</v>
      </c>
      <c r="Q375" s="117">
        <f t="shared" si="112"/>
        <v>4.1744502075104505E-4</v>
      </c>
      <c r="R375" s="114">
        <f t="shared" si="113"/>
        <v>12.215088016342145</v>
      </c>
      <c r="S375" s="377">
        <f t="shared" si="114"/>
        <v>476.43245454545456</v>
      </c>
      <c r="T375" s="357"/>
      <c r="U375" s="104"/>
      <c r="V375" s="95"/>
      <c r="W375" s="105"/>
      <c r="X375" s="95"/>
      <c r="Y375" s="95"/>
      <c r="Z375" s="95"/>
      <c r="AA375" s="95"/>
      <c r="AB375" s="95"/>
      <c r="AC375" s="95"/>
      <c r="AD375" s="17">
        <f t="shared" si="99"/>
        <v>0</v>
      </c>
      <c r="AE375" s="17">
        <f t="shared" si="115"/>
        <v>0</v>
      </c>
      <c r="AF375" s="17">
        <f t="shared" si="115"/>
        <v>0</v>
      </c>
      <c r="AG375" s="17">
        <f t="shared" si="115"/>
        <v>0</v>
      </c>
      <c r="AH375" s="18" t="str">
        <f t="shared" si="101"/>
        <v>0,;!0,;!0,;!0</v>
      </c>
      <c r="AI375" s="18" t="e">
        <f>INDEX([1]Library!$AL:$AL,MATCH(AH375,[1]Library!$AJ:$AJ,0),1)</f>
        <v>#N/A</v>
      </c>
      <c r="AJ375" s="18" t="e">
        <f>TEXT(INDEX([1]Library!$W:$W,MATCH(AH375,[1]Library!$AJ:$AJ,0),1),"")</f>
        <v>#N/A</v>
      </c>
    </row>
    <row r="376" spans="1:36" ht="25.05" customHeight="1" outlineLevel="2">
      <c r="A376" s="376" t="s">
        <v>44</v>
      </c>
      <c r="B376" s="107" t="s">
        <v>44</v>
      </c>
      <c r="C376" s="108" t="s">
        <v>44</v>
      </c>
      <c r="D376" s="109" t="s">
        <v>397</v>
      </c>
      <c r="E376" s="289"/>
      <c r="F376" s="299"/>
      <c r="G376" s="62"/>
      <c r="H376" s="111">
        <v>295</v>
      </c>
      <c r="I376" s="112" t="s">
        <v>122</v>
      </c>
      <c r="J376" s="113">
        <v>47.399999999999991</v>
      </c>
      <c r="K376" s="114">
        <v>13982.999999999998</v>
      </c>
      <c r="L376" s="113">
        <v>18.96</v>
      </c>
      <c r="M376" s="114">
        <v>5593.2000000000007</v>
      </c>
      <c r="N376" s="115">
        <v>0</v>
      </c>
      <c r="O376" s="114">
        <v>0</v>
      </c>
      <c r="P376" s="116">
        <v>19576.199999999997</v>
      </c>
      <c r="Q376" s="117">
        <f t="shared" si="112"/>
        <v>5.5689795626489288E-5</v>
      </c>
      <c r="R376" s="114">
        <f t="shared" si="113"/>
        <v>1.629569695108094</v>
      </c>
      <c r="S376" s="377">
        <f t="shared" si="114"/>
        <v>63.559090909090898</v>
      </c>
      <c r="T376" s="357"/>
      <c r="U376" s="104"/>
      <c r="V376" s="95"/>
      <c r="W376" s="105"/>
      <c r="X376" s="95"/>
      <c r="Y376" s="95"/>
      <c r="Z376" s="95"/>
      <c r="AA376" s="95"/>
      <c r="AB376" s="95"/>
      <c r="AC376" s="95"/>
      <c r="AD376" s="17">
        <f t="shared" si="99"/>
        <v>0</v>
      </c>
      <c r="AE376" s="17">
        <f t="shared" si="115"/>
        <v>0</v>
      </c>
      <c r="AF376" s="17">
        <f t="shared" si="115"/>
        <v>0</v>
      </c>
      <c r="AG376" s="17">
        <f t="shared" si="115"/>
        <v>0</v>
      </c>
      <c r="AH376" s="18" t="str">
        <f t="shared" si="101"/>
        <v>0,;!0,;!0,;!0</v>
      </c>
      <c r="AI376" s="18" t="e">
        <f>INDEX([1]Library!$AL:$AL,MATCH(AH376,[1]Library!$AJ:$AJ,0),1)</f>
        <v>#N/A</v>
      </c>
      <c r="AJ376" s="18" t="e">
        <f>TEXT(INDEX([1]Library!$W:$W,MATCH(AH376,[1]Library!$AJ:$AJ,0),1),"")</f>
        <v>#N/A</v>
      </c>
    </row>
    <row r="377" spans="1:36" ht="25.05" customHeight="1" outlineLevel="2">
      <c r="A377" s="376" t="s">
        <v>44</v>
      </c>
      <c r="B377" s="107" t="s">
        <v>44</v>
      </c>
      <c r="C377" s="108" t="s">
        <v>44</v>
      </c>
      <c r="D377" s="109" t="s">
        <v>398</v>
      </c>
      <c r="E377" s="289"/>
      <c r="F377" s="299"/>
      <c r="G377" s="62"/>
      <c r="H377" s="111">
        <v>10</v>
      </c>
      <c r="I377" s="112" t="s">
        <v>122</v>
      </c>
      <c r="J377" s="113">
        <v>69.06</v>
      </c>
      <c r="K377" s="114">
        <v>690.6</v>
      </c>
      <c r="L377" s="113">
        <v>27.624000000000002</v>
      </c>
      <c r="M377" s="114">
        <v>276.24</v>
      </c>
      <c r="N377" s="115">
        <v>0</v>
      </c>
      <c r="O377" s="114">
        <v>0</v>
      </c>
      <c r="P377" s="116">
        <v>966.84</v>
      </c>
      <c r="Q377" s="117">
        <f t="shared" si="112"/>
        <v>2.7504378788281131E-6</v>
      </c>
      <c r="R377" s="114">
        <f t="shared" si="113"/>
        <v>8.0482073334881638E-2</v>
      </c>
      <c r="S377" s="377">
        <f t="shared" si="114"/>
        <v>3.1390909090909092</v>
      </c>
      <c r="T377" s="357"/>
      <c r="U377" s="104"/>
      <c r="V377" s="95"/>
      <c r="W377" s="105"/>
      <c r="X377" s="95"/>
      <c r="Y377" s="95"/>
      <c r="Z377" s="95"/>
      <c r="AA377" s="95"/>
      <c r="AB377" s="95"/>
      <c r="AC377" s="95"/>
      <c r="AD377" s="17">
        <f t="shared" si="99"/>
        <v>0</v>
      </c>
      <c r="AE377" s="17">
        <f t="shared" si="115"/>
        <v>0</v>
      </c>
      <c r="AF377" s="17">
        <f t="shared" si="115"/>
        <v>0</v>
      </c>
      <c r="AG377" s="17">
        <f t="shared" si="115"/>
        <v>0</v>
      </c>
      <c r="AH377" s="18" t="str">
        <f t="shared" si="101"/>
        <v>0,;!0,;!0,;!0</v>
      </c>
      <c r="AI377" s="18" t="e">
        <f>INDEX([1]Library!$AL:$AL,MATCH(AH377,[1]Library!$AJ:$AJ,0),1)</f>
        <v>#N/A</v>
      </c>
      <c r="AJ377" s="18" t="e">
        <f>TEXT(INDEX([1]Library!$W:$W,MATCH(AH377,[1]Library!$AJ:$AJ,0),1),"")</f>
        <v>#N/A</v>
      </c>
    </row>
    <row r="378" spans="1:36" ht="25.05" customHeight="1" outlineLevel="2">
      <c r="A378" s="376" t="s">
        <v>44</v>
      </c>
      <c r="B378" s="107" t="s">
        <v>44</v>
      </c>
      <c r="C378" s="108" t="s">
        <v>44</v>
      </c>
      <c r="D378" s="109" t="s">
        <v>399</v>
      </c>
      <c r="E378" s="289"/>
      <c r="F378" s="299"/>
      <c r="G378" s="62"/>
      <c r="H378" s="111">
        <v>231</v>
      </c>
      <c r="I378" s="112" t="s">
        <v>122</v>
      </c>
      <c r="J378" s="113">
        <v>112.68</v>
      </c>
      <c r="K378" s="114">
        <v>26029.08</v>
      </c>
      <c r="L378" s="113">
        <v>45.072000000000003</v>
      </c>
      <c r="M378" s="114">
        <v>10411.632000000001</v>
      </c>
      <c r="N378" s="115">
        <v>0</v>
      </c>
      <c r="O378" s="114">
        <v>0</v>
      </c>
      <c r="P378" s="116">
        <v>36440.712</v>
      </c>
      <c r="Q378" s="117">
        <f t="shared" si="112"/>
        <v>1.0366546131341915E-4</v>
      </c>
      <c r="R378" s="114">
        <f t="shared" si="113"/>
        <v>3.0334119973928479</v>
      </c>
      <c r="S378" s="377">
        <f t="shared" si="114"/>
        <v>118.31399999999999</v>
      </c>
      <c r="T378" s="357"/>
      <c r="U378" s="104"/>
      <c r="V378" s="95"/>
      <c r="W378" s="105"/>
      <c r="X378" s="95"/>
      <c r="Y378" s="95"/>
      <c r="Z378" s="95"/>
      <c r="AA378" s="95"/>
      <c r="AB378" s="95"/>
      <c r="AC378" s="95"/>
      <c r="AD378" s="17">
        <f t="shared" si="99"/>
        <v>0</v>
      </c>
      <c r="AE378" s="17">
        <f t="shared" si="115"/>
        <v>0</v>
      </c>
      <c r="AF378" s="17">
        <f t="shared" si="115"/>
        <v>0</v>
      </c>
      <c r="AG378" s="17">
        <f t="shared" si="115"/>
        <v>0</v>
      </c>
      <c r="AH378" s="18" t="str">
        <f t="shared" si="101"/>
        <v>0,;!0,;!0,;!0</v>
      </c>
      <c r="AI378" s="18" t="e">
        <f>INDEX([1]Library!$AL:$AL,MATCH(AH378,[1]Library!$AJ:$AJ,0),1)</f>
        <v>#N/A</v>
      </c>
      <c r="AJ378" s="18" t="e">
        <f>TEXT(INDEX([1]Library!$W:$W,MATCH(AH378,[1]Library!$AJ:$AJ,0),1),"")</f>
        <v>#N/A</v>
      </c>
    </row>
    <row r="379" spans="1:36" ht="25.05" customHeight="1" outlineLevel="2">
      <c r="A379" s="376" t="s">
        <v>44</v>
      </c>
      <c r="B379" s="107" t="s">
        <v>44</v>
      </c>
      <c r="C379" s="108" t="s">
        <v>44</v>
      </c>
      <c r="D379" s="109" t="s">
        <v>400</v>
      </c>
      <c r="E379" s="289"/>
      <c r="F379" s="299"/>
      <c r="G379" s="62"/>
      <c r="H379" s="111">
        <v>297</v>
      </c>
      <c r="I379" s="112" t="s">
        <v>122</v>
      </c>
      <c r="J379" s="113">
        <v>211.08</v>
      </c>
      <c r="K379" s="114">
        <v>62690.76</v>
      </c>
      <c r="L379" s="113">
        <v>84.432000000000016</v>
      </c>
      <c r="M379" s="114">
        <v>25076.304000000004</v>
      </c>
      <c r="N379" s="115">
        <v>0</v>
      </c>
      <c r="O379" s="114">
        <v>0</v>
      </c>
      <c r="P379" s="116">
        <v>87767.064000000013</v>
      </c>
      <c r="Q379" s="117">
        <f t="shared" si="112"/>
        <v>2.4967715168914325E-4</v>
      </c>
      <c r="R379" s="114">
        <f t="shared" si="113"/>
        <v>7.3059402602656602</v>
      </c>
      <c r="S379" s="377">
        <f t="shared" si="114"/>
        <v>284.95800000000003</v>
      </c>
      <c r="T379" s="357"/>
      <c r="U379" s="104"/>
      <c r="V379" s="95"/>
      <c r="W379" s="105"/>
      <c r="X379" s="95"/>
      <c r="Y379" s="95"/>
      <c r="Z379" s="95"/>
      <c r="AA379" s="95"/>
      <c r="AB379" s="95"/>
      <c r="AC379" s="95"/>
      <c r="AD379" s="17">
        <f t="shared" si="99"/>
        <v>0</v>
      </c>
      <c r="AE379" s="17">
        <f t="shared" si="115"/>
        <v>0</v>
      </c>
      <c r="AF379" s="17">
        <f t="shared" si="115"/>
        <v>0</v>
      </c>
      <c r="AG379" s="17">
        <f t="shared" si="115"/>
        <v>0</v>
      </c>
      <c r="AH379" s="18" t="str">
        <f t="shared" si="101"/>
        <v>0,;!0,;!0,;!0</v>
      </c>
      <c r="AI379" s="18" t="e">
        <f>INDEX([1]Library!$AL:$AL,MATCH(AH379,[1]Library!$AJ:$AJ,0),1)</f>
        <v>#N/A</v>
      </c>
      <c r="AJ379" s="18" t="e">
        <f>TEXT(INDEX([1]Library!$W:$W,MATCH(AH379,[1]Library!$AJ:$AJ,0),1),"")</f>
        <v>#N/A</v>
      </c>
    </row>
    <row r="380" spans="1:36" ht="25.05" customHeight="1" outlineLevel="2">
      <c r="A380" s="376" t="s">
        <v>44</v>
      </c>
      <c r="B380" s="107" t="s">
        <v>44</v>
      </c>
      <c r="C380" s="108" t="s">
        <v>44</v>
      </c>
      <c r="D380" s="109" t="s">
        <v>401</v>
      </c>
      <c r="E380" s="289"/>
      <c r="F380" s="299"/>
      <c r="G380" s="62"/>
      <c r="H380" s="111">
        <v>40</v>
      </c>
      <c r="I380" s="112" t="s">
        <v>122</v>
      </c>
      <c r="J380" s="113">
        <v>481</v>
      </c>
      <c r="K380" s="114">
        <v>19240</v>
      </c>
      <c r="L380" s="113">
        <v>192.4</v>
      </c>
      <c r="M380" s="114">
        <v>7696</v>
      </c>
      <c r="N380" s="115">
        <v>0</v>
      </c>
      <c r="O380" s="114">
        <v>0</v>
      </c>
      <c r="P380" s="116">
        <v>26936</v>
      </c>
      <c r="Q380" s="117">
        <f t="shared" si="112"/>
        <v>7.6626737313427307E-5</v>
      </c>
      <c r="R380" s="114">
        <f t="shared" si="113"/>
        <v>2.2422170445455007</v>
      </c>
      <c r="S380" s="377">
        <f t="shared" si="114"/>
        <v>87.454545454545453</v>
      </c>
      <c r="T380" s="357"/>
      <c r="U380" s="104"/>
      <c r="V380" s="95"/>
      <c r="W380" s="105"/>
      <c r="X380" s="95"/>
      <c r="Y380" s="95"/>
      <c r="Z380" s="95"/>
      <c r="AA380" s="95"/>
      <c r="AB380" s="95"/>
      <c r="AC380" s="95"/>
      <c r="AD380" s="17">
        <f t="shared" si="99"/>
        <v>0</v>
      </c>
      <c r="AE380" s="17">
        <f t="shared" si="115"/>
        <v>0</v>
      </c>
      <c r="AF380" s="17">
        <f t="shared" si="115"/>
        <v>0</v>
      </c>
      <c r="AG380" s="17">
        <f t="shared" si="115"/>
        <v>0</v>
      </c>
      <c r="AH380" s="18" t="str">
        <f t="shared" si="101"/>
        <v>0,;!0,;!0,;!0</v>
      </c>
      <c r="AI380" s="18" t="e">
        <f>INDEX([1]Library!$AL:$AL,MATCH(AH380,[1]Library!$AJ:$AJ,0),1)</f>
        <v>#N/A</v>
      </c>
      <c r="AJ380" s="18" t="e">
        <f>TEXT(INDEX([1]Library!$W:$W,MATCH(AH380,[1]Library!$AJ:$AJ,0),1),"")</f>
        <v>#N/A</v>
      </c>
    </row>
    <row r="381" spans="1:36" ht="25.05" customHeight="1" outlineLevel="1">
      <c r="A381" s="374" t="s">
        <v>44</v>
      </c>
      <c r="B381" s="96" t="s">
        <v>44</v>
      </c>
      <c r="C381" s="97" t="s">
        <v>402</v>
      </c>
      <c r="D381" s="97"/>
      <c r="E381" s="98"/>
      <c r="F381" s="298"/>
      <c r="G381" s="62"/>
      <c r="H381" s="99">
        <v>1</v>
      </c>
      <c r="I381" s="100" t="s">
        <v>35</v>
      </c>
      <c r="J381" s="99">
        <v>446065.01000000007</v>
      </c>
      <c r="K381" s="99">
        <v>446065.01000000007</v>
      </c>
      <c r="L381" s="99">
        <v>178426.00399999999</v>
      </c>
      <c r="M381" s="99">
        <v>178426.00399999999</v>
      </c>
      <c r="N381" s="99">
        <v>0</v>
      </c>
      <c r="O381" s="99">
        <v>0</v>
      </c>
      <c r="P381" s="101">
        <v>624491.01400000008</v>
      </c>
      <c r="Q381" s="102">
        <f>P381/P$13</f>
        <v>1.7765335938659734E-3</v>
      </c>
      <c r="R381" s="103">
        <f>P381/I$5</f>
        <v>51.984125176577926</v>
      </c>
      <c r="S381" s="375">
        <f>P381/I$7</f>
        <v>2027.5682272727277</v>
      </c>
      <c r="T381" s="356"/>
      <c r="U381" s="104"/>
      <c r="V381" s="95"/>
      <c r="W381" s="105"/>
      <c r="X381" s="95"/>
      <c r="Y381" s="95"/>
      <c r="Z381" s="95"/>
      <c r="AA381" s="95"/>
      <c r="AB381" s="95"/>
      <c r="AC381" s="95"/>
      <c r="AD381" s="17">
        <f t="shared" si="99"/>
        <v>0</v>
      </c>
      <c r="AE381" s="17">
        <f t="shared" si="115"/>
        <v>0</v>
      </c>
      <c r="AF381" s="17">
        <f t="shared" si="115"/>
        <v>0</v>
      </c>
      <c r="AG381" s="17">
        <f t="shared" si="115"/>
        <v>0</v>
      </c>
      <c r="AH381" s="18" t="str">
        <f t="shared" si="101"/>
        <v>0,;!0,;!0,;!0</v>
      </c>
      <c r="AI381" s="18" t="e">
        <f>INDEX([1]Library!$AL:$AL,MATCH(AH381,[1]Library!$AJ:$AJ,0),1)</f>
        <v>#N/A</v>
      </c>
      <c r="AJ381" s="18" t="e">
        <f>TEXT(INDEX([1]Library!$W:$W,MATCH(AH381,[1]Library!$AJ:$AJ,0),1),"")</f>
        <v>#N/A</v>
      </c>
    </row>
    <row r="382" spans="1:36" ht="25.05" customHeight="1" outlineLevel="2">
      <c r="A382" s="376" t="s">
        <v>44</v>
      </c>
      <c r="B382" s="107" t="s">
        <v>44</v>
      </c>
      <c r="C382" s="108" t="s">
        <v>44</v>
      </c>
      <c r="D382" s="109" t="s">
        <v>403</v>
      </c>
      <c r="E382" s="289"/>
      <c r="F382" s="299"/>
      <c r="G382" s="62"/>
      <c r="H382" s="111">
        <v>95</v>
      </c>
      <c r="I382" s="112" t="s">
        <v>140</v>
      </c>
      <c r="J382" s="113">
        <v>86.48</v>
      </c>
      <c r="K382" s="114">
        <v>8215.6</v>
      </c>
      <c r="L382" s="113">
        <v>34.592000000000006</v>
      </c>
      <c r="M382" s="114">
        <v>3286.2400000000007</v>
      </c>
      <c r="N382" s="115">
        <v>0</v>
      </c>
      <c r="O382" s="114">
        <v>0</v>
      </c>
      <c r="P382" s="116">
        <v>11501.84</v>
      </c>
      <c r="Q382" s="117">
        <f t="shared" ref="Q382:Q392" si="116">P382/P$13</f>
        <v>3.2720094754272007E-5</v>
      </c>
      <c r="R382" s="114">
        <f t="shared" ref="R382:R392" si="117">P382/I$5</f>
        <v>0.9574406627426203</v>
      </c>
      <c r="S382" s="377">
        <f t="shared" ref="S382:S392" si="118">P382/I$7</f>
        <v>37.343636363636364</v>
      </c>
      <c r="T382" s="357"/>
      <c r="U382" s="104"/>
      <c r="V382" s="95"/>
      <c r="W382" s="105"/>
      <c r="X382" s="95"/>
      <c r="Y382" s="95"/>
      <c r="Z382" s="95"/>
      <c r="AA382" s="95"/>
      <c r="AB382" s="95"/>
      <c r="AC382" s="95"/>
      <c r="AD382" s="17">
        <f t="shared" si="99"/>
        <v>0</v>
      </c>
      <c r="AE382" s="17">
        <f t="shared" ref="AE382:AG397" si="119">IF(AA382=" ",IF($X382&gt;=AE$12,AE381,""),AA382)</f>
        <v>0</v>
      </c>
      <c r="AF382" s="17">
        <f t="shared" si="119"/>
        <v>0</v>
      </c>
      <c r="AG382" s="17">
        <f t="shared" si="119"/>
        <v>0</v>
      </c>
      <c r="AH382" s="18" t="str">
        <f t="shared" si="101"/>
        <v>0,;!0,;!0,;!0</v>
      </c>
      <c r="AI382" s="18" t="e">
        <f>INDEX([1]Library!$AL:$AL,MATCH(AH382,[1]Library!$AJ:$AJ,0),1)</f>
        <v>#N/A</v>
      </c>
      <c r="AJ382" s="18" t="e">
        <f>TEXT(INDEX([1]Library!$W:$W,MATCH(AH382,[1]Library!$AJ:$AJ,0),1),"")</f>
        <v>#N/A</v>
      </c>
    </row>
    <row r="383" spans="1:36" ht="25.05" customHeight="1" outlineLevel="2">
      <c r="A383" s="376" t="s">
        <v>44</v>
      </c>
      <c r="B383" s="107" t="s">
        <v>44</v>
      </c>
      <c r="C383" s="108" t="s">
        <v>44</v>
      </c>
      <c r="D383" s="109" t="s">
        <v>404</v>
      </c>
      <c r="E383" s="289"/>
      <c r="F383" s="299"/>
      <c r="G383" s="62"/>
      <c r="H383" s="111">
        <v>308</v>
      </c>
      <c r="I383" s="112" t="s">
        <v>140</v>
      </c>
      <c r="J383" s="113">
        <v>86.48</v>
      </c>
      <c r="K383" s="114">
        <v>26635.84</v>
      </c>
      <c r="L383" s="113">
        <v>34.592000000000013</v>
      </c>
      <c r="M383" s="114">
        <v>10654.336000000003</v>
      </c>
      <c r="N383" s="115">
        <v>0</v>
      </c>
      <c r="O383" s="114">
        <v>0</v>
      </c>
      <c r="P383" s="116">
        <v>37290.176000000007</v>
      </c>
      <c r="Q383" s="117">
        <f t="shared" si="116"/>
        <v>1.0608199141385031E-4</v>
      </c>
      <c r="R383" s="114">
        <f t="shared" si="117"/>
        <v>3.1041234118392329</v>
      </c>
      <c r="S383" s="377">
        <f t="shared" si="118"/>
        <v>121.07200000000002</v>
      </c>
      <c r="T383" s="357"/>
      <c r="U383" s="104"/>
      <c r="V383" s="95"/>
      <c r="W383" s="105"/>
      <c r="X383" s="95"/>
      <c r="Y383" s="95"/>
      <c r="Z383" s="95"/>
      <c r="AA383" s="95"/>
      <c r="AB383" s="95"/>
      <c r="AC383" s="95"/>
      <c r="AD383" s="17">
        <f t="shared" si="99"/>
        <v>0</v>
      </c>
      <c r="AE383" s="17">
        <f t="shared" si="119"/>
        <v>0</v>
      </c>
      <c r="AF383" s="17">
        <f t="shared" si="119"/>
        <v>0</v>
      </c>
      <c r="AG383" s="17">
        <f t="shared" si="119"/>
        <v>0</v>
      </c>
      <c r="AH383" s="18" t="str">
        <f t="shared" si="101"/>
        <v>0,;!0,;!0,;!0</v>
      </c>
      <c r="AI383" s="18" t="e">
        <f>INDEX([1]Library!$AL:$AL,MATCH(AH383,[1]Library!$AJ:$AJ,0),1)</f>
        <v>#N/A</v>
      </c>
      <c r="AJ383" s="18" t="e">
        <f>TEXT(INDEX([1]Library!$W:$W,MATCH(AH383,[1]Library!$AJ:$AJ,0),1),"")</f>
        <v>#N/A</v>
      </c>
    </row>
    <row r="384" spans="1:36" ht="25.05" customHeight="1" outlineLevel="2">
      <c r="A384" s="376" t="s">
        <v>44</v>
      </c>
      <c r="B384" s="107" t="s">
        <v>44</v>
      </c>
      <c r="C384" s="108" t="s">
        <v>44</v>
      </c>
      <c r="D384" s="109" t="s">
        <v>405</v>
      </c>
      <c r="E384" s="289"/>
      <c r="F384" s="299"/>
      <c r="G384" s="62"/>
      <c r="H384" s="111">
        <v>308</v>
      </c>
      <c r="I384" s="112" t="s">
        <v>140</v>
      </c>
      <c r="J384" s="113">
        <v>86.48</v>
      </c>
      <c r="K384" s="114">
        <v>26635.84</v>
      </c>
      <c r="L384" s="113">
        <v>34.592000000000013</v>
      </c>
      <c r="M384" s="114">
        <v>10654.336000000003</v>
      </c>
      <c r="N384" s="115">
        <v>0</v>
      </c>
      <c r="O384" s="114">
        <v>0</v>
      </c>
      <c r="P384" s="116">
        <v>37290.176000000007</v>
      </c>
      <c r="Q384" s="117">
        <f t="shared" si="116"/>
        <v>1.0608199141385031E-4</v>
      </c>
      <c r="R384" s="114">
        <f t="shared" si="117"/>
        <v>3.1041234118392329</v>
      </c>
      <c r="S384" s="377">
        <f t="shared" si="118"/>
        <v>121.07200000000002</v>
      </c>
      <c r="T384" s="357"/>
      <c r="U384" s="104"/>
      <c r="V384" s="95"/>
      <c r="W384" s="105"/>
      <c r="X384" s="95"/>
      <c r="Y384" s="95"/>
      <c r="Z384" s="95"/>
      <c r="AA384" s="95"/>
      <c r="AB384" s="95"/>
      <c r="AC384" s="95"/>
      <c r="AD384" s="17">
        <f t="shared" si="99"/>
        <v>0</v>
      </c>
      <c r="AE384" s="17">
        <f t="shared" si="119"/>
        <v>0</v>
      </c>
      <c r="AF384" s="17">
        <f t="shared" si="119"/>
        <v>0</v>
      </c>
      <c r="AG384" s="17">
        <f t="shared" si="119"/>
        <v>0</v>
      </c>
      <c r="AH384" s="18" t="str">
        <f t="shared" si="101"/>
        <v>0,;!0,;!0,;!0</v>
      </c>
      <c r="AI384" s="18" t="e">
        <f>INDEX([1]Library!$AL:$AL,MATCH(AH384,[1]Library!$AJ:$AJ,0),1)</f>
        <v>#N/A</v>
      </c>
      <c r="AJ384" s="18" t="e">
        <f>TEXT(INDEX([1]Library!$W:$W,MATCH(AH384,[1]Library!$AJ:$AJ,0),1),"")</f>
        <v>#N/A</v>
      </c>
    </row>
    <row r="385" spans="1:36" ht="25.05" customHeight="1" outlineLevel="2">
      <c r="A385" s="376" t="s">
        <v>44</v>
      </c>
      <c r="B385" s="107" t="s">
        <v>44</v>
      </c>
      <c r="C385" s="108" t="s">
        <v>44</v>
      </c>
      <c r="D385" s="109" t="s">
        <v>406</v>
      </c>
      <c r="E385" s="289"/>
      <c r="F385" s="299"/>
      <c r="G385" s="62"/>
      <c r="H385" s="111">
        <v>308</v>
      </c>
      <c r="I385" s="112" t="s">
        <v>140</v>
      </c>
      <c r="J385" s="113">
        <v>86.48</v>
      </c>
      <c r="K385" s="114">
        <v>26635.84</v>
      </c>
      <c r="L385" s="113">
        <v>34.592000000000013</v>
      </c>
      <c r="M385" s="114">
        <v>10654.336000000003</v>
      </c>
      <c r="N385" s="115">
        <v>0</v>
      </c>
      <c r="O385" s="114">
        <v>0</v>
      </c>
      <c r="P385" s="116">
        <v>37290.176000000007</v>
      </c>
      <c r="Q385" s="117">
        <f t="shared" si="116"/>
        <v>1.0608199141385031E-4</v>
      </c>
      <c r="R385" s="114">
        <f t="shared" si="117"/>
        <v>3.1041234118392329</v>
      </c>
      <c r="S385" s="377">
        <f t="shared" si="118"/>
        <v>121.07200000000002</v>
      </c>
      <c r="T385" s="357"/>
      <c r="U385" s="104"/>
      <c r="V385" s="95"/>
      <c r="W385" s="105"/>
      <c r="X385" s="95"/>
      <c r="Y385" s="95"/>
      <c r="Z385" s="95"/>
      <c r="AA385" s="95"/>
      <c r="AB385" s="95"/>
      <c r="AC385" s="95"/>
      <c r="AD385" s="17">
        <f t="shared" si="99"/>
        <v>0</v>
      </c>
      <c r="AE385" s="17">
        <f t="shared" si="119"/>
        <v>0</v>
      </c>
      <c r="AF385" s="17">
        <f t="shared" si="119"/>
        <v>0</v>
      </c>
      <c r="AG385" s="17">
        <f t="shared" si="119"/>
        <v>0</v>
      </c>
      <c r="AH385" s="18" t="str">
        <f t="shared" si="101"/>
        <v>0,;!0,;!0,;!0</v>
      </c>
      <c r="AI385" s="18" t="e">
        <f>INDEX([1]Library!$AL:$AL,MATCH(AH385,[1]Library!$AJ:$AJ,0),1)</f>
        <v>#N/A</v>
      </c>
      <c r="AJ385" s="18" t="e">
        <f>TEXT(INDEX([1]Library!$W:$W,MATCH(AH385,[1]Library!$AJ:$AJ,0),1),"")</f>
        <v>#N/A</v>
      </c>
    </row>
    <row r="386" spans="1:36" ht="25.05" customHeight="1" outlineLevel="2">
      <c r="A386" s="376" t="s">
        <v>44</v>
      </c>
      <c r="B386" s="107" t="s">
        <v>44</v>
      </c>
      <c r="C386" s="108" t="s">
        <v>44</v>
      </c>
      <c r="D386" s="109" t="s">
        <v>407</v>
      </c>
      <c r="E386" s="289"/>
      <c r="F386" s="299"/>
      <c r="G386" s="62"/>
      <c r="H386" s="111">
        <v>308</v>
      </c>
      <c r="I386" s="112" t="s">
        <v>140</v>
      </c>
      <c r="J386" s="113">
        <v>86.48</v>
      </c>
      <c r="K386" s="114">
        <v>26635.84</v>
      </c>
      <c r="L386" s="113">
        <v>34.592000000000013</v>
      </c>
      <c r="M386" s="114">
        <v>10654.336000000003</v>
      </c>
      <c r="N386" s="115">
        <v>0</v>
      </c>
      <c r="O386" s="114">
        <v>0</v>
      </c>
      <c r="P386" s="116">
        <v>37290.176000000007</v>
      </c>
      <c r="Q386" s="117">
        <f t="shared" si="116"/>
        <v>1.0608199141385031E-4</v>
      </c>
      <c r="R386" s="114">
        <f t="shared" si="117"/>
        <v>3.1041234118392329</v>
      </c>
      <c r="S386" s="377">
        <f t="shared" si="118"/>
        <v>121.07200000000002</v>
      </c>
      <c r="T386" s="357"/>
      <c r="U386" s="104"/>
      <c r="V386" s="95"/>
      <c r="W386" s="105"/>
      <c r="X386" s="95"/>
      <c r="Y386" s="95"/>
      <c r="Z386" s="95"/>
      <c r="AA386" s="95"/>
      <c r="AB386" s="95"/>
      <c r="AC386" s="95"/>
      <c r="AD386" s="17">
        <f t="shared" si="99"/>
        <v>0</v>
      </c>
      <c r="AE386" s="17">
        <f t="shared" si="119"/>
        <v>0</v>
      </c>
      <c r="AF386" s="17">
        <f t="shared" si="119"/>
        <v>0</v>
      </c>
      <c r="AG386" s="17">
        <f t="shared" si="119"/>
        <v>0</v>
      </c>
      <c r="AH386" s="18" t="str">
        <f t="shared" si="101"/>
        <v>0,;!0,;!0,;!0</v>
      </c>
      <c r="AI386" s="18" t="e">
        <f>INDEX([1]Library!$AL:$AL,MATCH(AH386,[1]Library!$AJ:$AJ,0),1)</f>
        <v>#N/A</v>
      </c>
      <c r="AJ386" s="18" t="e">
        <f>TEXT(INDEX([1]Library!$W:$W,MATCH(AH386,[1]Library!$AJ:$AJ,0),1),"")</f>
        <v>#N/A</v>
      </c>
    </row>
    <row r="387" spans="1:36" ht="25.05" customHeight="1" outlineLevel="2">
      <c r="A387" s="376" t="s">
        <v>44</v>
      </c>
      <c r="B387" s="107" t="s">
        <v>44</v>
      </c>
      <c r="C387" s="108" t="s">
        <v>44</v>
      </c>
      <c r="D387" s="109" t="s">
        <v>408</v>
      </c>
      <c r="E387" s="289"/>
      <c r="F387" s="299"/>
      <c r="G387" s="62"/>
      <c r="H387" s="111">
        <v>954</v>
      </c>
      <c r="I387" s="112" t="s">
        <v>140</v>
      </c>
      <c r="J387" s="113">
        <v>129.21</v>
      </c>
      <c r="K387" s="114">
        <v>123266.34000000001</v>
      </c>
      <c r="L387" s="113">
        <v>51.684000000000005</v>
      </c>
      <c r="M387" s="114">
        <v>49306.536000000007</v>
      </c>
      <c r="N387" s="115">
        <v>0</v>
      </c>
      <c r="O387" s="114">
        <v>0</v>
      </c>
      <c r="P387" s="116">
        <v>172572.87600000002</v>
      </c>
      <c r="Q387" s="117">
        <f t="shared" si="116"/>
        <v>4.9093022114176808E-4</v>
      </c>
      <c r="R387" s="114">
        <f t="shared" si="117"/>
        <v>14.365378823635179</v>
      </c>
      <c r="S387" s="377">
        <f t="shared" si="118"/>
        <v>560.30154545454548</v>
      </c>
      <c r="T387" s="357"/>
      <c r="U387" s="104"/>
      <c r="V387" s="95"/>
      <c r="W387" s="105"/>
      <c r="X387" s="95"/>
      <c r="Y387" s="95"/>
      <c r="Z387" s="95"/>
      <c r="AA387" s="95"/>
      <c r="AB387" s="95"/>
      <c r="AC387" s="95"/>
      <c r="AD387" s="17">
        <f t="shared" si="99"/>
        <v>0</v>
      </c>
      <c r="AE387" s="17">
        <f t="shared" si="119"/>
        <v>0</v>
      </c>
      <c r="AF387" s="17">
        <f t="shared" si="119"/>
        <v>0</v>
      </c>
      <c r="AG387" s="17">
        <f t="shared" si="119"/>
        <v>0</v>
      </c>
      <c r="AH387" s="18" t="str">
        <f t="shared" si="101"/>
        <v>0,;!0,;!0,;!0</v>
      </c>
      <c r="AI387" s="18" t="e">
        <f>INDEX([1]Library!$AL:$AL,MATCH(AH387,[1]Library!$AJ:$AJ,0),1)</f>
        <v>#N/A</v>
      </c>
      <c r="AJ387" s="18" t="e">
        <f>TEXT(INDEX([1]Library!$W:$W,MATCH(AH387,[1]Library!$AJ:$AJ,0),1),"")</f>
        <v>#N/A</v>
      </c>
    </row>
    <row r="388" spans="1:36" ht="25.05" customHeight="1" outlineLevel="2">
      <c r="A388" s="376" t="s">
        <v>44</v>
      </c>
      <c r="B388" s="107" t="s">
        <v>44</v>
      </c>
      <c r="C388" s="108" t="s">
        <v>44</v>
      </c>
      <c r="D388" s="109" t="s">
        <v>409</v>
      </c>
      <c r="E388" s="289"/>
      <c r="F388" s="299"/>
      <c r="G388" s="62"/>
      <c r="H388" s="111">
        <v>308</v>
      </c>
      <c r="I388" s="112" t="s">
        <v>140</v>
      </c>
      <c r="J388" s="113">
        <v>129.21</v>
      </c>
      <c r="K388" s="114">
        <v>39796.68</v>
      </c>
      <c r="L388" s="113">
        <v>51.684000000000005</v>
      </c>
      <c r="M388" s="114">
        <v>15918.672</v>
      </c>
      <c r="N388" s="115">
        <v>0</v>
      </c>
      <c r="O388" s="114">
        <v>0</v>
      </c>
      <c r="P388" s="116">
        <v>55715.351999999999</v>
      </c>
      <c r="Q388" s="117">
        <f t="shared" si="116"/>
        <v>1.5849738795771964E-4</v>
      </c>
      <c r="R388" s="114">
        <f t="shared" si="117"/>
        <v>4.6378791170646068</v>
      </c>
      <c r="S388" s="377">
        <f t="shared" si="118"/>
        <v>180.89400000000001</v>
      </c>
      <c r="T388" s="357"/>
      <c r="U388" s="104"/>
      <c r="V388" s="95"/>
      <c r="W388" s="105"/>
      <c r="X388" s="95"/>
      <c r="Y388" s="95"/>
      <c r="Z388" s="95"/>
      <c r="AA388" s="95"/>
      <c r="AB388" s="95"/>
      <c r="AC388" s="95"/>
      <c r="AD388" s="17">
        <f t="shared" si="99"/>
        <v>0</v>
      </c>
      <c r="AE388" s="17">
        <f t="shared" si="119"/>
        <v>0</v>
      </c>
      <c r="AF388" s="17">
        <f t="shared" si="119"/>
        <v>0</v>
      </c>
      <c r="AG388" s="17">
        <f t="shared" si="119"/>
        <v>0</v>
      </c>
      <c r="AH388" s="18" t="str">
        <f t="shared" si="101"/>
        <v>0,;!0,;!0,;!0</v>
      </c>
      <c r="AI388" s="18" t="e">
        <f>INDEX([1]Library!$AL:$AL,MATCH(AH388,[1]Library!$AJ:$AJ,0),1)</f>
        <v>#N/A</v>
      </c>
      <c r="AJ388" s="18" t="e">
        <f>TEXT(INDEX([1]Library!$W:$W,MATCH(AH388,[1]Library!$AJ:$AJ,0),1),"")</f>
        <v>#N/A</v>
      </c>
    </row>
    <row r="389" spans="1:36" ht="25.05" customHeight="1" outlineLevel="2">
      <c r="A389" s="376" t="s">
        <v>44</v>
      </c>
      <c r="B389" s="107" t="s">
        <v>44</v>
      </c>
      <c r="C389" s="108" t="s">
        <v>44</v>
      </c>
      <c r="D389" s="109" t="s">
        <v>410</v>
      </c>
      <c r="E389" s="289"/>
      <c r="F389" s="299"/>
      <c r="G389" s="62"/>
      <c r="H389" s="111">
        <v>308</v>
      </c>
      <c r="I389" s="112" t="s">
        <v>140</v>
      </c>
      <c r="J389" s="113">
        <v>129.21</v>
      </c>
      <c r="K389" s="114">
        <v>39796.68</v>
      </c>
      <c r="L389" s="113">
        <v>51.684000000000005</v>
      </c>
      <c r="M389" s="114">
        <v>15918.672</v>
      </c>
      <c r="N389" s="115">
        <v>0</v>
      </c>
      <c r="O389" s="114">
        <v>0</v>
      </c>
      <c r="P389" s="116">
        <v>55715.351999999999</v>
      </c>
      <c r="Q389" s="117">
        <f t="shared" si="116"/>
        <v>1.5849738795771964E-4</v>
      </c>
      <c r="R389" s="114">
        <f t="shared" si="117"/>
        <v>4.6378791170646068</v>
      </c>
      <c r="S389" s="377">
        <f t="shared" si="118"/>
        <v>180.89400000000001</v>
      </c>
      <c r="T389" s="357"/>
      <c r="U389" s="104"/>
      <c r="V389" s="95"/>
      <c r="W389" s="105"/>
      <c r="X389" s="95"/>
      <c r="Y389" s="95"/>
      <c r="Z389" s="95"/>
      <c r="AA389" s="95"/>
      <c r="AB389" s="95"/>
      <c r="AC389" s="95"/>
      <c r="AD389" s="17">
        <f t="shared" si="99"/>
        <v>0</v>
      </c>
      <c r="AE389" s="17">
        <f t="shared" si="119"/>
        <v>0</v>
      </c>
      <c r="AF389" s="17">
        <f t="shared" si="119"/>
        <v>0</v>
      </c>
      <c r="AG389" s="17">
        <f t="shared" si="119"/>
        <v>0</v>
      </c>
      <c r="AH389" s="18" t="str">
        <f t="shared" si="101"/>
        <v>0,;!0,;!0,;!0</v>
      </c>
      <c r="AI389" s="18" t="e">
        <f>INDEX([1]Library!$AL:$AL,MATCH(AH389,[1]Library!$AJ:$AJ,0),1)</f>
        <v>#N/A</v>
      </c>
      <c r="AJ389" s="18" t="e">
        <f>TEXT(INDEX([1]Library!$W:$W,MATCH(AH389,[1]Library!$AJ:$AJ,0),1),"")</f>
        <v>#N/A</v>
      </c>
    </row>
    <row r="390" spans="1:36" ht="25.05" customHeight="1" outlineLevel="2">
      <c r="A390" s="376" t="s">
        <v>44</v>
      </c>
      <c r="B390" s="107" t="s">
        <v>44</v>
      </c>
      <c r="C390" s="108" t="s">
        <v>44</v>
      </c>
      <c r="D390" s="109" t="s">
        <v>411</v>
      </c>
      <c r="E390" s="289"/>
      <c r="F390" s="299"/>
      <c r="G390" s="62"/>
      <c r="H390" s="111">
        <v>1265</v>
      </c>
      <c r="I390" s="112" t="s">
        <v>140</v>
      </c>
      <c r="J390" s="113">
        <v>69.639999999999986</v>
      </c>
      <c r="K390" s="114">
        <v>88094.599999999991</v>
      </c>
      <c r="L390" s="113">
        <v>27.856000000000002</v>
      </c>
      <c r="M390" s="114">
        <v>35237.840000000004</v>
      </c>
      <c r="N390" s="115">
        <v>0</v>
      </c>
      <c r="O390" s="114">
        <v>0</v>
      </c>
      <c r="P390" s="116">
        <v>123332.44</v>
      </c>
      <c r="Q390" s="117">
        <f t="shared" si="116"/>
        <v>3.5085248300059527E-4</v>
      </c>
      <c r="R390" s="114">
        <f t="shared" si="117"/>
        <v>10.266487196071624</v>
      </c>
      <c r="S390" s="377">
        <f t="shared" si="118"/>
        <v>400.43</v>
      </c>
      <c r="T390" s="357"/>
      <c r="U390" s="104"/>
      <c r="V390" s="95"/>
      <c r="W390" s="105"/>
      <c r="X390" s="95"/>
      <c r="Y390" s="95"/>
      <c r="Z390" s="95"/>
      <c r="AA390" s="95"/>
      <c r="AB390" s="95"/>
      <c r="AC390" s="95"/>
      <c r="AD390" s="17">
        <f t="shared" si="99"/>
        <v>0</v>
      </c>
      <c r="AE390" s="17">
        <f t="shared" si="119"/>
        <v>0</v>
      </c>
      <c r="AF390" s="17">
        <f t="shared" si="119"/>
        <v>0</v>
      </c>
      <c r="AG390" s="17">
        <f t="shared" si="119"/>
        <v>0</v>
      </c>
      <c r="AH390" s="18" t="str">
        <f t="shared" si="101"/>
        <v>0,;!0,;!0,;!0</v>
      </c>
      <c r="AI390" s="18" t="e">
        <f>INDEX([1]Library!$AL:$AL,MATCH(AH390,[1]Library!$AJ:$AJ,0),1)</f>
        <v>#N/A</v>
      </c>
      <c r="AJ390" s="18" t="e">
        <f>TEXT(INDEX([1]Library!$W:$W,MATCH(AH390,[1]Library!$AJ:$AJ,0),1),"")</f>
        <v>#N/A</v>
      </c>
    </row>
    <row r="391" spans="1:36" ht="25.05" customHeight="1" outlineLevel="2">
      <c r="A391" s="376" t="s">
        <v>44</v>
      </c>
      <c r="B391" s="107" t="s">
        <v>44</v>
      </c>
      <c r="C391" s="108" t="s">
        <v>44</v>
      </c>
      <c r="D391" s="109" t="s">
        <v>412</v>
      </c>
      <c r="E391" s="289"/>
      <c r="F391" s="299"/>
      <c r="G391" s="62"/>
      <c r="H391" s="111">
        <v>320</v>
      </c>
      <c r="I391" s="112" t="s">
        <v>140</v>
      </c>
      <c r="J391" s="113">
        <v>113.38999999999999</v>
      </c>
      <c r="K391" s="114">
        <v>36284.799999999996</v>
      </c>
      <c r="L391" s="113">
        <v>45.356000000000002</v>
      </c>
      <c r="M391" s="114">
        <v>14513.92</v>
      </c>
      <c r="N391" s="115">
        <v>0</v>
      </c>
      <c r="O391" s="114">
        <v>0</v>
      </c>
      <c r="P391" s="116">
        <v>50798.719999999994</v>
      </c>
      <c r="Q391" s="117">
        <f t="shared" si="116"/>
        <v>1.4451069844439952E-4</v>
      </c>
      <c r="R391" s="114">
        <f t="shared" si="117"/>
        <v>4.2286069136135431</v>
      </c>
      <c r="S391" s="377">
        <f t="shared" si="118"/>
        <v>164.93090909090907</v>
      </c>
      <c r="T391" s="357"/>
      <c r="U391" s="104"/>
      <c r="V391" s="95"/>
      <c r="W391" s="105"/>
      <c r="X391" s="95"/>
      <c r="Y391" s="95"/>
      <c r="Z391" s="95"/>
      <c r="AA391" s="95"/>
      <c r="AB391" s="95"/>
      <c r="AC391" s="95"/>
      <c r="AD391" s="17">
        <f t="shared" si="99"/>
        <v>0</v>
      </c>
      <c r="AE391" s="17">
        <f t="shared" si="119"/>
        <v>0</v>
      </c>
      <c r="AF391" s="17">
        <f t="shared" si="119"/>
        <v>0</v>
      </c>
      <c r="AG391" s="17">
        <f t="shared" si="119"/>
        <v>0</v>
      </c>
      <c r="AH391" s="18" t="str">
        <f t="shared" si="101"/>
        <v>0,;!0,;!0,;!0</v>
      </c>
      <c r="AI391" s="18" t="e">
        <f>INDEX([1]Library!$AL:$AL,MATCH(AH391,[1]Library!$AJ:$AJ,0),1)</f>
        <v>#N/A</v>
      </c>
      <c r="AJ391" s="18" t="e">
        <f>TEXT(INDEX([1]Library!$W:$W,MATCH(AH391,[1]Library!$AJ:$AJ,0),1),"")</f>
        <v>#N/A</v>
      </c>
    </row>
    <row r="392" spans="1:36" ht="25.05" customHeight="1" outlineLevel="2">
      <c r="A392" s="376" t="s">
        <v>44</v>
      </c>
      <c r="B392" s="107" t="s">
        <v>44</v>
      </c>
      <c r="C392" s="108" t="s">
        <v>44</v>
      </c>
      <c r="D392" s="109" t="s">
        <v>413</v>
      </c>
      <c r="E392" s="289"/>
      <c r="F392" s="299"/>
      <c r="G392" s="62"/>
      <c r="H392" s="111">
        <v>1</v>
      </c>
      <c r="I392" s="112" t="s">
        <v>140</v>
      </c>
      <c r="J392" s="113">
        <v>4066.9500000000003</v>
      </c>
      <c r="K392" s="114">
        <v>4066.9500000000003</v>
      </c>
      <c r="L392" s="113">
        <v>1626.7800000000002</v>
      </c>
      <c r="M392" s="114">
        <v>1626.7800000000002</v>
      </c>
      <c r="N392" s="115">
        <v>0</v>
      </c>
      <c r="O392" s="114">
        <v>0</v>
      </c>
      <c r="P392" s="116">
        <v>5693.7300000000005</v>
      </c>
      <c r="Q392" s="117">
        <f t="shared" si="116"/>
        <v>1.6197354954097881E-5</v>
      </c>
      <c r="R392" s="114">
        <f t="shared" si="117"/>
        <v>0.47395969902881102</v>
      </c>
      <c r="S392" s="377">
        <f t="shared" si="118"/>
        <v>18.486136363636366</v>
      </c>
      <c r="T392" s="357"/>
      <c r="U392" s="104"/>
      <c r="V392" s="95"/>
      <c r="W392" s="105"/>
      <c r="X392" s="95"/>
      <c r="Y392" s="95"/>
      <c r="Z392" s="95"/>
      <c r="AA392" s="95"/>
      <c r="AB392" s="95"/>
      <c r="AC392" s="95"/>
      <c r="AD392" s="17">
        <f t="shared" si="99"/>
        <v>0</v>
      </c>
      <c r="AE392" s="17">
        <f t="shared" si="119"/>
        <v>0</v>
      </c>
      <c r="AF392" s="17">
        <f t="shared" si="119"/>
        <v>0</v>
      </c>
      <c r="AG392" s="17">
        <f t="shared" si="119"/>
        <v>0</v>
      </c>
      <c r="AH392" s="18" t="str">
        <f t="shared" si="101"/>
        <v>0,;!0,;!0,;!0</v>
      </c>
      <c r="AI392" s="18" t="e">
        <f>INDEX([1]Library!$AL:$AL,MATCH(AH392,[1]Library!$AJ:$AJ,0),1)</f>
        <v>#N/A</v>
      </c>
      <c r="AJ392" s="18" t="e">
        <f>TEXT(INDEX([1]Library!$W:$W,MATCH(AH392,[1]Library!$AJ:$AJ,0),1),"")</f>
        <v>#N/A</v>
      </c>
    </row>
    <row r="393" spans="1:36" ht="25.05" customHeight="1" outlineLevel="1">
      <c r="A393" s="374" t="s">
        <v>44</v>
      </c>
      <c r="B393" s="96" t="s">
        <v>44</v>
      </c>
      <c r="C393" s="97" t="s">
        <v>414</v>
      </c>
      <c r="D393" s="97"/>
      <c r="E393" s="98"/>
      <c r="F393" s="298"/>
      <c r="G393" s="62"/>
      <c r="H393" s="99">
        <v>1</v>
      </c>
      <c r="I393" s="100" t="s">
        <v>35</v>
      </c>
      <c r="J393" s="99">
        <v>2147286.2133759093</v>
      </c>
      <c r="K393" s="99">
        <v>2147286.2133759093</v>
      </c>
      <c r="L393" s="99">
        <v>549861.28871125053</v>
      </c>
      <c r="M393" s="99">
        <v>549861.28871125053</v>
      </c>
      <c r="N393" s="99">
        <v>0</v>
      </c>
      <c r="O393" s="99">
        <v>0</v>
      </c>
      <c r="P393" s="101">
        <v>2697147.50208716</v>
      </c>
      <c r="Q393" s="102">
        <f>P393/P$13</f>
        <v>7.6727655605137897E-3</v>
      </c>
      <c r="R393" s="103">
        <f>P393/I$5</f>
        <v>224.51700701043777</v>
      </c>
      <c r="S393" s="375">
        <f>P393/I$7</f>
        <v>8756.9724093738969</v>
      </c>
      <c r="T393" s="356"/>
      <c r="U393" s="104"/>
      <c r="V393" s="95"/>
      <c r="W393" s="105"/>
      <c r="X393" s="95"/>
      <c r="Y393" s="95"/>
      <c r="Z393" s="95"/>
      <c r="AA393" s="95"/>
      <c r="AB393" s="95"/>
      <c r="AC393" s="95"/>
      <c r="AD393" s="17">
        <f t="shared" si="99"/>
        <v>0</v>
      </c>
      <c r="AE393" s="17">
        <f t="shared" si="119"/>
        <v>0</v>
      </c>
      <c r="AF393" s="17">
        <f t="shared" si="119"/>
        <v>0</v>
      </c>
      <c r="AG393" s="17">
        <f t="shared" si="119"/>
        <v>0</v>
      </c>
      <c r="AH393" s="18" t="str">
        <f t="shared" si="101"/>
        <v>0,;!0,;!0,;!0</v>
      </c>
      <c r="AI393" s="18" t="e">
        <f>INDEX([1]Library!$AL:$AL,MATCH(AH393,[1]Library!$AJ:$AJ,0),1)</f>
        <v>#N/A</v>
      </c>
      <c r="AJ393" s="18" t="e">
        <f>TEXT(INDEX([1]Library!$W:$W,MATCH(AH393,[1]Library!$AJ:$AJ,0),1),"")</f>
        <v>#N/A</v>
      </c>
    </row>
    <row r="394" spans="1:36" ht="24.6" customHeight="1" outlineLevel="2">
      <c r="A394" s="376" t="s">
        <v>44</v>
      </c>
      <c r="B394" s="107" t="s">
        <v>44</v>
      </c>
      <c r="C394" s="108" t="s">
        <v>44</v>
      </c>
      <c r="D394" s="109" t="s">
        <v>415</v>
      </c>
      <c r="E394" s="289"/>
      <c r="F394" s="299"/>
      <c r="G394" s="62"/>
      <c r="H394" s="111">
        <v>48</v>
      </c>
      <c r="I394" s="112" t="s">
        <v>140</v>
      </c>
      <c r="J394" s="113">
        <v>2500</v>
      </c>
      <c r="K394" s="114">
        <v>120000</v>
      </c>
      <c r="L394" s="113">
        <v>500</v>
      </c>
      <c r="M394" s="114">
        <v>24000</v>
      </c>
      <c r="N394" s="115">
        <v>0</v>
      </c>
      <c r="O394" s="114">
        <v>0</v>
      </c>
      <c r="P394" s="116">
        <v>144000</v>
      </c>
      <c r="Q394" s="117">
        <f t="shared" ref="Q394:Q457" si="120">P394/P$13</f>
        <v>4.0964694732452969E-4</v>
      </c>
      <c r="R394" s="114">
        <f t="shared" ref="R394:R457" si="121">P394/I$5</f>
        <v>11.986904307044552</v>
      </c>
      <c r="S394" s="377">
        <f t="shared" ref="S394:S457" si="122">P394/I$7</f>
        <v>467.53246753246754</v>
      </c>
      <c r="T394" s="357"/>
      <c r="U394" s="104"/>
      <c r="V394" s="95"/>
      <c r="W394" s="105"/>
      <c r="X394" s="95"/>
      <c r="Y394" s="95"/>
      <c r="Z394" s="95"/>
      <c r="AA394" s="95"/>
      <c r="AB394" s="95"/>
      <c r="AC394" s="95"/>
      <c r="AD394" s="17">
        <f t="shared" si="99"/>
        <v>0</v>
      </c>
      <c r="AE394" s="17">
        <f t="shared" si="119"/>
        <v>0</v>
      </c>
      <c r="AF394" s="17">
        <f t="shared" si="119"/>
        <v>0</v>
      </c>
      <c r="AG394" s="17">
        <f t="shared" si="119"/>
        <v>0</v>
      </c>
      <c r="AH394" s="18" t="str">
        <f t="shared" si="101"/>
        <v>0,;!0,;!0,;!0</v>
      </c>
      <c r="AI394" s="18" t="e">
        <f>INDEX([1]Library!$AL:$AL,MATCH(AH394,[1]Library!$AJ:$AJ,0),1)</f>
        <v>#N/A</v>
      </c>
      <c r="AJ394" s="18" t="e">
        <f>TEXT(INDEX([1]Library!$W:$W,MATCH(AH394,[1]Library!$AJ:$AJ,0),1),"")</f>
        <v>#N/A</v>
      </c>
    </row>
    <row r="395" spans="1:36" ht="25.05" customHeight="1" outlineLevel="2">
      <c r="A395" s="376" t="s">
        <v>44</v>
      </c>
      <c r="B395" s="107" t="s">
        <v>44</v>
      </c>
      <c r="C395" s="108" t="s">
        <v>44</v>
      </c>
      <c r="D395" s="109" t="s">
        <v>416</v>
      </c>
      <c r="E395" s="289"/>
      <c r="F395" s="299"/>
      <c r="G395" s="62"/>
      <c r="H395" s="111">
        <v>80</v>
      </c>
      <c r="I395" s="112" t="s">
        <v>140</v>
      </c>
      <c r="J395" s="113">
        <v>2500</v>
      </c>
      <c r="K395" s="114">
        <v>200000</v>
      </c>
      <c r="L395" s="113">
        <v>500</v>
      </c>
      <c r="M395" s="114">
        <v>40000</v>
      </c>
      <c r="N395" s="115">
        <v>0</v>
      </c>
      <c r="O395" s="114">
        <v>0</v>
      </c>
      <c r="P395" s="116">
        <v>240000</v>
      </c>
      <c r="Q395" s="117">
        <f t="shared" si="120"/>
        <v>6.8274491220754951E-4</v>
      </c>
      <c r="R395" s="114">
        <f t="shared" si="121"/>
        <v>19.978173845074256</v>
      </c>
      <c r="S395" s="377">
        <f t="shared" si="122"/>
        <v>779.22077922077926</v>
      </c>
      <c r="T395" s="357"/>
      <c r="U395" s="104"/>
      <c r="V395" s="95"/>
      <c r="W395" s="105"/>
      <c r="X395" s="95"/>
      <c r="Y395" s="95"/>
      <c r="Z395" s="95"/>
      <c r="AA395" s="95"/>
      <c r="AB395" s="95"/>
      <c r="AC395" s="95"/>
      <c r="AD395" s="17">
        <f t="shared" si="99"/>
        <v>0</v>
      </c>
      <c r="AE395" s="17">
        <f t="shared" si="119"/>
        <v>0</v>
      </c>
      <c r="AF395" s="17">
        <f t="shared" si="119"/>
        <v>0</v>
      </c>
      <c r="AG395" s="17">
        <f t="shared" si="119"/>
        <v>0</v>
      </c>
      <c r="AH395" s="18" t="str">
        <f t="shared" si="101"/>
        <v>0,;!0,;!0,;!0</v>
      </c>
      <c r="AI395" s="18" t="e">
        <f>INDEX([1]Library!$AL:$AL,MATCH(AH395,[1]Library!$AJ:$AJ,0),1)</f>
        <v>#N/A</v>
      </c>
      <c r="AJ395" s="18" t="e">
        <f>TEXT(INDEX([1]Library!$W:$W,MATCH(AH395,[1]Library!$AJ:$AJ,0),1),"")</f>
        <v>#N/A</v>
      </c>
    </row>
    <row r="396" spans="1:36" ht="25.05" customHeight="1" outlineLevel="2">
      <c r="A396" s="376" t="s">
        <v>44</v>
      </c>
      <c r="B396" s="107" t="s">
        <v>44</v>
      </c>
      <c r="C396" s="108" t="s">
        <v>44</v>
      </c>
      <c r="D396" s="109" t="s">
        <v>417</v>
      </c>
      <c r="E396" s="289"/>
      <c r="F396" s="299"/>
      <c r="G396" s="62"/>
      <c r="H396" s="111">
        <v>248</v>
      </c>
      <c r="I396" s="112" t="s">
        <v>140</v>
      </c>
      <c r="J396" s="113">
        <v>2072.2124121686707</v>
      </c>
      <c r="K396" s="114">
        <v>513908.67821783031</v>
      </c>
      <c r="L396" s="113">
        <v>621.66372365060113</v>
      </c>
      <c r="M396" s="114">
        <v>154172.60346534909</v>
      </c>
      <c r="N396" s="115">
        <v>0</v>
      </c>
      <c r="O396" s="114">
        <v>0</v>
      </c>
      <c r="P396" s="116">
        <v>668081.28168317943</v>
      </c>
      <c r="Q396" s="117">
        <f t="shared" si="120"/>
        <v>1.9005379000428728E-3</v>
      </c>
      <c r="R396" s="114">
        <f t="shared" si="121"/>
        <v>55.612683283777422</v>
      </c>
      <c r="S396" s="377">
        <f t="shared" si="122"/>
        <v>2169.0950703999333</v>
      </c>
      <c r="T396" s="357"/>
      <c r="U396" s="104"/>
      <c r="V396" s="95"/>
      <c r="W396" s="105"/>
      <c r="X396" s="95"/>
      <c r="Y396" s="95"/>
      <c r="Z396" s="95"/>
      <c r="AA396" s="95"/>
      <c r="AB396" s="95"/>
      <c r="AC396" s="95"/>
      <c r="AD396" s="17">
        <f t="shared" si="99"/>
        <v>0</v>
      </c>
      <c r="AE396" s="17">
        <f t="shared" si="119"/>
        <v>0</v>
      </c>
      <c r="AF396" s="17">
        <f t="shared" si="119"/>
        <v>0</v>
      </c>
      <c r="AG396" s="17">
        <f t="shared" si="119"/>
        <v>0</v>
      </c>
      <c r="AH396" s="18" t="str">
        <f t="shared" si="101"/>
        <v>0,;!0,;!0,;!0</v>
      </c>
      <c r="AI396" s="18" t="e">
        <f>INDEX([1]Library!$AL:$AL,MATCH(AH396,[1]Library!$AJ:$AJ,0),1)</f>
        <v>#N/A</v>
      </c>
      <c r="AJ396" s="18" t="e">
        <f>TEXT(INDEX([1]Library!$W:$W,MATCH(AH396,[1]Library!$AJ:$AJ,0),1),"")</f>
        <v>#N/A</v>
      </c>
    </row>
    <row r="397" spans="1:36" ht="25.05" customHeight="1" outlineLevel="2">
      <c r="A397" s="376" t="s">
        <v>44</v>
      </c>
      <c r="B397" s="107" t="s">
        <v>44</v>
      </c>
      <c r="C397" s="108" t="s">
        <v>44</v>
      </c>
      <c r="D397" s="109" t="s">
        <v>418</v>
      </c>
      <c r="E397" s="289"/>
      <c r="F397" s="299"/>
      <c r="G397" s="62"/>
      <c r="H397" s="111">
        <v>1848</v>
      </c>
      <c r="I397" s="112" t="s">
        <v>140</v>
      </c>
      <c r="J397" s="113">
        <v>403.10304449648703</v>
      </c>
      <c r="K397" s="114">
        <v>744934.42622950801</v>
      </c>
      <c r="L397" s="113">
        <v>80.620608899297395</v>
      </c>
      <c r="M397" s="114">
        <v>148986.88524590159</v>
      </c>
      <c r="N397" s="115">
        <v>0</v>
      </c>
      <c r="O397" s="114">
        <v>0</v>
      </c>
      <c r="P397" s="116">
        <v>893921.31147540966</v>
      </c>
      <c r="Q397" s="117">
        <f t="shared" si="120"/>
        <v>2.5430009471822338E-3</v>
      </c>
      <c r="R397" s="114">
        <f t="shared" si="121"/>
        <v>74.41214735196877</v>
      </c>
      <c r="S397" s="377">
        <f t="shared" si="122"/>
        <v>2902.3419203747067</v>
      </c>
      <c r="T397" s="357"/>
      <c r="U397" s="104"/>
      <c r="V397" s="95"/>
      <c r="W397" s="105"/>
      <c r="X397" s="95"/>
      <c r="Y397" s="95"/>
      <c r="Z397" s="95"/>
      <c r="AA397" s="95"/>
      <c r="AB397" s="95"/>
      <c r="AC397" s="95"/>
      <c r="AD397" s="17">
        <f t="shared" si="99"/>
        <v>0</v>
      </c>
      <c r="AE397" s="17">
        <f t="shared" si="119"/>
        <v>0</v>
      </c>
      <c r="AF397" s="17">
        <f t="shared" si="119"/>
        <v>0</v>
      </c>
      <c r="AG397" s="17">
        <f t="shared" si="119"/>
        <v>0</v>
      </c>
      <c r="AH397" s="18" t="str">
        <f t="shared" si="101"/>
        <v>0,;!0,;!0,;!0</v>
      </c>
      <c r="AI397" s="18" t="e">
        <f>INDEX([1]Library!$AL:$AL,MATCH(AH397,[1]Library!$AJ:$AJ,0),1)</f>
        <v>#N/A</v>
      </c>
      <c r="AJ397" s="18" t="e">
        <f>TEXT(INDEX([1]Library!$W:$W,MATCH(AH397,[1]Library!$AJ:$AJ,0),1),"")</f>
        <v>#N/A</v>
      </c>
    </row>
    <row r="398" spans="1:36" ht="25.05" customHeight="1" outlineLevel="2">
      <c r="A398" s="376" t="s">
        <v>44</v>
      </c>
      <c r="B398" s="107" t="s">
        <v>44</v>
      </c>
      <c r="C398" s="108" t="s">
        <v>44</v>
      </c>
      <c r="D398" s="109" t="s">
        <v>419</v>
      </c>
      <c r="E398" s="289"/>
      <c r="F398" s="299"/>
      <c r="G398" s="62"/>
      <c r="H398" s="111">
        <v>10</v>
      </c>
      <c r="I398" s="112" t="s">
        <v>140</v>
      </c>
      <c r="J398" s="113">
        <v>472.15</v>
      </c>
      <c r="K398" s="114">
        <v>4721.5</v>
      </c>
      <c r="L398" s="113">
        <v>188.86</v>
      </c>
      <c r="M398" s="114">
        <v>1888.6000000000001</v>
      </c>
      <c r="N398" s="115">
        <v>0</v>
      </c>
      <c r="O398" s="114">
        <v>0</v>
      </c>
      <c r="P398" s="116">
        <v>6610.1</v>
      </c>
      <c r="Q398" s="117">
        <f t="shared" si="120"/>
        <v>1.8804217267429679E-5</v>
      </c>
      <c r="R398" s="114">
        <f t="shared" si="121"/>
        <v>0.55024052888885555</v>
      </c>
      <c r="S398" s="377">
        <f t="shared" si="122"/>
        <v>21.461363636363636</v>
      </c>
      <c r="T398" s="357"/>
      <c r="U398" s="104"/>
      <c r="V398" s="95"/>
      <c r="W398" s="105"/>
      <c r="X398" s="95"/>
      <c r="Y398" s="95"/>
      <c r="Z398" s="95"/>
      <c r="AA398" s="95"/>
      <c r="AB398" s="95"/>
      <c r="AC398" s="95"/>
      <c r="AD398" s="17">
        <f t="shared" ref="AD398:AD461" si="123">IF(X398&lt;&gt;0,IF($X398&gt;=AD$12,AD397,""),Z398)</f>
        <v>0</v>
      </c>
      <c r="AE398" s="17">
        <f t="shared" ref="AE398:AG413" si="124">IF(AA398=" ",IF($X398&gt;=AE$12,AE397,""),AA398)</f>
        <v>0</v>
      </c>
      <c r="AF398" s="17">
        <f t="shared" si="124"/>
        <v>0</v>
      </c>
      <c r="AG398" s="17">
        <f t="shared" si="124"/>
        <v>0</v>
      </c>
      <c r="AH398" s="18" t="str">
        <f t="shared" ref="AH398:AH461" si="125">AD398&amp;",;!"&amp;AE398&amp;",;!"&amp;AF398&amp;",;!"&amp;AG398</f>
        <v>0,;!0,;!0,;!0</v>
      </c>
      <c r="AI398" s="18" t="e">
        <f>INDEX([1]Library!$AL:$AL,MATCH(AH398,[1]Library!$AJ:$AJ,0),1)</f>
        <v>#N/A</v>
      </c>
      <c r="AJ398" s="18" t="e">
        <f>TEXT(INDEX([1]Library!$W:$W,MATCH(AH398,[1]Library!$AJ:$AJ,0),1),"")</f>
        <v>#N/A</v>
      </c>
    </row>
    <row r="399" spans="1:36" ht="25.05" customHeight="1" outlineLevel="2">
      <c r="A399" s="376" t="s">
        <v>44</v>
      </c>
      <c r="B399" s="107" t="s">
        <v>44</v>
      </c>
      <c r="C399" s="108" t="s">
        <v>44</v>
      </c>
      <c r="D399" s="109" t="s">
        <v>420</v>
      </c>
      <c r="E399" s="289"/>
      <c r="F399" s="299"/>
      <c r="G399" s="62"/>
      <c r="H399" s="111">
        <v>93</v>
      </c>
      <c r="I399" s="112" t="s">
        <v>140</v>
      </c>
      <c r="J399" s="113">
        <v>4821.6732142857099</v>
      </c>
      <c r="K399" s="114">
        <v>448415.60892857105</v>
      </c>
      <c r="L399" s="113">
        <v>1500</v>
      </c>
      <c r="M399" s="114">
        <v>139500</v>
      </c>
      <c r="N399" s="115">
        <v>0</v>
      </c>
      <c r="O399" s="114">
        <v>0</v>
      </c>
      <c r="P399" s="116">
        <v>587915.60892857099</v>
      </c>
      <c r="Q399" s="117">
        <f t="shared" si="120"/>
        <v>1.6724849616807716E-3</v>
      </c>
      <c r="R399" s="114">
        <f t="shared" si="121"/>
        <v>48.939501005865338</v>
      </c>
      <c r="S399" s="377">
        <f t="shared" si="122"/>
        <v>1908.8169121057499</v>
      </c>
      <c r="T399" s="357"/>
      <c r="U399" s="104"/>
      <c r="V399" s="95"/>
      <c r="W399" s="105"/>
      <c r="X399" s="95"/>
      <c r="Y399" s="95"/>
      <c r="Z399" s="95"/>
      <c r="AA399" s="95"/>
      <c r="AB399" s="95"/>
      <c r="AC399" s="95"/>
      <c r="AD399" s="17">
        <f t="shared" si="123"/>
        <v>0</v>
      </c>
      <c r="AE399" s="17">
        <f t="shared" si="124"/>
        <v>0</v>
      </c>
      <c r="AF399" s="17">
        <f t="shared" si="124"/>
        <v>0</v>
      </c>
      <c r="AG399" s="17">
        <f t="shared" si="124"/>
        <v>0</v>
      </c>
      <c r="AH399" s="18" t="str">
        <f t="shared" si="125"/>
        <v>0,;!0,;!0,;!0</v>
      </c>
      <c r="AI399" s="18" t="e">
        <f>INDEX([1]Library!$AL:$AL,MATCH(AH399,[1]Library!$AJ:$AJ,0),1)</f>
        <v>#N/A</v>
      </c>
      <c r="AJ399" s="18" t="e">
        <f>TEXT(INDEX([1]Library!$W:$W,MATCH(AH399,[1]Library!$AJ:$AJ,0),1),"")</f>
        <v>#N/A</v>
      </c>
    </row>
    <row r="400" spans="1:36" ht="25.05" customHeight="1" outlineLevel="2">
      <c r="A400" s="376" t="s">
        <v>44</v>
      </c>
      <c r="B400" s="107" t="s">
        <v>44</v>
      </c>
      <c r="C400" s="108" t="s">
        <v>44</v>
      </c>
      <c r="D400" s="109" t="s">
        <v>421</v>
      </c>
      <c r="E400" s="289"/>
      <c r="F400" s="299"/>
      <c r="G400" s="62"/>
      <c r="H400" s="111">
        <v>26</v>
      </c>
      <c r="I400" s="112" t="s">
        <v>140</v>
      </c>
      <c r="J400" s="113">
        <v>3510</v>
      </c>
      <c r="K400" s="114">
        <v>91260</v>
      </c>
      <c r="L400" s="113">
        <v>1404</v>
      </c>
      <c r="M400" s="114">
        <v>36504</v>
      </c>
      <c r="N400" s="115">
        <v>0</v>
      </c>
      <c r="O400" s="114">
        <v>0</v>
      </c>
      <c r="P400" s="116">
        <v>127764</v>
      </c>
      <c r="Q400" s="117">
        <f t="shared" si="120"/>
        <v>3.6345925401368899E-4</v>
      </c>
      <c r="R400" s="114">
        <f t="shared" si="121"/>
        <v>10.63538084642528</v>
      </c>
      <c r="S400" s="377">
        <f t="shared" si="122"/>
        <v>414.81818181818181</v>
      </c>
      <c r="T400" s="357"/>
      <c r="U400" s="104"/>
      <c r="V400" s="95"/>
      <c r="W400" s="105"/>
      <c r="X400" s="95"/>
      <c r="Y400" s="95"/>
      <c r="Z400" s="95"/>
      <c r="AA400" s="95"/>
      <c r="AB400" s="95"/>
      <c r="AC400" s="95"/>
      <c r="AD400" s="17">
        <f t="shared" si="123"/>
        <v>0</v>
      </c>
      <c r="AE400" s="17">
        <f t="shared" si="124"/>
        <v>0</v>
      </c>
      <c r="AF400" s="17">
        <f t="shared" si="124"/>
        <v>0</v>
      </c>
      <c r="AG400" s="17">
        <f t="shared" si="124"/>
        <v>0</v>
      </c>
      <c r="AH400" s="18" t="str">
        <f t="shared" si="125"/>
        <v>0,;!0,;!0,;!0</v>
      </c>
      <c r="AI400" s="18" t="e">
        <f>INDEX([1]Library!$AL:$AL,MATCH(AH400,[1]Library!$AJ:$AJ,0),1)</f>
        <v>#N/A</v>
      </c>
      <c r="AJ400" s="18" t="e">
        <f>TEXT(INDEX([1]Library!$W:$W,MATCH(AH400,[1]Library!$AJ:$AJ,0),1),"")</f>
        <v>#N/A</v>
      </c>
    </row>
    <row r="401" spans="1:36" ht="25.05" customHeight="1" outlineLevel="2">
      <c r="A401" s="376" t="s">
        <v>44</v>
      </c>
      <c r="B401" s="107" t="s">
        <v>44</v>
      </c>
      <c r="C401" s="108" t="s">
        <v>44</v>
      </c>
      <c r="D401" s="109" t="s">
        <v>422</v>
      </c>
      <c r="E401" s="289"/>
      <c r="F401" s="299"/>
      <c r="G401" s="62"/>
      <c r="H401" s="111">
        <v>11</v>
      </c>
      <c r="I401" s="112" t="s">
        <v>140</v>
      </c>
      <c r="J401" s="113">
        <v>2186</v>
      </c>
      <c r="K401" s="114">
        <v>24046</v>
      </c>
      <c r="L401" s="113">
        <v>437.20000000000005</v>
      </c>
      <c r="M401" s="114">
        <v>4809.2000000000007</v>
      </c>
      <c r="N401" s="115">
        <v>0</v>
      </c>
      <c r="O401" s="114">
        <v>0</v>
      </c>
      <c r="P401" s="116">
        <v>28855.200000000001</v>
      </c>
      <c r="Q401" s="117">
        <f t="shared" si="120"/>
        <v>8.2086420794713676E-5</v>
      </c>
      <c r="R401" s="114">
        <f t="shared" si="121"/>
        <v>2.4019758413932779</v>
      </c>
      <c r="S401" s="377">
        <f t="shared" si="122"/>
        <v>93.685714285714283</v>
      </c>
      <c r="T401" s="357"/>
      <c r="U401" s="104"/>
      <c r="V401" s="95"/>
      <c r="W401" s="105"/>
      <c r="X401" s="95"/>
      <c r="Y401" s="95"/>
      <c r="Z401" s="95"/>
      <c r="AA401" s="95"/>
      <c r="AB401" s="95"/>
      <c r="AC401" s="95"/>
      <c r="AD401" s="17">
        <f t="shared" si="123"/>
        <v>0</v>
      </c>
      <c r="AE401" s="17">
        <f t="shared" si="124"/>
        <v>0</v>
      </c>
      <c r="AF401" s="17">
        <f t="shared" si="124"/>
        <v>0</v>
      </c>
      <c r="AG401" s="17">
        <f t="shared" si="124"/>
        <v>0</v>
      </c>
      <c r="AH401" s="18" t="str">
        <f t="shared" si="125"/>
        <v>0,;!0,;!0,;!0</v>
      </c>
      <c r="AI401" s="18" t="e">
        <f>INDEX([1]Library!$AL:$AL,MATCH(AH401,[1]Library!$AJ:$AJ,0),1)</f>
        <v>#N/A</v>
      </c>
      <c r="AJ401" s="18" t="e">
        <f>TEXT(INDEX([1]Library!$W:$W,MATCH(AH401,[1]Library!$AJ:$AJ,0),1),"")</f>
        <v>#N/A</v>
      </c>
    </row>
    <row r="402" spans="1:36" ht="25.05" customHeight="1" outlineLevel="1" collapsed="1">
      <c r="A402" s="374" t="s">
        <v>44</v>
      </c>
      <c r="B402" s="96" t="s">
        <v>44</v>
      </c>
      <c r="C402" s="97" t="s">
        <v>274</v>
      </c>
      <c r="D402" s="97"/>
      <c r="E402" s="98"/>
      <c r="F402" s="298"/>
      <c r="G402" s="62"/>
      <c r="H402" s="99">
        <v>1</v>
      </c>
      <c r="I402" s="100" t="s">
        <v>35</v>
      </c>
      <c r="J402" s="99">
        <v>433424.75219531002</v>
      </c>
      <c r="K402" s="99">
        <v>433424.75219531002</v>
      </c>
      <c r="L402" s="99">
        <v>65013.712829296499</v>
      </c>
      <c r="M402" s="99">
        <v>65013.712829296499</v>
      </c>
      <c r="N402" s="99">
        <v>0</v>
      </c>
      <c r="O402" s="99">
        <v>0</v>
      </c>
      <c r="P402" s="101">
        <v>498438.4650246065</v>
      </c>
      <c r="Q402" s="102">
        <f t="shared" si="120"/>
        <v>1.4179430251837113E-3</v>
      </c>
      <c r="R402" s="103">
        <f t="shared" si="121"/>
        <v>41.49120960555647</v>
      </c>
      <c r="S402" s="375">
        <f t="shared" si="122"/>
        <v>1618.3067046253457</v>
      </c>
      <c r="T402" s="356"/>
      <c r="U402" s="104"/>
      <c r="V402" s="95"/>
      <c r="W402" s="105"/>
      <c r="X402" s="95"/>
      <c r="Y402" s="95"/>
      <c r="Z402" s="95"/>
      <c r="AA402" s="95"/>
      <c r="AB402" s="95"/>
      <c r="AC402" s="95"/>
      <c r="AD402" s="17">
        <f t="shared" si="123"/>
        <v>0</v>
      </c>
      <c r="AE402" s="17">
        <f t="shared" si="124"/>
        <v>0</v>
      </c>
      <c r="AF402" s="17">
        <f t="shared" si="124"/>
        <v>0</v>
      </c>
      <c r="AG402" s="17">
        <f t="shared" si="124"/>
        <v>0</v>
      </c>
      <c r="AH402" s="18" t="str">
        <f t="shared" si="125"/>
        <v>0,;!0,;!0,;!0</v>
      </c>
      <c r="AI402" s="18" t="e">
        <f>INDEX([1]Library!$AL:$AL,MATCH(AH402,[1]Library!$AJ:$AJ,0),1)</f>
        <v>#N/A</v>
      </c>
      <c r="AJ402" s="18" t="e">
        <f>TEXT(INDEX([1]Library!$W:$W,MATCH(AH402,[1]Library!$AJ:$AJ,0),1),"")</f>
        <v>#N/A</v>
      </c>
    </row>
    <row r="403" spans="1:36" ht="25.05" customHeight="1" outlineLevel="1">
      <c r="A403" s="374" t="s">
        <v>44</v>
      </c>
      <c r="B403" s="96" t="s">
        <v>44</v>
      </c>
      <c r="C403" s="97" t="s">
        <v>275</v>
      </c>
      <c r="D403" s="97"/>
      <c r="E403" s="98"/>
      <c r="F403" s="298"/>
      <c r="G403" s="62"/>
      <c r="H403" s="99">
        <v>1</v>
      </c>
      <c r="I403" s="100" t="s">
        <v>35</v>
      </c>
      <c r="J403" s="99">
        <v>325068.5641464825</v>
      </c>
      <c r="K403" s="99">
        <v>325068.5641464825</v>
      </c>
      <c r="L403" s="99">
        <v>48760.284621972372</v>
      </c>
      <c r="M403" s="99">
        <v>48760.284621972372</v>
      </c>
      <c r="N403" s="99">
        <v>0</v>
      </c>
      <c r="O403" s="99">
        <v>0</v>
      </c>
      <c r="P403" s="101">
        <v>373828.84876845486</v>
      </c>
      <c r="Q403" s="102">
        <f t="shared" si="120"/>
        <v>1.0634572688877834E-3</v>
      </c>
      <c r="R403" s="103">
        <f t="shared" si="121"/>
        <v>31.118407204167351</v>
      </c>
      <c r="S403" s="375">
        <f t="shared" si="122"/>
        <v>1213.7300284690093</v>
      </c>
      <c r="T403" s="356"/>
      <c r="U403" s="104"/>
      <c r="V403" s="95"/>
      <c r="W403" s="105"/>
      <c r="X403" s="95"/>
      <c r="Y403" s="95"/>
      <c r="Z403" s="95"/>
      <c r="AA403" s="95"/>
      <c r="AB403" s="95"/>
      <c r="AC403" s="95"/>
      <c r="AD403" s="17">
        <f t="shared" si="123"/>
        <v>0</v>
      </c>
      <c r="AE403" s="17">
        <f t="shared" si="124"/>
        <v>0</v>
      </c>
      <c r="AF403" s="17">
        <f t="shared" si="124"/>
        <v>0</v>
      </c>
      <c r="AG403" s="17">
        <f t="shared" si="124"/>
        <v>0</v>
      </c>
      <c r="AH403" s="18" t="str">
        <f t="shared" si="125"/>
        <v>0,;!0,;!0,;!0</v>
      </c>
      <c r="AI403" s="18" t="e">
        <f>INDEX([1]Library!$AL:$AL,MATCH(AH403,[1]Library!$AJ:$AJ,0),1)</f>
        <v>#N/A</v>
      </c>
      <c r="AJ403" s="18" t="e">
        <f>TEXT(INDEX([1]Library!$W:$W,MATCH(AH403,[1]Library!$AJ:$AJ,0),1),"")</f>
        <v>#N/A</v>
      </c>
    </row>
    <row r="404" spans="1:36" ht="25.05" customHeight="1" outlineLevel="1">
      <c r="A404" s="374" t="s">
        <v>44</v>
      </c>
      <c r="B404" s="96" t="s">
        <v>44</v>
      </c>
      <c r="C404" s="97" t="s">
        <v>276</v>
      </c>
      <c r="D404" s="97"/>
      <c r="E404" s="98"/>
      <c r="F404" s="298"/>
      <c r="G404" s="62"/>
      <c r="H404" s="99">
        <v>1</v>
      </c>
      <c r="I404" s="100" t="s">
        <v>35</v>
      </c>
      <c r="J404" s="99">
        <v>108356.18804882751</v>
      </c>
      <c r="K404" s="99">
        <v>108356.18804882751</v>
      </c>
      <c r="L404" s="99">
        <v>16253.428207324125</v>
      </c>
      <c r="M404" s="99">
        <v>16253.428207324125</v>
      </c>
      <c r="N404" s="99">
        <v>0</v>
      </c>
      <c r="O404" s="99">
        <v>0</v>
      </c>
      <c r="P404" s="101">
        <v>124609.61625615162</v>
      </c>
      <c r="Q404" s="102">
        <f t="shared" si="120"/>
        <v>3.5448575629592783E-4</v>
      </c>
      <c r="R404" s="103">
        <f t="shared" si="121"/>
        <v>10.372802401389118</v>
      </c>
      <c r="S404" s="375">
        <f t="shared" si="122"/>
        <v>404.57667615633642</v>
      </c>
      <c r="T404" s="356"/>
      <c r="U404" s="104"/>
      <c r="V404" s="95"/>
      <c r="W404" s="105"/>
      <c r="X404" s="95"/>
      <c r="Y404" s="95"/>
      <c r="Z404" s="95"/>
      <c r="AA404" s="95"/>
      <c r="AB404" s="95"/>
      <c r="AC404" s="95"/>
      <c r="AD404" s="17">
        <f t="shared" si="123"/>
        <v>0</v>
      </c>
      <c r="AE404" s="17">
        <f t="shared" si="124"/>
        <v>0</v>
      </c>
      <c r="AF404" s="17">
        <f t="shared" si="124"/>
        <v>0</v>
      </c>
      <c r="AG404" s="17">
        <f t="shared" si="124"/>
        <v>0</v>
      </c>
      <c r="AH404" s="18" t="str">
        <f t="shared" si="125"/>
        <v>0,;!0,;!0,;!0</v>
      </c>
      <c r="AI404" s="18" t="e">
        <f>INDEX([1]Library!$AL:$AL,MATCH(AH404,[1]Library!$AJ:$AJ,0),1)</f>
        <v>#N/A</v>
      </c>
      <c r="AJ404" s="18" t="e">
        <f>TEXT(INDEX([1]Library!$W:$W,MATCH(AH404,[1]Library!$AJ:$AJ,0),1),"")</f>
        <v>#N/A</v>
      </c>
    </row>
    <row r="405" spans="1:36" ht="25.05" customHeight="1" outlineLevel="1">
      <c r="A405" s="374" t="s">
        <v>44</v>
      </c>
      <c r="B405" s="96" t="s">
        <v>44</v>
      </c>
      <c r="C405" s="97" t="s">
        <v>277</v>
      </c>
      <c r="D405" s="97"/>
      <c r="E405" s="98"/>
      <c r="F405" s="298"/>
      <c r="G405" s="62"/>
      <c r="H405" s="99">
        <v>1</v>
      </c>
      <c r="I405" s="100" t="s">
        <v>35</v>
      </c>
      <c r="J405" s="99">
        <v>216712.37609765501</v>
      </c>
      <c r="K405" s="99">
        <v>216712.37609765501</v>
      </c>
      <c r="L405" s="99">
        <v>32506.856414648249</v>
      </c>
      <c r="M405" s="99">
        <v>32506.856414648249</v>
      </c>
      <c r="N405" s="99">
        <v>0</v>
      </c>
      <c r="O405" s="99">
        <v>0</v>
      </c>
      <c r="P405" s="101">
        <v>249219.23251230325</v>
      </c>
      <c r="Q405" s="102">
        <f t="shared" si="120"/>
        <v>7.0897151259185565E-4</v>
      </c>
      <c r="R405" s="103">
        <f t="shared" si="121"/>
        <v>20.745604802778235</v>
      </c>
      <c r="S405" s="375">
        <f t="shared" si="122"/>
        <v>809.15335231267284</v>
      </c>
      <c r="T405" s="356"/>
      <c r="U405" s="104"/>
      <c r="V405" s="95"/>
      <c r="W405" s="105"/>
      <c r="X405" s="95"/>
      <c r="Y405" s="95"/>
      <c r="Z405" s="95"/>
      <c r="AA405" s="95"/>
      <c r="AB405" s="95"/>
      <c r="AC405" s="95"/>
      <c r="AD405" s="17">
        <f t="shared" si="123"/>
        <v>0</v>
      </c>
      <c r="AE405" s="17">
        <f t="shared" si="124"/>
        <v>0</v>
      </c>
      <c r="AF405" s="17">
        <f t="shared" si="124"/>
        <v>0</v>
      </c>
      <c r="AG405" s="17">
        <f t="shared" si="124"/>
        <v>0</v>
      </c>
      <c r="AH405" s="18" t="str">
        <f t="shared" si="125"/>
        <v>0,;!0,;!0,;!0</v>
      </c>
      <c r="AI405" s="18" t="e">
        <f>INDEX([1]Library!$AL:$AL,MATCH(AH405,[1]Library!$AJ:$AJ,0),1)</f>
        <v>#N/A</v>
      </c>
      <c r="AJ405" s="18" t="e">
        <f>TEXT(INDEX([1]Library!$W:$W,MATCH(AH405,[1]Library!$AJ:$AJ,0),1),"")</f>
        <v>#N/A</v>
      </c>
    </row>
    <row r="406" spans="1:36" ht="25.05" customHeight="1" outlineLevel="1">
      <c r="A406" s="374" t="s">
        <v>44</v>
      </c>
      <c r="B406" s="96" t="s">
        <v>44</v>
      </c>
      <c r="C406" s="97" t="s">
        <v>278</v>
      </c>
      <c r="D406" s="97"/>
      <c r="E406" s="98"/>
      <c r="F406" s="298"/>
      <c r="G406" s="62"/>
      <c r="H406" s="99">
        <v>1</v>
      </c>
      <c r="I406" s="100" t="s">
        <v>35</v>
      </c>
      <c r="J406" s="99">
        <v>0</v>
      </c>
      <c r="K406" s="99">
        <v>0</v>
      </c>
      <c r="L406" s="99">
        <v>0</v>
      </c>
      <c r="M406" s="99">
        <v>0</v>
      </c>
      <c r="N406" s="99">
        <v>1329728.452372005</v>
      </c>
      <c r="O406" s="99">
        <v>1329728.452372005</v>
      </c>
      <c r="P406" s="101">
        <v>1329728.452372005</v>
      </c>
      <c r="Q406" s="102">
        <f t="shared" si="120"/>
        <v>3.7827722311441882E-3</v>
      </c>
      <c r="R406" s="103">
        <f t="shared" si="121"/>
        <v>110.68977578428941</v>
      </c>
      <c r="S406" s="375">
        <f t="shared" si="122"/>
        <v>4317.3001700389768</v>
      </c>
      <c r="T406" s="356"/>
      <c r="U406" s="104"/>
      <c r="V406" s="95"/>
      <c r="W406" s="105"/>
      <c r="X406" s="95"/>
      <c r="Y406" s="95"/>
      <c r="Z406" s="95"/>
      <c r="AA406" s="95"/>
      <c r="AB406" s="95"/>
      <c r="AC406" s="95"/>
      <c r="AD406" s="17">
        <f t="shared" si="123"/>
        <v>0</v>
      </c>
      <c r="AE406" s="17">
        <f t="shared" si="124"/>
        <v>0</v>
      </c>
      <c r="AF406" s="17">
        <f t="shared" si="124"/>
        <v>0</v>
      </c>
      <c r="AG406" s="17">
        <f t="shared" si="124"/>
        <v>0</v>
      </c>
      <c r="AH406" s="18" t="str">
        <f t="shared" si="125"/>
        <v>0,;!0,;!0,;!0</v>
      </c>
      <c r="AI406" s="18" t="e">
        <f>INDEX([1]Library!$AL:$AL,MATCH(AH406,[1]Library!$AJ:$AJ,0),1)</f>
        <v>#N/A</v>
      </c>
      <c r="AJ406" s="18" t="e">
        <f>TEXT(INDEX([1]Library!$W:$W,MATCH(AH406,[1]Library!$AJ:$AJ,0),1),"")</f>
        <v>#N/A</v>
      </c>
    </row>
    <row r="407" spans="1:36" ht="25.05" customHeight="1">
      <c r="A407" s="372" t="s">
        <v>423</v>
      </c>
      <c r="B407" s="84" t="s">
        <v>424</v>
      </c>
      <c r="C407" s="85"/>
      <c r="D407" s="85"/>
      <c r="E407" s="86"/>
      <c r="F407" s="297"/>
      <c r="G407" s="62"/>
      <c r="H407" s="87">
        <v>1</v>
      </c>
      <c r="I407" s="88" t="s">
        <v>35</v>
      </c>
      <c r="J407" s="89">
        <v>5016212.1451460849</v>
      </c>
      <c r="K407" s="90">
        <v>5016212.1451460849</v>
      </c>
      <c r="L407" s="89">
        <v>880937.19644577301</v>
      </c>
      <c r="M407" s="90">
        <v>880937.19644577301</v>
      </c>
      <c r="N407" s="89">
        <v>520610.22712793574</v>
      </c>
      <c r="O407" s="90">
        <v>520610.22712793574</v>
      </c>
      <c r="P407" s="91">
        <v>6417759.568719794</v>
      </c>
      <c r="Q407" s="92">
        <f>P407/P$13</f>
        <v>1.8257052888811486E-2</v>
      </c>
      <c r="R407" s="90">
        <f>P407/I$5</f>
        <v>534.22965149905338</v>
      </c>
      <c r="S407" s="373">
        <f>P407/I$7</f>
        <v>20836.881716622709</v>
      </c>
      <c r="T407" s="355"/>
      <c r="U407" s="104"/>
      <c r="V407" s="95"/>
      <c r="W407" s="105"/>
      <c r="X407" s="95"/>
      <c r="Y407" s="95"/>
      <c r="Z407" s="95"/>
      <c r="AA407" s="95"/>
      <c r="AB407" s="95"/>
      <c r="AC407" s="95"/>
      <c r="AD407" s="17">
        <f t="shared" si="123"/>
        <v>0</v>
      </c>
      <c r="AE407" s="17">
        <f t="shared" si="124"/>
        <v>0</v>
      </c>
      <c r="AF407" s="17">
        <f t="shared" si="124"/>
        <v>0</v>
      </c>
      <c r="AG407" s="17">
        <f t="shared" si="124"/>
        <v>0</v>
      </c>
      <c r="AH407" s="18" t="str">
        <f t="shared" si="125"/>
        <v>0,;!0,;!0,;!0</v>
      </c>
      <c r="AI407" s="18" t="e">
        <f>INDEX([1]Library!$AL:$AL,MATCH(AH407,[1]Library!$AJ:$AJ,0),1)</f>
        <v>#N/A</v>
      </c>
      <c r="AJ407" s="18" t="e">
        <f>TEXT(INDEX([1]Library!$W:$W,MATCH(AH407,[1]Library!$AJ:$AJ,0),1),"")</f>
        <v>#N/A</v>
      </c>
    </row>
    <row r="408" spans="1:36" ht="25.05" customHeight="1" outlineLevel="1">
      <c r="A408" s="374" t="s">
        <v>44</v>
      </c>
      <c r="B408" s="96" t="s">
        <v>44</v>
      </c>
      <c r="C408" s="97" t="s">
        <v>425</v>
      </c>
      <c r="D408" s="97"/>
      <c r="E408" s="98"/>
      <c r="F408" s="298"/>
      <c r="G408" s="62"/>
      <c r="H408" s="99">
        <v>1</v>
      </c>
      <c r="I408" s="100" t="s">
        <v>35</v>
      </c>
      <c r="J408" s="99">
        <v>782164.36199999996</v>
      </c>
      <c r="K408" s="99">
        <v>782164.36199999996</v>
      </c>
      <c r="L408" s="99">
        <v>221744.18236232139</v>
      </c>
      <c r="M408" s="99">
        <v>221744.18236232139</v>
      </c>
      <c r="N408" s="99">
        <v>0</v>
      </c>
      <c r="O408" s="99">
        <v>0</v>
      </c>
      <c r="P408" s="101">
        <v>1003908.5443623214</v>
      </c>
      <c r="Q408" s="102">
        <f>P408/P$13</f>
        <v>2.8558893791044244E-3</v>
      </c>
      <c r="R408" s="103">
        <f>P408/I$5</f>
        <v>83.567747599274568</v>
      </c>
      <c r="S408" s="375">
        <f>P408/I$7</f>
        <v>3259.4433258516929</v>
      </c>
      <c r="T408" s="356"/>
      <c r="U408" s="104"/>
      <c r="V408" s="95"/>
      <c r="W408" s="105"/>
      <c r="X408" s="95"/>
      <c r="Y408" s="95"/>
      <c r="Z408" s="95"/>
      <c r="AA408" s="95"/>
      <c r="AB408" s="95"/>
      <c r="AC408" s="95"/>
      <c r="AD408" s="17">
        <f t="shared" si="123"/>
        <v>0</v>
      </c>
      <c r="AE408" s="17">
        <f t="shared" si="124"/>
        <v>0</v>
      </c>
      <c r="AF408" s="17">
        <f t="shared" si="124"/>
        <v>0</v>
      </c>
      <c r="AG408" s="17">
        <f t="shared" si="124"/>
        <v>0</v>
      </c>
      <c r="AH408" s="18" t="str">
        <f t="shared" si="125"/>
        <v>0,;!0,;!0,;!0</v>
      </c>
      <c r="AI408" s="18" t="e">
        <f>INDEX([1]Library!$AL:$AL,MATCH(AH408,[1]Library!$AJ:$AJ,0),1)</f>
        <v>#N/A</v>
      </c>
      <c r="AJ408" s="18" t="e">
        <f>TEXT(INDEX([1]Library!$W:$W,MATCH(AH408,[1]Library!$AJ:$AJ,0),1),"")</f>
        <v>#N/A</v>
      </c>
    </row>
    <row r="409" spans="1:36" ht="25.05" customHeight="1" outlineLevel="2" collapsed="1">
      <c r="A409" s="376" t="s">
        <v>44</v>
      </c>
      <c r="B409" s="107" t="s">
        <v>44</v>
      </c>
      <c r="C409" s="108" t="s">
        <v>44</v>
      </c>
      <c r="D409" s="109" t="s">
        <v>363</v>
      </c>
      <c r="E409" s="289"/>
      <c r="F409" s="299"/>
      <c r="G409" s="62"/>
      <c r="H409" s="111">
        <v>1</v>
      </c>
      <c r="I409" s="112" t="s">
        <v>35</v>
      </c>
      <c r="J409" s="113">
        <v>782164.36199999996</v>
      </c>
      <c r="K409" s="114">
        <v>782164.36199999996</v>
      </c>
      <c r="L409" s="113">
        <v>221744.18236232139</v>
      </c>
      <c r="M409" s="114">
        <v>221744.18236232139</v>
      </c>
      <c r="N409" s="115">
        <v>0</v>
      </c>
      <c r="O409" s="114">
        <v>0</v>
      </c>
      <c r="P409" s="116">
        <v>1003908.5443623214</v>
      </c>
      <c r="Q409" s="117">
        <f>P409/P$13</f>
        <v>2.8558893791044244E-3</v>
      </c>
      <c r="R409" s="114">
        <f>P409/I$5</f>
        <v>83.567747599274568</v>
      </c>
      <c r="S409" s="377">
        <f>P409/I$7</f>
        <v>3259.4433258516929</v>
      </c>
      <c r="T409" s="357"/>
      <c r="U409" s="104"/>
      <c r="V409" s="95"/>
      <c r="W409" s="105"/>
      <c r="X409" s="95"/>
      <c r="Y409" s="95"/>
      <c r="Z409" s="95"/>
      <c r="AA409" s="95"/>
      <c r="AB409" s="95"/>
      <c r="AC409" s="95"/>
      <c r="AD409" s="17">
        <f t="shared" si="123"/>
        <v>0</v>
      </c>
      <c r="AE409" s="17">
        <f t="shared" si="124"/>
        <v>0</v>
      </c>
      <c r="AF409" s="17">
        <f t="shared" si="124"/>
        <v>0</v>
      </c>
      <c r="AG409" s="17">
        <f t="shared" si="124"/>
        <v>0</v>
      </c>
      <c r="AH409" s="18" t="str">
        <f t="shared" si="125"/>
        <v>0,;!0,;!0,;!0</v>
      </c>
      <c r="AI409" s="18" t="e">
        <f>INDEX([1]Library!$AL:$AL,MATCH(AH409,[1]Library!$AJ:$AJ,0),1)</f>
        <v>#N/A</v>
      </c>
      <c r="AJ409" s="18" t="e">
        <f>TEXT(INDEX([1]Library!$W:$W,MATCH(AH409,[1]Library!$AJ:$AJ,0),1),"")</f>
        <v>#N/A</v>
      </c>
    </row>
    <row r="410" spans="1:36" ht="25.05" customHeight="1" outlineLevel="2">
      <c r="A410" s="378" t="s">
        <v>44</v>
      </c>
      <c r="B410" s="118" t="s">
        <v>44</v>
      </c>
      <c r="C410" s="119" t="s">
        <v>44</v>
      </c>
      <c r="D410" s="120" t="s">
        <v>44</v>
      </c>
      <c r="E410" s="290" t="s">
        <v>244</v>
      </c>
      <c r="F410" s="300"/>
      <c r="G410" s="304"/>
      <c r="H410" s="122">
        <v>2764</v>
      </c>
      <c r="I410" s="123" t="s">
        <v>122</v>
      </c>
      <c r="J410" s="124">
        <v>34.4</v>
      </c>
      <c r="K410" s="125">
        <v>95081.600000000006</v>
      </c>
      <c r="L410" s="124">
        <v>28.178571428571427</v>
      </c>
      <c r="M410" s="125">
        <v>77885.57142857142</v>
      </c>
      <c r="N410" s="126">
        <v>0</v>
      </c>
      <c r="O410" s="125">
        <v>0</v>
      </c>
      <c r="P410" s="127">
        <v>172967.17142857143</v>
      </c>
      <c r="Q410" s="128">
        <f t="shared" si="120"/>
        <v>4.9205190113245064E-4</v>
      </c>
      <c r="R410" s="129">
        <f t="shared" si="121"/>
        <v>14.398200917878169</v>
      </c>
      <c r="S410" s="379">
        <f t="shared" si="122"/>
        <v>561.58172541743966</v>
      </c>
      <c r="T410" s="358"/>
      <c r="U410" s="104"/>
      <c r="V410" s="95"/>
      <c r="W410" s="105"/>
      <c r="X410" s="95"/>
      <c r="Y410" s="95"/>
      <c r="Z410" s="95"/>
      <c r="AA410" s="95"/>
      <c r="AB410" s="95"/>
      <c r="AC410" s="95"/>
      <c r="AD410" s="17">
        <f t="shared" si="123"/>
        <v>0</v>
      </c>
      <c r="AE410" s="17">
        <f t="shared" si="124"/>
        <v>0</v>
      </c>
      <c r="AF410" s="17">
        <f t="shared" si="124"/>
        <v>0</v>
      </c>
      <c r="AG410" s="17">
        <f t="shared" si="124"/>
        <v>0</v>
      </c>
      <c r="AH410" s="18" t="str">
        <f t="shared" si="125"/>
        <v>0,;!0,;!0,;!0</v>
      </c>
      <c r="AI410" s="18" t="e">
        <f>INDEX([1]Library!$AL:$AL,MATCH(AH410,[1]Library!$AJ:$AJ,0),1)</f>
        <v>#N/A</v>
      </c>
      <c r="AJ410" s="18" t="e">
        <f>TEXT(INDEX([1]Library!$W:$W,MATCH(AH410,[1]Library!$AJ:$AJ,0),1),"")</f>
        <v>#N/A</v>
      </c>
    </row>
    <row r="411" spans="1:36" ht="25.05" customHeight="1" outlineLevel="2">
      <c r="A411" s="378" t="s">
        <v>44</v>
      </c>
      <c r="B411" s="118" t="s">
        <v>44</v>
      </c>
      <c r="C411" s="119" t="s">
        <v>44</v>
      </c>
      <c r="D411" s="120" t="s">
        <v>44</v>
      </c>
      <c r="E411" s="290" t="s">
        <v>426</v>
      </c>
      <c r="F411" s="300"/>
      <c r="G411" s="304"/>
      <c r="H411" s="122">
        <v>10</v>
      </c>
      <c r="I411" s="123" t="s">
        <v>122</v>
      </c>
      <c r="J411" s="124">
        <v>64.545731250000003</v>
      </c>
      <c r="K411" s="125">
        <v>645.45731250000006</v>
      </c>
      <c r="L411" s="124">
        <v>52.927499624999996</v>
      </c>
      <c r="M411" s="125">
        <v>529.27499624999996</v>
      </c>
      <c r="N411" s="126">
        <v>0</v>
      </c>
      <c r="O411" s="125">
        <v>0</v>
      </c>
      <c r="P411" s="127">
        <v>1174.7323087499999</v>
      </c>
      <c r="Q411" s="128">
        <f t="shared" si="120"/>
        <v>3.3418437791870444E-6</v>
      </c>
      <c r="R411" s="129">
        <f t="shared" si="121"/>
        <v>9.7787526190137267E-2</v>
      </c>
      <c r="S411" s="379">
        <f t="shared" si="122"/>
        <v>3.8140659374999997</v>
      </c>
      <c r="T411" s="358"/>
      <c r="U411" s="104"/>
      <c r="V411" s="95"/>
      <c r="W411" s="105"/>
      <c r="X411" s="95"/>
      <c r="Y411" s="95"/>
      <c r="Z411" s="95"/>
      <c r="AA411" s="95"/>
      <c r="AB411" s="95"/>
      <c r="AC411" s="95"/>
      <c r="AD411" s="17">
        <f t="shared" si="123"/>
        <v>0</v>
      </c>
      <c r="AE411" s="17">
        <f t="shared" si="124"/>
        <v>0</v>
      </c>
      <c r="AF411" s="17">
        <f t="shared" si="124"/>
        <v>0</v>
      </c>
      <c r="AG411" s="17">
        <f t="shared" si="124"/>
        <v>0</v>
      </c>
      <c r="AH411" s="18" t="str">
        <f t="shared" si="125"/>
        <v>0,;!0,;!0,;!0</v>
      </c>
      <c r="AI411" s="18" t="e">
        <f>INDEX([1]Library!$AL:$AL,MATCH(AH411,[1]Library!$AJ:$AJ,0),1)</f>
        <v>#N/A</v>
      </c>
      <c r="AJ411" s="18" t="e">
        <f>TEXT(INDEX([1]Library!$W:$W,MATCH(AH411,[1]Library!$AJ:$AJ,0),1),"")</f>
        <v>#N/A</v>
      </c>
    </row>
    <row r="412" spans="1:36" ht="25.05" customHeight="1" outlineLevel="2">
      <c r="A412" s="378" t="s">
        <v>44</v>
      </c>
      <c r="B412" s="118" t="s">
        <v>44</v>
      </c>
      <c r="C412" s="119" t="s">
        <v>44</v>
      </c>
      <c r="D412" s="120" t="s">
        <v>44</v>
      </c>
      <c r="E412" s="290" t="s">
        <v>427</v>
      </c>
      <c r="F412" s="300"/>
      <c r="G412" s="304"/>
      <c r="H412" s="122">
        <v>662</v>
      </c>
      <c r="I412" s="123" t="s">
        <v>122</v>
      </c>
      <c r="J412" s="124">
        <v>918.45703124999977</v>
      </c>
      <c r="K412" s="125">
        <v>608018.55468749988</v>
      </c>
      <c r="L412" s="124">
        <v>183.69140624999997</v>
      </c>
      <c r="M412" s="125">
        <v>121603.71093749999</v>
      </c>
      <c r="N412" s="126">
        <v>0</v>
      </c>
      <c r="O412" s="125">
        <v>0</v>
      </c>
      <c r="P412" s="127">
        <v>729622.26562499988</v>
      </c>
      <c r="Q412" s="128">
        <f t="shared" si="120"/>
        <v>2.075607873703391E-3</v>
      </c>
      <c r="R412" s="129">
        <f t="shared" si="121"/>
        <v>60.735501932888305</v>
      </c>
      <c r="S412" s="379">
        <f t="shared" si="122"/>
        <v>2368.903459821428</v>
      </c>
      <c r="T412" s="358"/>
      <c r="U412" s="104"/>
      <c r="V412" s="95"/>
      <c r="W412" s="105"/>
      <c r="X412" s="95"/>
      <c r="Y412" s="95"/>
      <c r="Z412" s="95"/>
      <c r="AA412" s="95"/>
      <c r="AB412" s="95"/>
      <c r="AC412" s="95"/>
      <c r="AD412" s="17">
        <f t="shared" si="123"/>
        <v>0</v>
      </c>
      <c r="AE412" s="17">
        <f t="shared" si="124"/>
        <v>0</v>
      </c>
      <c r="AF412" s="17">
        <f t="shared" si="124"/>
        <v>0</v>
      </c>
      <c r="AG412" s="17">
        <f t="shared" si="124"/>
        <v>0</v>
      </c>
      <c r="AH412" s="18" t="str">
        <f t="shared" si="125"/>
        <v>0,;!0,;!0,;!0</v>
      </c>
      <c r="AI412" s="18" t="e">
        <f>INDEX([1]Library!$AL:$AL,MATCH(AH412,[1]Library!$AJ:$AJ,0),1)</f>
        <v>#N/A</v>
      </c>
      <c r="AJ412" s="18" t="e">
        <f>TEXT(INDEX([1]Library!$W:$W,MATCH(AH412,[1]Library!$AJ:$AJ,0),1),"")</f>
        <v>#N/A</v>
      </c>
    </row>
    <row r="413" spans="1:36" ht="25.05" customHeight="1" outlineLevel="2">
      <c r="A413" s="378" t="s">
        <v>44</v>
      </c>
      <c r="B413" s="118" t="s">
        <v>44</v>
      </c>
      <c r="C413" s="119" t="s">
        <v>44</v>
      </c>
      <c r="D413" s="120" t="s">
        <v>44</v>
      </c>
      <c r="E413" s="290" t="s">
        <v>378</v>
      </c>
      <c r="F413" s="300"/>
      <c r="G413" s="304"/>
      <c r="H413" s="122">
        <v>617</v>
      </c>
      <c r="I413" s="123" t="s">
        <v>90</v>
      </c>
      <c r="J413" s="124">
        <v>68.75</v>
      </c>
      <c r="K413" s="125">
        <v>42418.75</v>
      </c>
      <c r="L413" s="124">
        <v>20.625</v>
      </c>
      <c r="M413" s="125">
        <v>12725.625</v>
      </c>
      <c r="N413" s="126">
        <v>0</v>
      </c>
      <c r="O413" s="125">
        <v>0</v>
      </c>
      <c r="P413" s="127">
        <v>55144.375</v>
      </c>
      <c r="Q413" s="128">
        <f t="shared" si="120"/>
        <v>1.5687308945047996E-4</v>
      </c>
      <c r="R413" s="129">
        <f t="shared" si="121"/>
        <v>4.5903496263665273</v>
      </c>
      <c r="S413" s="379">
        <f t="shared" si="122"/>
        <v>179.04017857142858</v>
      </c>
      <c r="T413" s="358"/>
      <c r="U413" s="104"/>
      <c r="V413" s="95"/>
      <c r="W413" s="105"/>
      <c r="X413" s="95"/>
      <c r="Y413" s="95"/>
      <c r="Z413" s="95"/>
      <c r="AA413" s="95"/>
      <c r="AB413" s="95"/>
      <c r="AC413" s="95"/>
      <c r="AD413" s="17">
        <f t="shared" si="123"/>
        <v>0</v>
      </c>
      <c r="AE413" s="17">
        <f t="shared" si="124"/>
        <v>0</v>
      </c>
      <c r="AF413" s="17">
        <f t="shared" si="124"/>
        <v>0</v>
      </c>
      <c r="AG413" s="17">
        <f t="shared" si="124"/>
        <v>0</v>
      </c>
      <c r="AH413" s="18" t="str">
        <f t="shared" si="125"/>
        <v>0,;!0,;!0,;!0</v>
      </c>
      <c r="AI413" s="18" t="e">
        <f>INDEX([1]Library!$AL:$AL,MATCH(AH413,[1]Library!$AJ:$AJ,0),1)</f>
        <v>#N/A</v>
      </c>
      <c r="AJ413" s="18" t="e">
        <f>TEXT(INDEX([1]Library!$W:$W,MATCH(AH413,[1]Library!$AJ:$AJ,0),1),"")</f>
        <v>#N/A</v>
      </c>
    </row>
    <row r="414" spans="1:36" ht="25.05" customHeight="1" outlineLevel="2">
      <c r="A414" s="378" t="s">
        <v>44</v>
      </c>
      <c r="B414" s="118" t="s">
        <v>44</v>
      </c>
      <c r="C414" s="119" t="s">
        <v>44</v>
      </c>
      <c r="D414" s="120" t="s">
        <v>44</v>
      </c>
      <c r="E414" s="290" t="s">
        <v>381</v>
      </c>
      <c r="F414" s="300"/>
      <c r="G414" s="304"/>
      <c r="H414" s="122">
        <v>0</v>
      </c>
      <c r="I414" s="123" t="s">
        <v>90</v>
      </c>
      <c r="J414" s="124">
        <v>0</v>
      </c>
      <c r="K414" s="125">
        <v>0</v>
      </c>
      <c r="L414" s="124">
        <v>0</v>
      </c>
      <c r="M414" s="125">
        <v>0</v>
      </c>
      <c r="N414" s="126">
        <v>0</v>
      </c>
      <c r="O414" s="125">
        <v>0</v>
      </c>
      <c r="P414" s="127">
        <v>0</v>
      </c>
      <c r="Q414" s="128">
        <f t="shared" si="120"/>
        <v>0</v>
      </c>
      <c r="R414" s="129">
        <f t="shared" si="121"/>
        <v>0</v>
      </c>
      <c r="S414" s="379">
        <f t="shared" si="122"/>
        <v>0</v>
      </c>
      <c r="T414" s="358"/>
      <c r="U414" s="104"/>
      <c r="V414" s="95"/>
      <c r="W414" s="105"/>
      <c r="X414" s="95"/>
      <c r="Y414" s="95"/>
      <c r="Z414" s="95"/>
      <c r="AA414" s="95"/>
      <c r="AB414" s="95"/>
      <c r="AC414" s="95"/>
      <c r="AD414" s="17">
        <f t="shared" si="123"/>
        <v>0</v>
      </c>
      <c r="AE414" s="17">
        <f t="shared" ref="AE414:AG429" si="126">IF(AA414=" ",IF($X414&gt;=AE$12,AE413,""),AA414)</f>
        <v>0</v>
      </c>
      <c r="AF414" s="17">
        <f t="shared" si="126"/>
        <v>0</v>
      </c>
      <c r="AG414" s="17">
        <f t="shared" si="126"/>
        <v>0</v>
      </c>
      <c r="AH414" s="18" t="str">
        <f t="shared" si="125"/>
        <v>0,;!0,;!0,;!0</v>
      </c>
      <c r="AI414" s="18" t="e">
        <f>INDEX([1]Library!$AL:$AL,MATCH(AH414,[1]Library!$AJ:$AJ,0),1)</f>
        <v>#N/A</v>
      </c>
      <c r="AJ414" s="18" t="e">
        <f>TEXT(INDEX([1]Library!$W:$W,MATCH(AH414,[1]Library!$AJ:$AJ,0),1),"")</f>
        <v>#N/A</v>
      </c>
    </row>
    <row r="415" spans="1:36" ht="25.05" customHeight="1" outlineLevel="2">
      <c r="A415" s="378" t="s">
        <v>44</v>
      </c>
      <c r="B415" s="118" t="s">
        <v>44</v>
      </c>
      <c r="C415" s="119" t="s">
        <v>44</v>
      </c>
      <c r="D415" s="120" t="s">
        <v>44</v>
      </c>
      <c r="E415" s="290" t="s">
        <v>428</v>
      </c>
      <c r="F415" s="300"/>
      <c r="G415" s="304"/>
      <c r="H415" s="122">
        <v>12</v>
      </c>
      <c r="I415" s="123" t="s">
        <v>90</v>
      </c>
      <c r="J415" s="124">
        <v>3000</v>
      </c>
      <c r="K415" s="125">
        <v>36000</v>
      </c>
      <c r="L415" s="124">
        <v>750</v>
      </c>
      <c r="M415" s="125">
        <v>9000</v>
      </c>
      <c r="N415" s="126">
        <v>0</v>
      </c>
      <c r="O415" s="125">
        <v>0</v>
      </c>
      <c r="P415" s="127">
        <v>45000</v>
      </c>
      <c r="Q415" s="128">
        <f t="shared" si="120"/>
        <v>1.2801467103891554E-4</v>
      </c>
      <c r="R415" s="129">
        <f t="shared" si="121"/>
        <v>3.7459075959514228</v>
      </c>
      <c r="S415" s="379">
        <f t="shared" si="122"/>
        <v>146.10389610389609</v>
      </c>
      <c r="T415" s="358"/>
      <c r="U415" s="104"/>
      <c r="V415" s="95"/>
      <c r="W415" s="105"/>
      <c r="X415" s="95"/>
      <c r="Y415" s="95"/>
      <c r="Z415" s="95"/>
      <c r="AA415" s="95"/>
      <c r="AB415" s="95"/>
      <c r="AC415" s="95"/>
      <c r="AD415" s="17">
        <f t="shared" si="123"/>
        <v>0</v>
      </c>
      <c r="AE415" s="17">
        <f t="shared" si="126"/>
        <v>0</v>
      </c>
      <c r="AF415" s="17">
        <f t="shared" si="126"/>
        <v>0</v>
      </c>
      <c r="AG415" s="17">
        <f t="shared" si="126"/>
        <v>0</v>
      </c>
      <c r="AH415" s="18" t="str">
        <f t="shared" si="125"/>
        <v>0,;!0,;!0,;!0</v>
      </c>
      <c r="AI415" s="18" t="e">
        <f>INDEX([1]Library!$AL:$AL,MATCH(AH415,[1]Library!$AJ:$AJ,0),1)</f>
        <v>#N/A</v>
      </c>
      <c r="AJ415" s="18" t="e">
        <f>TEXT(INDEX([1]Library!$W:$W,MATCH(AH415,[1]Library!$AJ:$AJ,0),1),"")</f>
        <v>#N/A</v>
      </c>
    </row>
    <row r="416" spans="1:36" ht="25.05" customHeight="1" outlineLevel="2">
      <c r="A416" s="376" t="s">
        <v>44</v>
      </c>
      <c r="B416" s="107" t="s">
        <v>44</v>
      </c>
      <c r="C416" s="108" t="s">
        <v>44</v>
      </c>
      <c r="D416" s="109" t="s">
        <v>386</v>
      </c>
      <c r="E416" s="289"/>
      <c r="F416" s="299"/>
      <c r="G416" s="62"/>
      <c r="H416" s="111">
        <v>1</v>
      </c>
      <c r="I416" s="112" t="s">
        <v>35</v>
      </c>
      <c r="J416" s="113">
        <v>0</v>
      </c>
      <c r="K416" s="114">
        <v>0</v>
      </c>
      <c r="L416" s="113">
        <v>0</v>
      </c>
      <c r="M416" s="114">
        <v>0</v>
      </c>
      <c r="N416" s="115">
        <v>0</v>
      </c>
      <c r="O416" s="114">
        <v>0</v>
      </c>
      <c r="P416" s="116">
        <v>0</v>
      </c>
      <c r="Q416" s="117">
        <f>P416/P$13</f>
        <v>0</v>
      </c>
      <c r="R416" s="114">
        <f>P416/I$5</f>
        <v>0</v>
      </c>
      <c r="S416" s="377">
        <f>P416/I$7</f>
        <v>0</v>
      </c>
      <c r="T416" s="357"/>
      <c r="U416" s="104"/>
      <c r="V416" s="95"/>
      <c r="W416" s="105"/>
      <c r="X416" s="95"/>
      <c r="Y416" s="95"/>
      <c r="Z416" s="95"/>
      <c r="AA416" s="95"/>
      <c r="AB416" s="95"/>
      <c r="AC416" s="95"/>
      <c r="AD416" s="17">
        <f t="shared" si="123"/>
        <v>0</v>
      </c>
      <c r="AE416" s="17">
        <f t="shared" si="126"/>
        <v>0</v>
      </c>
      <c r="AF416" s="17">
        <f t="shared" si="126"/>
        <v>0</v>
      </c>
      <c r="AG416" s="17">
        <f t="shared" si="126"/>
        <v>0</v>
      </c>
      <c r="AH416" s="18" t="str">
        <f t="shared" si="125"/>
        <v>0,;!0,;!0,;!0</v>
      </c>
      <c r="AI416" s="18" t="e">
        <f>INDEX([1]Library!$AL:$AL,MATCH(AH416,[1]Library!$AJ:$AJ,0),1)</f>
        <v>#N/A</v>
      </c>
      <c r="AJ416" s="18" t="e">
        <f>TEXT(INDEX([1]Library!$W:$W,MATCH(AH416,[1]Library!$AJ:$AJ,0),1),"")</f>
        <v>#N/A</v>
      </c>
    </row>
    <row r="417" spans="1:36" ht="25.05" customHeight="1" outlineLevel="2">
      <c r="A417" s="378" t="s">
        <v>44</v>
      </c>
      <c r="B417" s="118" t="s">
        <v>44</v>
      </c>
      <c r="C417" s="119" t="s">
        <v>44</v>
      </c>
      <c r="D417" s="120" t="s">
        <v>44</v>
      </c>
      <c r="E417" s="290" t="s">
        <v>429</v>
      </c>
      <c r="F417" s="300"/>
      <c r="G417" s="304"/>
      <c r="H417" s="122">
        <v>0</v>
      </c>
      <c r="I417" s="123" t="s">
        <v>122</v>
      </c>
      <c r="J417" s="124">
        <v>0</v>
      </c>
      <c r="K417" s="125">
        <v>0</v>
      </c>
      <c r="L417" s="124">
        <v>0</v>
      </c>
      <c r="M417" s="125">
        <v>0</v>
      </c>
      <c r="N417" s="126">
        <v>0</v>
      </c>
      <c r="O417" s="125">
        <v>0</v>
      </c>
      <c r="P417" s="127">
        <v>0</v>
      </c>
      <c r="Q417" s="128">
        <f t="shared" si="120"/>
        <v>0</v>
      </c>
      <c r="R417" s="129">
        <f t="shared" si="121"/>
        <v>0</v>
      </c>
      <c r="S417" s="379">
        <f t="shared" si="122"/>
        <v>0</v>
      </c>
      <c r="T417" s="358"/>
      <c r="U417" s="104"/>
      <c r="V417" s="95"/>
      <c r="W417" s="105"/>
      <c r="X417" s="95"/>
      <c r="Y417" s="95"/>
      <c r="Z417" s="95"/>
      <c r="AA417" s="95"/>
      <c r="AB417" s="95"/>
      <c r="AC417" s="95"/>
      <c r="AD417" s="17">
        <f t="shared" si="123"/>
        <v>0</v>
      </c>
      <c r="AE417" s="17">
        <f t="shared" si="126"/>
        <v>0</v>
      </c>
      <c r="AF417" s="17">
        <f t="shared" si="126"/>
        <v>0</v>
      </c>
      <c r="AG417" s="17">
        <f t="shared" si="126"/>
        <v>0</v>
      </c>
      <c r="AH417" s="18" t="str">
        <f t="shared" si="125"/>
        <v>0,;!0,;!0,;!0</v>
      </c>
      <c r="AI417" s="18" t="e">
        <f>INDEX([1]Library!$AL:$AL,MATCH(AH417,[1]Library!$AJ:$AJ,0),1)</f>
        <v>#N/A</v>
      </c>
      <c r="AJ417" s="18" t="e">
        <f>TEXT(INDEX([1]Library!$W:$W,MATCH(AH417,[1]Library!$AJ:$AJ,0),1),"")</f>
        <v>#N/A</v>
      </c>
    </row>
    <row r="418" spans="1:36" ht="25.05" customHeight="1" outlineLevel="2">
      <c r="A418" s="376" t="s">
        <v>44</v>
      </c>
      <c r="B418" s="107" t="s">
        <v>44</v>
      </c>
      <c r="C418" s="108" t="s">
        <v>44</v>
      </c>
      <c r="D418" s="109" t="s">
        <v>430</v>
      </c>
      <c r="E418" s="289"/>
      <c r="F418" s="299"/>
      <c r="G418" s="62"/>
      <c r="H418" s="111">
        <v>1</v>
      </c>
      <c r="I418" s="112" t="s">
        <v>35</v>
      </c>
      <c r="J418" s="113">
        <v>0</v>
      </c>
      <c r="K418" s="114">
        <v>0</v>
      </c>
      <c r="L418" s="113">
        <v>0</v>
      </c>
      <c r="M418" s="114">
        <v>0</v>
      </c>
      <c r="N418" s="115">
        <v>0</v>
      </c>
      <c r="O418" s="114">
        <v>0</v>
      </c>
      <c r="P418" s="116">
        <v>0</v>
      </c>
      <c r="Q418" s="117">
        <f>P418/P$13</f>
        <v>0</v>
      </c>
      <c r="R418" s="114">
        <f>P418/I$5</f>
        <v>0</v>
      </c>
      <c r="S418" s="377">
        <f>P418/I$7</f>
        <v>0</v>
      </c>
      <c r="T418" s="357"/>
      <c r="U418" s="104"/>
      <c r="V418" s="95"/>
      <c r="W418" s="105"/>
      <c r="X418" s="95"/>
      <c r="Y418" s="95"/>
      <c r="Z418" s="95"/>
      <c r="AA418" s="95"/>
      <c r="AB418" s="95"/>
      <c r="AC418" s="95"/>
      <c r="AD418" s="17">
        <f t="shared" si="123"/>
        <v>0</v>
      </c>
      <c r="AE418" s="17">
        <f t="shared" si="126"/>
        <v>0</v>
      </c>
      <c r="AF418" s="17">
        <f t="shared" si="126"/>
        <v>0</v>
      </c>
      <c r="AG418" s="17">
        <f t="shared" si="126"/>
        <v>0</v>
      </c>
      <c r="AH418" s="18" t="str">
        <f t="shared" si="125"/>
        <v>0,;!0,;!0,;!0</v>
      </c>
      <c r="AI418" s="18" t="e">
        <f>INDEX([1]Library!$AL:$AL,MATCH(AH418,[1]Library!$AJ:$AJ,0),1)</f>
        <v>#N/A</v>
      </c>
      <c r="AJ418" s="18" t="e">
        <f>TEXT(INDEX([1]Library!$W:$W,MATCH(AH418,[1]Library!$AJ:$AJ,0),1),"")</f>
        <v>#N/A</v>
      </c>
    </row>
    <row r="419" spans="1:36" ht="25.05" customHeight="1" outlineLevel="2">
      <c r="A419" s="378" t="s">
        <v>44</v>
      </c>
      <c r="B419" s="118" t="s">
        <v>44</v>
      </c>
      <c r="C419" s="119" t="s">
        <v>44</v>
      </c>
      <c r="D419" s="120" t="s">
        <v>44</v>
      </c>
      <c r="E419" s="290" t="s">
        <v>431</v>
      </c>
      <c r="F419" s="300"/>
      <c r="G419" s="304"/>
      <c r="H419" s="122">
        <v>0</v>
      </c>
      <c r="I419" s="123" t="s">
        <v>432</v>
      </c>
      <c r="J419" s="124">
        <v>0</v>
      </c>
      <c r="K419" s="125">
        <v>0</v>
      </c>
      <c r="L419" s="124">
        <v>0</v>
      </c>
      <c r="M419" s="125">
        <v>0</v>
      </c>
      <c r="N419" s="126">
        <v>0</v>
      </c>
      <c r="O419" s="125">
        <v>0</v>
      </c>
      <c r="P419" s="127">
        <v>0</v>
      </c>
      <c r="Q419" s="128">
        <f t="shared" si="120"/>
        <v>0</v>
      </c>
      <c r="R419" s="129">
        <f t="shared" si="121"/>
        <v>0</v>
      </c>
      <c r="S419" s="379">
        <f t="shared" si="122"/>
        <v>0</v>
      </c>
      <c r="T419" s="358"/>
      <c r="U419" s="104"/>
      <c r="V419" s="95"/>
      <c r="W419" s="105"/>
      <c r="X419" s="95"/>
      <c r="Y419" s="95"/>
      <c r="Z419" s="95"/>
      <c r="AA419" s="95"/>
      <c r="AB419" s="95"/>
      <c r="AC419" s="95"/>
      <c r="AD419" s="17">
        <f t="shared" si="123"/>
        <v>0</v>
      </c>
      <c r="AE419" s="17">
        <f t="shared" si="126"/>
        <v>0</v>
      </c>
      <c r="AF419" s="17">
        <f t="shared" si="126"/>
        <v>0</v>
      </c>
      <c r="AG419" s="17">
        <f t="shared" si="126"/>
        <v>0</v>
      </c>
      <c r="AH419" s="18" t="str">
        <f t="shared" si="125"/>
        <v>0,;!0,;!0,;!0</v>
      </c>
      <c r="AI419" s="18" t="e">
        <f>INDEX([1]Library!$AL:$AL,MATCH(AH419,[1]Library!$AJ:$AJ,0),1)</f>
        <v>#N/A</v>
      </c>
      <c r="AJ419" s="18" t="e">
        <f>TEXT(INDEX([1]Library!$W:$W,MATCH(AH419,[1]Library!$AJ:$AJ,0),1),"")</f>
        <v>#N/A</v>
      </c>
    </row>
    <row r="420" spans="1:36" ht="25.05" customHeight="1" outlineLevel="2">
      <c r="A420" s="378" t="s">
        <v>44</v>
      </c>
      <c r="B420" s="118" t="s">
        <v>44</v>
      </c>
      <c r="C420" s="119" t="s">
        <v>44</v>
      </c>
      <c r="D420" s="120" t="s">
        <v>44</v>
      </c>
      <c r="E420" s="290" t="s">
        <v>433</v>
      </c>
      <c r="F420" s="300"/>
      <c r="G420" s="304"/>
      <c r="H420" s="122">
        <v>0</v>
      </c>
      <c r="I420" s="123" t="s">
        <v>432</v>
      </c>
      <c r="J420" s="124">
        <v>0</v>
      </c>
      <c r="K420" s="125">
        <v>0</v>
      </c>
      <c r="L420" s="124">
        <v>0</v>
      </c>
      <c r="M420" s="125">
        <v>0</v>
      </c>
      <c r="N420" s="126">
        <v>0</v>
      </c>
      <c r="O420" s="125">
        <v>0</v>
      </c>
      <c r="P420" s="127">
        <v>0</v>
      </c>
      <c r="Q420" s="128">
        <f t="shared" si="120"/>
        <v>0</v>
      </c>
      <c r="R420" s="129">
        <f t="shared" si="121"/>
        <v>0</v>
      </c>
      <c r="S420" s="379">
        <f t="shared" si="122"/>
        <v>0</v>
      </c>
      <c r="T420" s="358"/>
      <c r="U420" s="104"/>
      <c r="V420" s="95"/>
      <c r="W420" s="105"/>
      <c r="X420" s="95"/>
      <c r="Y420" s="95"/>
      <c r="Z420" s="95"/>
      <c r="AA420" s="95"/>
      <c r="AB420" s="95"/>
      <c r="AC420" s="95"/>
      <c r="AD420" s="17">
        <f t="shared" si="123"/>
        <v>0</v>
      </c>
      <c r="AE420" s="17">
        <f t="shared" si="126"/>
        <v>0</v>
      </c>
      <c r="AF420" s="17">
        <f t="shared" si="126"/>
        <v>0</v>
      </c>
      <c r="AG420" s="17">
        <f t="shared" si="126"/>
        <v>0</v>
      </c>
      <c r="AH420" s="18" t="str">
        <f t="shared" si="125"/>
        <v>0,;!0,;!0,;!0</v>
      </c>
      <c r="AI420" s="18" t="e">
        <f>INDEX([1]Library!$AL:$AL,MATCH(AH420,[1]Library!$AJ:$AJ,0),1)</f>
        <v>#N/A</v>
      </c>
      <c r="AJ420" s="18" t="e">
        <f>TEXT(INDEX([1]Library!$W:$W,MATCH(AH420,[1]Library!$AJ:$AJ,0),1),"")</f>
        <v>#N/A</v>
      </c>
    </row>
    <row r="421" spans="1:36" ht="25.05" customHeight="1" outlineLevel="2">
      <c r="A421" s="378" t="s">
        <v>44</v>
      </c>
      <c r="B421" s="118" t="s">
        <v>44</v>
      </c>
      <c r="C421" s="119" t="s">
        <v>44</v>
      </c>
      <c r="D421" s="120" t="s">
        <v>44</v>
      </c>
      <c r="E421" s="290" t="s">
        <v>434</v>
      </c>
      <c r="F421" s="300"/>
      <c r="G421" s="304"/>
      <c r="H421" s="122">
        <v>0</v>
      </c>
      <c r="I421" s="123" t="s">
        <v>432</v>
      </c>
      <c r="J421" s="124">
        <v>0</v>
      </c>
      <c r="K421" s="125">
        <v>0</v>
      </c>
      <c r="L421" s="124">
        <v>0</v>
      </c>
      <c r="M421" s="125">
        <v>0</v>
      </c>
      <c r="N421" s="126">
        <v>0</v>
      </c>
      <c r="O421" s="125">
        <v>0</v>
      </c>
      <c r="P421" s="127">
        <v>0</v>
      </c>
      <c r="Q421" s="128">
        <f t="shared" si="120"/>
        <v>0</v>
      </c>
      <c r="R421" s="129">
        <f t="shared" si="121"/>
        <v>0</v>
      </c>
      <c r="S421" s="379">
        <f t="shared" si="122"/>
        <v>0</v>
      </c>
      <c r="T421" s="358"/>
      <c r="U421" s="104"/>
      <c r="V421" s="95"/>
      <c r="W421" s="105"/>
      <c r="X421" s="95"/>
      <c r="Y421" s="95"/>
      <c r="Z421" s="95"/>
      <c r="AA421" s="95"/>
      <c r="AB421" s="95"/>
      <c r="AC421" s="95"/>
      <c r="AD421" s="17">
        <f t="shared" si="123"/>
        <v>0</v>
      </c>
      <c r="AE421" s="17">
        <f t="shared" si="126"/>
        <v>0</v>
      </c>
      <c r="AF421" s="17">
        <f t="shared" si="126"/>
        <v>0</v>
      </c>
      <c r="AG421" s="17">
        <f t="shared" si="126"/>
        <v>0</v>
      </c>
      <c r="AH421" s="18" t="str">
        <f t="shared" si="125"/>
        <v>0,;!0,;!0,;!0</v>
      </c>
      <c r="AI421" s="18" t="e">
        <f>INDEX([1]Library!$AL:$AL,MATCH(AH421,[1]Library!$AJ:$AJ,0),1)</f>
        <v>#N/A</v>
      </c>
      <c r="AJ421" s="18" t="e">
        <f>TEXT(INDEX([1]Library!$W:$W,MATCH(AH421,[1]Library!$AJ:$AJ,0),1),"")</f>
        <v>#N/A</v>
      </c>
    </row>
    <row r="422" spans="1:36" ht="25.05" customHeight="1" outlineLevel="2">
      <c r="A422" s="378" t="s">
        <v>44</v>
      </c>
      <c r="B422" s="118" t="s">
        <v>44</v>
      </c>
      <c r="C422" s="119" t="s">
        <v>44</v>
      </c>
      <c r="D422" s="120" t="s">
        <v>44</v>
      </c>
      <c r="E422" s="290" t="s">
        <v>435</v>
      </c>
      <c r="F422" s="300"/>
      <c r="G422" s="304"/>
      <c r="H422" s="122">
        <v>0</v>
      </c>
      <c r="I422" s="123" t="s">
        <v>432</v>
      </c>
      <c r="J422" s="124">
        <v>0</v>
      </c>
      <c r="K422" s="125">
        <v>0</v>
      </c>
      <c r="L422" s="124">
        <v>0</v>
      </c>
      <c r="M422" s="125">
        <v>0</v>
      </c>
      <c r="N422" s="126">
        <v>0</v>
      </c>
      <c r="O422" s="125">
        <v>0</v>
      </c>
      <c r="P422" s="127">
        <v>0</v>
      </c>
      <c r="Q422" s="128">
        <f t="shared" si="120"/>
        <v>0</v>
      </c>
      <c r="R422" s="129">
        <f t="shared" si="121"/>
        <v>0</v>
      </c>
      <c r="S422" s="379">
        <f t="shared" si="122"/>
        <v>0</v>
      </c>
      <c r="T422" s="358"/>
      <c r="U422" s="104"/>
      <c r="V422" s="95"/>
      <c r="W422" s="105"/>
      <c r="X422" s="95"/>
      <c r="Y422" s="95"/>
      <c r="Z422" s="95"/>
      <c r="AA422" s="95"/>
      <c r="AB422" s="95"/>
      <c r="AC422" s="95"/>
      <c r="AD422" s="17">
        <f t="shared" si="123"/>
        <v>0</v>
      </c>
      <c r="AE422" s="17">
        <f t="shared" si="126"/>
        <v>0</v>
      </c>
      <c r="AF422" s="17">
        <f t="shared" si="126"/>
        <v>0</v>
      </c>
      <c r="AG422" s="17">
        <f t="shared" si="126"/>
        <v>0</v>
      </c>
      <c r="AH422" s="18" t="str">
        <f t="shared" si="125"/>
        <v>0,;!0,;!0,;!0</v>
      </c>
      <c r="AI422" s="18" t="e">
        <f>INDEX([1]Library!$AL:$AL,MATCH(AH422,[1]Library!$AJ:$AJ,0),1)</f>
        <v>#N/A</v>
      </c>
      <c r="AJ422" s="18" t="e">
        <f>TEXT(INDEX([1]Library!$W:$W,MATCH(AH422,[1]Library!$AJ:$AJ,0),1),"")</f>
        <v>#N/A</v>
      </c>
    </row>
    <row r="423" spans="1:36" ht="25.05" customHeight="1" outlineLevel="2">
      <c r="A423" s="378" t="s">
        <v>44</v>
      </c>
      <c r="B423" s="118" t="s">
        <v>44</v>
      </c>
      <c r="C423" s="119" t="s">
        <v>44</v>
      </c>
      <c r="D423" s="120" t="s">
        <v>44</v>
      </c>
      <c r="E423" s="290" t="s">
        <v>436</v>
      </c>
      <c r="F423" s="300"/>
      <c r="G423" s="304"/>
      <c r="H423" s="122">
        <v>0</v>
      </c>
      <c r="I423" s="123" t="s">
        <v>432</v>
      </c>
      <c r="J423" s="124">
        <v>0</v>
      </c>
      <c r="K423" s="125">
        <v>0</v>
      </c>
      <c r="L423" s="124">
        <v>0</v>
      </c>
      <c r="M423" s="125">
        <v>0</v>
      </c>
      <c r="N423" s="126">
        <v>0</v>
      </c>
      <c r="O423" s="125">
        <v>0</v>
      </c>
      <c r="P423" s="127">
        <v>0</v>
      </c>
      <c r="Q423" s="128">
        <f t="shared" si="120"/>
        <v>0</v>
      </c>
      <c r="R423" s="129">
        <f t="shared" si="121"/>
        <v>0</v>
      </c>
      <c r="S423" s="379">
        <f t="shared" si="122"/>
        <v>0</v>
      </c>
      <c r="T423" s="358"/>
      <c r="U423" s="104"/>
      <c r="V423" s="95"/>
      <c r="W423" s="105"/>
      <c r="X423" s="95"/>
      <c r="Y423" s="95"/>
      <c r="Z423" s="95"/>
      <c r="AA423" s="95"/>
      <c r="AB423" s="95"/>
      <c r="AC423" s="95"/>
      <c r="AD423" s="17">
        <f t="shared" si="123"/>
        <v>0</v>
      </c>
      <c r="AE423" s="17">
        <f t="shared" si="126"/>
        <v>0</v>
      </c>
      <c r="AF423" s="17">
        <f t="shared" si="126"/>
        <v>0</v>
      </c>
      <c r="AG423" s="17">
        <f t="shared" si="126"/>
        <v>0</v>
      </c>
      <c r="AH423" s="18" t="str">
        <f t="shared" si="125"/>
        <v>0,;!0,;!0,;!0</v>
      </c>
      <c r="AI423" s="18" t="e">
        <f>INDEX([1]Library!$AL:$AL,MATCH(AH423,[1]Library!$AJ:$AJ,0),1)</f>
        <v>#N/A</v>
      </c>
      <c r="AJ423" s="18" t="e">
        <f>TEXT(INDEX([1]Library!$W:$W,MATCH(AH423,[1]Library!$AJ:$AJ,0),1),"")</f>
        <v>#N/A</v>
      </c>
    </row>
    <row r="424" spans="1:36" ht="25.05" customHeight="1" outlineLevel="1">
      <c r="A424" s="374" t="s">
        <v>44</v>
      </c>
      <c r="B424" s="96" t="s">
        <v>44</v>
      </c>
      <c r="C424" s="97" t="s">
        <v>437</v>
      </c>
      <c r="D424" s="97"/>
      <c r="E424" s="98"/>
      <c r="F424" s="298"/>
      <c r="G424" s="62"/>
      <c r="H424" s="99">
        <v>1</v>
      </c>
      <c r="I424" s="100" t="s">
        <v>35</v>
      </c>
      <c r="J424" s="99">
        <v>237101.55915900733</v>
      </c>
      <c r="K424" s="99">
        <v>237101.55915900733</v>
      </c>
      <c r="L424" s="99">
        <v>36631.853308242513</v>
      </c>
      <c r="M424" s="99">
        <v>36631.853308242513</v>
      </c>
      <c r="N424" s="99">
        <v>0</v>
      </c>
      <c r="O424" s="99">
        <v>0</v>
      </c>
      <c r="P424" s="101">
        <v>273733.41246724984</v>
      </c>
      <c r="Q424" s="102">
        <f>P424/P$13</f>
        <v>7.7870872776343927E-4</v>
      </c>
      <c r="R424" s="103">
        <f>P424/I$5</f>
        <v>22.786223756150559</v>
      </c>
      <c r="S424" s="375">
        <f>P424/I$7</f>
        <v>888.74484567288914</v>
      </c>
      <c r="T424" s="356"/>
      <c r="U424" s="104"/>
      <c r="V424" s="95"/>
      <c r="W424" s="105"/>
      <c r="X424" s="95"/>
      <c r="Y424" s="95"/>
      <c r="Z424" s="95"/>
      <c r="AA424" s="95"/>
      <c r="AB424" s="95"/>
      <c r="AC424" s="95"/>
      <c r="AD424" s="17">
        <f t="shared" si="123"/>
        <v>0</v>
      </c>
      <c r="AE424" s="17">
        <f t="shared" si="126"/>
        <v>0</v>
      </c>
      <c r="AF424" s="17">
        <f t="shared" si="126"/>
        <v>0</v>
      </c>
      <c r="AG424" s="17">
        <f t="shared" si="126"/>
        <v>0</v>
      </c>
      <c r="AH424" s="18" t="str">
        <f t="shared" si="125"/>
        <v>0,;!0,;!0,;!0</v>
      </c>
      <c r="AI424" s="18" t="e">
        <f>INDEX([1]Library!$AL:$AL,MATCH(AH424,[1]Library!$AJ:$AJ,0),1)</f>
        <v>#N/A</v>
      </c>
      <c r="AJ424" s="18" t="e">
        <f>TEXT(INDEX([1]Library!$W:$W,MATCH(AH424,[1]Library!$AJ:$AJ,0),1),"")</f>
        <v>#N/A</v>
      </c>
    </row>
    <row r="425" spans="1:36" ht="25.05" customHeight="1" outlineLevel="2">
      <c r="A425" s="376" t="s">
        <v>44</v>
      </c>
      <c r="B425" s="107" t="s">
        <v>44</v>
      </c>
      <c r="C425" s="108" t="s">
        <v>44</v>
      </c>
      <c r="D425" s="109" t="s">
        <v>363</v>
      </c>
      <c r="E425" s="289"/>
      <c r="F425" s="299"/>
      <c r="G425" s="62"/>
      <c r="H425" s="111">
        <v>1</v>
      </c>
      <c r="I425" s="112" t="s">
        <v>35</v>
      </c>
      <c r="J425" s="113">
        <v>9207.4</v>
      </c>
      <c r="K425" s="114">
        <v>9207.4</v>
      </c>
      <c r="L425" s="113">
        <v>5666.0357142857138</v>
      </c>
      <c r="M425" s="114">
        <v>5666.0357142857138</v>
      </c>
      <c r="N425" s="115">
        <v>0</v>
      </c>
      <c r="O425" s="114">
        <v>0</v>
      </c>
      <c r="P425" s="116">
        <v>14873.435714285713</v>
      </c>
      <c r="Q425" s="117">
        <f>P425/P$13</f>
        <v>4.2311510670727624E-5</v>
      </c>
      <c r="R425" s="114">
        <f>P425/I$5</f>
        <v>1.2381003515564006</v>
      </c>
      <c r="S425" s="377">
        <f>P425/I$7</f>
        <v>48.290375695732834</v>
      </c>
      <c r="T425" s="357"/>
      <c r="U425" s="104"/>
      <c r="V425" s="95"/>
      <c r="W425" s="105"/>
      <c r="X425" s="95"/>
      <c r="Y425" s="95"/>
      <c r="Z425" s="95"/>
      <c r="AA425" s="95"/>
      <c r="AB425" s="95"/>
      <c r="AC425" s="95"/>
      <c r="AD425" s="17">
        <f t="shared" si="123"/>
        <v>0</v>
      </c>
      <c r="AE425" s="17">
        <f t="shared" si="126"/>
        <v>0</v>
      </c>
      <c r="AF425" s="17">
        <f t="shared" si="126"/>
        <v>0</v>
      </c>
      <c r="AG425" s="17">
        <f t="shared" si="126"/>
        <v>0</v>
      </c>
      <c r="AH425" s="18" t="str">
        <f t="shared" si="125"/>
        <v>0,;!0,;!0,;!0</v>
      </c>
      <c r="AI425" s="18" t="e">
        <f>INDEX([1]Library!$AL:$AL,MATCH(AH425,[1]Library!$AJ:$AJ,0),1)</f>
        <v>#N/A</v>
      </c>
      <c r="AJ425" s="18" t="e">
        <f>TEXT(INDEX([1]Library!$W:$W,MATCH(AH425,[1]Library!$AJ:$AJ,0),1),"")</f>
        <v>#N/A</v>
      </c>
    </row>
    <row r="426" spans="1:36" ht="25.05" customHeight="1" outlineLevel="2">
      <c r="A426" s="378" t="s">
        <v>44</v>
      </c>
      <c r="B426" s="118" t="s">
        <v>44</v>
      </c>
      <c r="C426" s="119" t="s">
        <v>44</v>
      </c>
      <c r="D426" s="120" t="s">
        <v>44</v>
      </c>
      <c r="E426" s="290" t="s">
        <v>244</v>
      </c>
      <c r="F426" s="300"/>
      <c r="G426" s="304"/>
      <c r="H426" s="122">
        <v>171</v>
      </c>
      <c r="I426" s="123" t="s">
        <v>122</v>
      </c>
      <c r="J426" s="124">
        <v>34.4</v>
      </c>
      <c r="K426" s="125">
        <v>5882.4</v>
      </c>
      <c r="L426" s="124">
        <v>28.178571428571427</v>
      </c>
      <c r="M426" s="125">
        <v>4818.5357142857138</v>
      </c>
      <c r="N426" s="126">
        <v>0</v>
      </c>
      <c r="O426" s="125">
        <v>0</v>
      </c>
      <c r="P426" s="127">
        <v>10700.935714285713</v>
      </c>
      <c r="Q426" s="128">
        <f t="shared" si="120"/>
        <v>3.0441705894952627E-5</v>
      </c>
      <c r="R426" s="129">
        <f t="shared" si="121"/>
        <v>0.89077147502068266</v>
      </c>
      <c r="S426" s="379">
        <f t="shared" si="122"/>
        <v>34.743297773654916</v>
      </c>
      <c r="T426" s="358"/>
      <c r="U426" s="104"/>
      <c r="V426" s="95"/>
      <c r="W426" s="105"/>
      <c r="X426" s="95"/>
      <c r="Y426" s="95"/>
      <c r="Z426" s="95"/>
      <c r="AA426" s="95"/>
      <c r="AB426" s="95"/>
      <c r="AC426" s="95"/>
      <c r="AD426" s="17">
        <f t="shared" si="123"/>
        <v>0</v>
      </c>
      <c r="AE426" s="17">
        <f t="shared" si="126"/>
        <v>0</v>
      </c>
      <c r="AF426" s="17">
        <f t="shared" si="126"/>
        <v>0</v>
      </c>
      <c r="AG426" s="17">
        <f t="shared" si="126"/>
        <v>0</v>
      </c>
      <c r="AH426" s="18" t="str">
        <f t="shared" si="125"/>
        <v>0,;!0,;!0,;!0</v>
      </c>
      <c r="AI426" s="18" t="e">
        <f>INDEX([1]Library!$AL:$AL,MATCH(AH426,[1]Library!$AJ:$AJ,0),1)</f>
        <v>#N/A</v>
      </c>
      <c r="AJ426" s="18" t="e">
        <f>TEXT(INDEX([1]Library!$W:$W,MATCH(AH426,[1]Library!$AJ:$AJ,0),1),"")</f>
        <v>#N/A</v>
      </c>
    </row>
    <row r="427" spans="1:36" ht="25.05" customHeight="1" outlineLevel="2">
      <c r="A427" s="378" t="s">
        <v>44</v>
      </c>
      <c r="B427" s="118" t="s">
        <v>44</v>
      </c>
      <c r="C427" s="119" t="s">
        <v>44</v>
      </c>
      <c r="D427" s="120" t="s">
        <v>44</v>
      </c>
      <c r="E427" s="290" t="s">
        <v>381</v>
      </c>
      <c r="F427" s="300"/>
      <c r="G427" s="304"/>
      <c r="H427" s="122">
        <v>4</v>
      </c>
      <c r="I427" s="123" t="s">
        <v>90</v>
      </c>
      <c r="J427" s="124">
        <v>81.25</v>
      </c>
      <c r="K427" s="125">
        <v>325</v>
      </c>
      <c r="L427" s="124">
        <v>24.375</v>
      </c>
      <c r="M427" s="125">
        <v>97.5</v>
      </c>
      <c r="N427" s="126">
        <v>0</v>
      </c>
      <c r="O427" s="125">
        <v>0</v>
      </c>
      <c r="P427" s="127">
        <v>422.5</v>
      </c>
      <c r="Q427" s="128">
        <f t="shared" si="120"/>
        <v>1.2019155225320403E-6</v>
      </c>
      <c r="R427" s="129">
        <f t="shared" si="121"/>
        <v>3.5169910206432807E-2</v>
      </c>
      <c r="S427" s="379">
        <f t="shared" si="122"/>
        <v>1.3717532467532467</v>
      </c>
      <c r="T427" s="358"/>
      <c r="U427" s="104"/>
      <c r="V427" s="95"/>
      <c r="W427" s="105"/>
      <c r="X427" s="95"/>
      <c r="Y427" s="95"/>
      <c r="Z427" s="95"/>
      <c r="AA427" s="95"/>
      <c r="AB427" s="95"/>
      <c r="AC427" s="95"/>
      <c r="AD427" s="17">
        <f t="shared" si="123"/>
        <v>0</v>
      </c>
      <c r="AE427" s="17">
        <f t="shared" si="126"/>
        <v>0</v>
      </c>
      <c r="AF427" s="17">
        <f t="shared" si="126"/>
        <v>0</v>
      </c>
      <c r="AG427" s="17">
        <f t="shared" si="126"/>
        <v>0</v>
      </c>
      <c r="AH427" s="18" t="str">
        <f t="shared" si="125"/>
        <v>0,;!0,;!0,;!0</v>
      </c>
      <c r="AI427" s="18" t="e">
        <f>INDEX([1]Library!$AL:$AL,MATCH(AH427,[1]Library!$AJ:$AJ,0),1)</f>
        <v>#N/A</v>
      </c>
      <c r="AJ427" s="18" t="e">
        <f>TEXT(INDEX([1]Library!$W:$W,MATCH(AH427,[1]Library!$AJ:$AJ,0),1),"")</f>
        <v>#N/A</v>
      </c>
    </row>
    <row r="428" spans="1:36" ht="25.05" customHeight="1" outlineLevel="2">
      <c r="A428" s="378" t="s">
        <v>44</v>
      </c>
      <c r="B428" s="118" t="s">
        <v>44</v>
      </c>
      <c r="C428" s="119" t="s">
        <v>44</v>
      </c>
      <c r="D428" s="120" t="s">
        <v>44</v>
      </c>
      <c r="E428" s="290" t="s">
        <v>438</v>
      </c>
      <c r="F428" s="300"/>
      <c r="G428" s="304"/>
      <c r="H428" s="122">
        <v>1</v>
      </c>
      <c r="I428" s="123" t="s">
        <v>90</v>
      </c>
      <c r="J428" s="124">
        <v>3000</v>
      </c>
      <c r="K428" s="125">
        <v>3000</v>
      </c>
      <c r="L428" s="124">
        <v>750</v>
      </c>
      <c r="M428" s="125">
        <v>750</v>
      </c>
      <c r="N428" s="126">
        <v>0</v>
      </c>
      <c r="O428" s="125">
        <v>0</v>
      </c>
      <c r="P428" s="127">
        <v>3750</v>
      </c>
      <c r="Q428" s="128">
        <f t="shared" si="120"/>
        <v>1.0667889253242961E-5</v>
      </c>
      <c r="R428" s="129">
        <f t="shared" si="121"/>
        <v>0.31215896632928525</v>
      </c>
      <c r="S428" s="379">
        <f t="shared" si="122"/>
        <v>12.175324675324676</v>
      </c>
      <c r="T428" s="358"/>
      <c r="U428" s="104"/>
      <c r="V428" s="95"/>
      <c r="W428" s="105"/>
      <c r="X428" s="95"/>
      <c r="Y428" s="95"/>
      <c r="Z428" s="95"/>
      <c r="AA428" s="95"/>
      <c r="AB428" s="95"/>
      <c r="AC428" s="95"/>
      <c r="AD428" s="17">
        <f t="shared" si="123"/>
        <v>0</v>
      </c>
      <c r="AE428" s="17">
        <f t="shared" si="126"/>
        <v>0</v>
      </c>
      <c r="AF428" s="17">
        <f t="shared" si="126"/>
        <v>0</v>
      </c>
      <c r="AG428" s="17">
        <f t="shared" si="126"/>
        <v>0</v>
      </c>
      <c r="AH428" s="18" t="str">
        <f t="shared" si="125"/>
        <v>0,;!0,;!0,;!0</v>
      </c>
      <c r="AI428" s="18" t="e">
        <f>INDEX([1]Library!$AL:$AL,MATCH(AH428,[1]Library!$AJ:$AJ,0),1)</f>
        <v>#N/A</v>
      </c>
      <c r="AJ428" s="18" t="e">
        <f>TEXT(INDEX([1]Library!$W:$W,MATCH(AH428,[1]Library!$AJ:$AJ,0),1),"")</f>
        <v>#N/A</v>
      </c>
    </row>
    <row r="429" spans="1:36" ht="25.05" customHeight="1" outlineLevel="2">
      <c r="A429" s="376" t="s">
        <v>44</v>
      </c>
      <c r="B429" s="107" t="s">
        <v>44</v>
      </c>
      <c r="C429" s="108" t="s">
        <v>44</v>
      </c>
      <c r="D429" s="109" t="s">
        <v>386</v>
      </c>
      <c r="E429" s="289"/>
      <c r="F429" s="299"/>
      <c r="G429" s="62"/>
      <c r="H429" s="111">
        <v>1</v>
      </c>
      <c r="I429" s="112" t="s">
        <v>35</v>
      </c>
      <c r="J429" s="113">
        <v>9895.4894531249975</v>
      </c>
      <c r="K429" s="114">
        <v>9895.4894531249975</v>
      </c>
      <c r="L429" s="113">
        <v>3057.7062410156245</v>
      </c>
      <c r="M429" s="114">
        <v>3057.7062410156245</v>
      </c>
      <c r="N429" s="115">
        <v>0</v>
      </c>
      <c r="O429" s="114">
        <v>0</v>
      </c>
      <c r="P429" s="116">
        <v>12953.195694140622</v>
      </c>
      <c r="Q429" s="117">
        <f>P429/P$13</f>
        <v>3.6848868570846862E-5</v>
      </c>
      <c r="R429" s="114">
        <f>P429/I$5</f>
        <v>1.0782549809450361</v>
      </c>
      <c r="S429" s="377">
        <f>P429/I$7</f>
        <v>42.055830175781239</v>
      </c>
      <c r="T429" s="357"/>
      <c r="U429" s="104"/>
      <c r="V429" s="95"/>
      <c r="W429" s="105"/>
      <c r="X429" s="95"/>
      <c r="Y429" s="95"/>
      <c r="Z429" s="95"/>
      <c r="AA429" s="95"/>
      <c r="AB429" s="95"/>
      <c r="AC429" s="95"/>
      <c r="AD429" s="17">
        <f t="shared" si="123"/>
        <v>0</v>
      </c>
      <c r="AE429" s="17">
        <f t="shared" si="126"/>
        <v>0</v>
      </c>
      <c r="AF429" s="17">
        <f t="shared" si="126"/>
        <v>0</v>
      </c>
      <c r="AG429" s="17">
        <f t="shared" si="126"/>
        <v>0</v>
      </c>
      <c r="AH429" s="18" t="str">
        <f t="shared" si="125"/>
        <v>0,;!0,;!0,;!0</v>
      </c>
      <c r="AI429" s="18" t="e">
        <f>INDEX([1]Library!$AL:$AL,MATCH(AH429,[1]Library!$AJ:$AJ,0),1)</f>
        <v>#N/A</v>
      </c>
      <c r="AJ429" s="18" t="e">
        <f>TEXT(INDEX([1]Library!$W:$W,MATCH(AH429,[1]Library!$AJ:$AJ,0),1),"")</f>
        <v>#N/A</v>
      </c>
    </row>
    <row r="430" spans="1:36" ht="25.05" customHeight="1" outlineLevel="2">
      <c r="A430" s="378" t="s">
        <v>44</v>
      </c>
      <c r="B430" s="118" t="s">
        <v>44</v>
      </c>
      <c r="C430" s="119" t="s">
        <v>44</v>
      </c>
      <c r="D430" s="120" t="s">
        <v>44</v>
      </c>
      <c r="E430" s="290" t="s">
        <v>439</v>
      </c>
      <c r="F430" s="300"/>
      <c r="G430" s="304"/>
      <c r="H430" s="122">
        <v>171</v>
      </c>
      <c r="I430" s="123" t="s">
        <v>122</v>
      </c>
      <c r="J430" s="124">
        <v>57.868359374999983</v>
      </c>
      <c r="K430" s="125">
        <v>9895.4894531249975</v>
      </c>
      <c r="L430" s="124">
        <v>17.881323046874996</v>
      </c>
      <c r="M430" s="125">
        <v>3057.7062410156245</v>
      </c>
      <c r="N430" s="126">
        <v>0</v>
      </c>
      <c r="O430" s="125">
        <v>0</v>
      </c>
      <c r="P430" s="127">
        <v>12953.195694140622</v>
      </c>
      <c r="Q430" s="128">
        <f t="shared" si="120"/>
        <v>3.6848868570846862E-5</v>
      </c>
      <c r="R430" s="129">
        <f t="shared" si="121"/>
        <v>1.0782549809450361</v>
      </c>
      <c r="S430" s="379">
        <f t="shared" si="122"/>
        <v>42.055830175781239</v>
      </c>
      <c r="T430" s="358"/>
      <c r="U430" s="104"/>
      <c r="V430" s="95"/>
      <c r="W430" s="105"/>
      <c r="X430" s="95"/>
      <c r="Y430" s="95"/>
      <c r="Z430" s="95"/>
      <c r="AA430" s="95"/>
      <c r="AB430" s="95"/>
      <c r="AC430" s="95"/>
      <c r="AD430" s="17">
        <f t="shared" si="123"/>
        <v>0</v>
      </c>
      <c r="AE430" s="17">
        <f t="shared" ref="AE430:AG445" si="127">IF(AA430=" ",IF($X430&gt;=AE$12,AE429,""),AA430)</f>
        <v>0</v>
      </c>
      <c r="AF430" s="17">
        <f t="shared" si="127"/>
        <v>0</v>
      </c>
      <c r="AG430" s="17">
        <f t="shared" si="127"/>
        <v>0</v>
      </c>
      <c r="AH430" s="18" t="str">
        <f t="shared" si="125"/>
        <v>0,;!0,;!0,;!0</v>
      </c>
      <c r="AI430" s="18" t="e">
        <f>INDEX([1]Library!$AL:$AL,MATCH(AH430,[1]Library!$AJ:$AJ,0),1)</f>
        <v>#N/A</v>
      </c>
      <c r="AJ430" s="18" t="e">
        <f>TEXT(INDEX([1]Library!$W:$W,MATCH(AH430,[1]Library!$AJ:$AJ,0),1),"")</f>
        <v>#N/A</v>
      </c>
    </row>
    <row r="431" spans="1:36" ht="25.05" customHeight="1" outlineLevel="2">
      <c r="A431" s="376" t="s">
        <v>44</v>
      </c>
      <c r="B431" s="107" t="s">
        <v>44</v>
      </c>
      <c r="C431" s="108" t="s">
        <v>44</v>
      </c>
      <c r="D431" s="109" t="s">
        <v>430</v>
      </c>
      <c r="E431" s="289"/>
      <c r="F431" s="299"/>
      <c r="G431" s="62"/>
      <c r="H431" s="111">
        <v>1</v>
      </c>
      <c r="I431" s="112" t="s">
        <v>35</v>
      </c>
      <c r="J431" s="113">
        <v>217998.66970588235</v>
      </c>
      <c r="K431" s="114">
        <v>217998.66970588235</v>
      </c>
      <c r="L431" s="113">
        <v>27908.111352941174</v>
      </c>
      <c r="M431" s="114">
        <v>27908.111352941174</v>
      </c>
      <c r="N431" s="115">
        <v>0</v>
      </c>
      <c r="O431" s="114">
        <v>0</v>
      </c>
      <c r="P431" s="116">
        <v>245906.78105882352</v>
      </c>
      <c r="Q431" s="117">
        <f>P431/P$13</f>
        <v>6.9954834852186483E-4</v>
      </c>
      <c r="R431" s="114">
        <f>P431/I$5</f>
        <v>20.469868423649121</v>
      </c>
      <c r="S431" s="377">
        <f>P431/I$7</f>
        <v>798.398639801375</v>
      </c>
      <c r="T431" s="357"/>
      <c r="U431" s="104"/>
      <c r="V431" s="95"/>
      <c r="W431" s="105"/>
      <c r="X431" s="95"/>
      <c r="Y431" s="95"/>
      <c r="Z431" s="95"/>
      <c r="AA431" s="95"/>
      <c r="AB431" s="95"/>
      <c r="AC431" s="95"/>
      <c r="AD431" s="17">
        <f t="shared" si="123"/>
        <v>0</v>
      </c>
      <c r="AE431" s="17">
        <f t="shared" si="127"/>
        <v>0</v>
      </c>
      <c r="AF431" s="17">
        <f t="shared" si="127"/>
        <v>0</v>
      </c>
      <c r="AG431" s="17">
        <f t="shared" si="127"/>
        <v>0</v>
      </c>
      <c r="AH431" s="18" t="str">
        <f t="shared" si="125"/>
        <v>0,;!0,;!0,;!0</v>
      </c>
      <c r="AI431" s="18" t="e">
        <f>INDEX([1]Library!$AL:$AL,MATCH(AH431,[1]Library!$AJ:$AJ,0),1)</f>
        <v>#N/A</v>
      </c>
      <c r="AJ431" s="18" t="e">
        <f>TEXT(INDEX([1]Library!$W:$W,MATCH(AH431,[1]Library!$AJ:$AJ,0),1),"")</f>
        <v>#N/A</v>
      </c>
    </row>
    <row r="432" spans="1:36" ht="25.05" customHeight="1" outlineLevel="2">
      <c r="A432" s="378" t="s">
        <v>44</v>
      </c>
      <c r="B432" s="118" t="s">
        <v>44</v>
      </c>
      <c r="C432" s="119" t="s">
        <v>44</v>
      </c>
      <c r="D432" s="120" t="s">
        <v>44</v>
      </c>
      <c r="E432" s="290" t="s">
        <v>440</v>
      </c>
      <c r="F432" s="300"/>
      <c r="G432" s="304"/>
      <c r="H432" s="122">
        <v>4</v>
      </c>
      <c r="I432" s="123" t="s">
        <v>432</v>
      </c>
      <c r="J432" s="124">
        <v>5303.57</v>
      </c>
      <c r="K432" s="125">
        <v>21214.28</v>
      </c>
      <c r="L432" s="124">
        <v>795.54</v>
      </c>
      <c r="M432" s="125">
        <v>3182.16</v>
      </c>
      <c r="N432" s="126">
        <v>0</v>
      </c>
      <c r="O432" s="125">
        <v>0</v>
      </c>
      <c r="P432" s="127">
        <v>24396.44</v>
      </c>
      <c r="Q432" s="128">
        <f t="shared" si="120"/>
        <v>6.9402272024903116E-5</v>
      </c>
      <c r="R432" s="129">
        <f t="shared" si="121"/>
        <v>2.0308179980038474</v>
      </c>
      <c r="S432" s="379">
        <f t="shared" si="122"/>
        <v>79.209220779220772</v>
      </c>
      <c r="T432" s="358"/>
      <c r="U432" s="104"/>
      <c r="V432" s="95"/>
      <c r="W432" s="105"/>
      <c r="X432" s="95"/>
      <c r="Y432" s="95"/>
      <c r="Z432" s="95"/>
      <c r="AA432" s="95"/>
      <c r="AB432" s="95"/>
      <c r="AC432" s="95"/>
      <c r="AD432" s="17">
        <f t="shared" si="123"/>
        <v>0</v>
      </c>
      <c r="AE432" s="17">
        <f t="shared" si="127"/>
        <v>0</v>
      </c>
      <c r="AF432" s="17">
        <f t="shared" si="127"/>
        <v>0</v>
      </c>
      <c r="AG432" s="17">
        <f t="shared" si="127"/>
        <v>0</v>
      </c>
      <c r="AH432" s="18" t="str">
        <f t="shared" si="125"/>
        <v>0,;!0,;!0,;!0</v>
      </c>
      <c r="AI432" s="18" t="e">
        <f>INDEX([1]Library!$AL:$AL,MATCH(AH432,[1]Library!$AJ:$AJ,0),1)</f>
        <v>#N/A</v>
      </c>
      <c r="AJ432" s="18" t="e">
        <f>TEXT(INDEX([1]Library!$W:$W,MATCH(AH432,[1]Library!$AJ:$AJ,0),1),"")</f>
        <v>#N/A</v>
      </c>
    </row>
    <row r="433" spans="1:36" ht="25.05" customHeight="1" outlineLevel="2">
      <c r="A433" s="378" t="s">
        <v>44</v>
      </c>
      <c r="B433" s="118" t="s">
        <v>44</v>
      </c>
      <c r="C433" s="119" t="s">
        <v>44</v>
      </c>
      <c r="D433" s="120" t="s">
        <v>44</v>
      </c>
      <c r="E433" s="290" t="s">
        <v>441</v>
      </c>
      <c r="F433" s="300"/>
      <c r="G433" s="304"/>
      <c r="H433" s="122">
        <v>1</v>
      </c>
      <c r="I433" s="123" t="s">
        <v>432</v>
      </c>
      <c r="J433" s="124">
        <v>21093.75</v>
      </c>
      <c r="K433" s="125">
        <v>21093.75</v>
      </c>
      <c r="L433" s="124">
        <v>4218.75</v>
      </c>
      <c r="M433" s="125">
        <v>4218.75</v>
      </c>
      <c r="N433" s="126">
        <v>0</v>
      </c>
      <c r="O433" s="125">
        <v>0</v>
      </c>
      <c r="P433" s="127">
        <v>25312.5</v>
      </c>
      <c r="Q433" s="128">
        <f t="shared" si="120"/>
        <v>7.2008252459389988E-5</v>
      </c>
      <c r="R433" s="129">
        <f t="shared" si="121"/>
        <v>2.1070730227226755</v>
      </c>
      <c r="S433" s="379">
        <f t="shared" si="122"/>
        <v>82.183441558441558</v>
      </c>
      <c r="T433" s="358"/>
      <c r="U433" s="104"/>
      <c r="V433" s="95"/>
      <c r="W433" s="105"/>
      <c r="X433" s="95"/>
      <c r="Y433" s="95"/>
      <c r="Z433" s="95"/>
      <c r="AA433" s="95"/>
      <c r="AB433" s="95"/>
      <c r="AC433" s="95"/>
      <c r="AD433" s="17">
        <f t="shared" si="123"/>
        <v>0</v>
      </c>
      <c r="AE433" s="17">
        <f t="shared" si="127"/>
        <v>0</v>
      </c>
      <c r="AF433" s="17">
        <f t="shared" si="127"/>
        <v>0</v>
      </c>
      <c r="AG433" s="17">
        <f t="shared" si="127"/>
        <v>0</v>
      </c>
      <c r="AH433" s="18" t="str">
        <f t="shared" si="125"/>
        <v>0,;!0,;!0,;!0</v>
      </c>
      <c r="AI433" s="18" t="e">
        <f>INDEX([1]Library!$AL:$AL,MATCH(AH433,[1]Library!$AJ:$AJ,0),1)</f>
        <v>#N/A</v>
      </c>
      <c r="AJ433" s="18" t="e">
        <f>TEXT(INDEX([1]Library!$W:$W,MATCH(AH433,[1]Library!$AJ:$AJ,0),1),"")</f>
        <v>#N/A</v>
      </c>
    </row>
    <row r="434" spans="1:36" ht="25.05" customHeight="1" outlineLevel="2">
      <c r="A434" s="378" t="s">
        <v>44</v>
      </c>
      <c r="B434" s="118" t="s">
        <v>44</v>
      </c>
      <c r="C434" s="119" t="s">
        <v>44</v>
      </c>
      <c r="D434" s="120" t="s">
        <v>44</v>
      </c>
      <c r="E434" s="290" t="s">
        <v>442</v>
      </c>
      <c r="F434" s="300"/>
      <c r="G434" s="304"/>
      <c r="H434" s="122">
        <v>1</v>
      </c>
      <c r="I434" s="123" t="s">
        <v>432</v>
      </c>
      <c r="J434" s="124">
        <v>21093.75</v>
      </c>
      <c r="K434" s="125">
        <v>21093.75</v>
      </c>
      <c r="L434" s="124">
        <v>4218.75</v>
      </c>
      <c r="M434" s="125">
        <v>4218.75</v>
      </c>
      <c r="N434" s="126">
        <v>0</v>
      </c>
      <c r="O434" s="125">
        <v>0</v>
      </c>
      <c r="P434" s="127">
        <v>25312.5</v>
      </c>
      <c r="Q434" s="128">
        <f t="shared" si="120"/>
        <v>7.2008252459389988E-5</v>
      </c>
      <c r="R434" s="129">
        <f t="shared" si="121"/>
        <v>2.1070730227226755</v>
      </c>
      <c r="S434" s="379">
        <f t="shared" si="122"/>
        <v>82.183441558441558</v>
      </c>
      <c r="T434" s="358"/>
      <c r="U434" s="104"/>
      <c r="V434" s="95"/>
      <c r="W434" s="105"/>
      <c r="X434" s="95"/>
      <c r="Y434" s="95"/>
      <c r="Z434" s="95"/>
      <c r="AA434" s="95"/>
      <c r="AB434" s="95"/>
      <c r="AC434" s="95"/>
      <c r="AD434" s="17">
        <f t="shared" si="123"/>
        <v>0</v>
      </c>
      <c r="AE434" s="17">
        <f t="shared" si="127"/>
        <v>0</v>
      </c>
      <c r="AF434" s="17">
        <f t="shared" si="127"/>
        <v>0</v>
      </c>
      <c r="AG434" s="17">
        <f t="shared" si="127"/>
        <v>0</v>
      </c>
      <c r="AH434" s="18" t="str">
        <f t="shared" si="125"/>
        <v>0,;!0,;!0,;!0</v>
      </c>
      <c r="AI434" s="18" t="e">
        <f>INDEX([1]Library!$AL:$AL,MATCH(AH434,[1]Library!$AJ:$AJ,0),1)</f>
        <v>#N/A</v>
      </c>
      <c r="AJ434" s="18" t="e">
        <f>TEXT(INDEX([1]Library!$W:$W,MATCH(AH434,[1]Library!$AJ:$AJ,0),1),"")</f>
        <v>#N/A</v>
      </c>
    </row>
    <row r="435" spans="1:36" ht="25.05" customHeight="1" outlineLevel="2">
      <c r="A435" s="378" t="s">
        <v>44</v>
      </c>
      <c r="B435" s="118" t="s">
        <v>44</v>
      </c>
      <c r="C435" s="119" t="s">
        <v>44</v>
      </c>
      <c r="D435" s="120" t="s">
        <v>44</v>
      </c>
      <c r="E435" s="290" t="s">
        <v>443</v>
      </c>
      <c r="F435" s="300"/>
      <c r="G435" s="304"/>
      <c r="H435" s="122">
        <v>1</v>
      </c>
      <c r="I435" s="123" t="s">
        <v>432</v>
      </c>
      <c r="J435" s="124">
        <v>7961.9549999999999</v>
      </c>
      <c r="K435" s="125">
        <v>7961.9549999999999</v>
      </c>
      <c r="L435" s="124">
        <v>1592.3910000000001</v>
      </c>
      <c r="M435" s="125">
        <v>1592.3910000000001</v>
      </c>
      <c r="N435" s="126">
        <v>0</v>
      </c>
      <c r="O435" s="125">
        <v>0</v>
      </c>
      <c r="P435" s="127">
        <v>9554.3459999999995</v>
      </c>
      <c r="Q435" s="128">
        <f t="shared" si="120"/>
        <v>2.7179921337377297E-5</v>
      </c>
      <c r="R435" s="129">
        <f t="shared" si="121"/>
        <v>0.79532660568329094</v>
      </c>
      <c r="S435" s="379">
        <f t="shared" si="122"/>
        <v>31.020603896103896</v>
      </c>
      <c r="T435" s="358"/>
      <c r="U435" s="104"/>
      <c r="V435" s="95"/>
      <c r="W435" s="105"/>
      <c r="X435" s="95"/>
      <c r="Y435" s="95"/>
      <c r="Z435" s="95"/>
      <c r="AA435" s="95"/>
      <c r="AB435" s="95"/>
      <c r="AC435" s="95"/>
      <c r="AD435" s="17">
        <f t="shared" si="123"/>
        <v>0</v>
      </c>
      <c r="AE435" s="17">
        <f t="shared" si="127"/>
        <v>0</v>
      </c>
      <c r="AF435" s="17">
        <f t="shared" si="127"/>
        <v>0</v>
      </c>
      <c r="AG435" s="17">
        <f t="shared" si="127"/>
        <v>0</v>
      </c>
      <c r="AH435" s="18" t="str">
        <f t="shared" si="125"/>
        <v>0,;!0,;!0,;!0</v>
      </c>
      <c r="AI435" s="18" t="e">
        <f>INDEX([1]Library!$AL:$AL,MATCH(AH435,[1]Library!$AJ:$AJ,0),1)</f>
        <v>#N/A</v>
      </c>
      <c r="AJ435" s="18" t="e">
        <f>TEXT(INDEX([1]Library!$W:$W,MATCH(AH435,[1]Library!$AJ:$AJ,0),1),"")</f>
        <v>#N/A</v>
      </c>
    </row>
    <row r="436" spans="1:36" ht="25.05" customHeight="1" outlineLevel="2">
      <c r="A436" s="378" t="s">
        <v>44</v>
      </c>
      <c r="B436" s="118" t="s">
        <v>44</v>
      </c>
      <c r="C436" s="119" t="s">
        <v>44</v>
      </c>
      <c r="D436" s="120" t="s">
        <v>44</v>
      </c>
      <c r="E436" s="290" t="s">
        <v>444</v>
      </c>
      <c r="F436" s="300"/>
      <c r="G436" s="304"/>
      <c r="H436" s="122">
        <v>1</v>
      </c>
      <c r="I436" s="123" t="s">
        <v>432</v>
      </c>
      <c r="J436" s="124">
        <v>480</v>
      </c>
      <c r="K436" s="125">
        <v>480</v>
      </c>
      <c r="L436" s="124">
        <v>120</v>
      </c>
      <c r="M436" s="125">
        <v>120</v>
      </c>
      <c r="N436" s="126">
        <v>0</v>
      </c>
      <c r="O436" s="125">
        <v>0</v>
      </c>
      <c r="P436" s="127">
        <v>600</v>
      </c>
      <c r="Q436" s="128">
        <f t="shared" si="120"/>
        <v>1.7068622805188736E-6</v>
      </c>
      <c r="R436" s="129">
        <f t="shared" si="121"/>
        <v>4.9945434612685635E-2</v>
      </c>
      <c r="S436" s="379">
        <f t="shared" si="122"/>
        <v>1.948051948051948</v>
      </c>
      <c r="T436" s="358"/>
      <c r="U436" s="104"/>
      <c r="V436" s="95"/>
      <c r="W436" s="105"/>
      <c r="X436" s="95"/>
      <c r="Y436" s="95"/>
      <c r="Z436" s="95"/>
      <c r="AA436" s="95"/>
      <c r="AB436" s="95"/>
      <c r="AC436" s="95"/>
      <c r="AD436" s="17">
        <f t="shared" si="123"/>
        <v>0</v>
      </c>
      <c r="AE436" s="17">
        <f t="shared" si="127"/>
        <v>0</v>
      </c>
      <c r="AF436" s="17">
        <f t="shared" si="127"/>
        <v>0</v>
      </c>
      <c r="AG436" s="17">
        <f t="shared" si="127"/>
        <v>0</v>
      </c>
      <c r="AH436" s="18" t="str">
        <f t="shared" si="125"/>
        <v>0,;!0,;!0,;!0</v>
      </c>
      <c r="AI436" s="18" t="e">
        <f>INDEX([1]Library!$AL:$AL,MATCH(AH436,[1]Library!$AJ:$AJ,0),1)</f>
        <v>#N/A</v>
      </c>
      <c r="AJ436" s="18" t="e">
        <f>TEXT(INDEX([1]Library!$W:$W,MATCH(AH436,[1]Library!$AJ:$AJ,0),1),"")</f>
        <v>#N/A</v>
      </c>
    </row>
    <row r="437" spans="1:36" ht="25.05" customHeight="1" outlineLevel="2">
      <c r="A437" s="378" t="s">
        <v>44</v>
      </c>
      <c r="B437" s="118" t="s">
        <v>44</v>
      </c>
      <c r="C437" s="119" t="s">
        <v>44</v>
      </c>
      <c r="D437" s="120" t="s">
        <v>44</v>
      </c>
      <c r="E437" s="290" t="s">
        <v>445</v>
      </c>
      <c r="F437" s="300"/>
      <c r="G437" s="304"/>
      <c r="H437" s="122">
        <v>1</v>
      </c>
      <c r="I437" s="123" t="s">
        <v>432</v>
      </c>
      <c r="J437" s="124">
        <v>7077.29</v>
      </c>
      <c r="K437" s="125">
        <v>7077.29</v>
      </c>
      <c r="L437" s="124">
        <v>1061.5899999999999</v>
      </c>
      <c r="M437" s="125">
        <v>1061.5899999999999</v>
      </c>
      <c r="N437" s="126">
        <v>0</v>
      </c>
      <c r="O437" s="125">
        <v>0</v>
      </c>
      <c r="P437" s="127">
        <v>8138.88</v>
      </c>
      <c r="Q437" s="128">
        <f t="shared" si="120"/>
        <v>2.3153245462782418E-5</v>
      </c>
      <c r="R437" s="129">
        <f t="shared" si="121"/>
        <v>0.67749983143415815</v>
      </c>
      <c r="S437" s="379">
        <f t="shared" si="122"/>
        <v>26.424935064935067</v>
      </c>
      <c r="T437" s="358"/>
      <c r="U437" s="104"/>
      <c r="V437" s="95"/>
      <c r="W437" s="105"/>
      <c r="X437" s="95"/>
      <c r="Y437" s="95"/>
      <c r="Z437" s="95"/>
      <c r="AA437" s="95"/>
      <c r="AB437" s="95"/>
      <c r="AC437" s="95"/>
      <c r="AD437" s="17">
        <f t="shared" si="123"/>
        <v>0</v>
      </c>
      <c r="AE437" s="17">
        <f t="shared" si="127"/>
        <v>0</v>
      </c>
      <c r="AF437" s="17">
        <f t="shared" si="127"/>
        <v>0</v>
      </c>
      <c r="AG437" s="17">
        <f t="shared" si="127"/>
        <v>0</v>
      </c>
      <c r="AH437" s="18" t="str">
        <f t="shared" si="125"/>
        <v>0,;!0,;!0,;!0</v>
      </c>
      <c r="AI437" s="18" t="e">
        <f>INDEX([1]Library!$AL:$AL,MATCH(AH437,[1]Library!$AJ:$AJ,0),1)</f>
        <v>#N/A</v>
      </c>
      <c r="AJ437" s="18" t="e">
        <f>TEXT(INDEX([1]Library!$W:$W,MATCH(AH437,[1]Library!$AJ:$AJ,0),1),"")</f>
        <v>#N/A</v>
      </c>
    </row>
    <row r="438" spans="1:36" ht="25.05" customHeight="1" outlineLevel="2">
      <c r="A438" s="378" t="s">
        <v>44</v>
      </c>
      <c r="B438" s="118" t="s">
        <v>44</v>
      </c>
      <c r="C438" s="119" t="s">
        <v>44</v>
      </c>
      <c r="D438" s="120" t="s">
        <v>44</v>
      </c>
      <c r="E438" s="290" t="s">
        <v>446</v>
      </c>
      <c r="F438" s="300"/>
      <c r="G438" s="304"/>
      <c r="H438" s="122">
        <v>1</v>
      </c>
      <c r="I438" s="123" t="s">
        <v>432</v>
      </c>
      <c r="J438" s="124">
        <v>36432.941176470602</v>
      </c>
      <c r="K438" s="125">
        <v>36432.941176470602</v>
      </c>
      <c r="L438" s="124">
        <v>3000</v>
      </c>
      <c r="M438" s="125">
        <v>3000</v>
      </c>
      <c r="N438" s="126">
        <v>0</v>
      </c>
      <c r="O438" s="125">
        <v>0</v>
      </c>
      <c r="P438" s="127">
        <v>39432.941176470602</v>
      </c>
      <c r="Q438" s="128">
        <f t="shared" si="120"/>
        <v>1.1217766650672868E-4</v>
      </c>
      <c r="R438" s="129">
        <f t="shared" si="121"/>
        <v>3.282492308525486</v>
      </c>
      <c r="S438" s="379">
        <f t="shared" si="122"/>
        <v>128.02902979373573</v>
      </c>
      <c r="T438" s="358"/>
      <c r="U438" s="104"/>
      <c r="V438" s="95"/>
      <c r="W438" s="105"/>
      <c r="X438" s="95"/>
      <c r="Y438" s="95"/>
      <c r="Z438" s="95"/>
      <c r="AA438" s="95"/>
      <c r="AB438" s="95"/>
      <c r="AC438" s="95"/>
      <c r="AD438" s="17">
        <f t="shared" si="123"/>
        <v>0</v>
      </c>
      <c r="AE438" s="17">
        <f t="shared" si="127"/>
        <v>0</v>
      </c>
      <c r="AF438" s="17">
        <f t="shared" si="127"/>
        <v>0</v>
      </c>
      <c r="AG438" s="17">
        <f t="shared" si="127"/>
        <v>0</v>
      </c>
      <c r="AH438" s="18" t="str">
        <f t="shared" si="125"/>
        <v>0,;!0,;!0,;!0</v>
      </c>
      <c r="AI438" s="18" t="e">
        <f>INDEX([1]Library!$AL:$AL,MATCH(AH438,[1]Library!$AJ:$AJ,0),1)</f>
        <v>#N/A</v>
      </c>
      <c r="AJ438" s="18" t="e">
        <f>TEXT(INDEX([1]Library!$W:$W,MATCH(AH438,[1]Library!$AJ:$AJ,0),1),"")</f>
        <v>#N/A</v>
      </c>
    </row>
    <row r="439" spans="1:36" ht="25.05" customHeight="1" outlineLevel="2" collapsed="1">
      <c r="A439" s="378" t="s">
        <v>44</v>
      </c>
      <c r="B439" s="118" t="s">
        <v>44</v>
      </c>
      <c r="C439" s="119" t="s">
        <v>44</v>
      </c>
      <c r="D439" s="120" t="s">
        <v>44</v>
      </c>
      <c r="E439" s="290" t="s">
        <v>447</v>
      </c>
      <c r="F439" s="300"/>
      <c r="G439" s="304"/>
      <c r="H439" s="122">
        <v>1</v>
      </c>
      <c r="I439" s="123" t="s">
        <v>432</v>
      </c>
      <c r="J439" s="124">
        <v>20000</v>
      </c>
      <c r="K439" s="125">
        <v>20000</v>
      </c>
      <c r="L439" s="124">
        <v>2250</v>
      </c>
      <c r="M439" s="125">
        <v>2250</v>
      </c>
      <c r="N439" s="126">
        <v>0</v>
      </c>
      <c r="O439" s="125">
        <v>0</v>
      </c>
      <c r="P439" s="127">
        <v>22250</v>
      </c>
      <c r="Q439" s="128">
        <f t="shared" si="120"/>
        <v>6.3296142902574904E-5</v>
      </c>
      <c r="R439" s="129">
        <f t="shared" si="121"/>
        <v>1.8521432002204257</v>
      </c>
      <c r="S439" s="379">
        <f t="shared" si="122"/>
        <v>72.240259740259745</v>
      </c>
      <c r="T439" s="358"/>
      <c r="U439" s="104"/>
      <c r="V439" s="95"/>
      <c r="W439" s="105"/>
      <c r="X439" s="95"/>
      <c r="Y439" s="95"/>
      <c r="Z439" s="95"/>
      <c r="AA439" s="95"/>
      <c r="AB439" s="95"/>
      <c r="AC439" s="95"/>
      <c r="AD439" s="17">
        <f t="shared" si="123"/>
        <v>0</v>
      </c>
      <c r="AE439" s="17">
        <f t="shared" si="127"/>
        <v>0</v>
      </c>
      <c r="AF439" s="17">
        <f t="shared" si="127"/>
        <v>0</v>
      </c>
      <c r="AG439" s="17">
        <f t="shared" si="127"/>
        <v>0</v>
      </c>
      <c r="AH439" s="18" t="str">
        <f t="shared" si="125"/>
        <v>0,;!0,;!0,;!0</v>
      </c>
      <c r="AI439" s="18" t="e">
        <f>INDEX([1]Library!$AL:$AL,MATCH(AH439,[1]Library!$AJ:$AJ,0),1)</f>
        <v>#N/A</v>
      </c>
      <c r="AJ439" s="18" t="e">
        <f>TEXT(INDEX([1]Library!$W:$W,MATCH(AH439,[1]Library!$AJ:$AJ,0),1),"")</f>
        <v>#N/A</v>
      </c>
    </row>
    <row r="440" spans="1:36" ht="25.05" customHeight="1" outlineLevel="2">
      <c r="A440" s="378" t="s">
        <v>44</v>
      </c>
      <c r="B440" s="118" t="s">
        <v>44</v>
      </c>
      <c r="C440" s="119" t="s">
        <v>44</v>
      </c>
      <c r="D440" s="120" t="s">
        <v>44</v>
      </c>
      <c r="E440" s="290" t="s">
        <v>448</v>
      </c>
      <c r="F440" s="300"/>
      <c r="G440" s="304"/>
      <c r="H440" s="122">
        <v>1</v>
      </c>
      <c r="I440" s="123" t="s">
        <v>432</v>
      </c>
      <c r="J440" s="124">
        <v>35585.879999999997</v>
      </c>
      <c r="K440" s="125">
        <v>35585.879999999997</v>
      </c>
      <c r="L440" s="124">
        <v>3558.5879999999997</v>
      </c>
      <c r="M440" s="125">
        <v>3558.5879999999997</v>
      </c>
      <c r="N440" s="126">
        <v>0</v>
      </c>
      <c r="O440" s="125">
        <v>0</v>
      </c>
      <c r="P440" s="127">
        <v>39144.467999999993</v>
      </c>
      <c r="Q440" s="128">
        <f t="shared" si="120"/>
        <v>1.1135702653363011E-4</v>
      </c>
      <c r="R440" s="129">
        <f t="shared" si="121"/>
        <v>3.2584791115706082</v>
      </c>
      <c r="S440" s="379">
        <f t="shared" si="122"/>
        <v>127.09242857142856</v>
      </c>
      <c r="T440" s="358"/>
      <c r="U440" s="104"/>
      <c r="V440" s="95"/>
      <c r="W440" s="105"/>
      <c r="X440" s="95"/>
      <c r="Y440" s="95"/>
      <c r="Z440" s="95"/>
      <c r="AA440" s="95"/>
      <c r="AB440" s="95"/>
      <c r="AC440" s="95"/>
      <c r="AD440" s="17">
        <f t="shared" si="123"/>
        <v>0</v>
      </c>
      <c r="AE440" s="17">
        <f t="shared" si="127"/>
        <v>0</v>
      </c>
      <c r="AF440" s="17">
        <f t="shared" si="127"/>
        <v>0</v>
      </c>
      <c r="AG440" s="17">
        <f t="shared" si="127"/>
        <v>0</v>
      </c>
      <c r="AH440" s="18" t="str">
        <f t="shared" si="125"/>
        <v>0,;!0,;!0,;!0</v>
      </c>
      <c r="AI440" s="18" t="e">
        <f>INDEX([1]Library!$AL:$AL,MATCH(AH440,[1]Library!$AJ:$AJ,0),1)</f>
        <v>#N/A</v>
      </c>
      <c r="AJ440" s="18" t="e">
        <f>TEXT(INDEX([1]Library!$W:$W,MATCH(AH440,[1]Library!$AJ:$AJ,0),1),"")</f>
        <v>#N/A</v>
      </c>
    </row>
    <row r="441" spans="1:36" ht="25.05" customHeight="1" outlineLevel="2">
      <c r="A441" s="378" t="s">
        <v>44</v>
      </c>
      <c r="B441" s="118" t="s">
        <v>44</v>
      </c>
      <c r="C441" s="119" t="s">
        <v>44</v>
      </c>
      <c r="D441" s="120" t="s">
        <v>44</v>
      </c>
      <c r="E441" s="290" t="s">
        <v>449</v>
      </c>
      <c r="F441" s="300"/>
      <c r="G441" s="304"/>
      <c r="H441" s="122">
        <v>1</v>
      </c>
      <c r="I441" s="123" t="s">
        <v>432</v>
      </c>
      <c r="J441" s="124">
        <v>23529.411764705881</v>
      </c>
      <c r="K441" s="125">
        <v>23529.411764705881</v>
      </c>
      <c r="L441" s="124">
        <v>2352.9411764705883</v>
      </c>
      <c r="M441" s="125">
        <v>2352.9411764705883</v>
      </c>
      <c r="N441" s="126">
        <v>0</v>
      </c>
      <c r="O441" s="125">
        <v>0</v>
      </c>
      <c r="P441" s="127">
        <v>25882.352941176468</v>
      </c>
      <c r="Q441" s="128">
        <f t="shared" si="120"/>
        <v>7.3629353277284741E-5</v>
      </c>
      <c r="R441" s="129">
        <f t="shared" si="121"/>
        <v>2.1545089440766354</v>
      </c>
      <c r="S441" s="379">
        <f t="shared" si="122"/>
        <v>84.033613445378151</v>
      </c>
      <c r="T441" s="358"/>
      <c r="U441" s="104"/>
      <c r="V441" s="95"/>
      <c r="W441" s="105"/>
      <c r="X441" s="95"/>
      <c r="Y441" s="95"/>
      <c r="Z441" s="95"/>
      <c r="AA441" s="95"/>
      <c r="AB441" s="95"/>
      <c r="AC441" s="95"/>
      <c r="AD441" s="17">
        <f t="shared" si="123"/>
        <v>0</v>
      </c>
      <c r="AE441" s="17">
        <f t="shared" si="127"/>
        <v>0</v>
      </c>
      <c r="AF441" s="17">
        <f t="shared" si="127"/>
        <v>0</v>
      </c>
      <c r="AG441" s="17">
        <f t="shared" si="127"/>
        <v>0</v>
      </c>
      <c r="AH441" s="18" t="str">
        <f t="shared" si="125"/>
        <v>0,;!0,;!0,;!0</v>
      </c>
      <c r="AI441" s="18" t="e">
        <f>INDEX([1]Library!$AL:$AL,MATCH(AH441,[1]Library!$AJ:$AJ,0),1)</f>
        <v>#N/A</v>
      </c>
      <c r="AJ441" s="18" t="e">
        <f>TEXT(INDEX([1]Library!$W:$W,MATCH(AH441,[1]Library!$AJ:$AJ,0),1),"")</f>
        <v>#N/A</v>
      </c>
    </row>
    <row r="442" spans="1:36" ht="25.05" customHeight="1" outlineLevel="2">
      <c r="A442" s="378" t="s">
        <v>44</v>
      </c>
      <c r="B442" s="118" t="s">
        <v>44</v>
      </c>
      <c r="C442" s="119" t="s">
        <v>44</v>
      </c>
      <c r="D442" s="120" t="s">
        <v>44</v>
      </c>
      <c r="E442" s="290" t="s">
        <v>450</v>
      </c>
      <c r="F442" s="300"/>
      <c r="G442" s="304"/>
      <c r="H442" s="122">
        <v>1</v>
      </c>
      <c r="I442" s="123" t="s">
        <v>432</v>
      </c>
      <c r="J442" s="124">
        <v>23529.411764705881</v>
      </c>
      <c r="K442" s="125">
        <v>23529.411764705881</v>
      </c>
      <c r="L442" s="124">
        <v>2352.9411764705883</v>
      </c>
      <c r="M442" s="125">
        <v>2352.9411764705883</v>
      </c>
      <c r="N442" s="126">
        <v>0</v>
      </c>
      <c r="O442" s="125">
        <v>0</v>
      </c>
      <c r="P442" s="127">
        <v>25882.352941176468</v>
      </c>
      <c r="Q442" s="128">
        <f t="shared" si="120"/>
        <v>7.3629353277284741E-5</v>
      </c>
      <c r="R442" s="129">
        <f t="shared" si="121"/>
        <v>2.1545089440766354</v>
      </c>
      <c r="S442" s="379">
        <f t="shared" si="122"/>
        <v>84.033613445378151</v>
      </c>
      <c r="T442" s="358"/>
      <c r="U442" s="104"/>
      <c r="V442" s="95"/>
      <c r="W442" s="105"/>
      <c r="X442" s="95"/>
      <c r="Y442" s="95"/>
      <c r="Z442" s="95"/>
      <c r="AA442" s="95"/>
      <c r="AB442" s="95"/>
      <c r="AC442" s="95"/>
      <c r="AD442" s="17">
        <f t="shared" si="123"/>
        <v>0</v>
      </c>
      <c r="AE442" s="17">
        <f t="shared" si="127"/>
        <v>0</v>
      </c>
      <c r="AF442" s="17">
        <f t="shared" si="127"/>
        <v>0</v>
      </c>
      <c r="AG442" s="17">
        <f t="shared" si="127"/>
        <v>0</v>
      </c>
      <c r="AH442" s="18" t="str">
        <f t="shared" si="125"/>
        <v>0,;!0,;!0,;!0</v>
      </c>
      <c r="AI442" s="18" t="e">
        <f>INDEX([1]Library!$AL:$AL,MATCH(AH442,[1]Library!$AJ:$AJ,0),1)</f>
        <v>#N/A</v>
      </c>
      <c r="AJ442" s="18" t="e">
        <f>TEXT(INDEX([1]Library!$W:$W,MATCH(AH442,[1]Library!$AJ:$AJ,0),1),"")</f>
        <v>#N/A</v>
      </c>
    </row>
    <row r="443" spans="1:36" ht="25.05" customHeight="1" outlineLevel="1">
      <c r="A443" s="374" t="s">
        <v>44</v>
      </c>
      <c r="B443" s="96" t="s">
        <v>44</v>
      </c>
      <c r="C443" s="97" t="s">
        <v>451</v>
      </c>
      <c r="D443" s="97"/>
      <c r="E443" s="98"/>
      <c r="F443" s="298"/>
      <c r="G443" s="62"/>
      <c r="H443" s="99">
        <v>1</v>
      </c>
      <c r="I443" s="100" t="s">
        <v>35</v>
      </c>
      <c r="J443" s="99">
        <v>3593278.988845956</v>
      </c>
      <c r="K443" s="99">
        <v>3593278.988845956</v>
      </c>
      <c r="L443" s="99">
        <v>562011.07550404104</v>
      </c>
      <c r="M443" s="99">
        <v>562011.07550404104</v>
      </c>
      <c r="N443" s="99">
        <v>0</v>
      </c>
      <c r="O443" s="99">
        <v>0</v>
      </c>
      <c r="P443" s="101">
        <v>4155290.0643499969</v>
      </c>
      <c r="Q443" s="102">
        <f>P443/P$13</f>
        <v>1.1820846459089755E-2</v>
      </c>
      <c r="R443" s="103">
        <f>P443/I$5</f>
        <v>345.89628034289177</v>
      </c>
      <c r="S443" s="375">
        <f>P443/I$7</f>
        <v>13491.201507629859</v>
      </c>
      <c r="T443" s="356"/>
      <c r="U443" s="104"/>
      <c r="V443" s="95"/>
      <c r="W443" s="105"/>
      <c r="X443" s="95"/>
      <c r="Y443" s="95"/>
      <c r="Z443" s="95"/>
      <c r="AA443" s="95"/>
      <c r="AB443" s="95"/>
      <c r="AC443" s="95"/>
      <c r="AD443" s="17">
        <f t="shared" si="123"/>
        <v>0</v>
      </c>
      <c r="AE443" s="17">
        <f t="shared" si="127"/>
        <v>0</v>
      </c>
      <c r="AF443" s="17">
        <f t="shared" si="127"/>
        <v>0</v>
      </c>
      <c r="AG443" s="17">
        <f t="shared" si="127"/>
        <v>0</v>
      </c>
      <c r="AH443" s="18" t="str">
        <f t="shared" si="125"/>
        <v>0,;!0,;!0,;!0</v>
      </c>
      <c r="AI443" s="18" t="e">
        <f>INDEX([1]Library!$AL:$AL,MATCH(AH443,[1]Library!$AJ:$AJ,0),1)</f>
        <v>#N/A</v>
      </c>
      <c r="AJ443" s="18" t="e">
        <f>TEXT(INDEX([1]Library!$W:$W,MATCH(AH443,[1]Library!$AJ:$AJ,0),1),"")</f>
        <v>#N/A</v>
      </c>
    </row>
    <row r="444" spans="1:36" ht="25.05" customHeight="1" outlineLevel="2">
      <c r="A444" s="376" t="s">
        <v>44</v>
      </c>
      <c r="B444" s="107" t="s">
        <v>44</v>
      </c>
      <c r="C444" s="108" t="s">
        <v>44</v>
      </c>
      <c r="D444" s="109" t="s">
        <v>363</v>
      </c>
      <c r="E444" s="289"/>
      <c r="F444" s="299"/>
      <c r="G444" s="62"/>
      <c r="H444" s="111">
        <v>1</v>
      </c>
      <c r="I444" s="112" t="s">
        <v>35</v>
      </c>
      <c r="J444" s="113">
        <v>355363.94999999995</v>
      </c>
      <c r="K444" s="114">
        <v>355363.94999999995</v>
      </c>
      <c r="L444" s="113">
        <v>200500.69928571425</v>
      </c>
      <c r="M444" s="114">
        <v>200500.69928571425</v>
      </c>
      <c r="N444" s="115">
        <v>0</v>
      </c>
      <c r="O444" s="114">
        <v>0</v>
      </c>
      <c r="P444" s="116">
        <v>555864.64928571414</v>
      </c>
      <c r="Q444" s="117">
        <f>P444/P$13</f>
        <v>1.5813073382327299E-3</v>
      </c>
      <c r="R444" s="114">
        <f>P444/I$5</f>
        <v>46.271502490671786</v>
      </c>
      <c r="S444" s="377">
        <f>P444/I$7</f>
        <v>1804.7553548237472</v>
      </c>
      <c r="T444" s="357"/>
      <c r="U444" s="104"/>
      <c r="V444" s="95"/>
      <c r="W444" s="105"/>
      <c r="X444" s="95"/>
      <c r="Y444" s="95"/>
      <c r="Z444" s="95"/>
      <c r="AA444" s="95"/>
      <c r="AB444" s="95"/>
      <c r="AC444" s="95"/>
      <c r="AD444" s="17">
        <f t="shared" si="123"/>
        <v>0</v>
      </c>
      <c r="AE444" s="17">
        <f t="shared" si="127"/>
        <v>0</v>
      </c>
      <c r="AF444" s="17">
        <f t="shared" si="127"/>
        <v>0</v>
      </c>
      <c r="AG444" s="17">
        <f t="shared" si="127"/>
        <v>0</v>
      </c>
      <c r="AH444" s="18" t="str">
        <f t="shared" si="125"/>
        <v>0,;!0,;!0,;!0</v>
      </c>
      <c r="AI444" s="18" t="e">
        <f>INDEX([1]Library!$AL:$AL,MATCH(AH444,[1]Library!$AJ:$AJ,0),1)</f>
        <v>#N/A</v>
      </c>
      <c r="AJ444" s="18" t="e">
        <f>TEXT(INDEX([1]Library!$W:$W,MATCH(AH444,[1]Library!$AJ:$AJ,0),1),"")</f>
        <v>#N/A</v>
      </c>
    </row>
    <row r="445" spans="1:36" ht="25.05" customHeight="1" outlineLevel="2">
      <c r="A445" s="378" t="s">
        <v>44</v>
      </c>
      <c r="B445" s="118" t="s">
        <v>44</v>
      </c>
      <c r="C445" s="119" t="s">
        <v>44</v>
      </c>
      <c r="D445" s="120" t="s">
        <v>44</v>
      </c>
      <c r="E445" s="290" t="s">
        <v>244</v>
      </c>
      <c r="F445" s="300"/>
      <c r="G445" s="304"/>
      <c r="H445" s="122">
        <v>5863</v>
      </c>
      <c r="I445" s="123" t="s">
        <v>122</v>
      </c>
      <c r="J445" s="124">
        <v>34.4</v>
      </c>
      <c r="K445" s="125">
        <v>201687.19999999998</v>
      </c>
      <c r="L445" s="124">
        <v>28.17857142857142</v>
      </c>
      <c r="M445" s="125">
        <v>165210.96428571423</v>
      </c>
      <c r="N445" s="126">
        <v>0</v>
      </c>
      <c r="O445" s="125">
        <v>0</v>
      </c>
      <c r="P445" s="127">
        <v>366898.16428571421</v>
      </c>
      <c r="Q445" s="128">
        <f t="shared" si="120"/>
        <v>1.0437410623515043E-3</v>
      </c>
      <c r="R445" s="129">
        <f t="shared" si="121"/>
        <v>30.541480456410888</v>
      </c>
      <c r="S445" s="379">
        <f t="shared" si="122"/>
        <v>1191.2278061224488</v>
      </c>
      <c r="T445" s="358"/>
      <c r="U445" s="104"/>
      <c r="V445" s="95"/>
      <c r="W445" s="105"/>
      <c r="X445" s="95"/>
      <c r="Y445" s="95"/>
      <c r="Z445" s="95"/>
      <c r="AA445" s="95"/>
      <c r="AB445" s="95"/>
      <c r="AC445" s="95"/>
      <c r="AD445" s="17">
        <f t="shared" si="123"/>
        <v>0</v>
      </c>
      <c r="AE445" s="17">
        <f t="shared" si="127"/>
        <v>0</v>
      </c>
      <c r="AF445" s="17">
        <f t="shared" si="127"/>
        <v>0</v>
      </c>
      <c r="AG445" s="17">
        <f t="shared" si="127"/>
        <v>0</v>
      </c>
      <c r="AH445" s="18" t="str">
        <f t="shared" si="125"/>
        <v>0,;!0,;!0,;!0</v>
      </c>
      <c r="AI445" s="18" t="e">
        <f>INDEX([1]Library!$AL:$AL,MATCH(AH445,[1]Library!$AJ:$AJ,0),1)</f>
        <v>#N/A</v>
      </c>
      <c r="AJ445" s="18" t="e">
        <f>TEXT(INDEX([1]Library!$W:$W,MATCH(AH445,[1]Library!$AJ:$AJ,0),1),"")</f>
        <v>#N/A</v>
      </c>
    </row>
    <row r="446" spans="1:36" ht="25.05" customHeight="1" outlineLevel="2">
      <c r="A446" s="378" t="s">
        <v>44</v>
      </c>
      <c r="B446" s="118" t="s">
        <v>44</v>
      </c>
      <c r="C446" s="119" t="s">
        <v>44</v>
      </c>
      <c r="D446" s="120" t="s">
        <v>44</v>
      </c>
      <c r="E446" s="290" t="s">
        <v>376</v>
      </c>
      <c r="F446" s="300"/>
      <c r="G446" s="304"/>
      <c r="H446" s="122">
        <v>573</v>
      </c>
      <c r="I446" s="123" t="s">
        <v>122</v>
      </c>
      <c r="J446" s="124">
        <v>121.00000000000003</v>
      </c>
      <c r="K446" s="125">
        <v>69333.000000000015</v>
      </c>
      <c r="L446" s="124">
        <v>20.570000000000004</v>
      </c>
      <c r="M446" s="125">
        <v>11786.610000000002</v>
      </c>
      <c r="N446" s="126">
        <v>0</v>
      </c>
      <c r="O446" s="125">
        <v>0</v>
      </c>
      <c r="P446" s="127">
        <v>81119.610000000015</v>
      </c>
      <c r="Q446" s="128">
        <f t="shared" si="120"/>
        <v>2.3076667086566945E-4</v>
      </c>
      <c r="R446" s="129">
        <f t="shared" si="121"/>
        <v>6.7525902951026016</v>
      </c>
      <c r="S446" s="379">
        <f t="shared" si="122"/>
        <v>263.37535714285718</v>
      </c>
      <c r="T446" s="358"/>
      <c r="U446" s="104"/>
      <c r="V446" s="95"/>
      <c r="W446" s="105"/>
      <c r="X446" s="95"/>
      <c r="Y446" s="95"/>
      <c r="Z446" s="95"/>
      <c r="AA446" s="95"/>
      <c r="AB446" s="95"/>
      <c r="AC446" s="95"/>
      <c r="AD446" s="17">
        <f t="shared" si="123"/>
        <v>0</v>
      </c>
      <c r="AE446" s="17">
        <f t="shared" ref="AE446:AG461" si="128">IF(AA446=" ",IF($X446&gt;=AE$12,AE445,""),AA446)</f>
        <v>0</v>
      </c>
      <c r="AF446" s="17">
        <f t="shared" si="128"/>
        <v>0</v>
      </c>
      <c r="AG446" s="17">
        <f t="shared" si="128"/>
        <v>0</v>
      </c>
      <c r="AH446" s="18" t="str">
        <f t="shared" si="125"/>
        <v>0,;!0,;!0,;!0</v>
      </c>
      <c r="AI446" s="18" t="e">
        <f>INDEX([1]Library!$AL:$AL,MATCH(AH446,[1]Library!$AJ:$AJ,0),1)</f>
        <v>#N/A</v>
      </c>
      <c r="AJ446" s="18" t="e">
        <f>TEXT(INDEX([1]Library!$W:$W,MATCH(AH446,[1]Library!$AJ:$AJ,0),1),"")</f>
        <v>#N/A</v>
      </c>
    </row>
    <row r="447" spans="1:36" ht="25.05" customHeight="1" outlineLevel="2">
      <c r="A447" s="378" t="s">
        <v>44</v>
      </c>
      <c r="B447" s="118" t="s">
        <v>44</v>
      </c>
      <c r="C447" s="119" t="s">
        <v>44</v>
      </c>
      <c r="D447" s="120" t="s">
        <v>44</v>
      </c>
      <c r="E447" s="290" t="s">
        <v>381</v>
      </c>
      <c r="F447" s="300"/>
      <c r="G447" s="304"/>
      <c r="H447" s="122">
        <v>595</v>
      </c>
      <c r="I447" s="123" t="s">
        <v>90</v>
      </c>
      <c r="J447" s="124">
        <v>81.25</v>
      </c>
      <c r="K447" s="125">
        <v>48343.75</v>
      </c>
      <c r="L447" s="124">
        <v>24.375</v>
      </c>
      <c r="M447" s="125">
        <v>14503.125</v>
      </c>
      <c r="N447" s="126">
        <v>0</v>
      </c>
      <c r="O447" s="125">
        <v>0</v>
      </c>
      <c r="P447" s="127">
        <v>62846.875</v>
      </c>
      <c r="Q447" s="128">
        <f t="shared" si="120"/>
        <v>1.7878493397664098E-4</v>
      </c>
      <c r="R447" s="129">
        <f t="shared" si="121"/>
        <v>5.2315241432068795</v>
      </c>
      <c r="S447" s="379">
        <f t="shared" si="122"/>
        <v>204.04829545454547</v>
      </c>
      <c r="T447" s="358"/>
      <c r="U447" s="104"/>
      <c r="V447" s="95"/>
      <c r="W447" s="105"/>
      <c r="X447" s="95"/>
      <c r="Y447" s="95"/>
      <c r="Z447" s="95"/>
      <c r="AA447" s="95"/>
      <c r="AB447" s="95"/>
      <c r="AC447" s="95"/>
      <c r="AD447" s="17">
        <f t="shared" si="123"/>
        <v>0</v>
      </c>
      <c r="AE447" s="17">
        <f t="shared" si="128"/>
        <v>0</v>
      </c>
      <c r="AF447" s="17">
        <f t="shared" si="128"/>
        <v>0</v>
      </c>
      <c r="AG447" s="17">
        <f t="shared" si="128"/>
        <v>0</v>
      </c>
      <c r="AH447" s="18" t="str">
        <f t="shared" si="125"/>
        <v>0,;!0,;!0,;!0</v>
      </c>
      <c r="AI447" s="18" t="e">
        <f>INDEX([1]Library!$AL:$AL,MATCH(AH447,[1]Library!$AJ:$AJ,0),1)</f>
        <v>#N/A</v>
      </c>
      <c r="AJ447" s="18" t="e">
        <f>TEXT(INDEX([1]Library!$W:$W,MATCH(AH447,[1]Library!$AJ:$AJ,0),1),"")</f>
        <v>#N/A</v>
      </c>
    </row>
    <row r="448" spans="1:36" ht="25.05" customHeight="1" outlineLevel="2">
      <c r="A448" s="378" t="s">
        <v>44</v>
      </c>
      <c r="B448" s="118" t="s">
        <v>44</v>
      </c>
      <c r="C448" s="119" t="s">
        <v>44</v>
      </c>
      <c r="D448" s="120" t="s">
        <v>44</v>
      </c>
      <c r="E448" s="290" t="s">
        <v>452</v>
      </c>
      <c r="F448" s="300"/>
      <c r="G448" s="304"/>
      <c r="H448" s="122">
        <v>0</v>
      </c>
      <c r="I448" s="123" t="s">
        <v>90</v>
      </c>
      <c r="J448" s="124">
        <v>0</v>
      </c>
      <c r="K448" s="125">
        <v>0</v>
      </c>
      <c r="L448" s="124">
        <v>0</v>
      </c>
      <c r="M448" s="125">
        <v>0</v>
      </c>
      <c r="N448" s="126">
        <v>0</v>
      </c>
      <c r="O448" s="125">
        <v>0</v>
      </c>
      <c r="P448" s="127">
        <v>0</v>
      </c>
      <c r="Q448" s="128">
        <f t="shared" si="120"/>
        <v>0</v>
      </c>
      <c r="R448" s="129">
        <f t="shared" si="121"/>
        <v>0</v>
      </c>
      <c r="S448" s="379">
        <f t="shared" si="122"/>
        <v>0</v>
      </c>
      <c r="T448" s="358"/>
      <c r="U448" s="104"/>
      <c r="V448" s="95"/>
      <c r="W448" s="105"/>
      <c r="X448" s="95"/>
      <c r="Y448" s="95"/>
      <c r="Z448" s="95"/>
      <c r="AA448" s="95"/>
      <c r="AB448" s="95"/>
      <c r="AC448" s="95"/>
      <c r="AD448" s="17">
        <f t="shared" si="123"/>
        <v>0</v>
      </c>
      <c r="AE448" s="17">
        <f t="shared" si="128"/>
        <v>0</v>
      </c>
      <c r="AF448" s="17">
        <f t="shared" si="128"/>
        <v>0</v>
      </c>
      <c r="AG448" s="17">
        <f t="shared" si="128"/>
        <v>0</v>
      </c>
      <c r="AH448" s="18" t="str">
        <f t="shared" si="125"/>
        <v>0,;!0,;!0,;!0</v>
      </c>
      <c r="AI448" s="18" t="e">
        <f>INDEX([1]Library!$AL:$AL,MATCH(AH448,[1]Library!$AJ:$AJ,0),1)</f>
        <v>#N/A</v>
      </c>
      <c r="AJ448" s="18" t="e">
        <f>TEXT(INDEX([1]Library!$W:$W,MATCH(AH448,[1]Library!$AJ:$AJ,0),1),"")</f>
        <v>#N/A</v>
      </c>
    </row>
    <row r="449" spans="1:36" ht="25.05" customHeight="1" outlineLevel="2">
      <c r="A449" s="378" t="s">
        <v>44</v>
      </c>
      <c r="B449" s="118" t="s">
        <v>44</v>
      </c>
      <c r="C449" s="119" t="s">
        <v>44</v>
      </c>
      <c r="D449" s="120" t="s">
        <v>44</v>
      </c>
      <c r="E449" s="290" t="s">
        <v>453</v>
      </c>
      <c r="F449" s="300"/>
      <c r="G449" s="304"/>
      <c r="H449" s="122">
        <v>12</v>
      </c>
      <c r="I449" s="123" t="s">
        <v>90</v>
      </c>
      <c r="J449" s="124">
        <v>3000</v>
      </c>
      <c r="K449" s="125">
        <v>36000</v>
      </c>
      <c r="L449" s="124">
        <v>750</v>
      </c>
      <c r="M449" s="125">
        <v>9000</v>
      </c>
      <c r="N449" s="126">
        <v>0</v>
      </c>
      <c r="O449" s="125">
        <v>0</v>
      </c>
      <c r="P449" s="127">
        <v>45000</v>
      </c>
      <c r="Q449" s="128">
        <f t="shared" si="120"/>
        <v>1.2801467103891554E-4</v>
      </c>
      <c r="R449" s="129">
        <f t="shared" si="121"/>
        <v>3.7459075959514228</v>
      </c>
      <c r="S449" s="379">
        <f t="shared" si="122"/>
        <v>146.10389610389609</v>
      </c>
      <c r="T449" s="358"/>
      <c r="U449" s="104"/>
      <c r="V449" s="95"/>
      <c r="W449" s="105"/>
      <c r="X449" s="95"/>
      <c r="Y449" s="95"/>
      <c r="Z449" s="95"/>
      <c r="AA449" s="95"/>
      <c r="AB449" s="95"/>
      <c r="AC449" s="95"/>
      <c r="AD449" s="17">
        <f t="shared" si="123"/>
        <v>0</v>
      </c>
      <c r="AE449" s="17">
        <f t="shared" si="128"/>
        <v>0</v>
      </c>
      <c r="AF449" s="17">
        <f t="shared" si="128"/>
        <v>0</v>
      </c>
      <c r="AG449" s="17">
        <f t="shared" si="128"/>
        <v>0</v>
      </c>
      <c r="AH449" s="18" t="str">
        <f t="shared" si="125"/>
        <v>0,;!0,;!0,;!0</v>
      </c>
      <c r="AI449" s="18" t="e">
        <f>INDEX([1]Library!$AL:$AL,MATCH(AH449,[1]Library!$AJ:$AJ,0),1)</f>
        <v>#N/A</v>
      </c>
      <c r="AJ449" s="18" t="e">
        <f>TEXT(INDEX([1]Library!$W:$W,MATCH(AH449,[1]Library!$AJ:$AJ,0),1),"")</f>
        <v>#N/A</v>
      </c>
    </row>
    <row r="450" spans="1:36" ht="25.05" customHeight="1" outlineLevel="2">
      <c r="A450" s="376" t="s">
        <v>44</v>
      </c>
      <c r="B450" s="107" t="s">
        <v>44</v>
      </c>
      <c r="C450" s="108" t="s">
        <v>44</v>
      </c>
      <c r="D450" s="109" t="s">
        <v>386</v>
      </c>
      <c r="E450" s="289"/>
      <c r="F450" s="299"/>
      <c r="G450" s="62"/>
      <c r="H450" s="111">
        <v>1</v>
      </c>
      <c r="I450" s="112" t="s">
        <v>35</v>
      </c>
      <c r="J450" s="113">
        <v>451451</v>
      </c>
      <c r="K450" s="114">
        <v>451451</v>
      </c>
      <c r="L450" s="113">
        <v>112862.75</v>
      </c>
      <c r="M450" s="114">
        <v>112862.75</v>
      </c>
      <c r="N450" s="115">
        <v>0</v>
      </c>
      <c r="O450" s="114">
        <v>0</v>
      </c>
      <c r="P450" s="116">
        <v>564313.75</v>
      </c>
      <c r="Q450" s="117">
        <f>P450/P$13</f>
        <v>1.6053430904219292E-3</v>
      </c>
      <c r="R450" s="114">
        <f>P450/I$5</f>
        <v>46.974825836107385</v>
      </c>
      <c r="S450" s="377">
        <f>P450/I$7</f>
        <v>1832.1875</v>
      </c>
      <c r="T450" s="357"/>
      <c r="U450" s="104"/>
      <c r="V450" s="95"/>
      <c r="W450" s="105"/>
      <c r="X450" s="95"/>
      <c r="Y450" s="95"/>
      <c r="Z450" s="95"/>
      <c r="AA450" s="95"/>
      <c r="AB450" s="95"/>
      <c r="AC450" s="95"/>
      <c r="AD450" s="17">
        <f t="shared" si="123"/>
        <v>0</v>
      </c>
      <c r="AE450" s="17">
        <f t="shared" si="128"/>
        <v>0</v>
      </c>
      <c r="AF450" s="17">
        <f t="shared" si="128"/>
        <v>0</v>
      </c>
      <c r="AG450" s="17">
        <f t="shared" si="128"/>
        <v>0</v>
      </c>
      <c r="AH450" s="18" t="str">
        <f t="shared" si="125"/>
        <v>0,;!0,;!0,;!0</v>
      </c>
      <c r="AI450" s="18" t="e">
        <f>INDEX([1]Library!$AL:$AL,MATCH(AH450,[1]Library!$AJ:$AJ,0),1)</f>
        <v>#N/A</v>
      </c>
      <c r="AJ450" s="18" t="e">
        <f>TEXT(INDEX([1]Library!$W:$W,MATCH(AH450,[1]Library!$AJ:$AJ,0),1),"")</f>
        <v>#N/A</v>
      </c>
    </row>
    <row r="451" spans="1:36" ht="25.05" customHeight="1" outlineLevel="2" collapsed="1">
      <c r="A451" s="378" t="s">
        <v>44</v>
      </c>
      <c r="B451" s="118" t="s">
        <v>44</v>
      </c>
      <c r="C451" s="119" t="s">
        <v>44</v>
      </c>
      <c r="D451" s="120" t="s">
        <v>44</v>
      </c>
      <c r="E451" s="290" t="s">
        <v>454</v>
      </c>
      <c r="F451" s="300"/>
      <c r="G451" s="304"/>
      <c r="H451" s="122">
        <v>5863</v>
      </c>
      <c r="I451" s="123" t="s">
        <v>122</v>
      </c>
      <c r="J451" s="124">
        <v>77</v>
      </c>
      <c r="K451" s="125">
        <v>451451</v>
      </c>
      <c r="L451" s="124">
        <v>19.25</v>
      </c>
      <c r="M451" s="125">
        <v>112862.75</v>
      </c>
      <c r="N451" s="126">
        <v>0</v>
      </c>
      <c r="O451" s="125">
        <v>0</v>
      </c>
      <c r="P451" s="127">
        <v>564313.75</v>
      </c>
      <c r="Q451" s="128">
        <f t="shared" si="120"/>
        <v>1.6053430904219292E-3</v>
      </c>
      <c r="R451" s="129">
        <f t="shared" si="121"/>
        <v>46.974825836107385</v>
      </c>
      <c r="S451" s="379">
        <f t="shared" si="122"/>
        <v>1832.1875</v>
      </c>
      <c r="T451" s="358"/>
      <c r="U451" s="104"/>
      <c r="V451" s="95"/>
      <c r="W451" s="105"/>
      <c r="X451" s="95"/>
      <c r="Y451" s="95"/>
      <c r="Z451" s="95"/>
      <c r="AA451" s="95"/>
      <c r="AB451" s="95"/>
      <c r="AC451" s="95"/>
      <c r="AD451" s="17">
        <f t="shared" si="123"/>
        <v>0</v>
      </c>
      <c r="AE451" s="17">
        <f t="shared" si="128"/>
        <v>0</v>
      </c>
      <c r="AF451" s="17">
        <f t="shared" si="128"/>
        <v>0</v>
      </c>
      <c r="AG451" s="17">
        <f t="shared" si="128"/>
        <v>0</v>
      </c>
      <c r="AH451" s="18" t="str">
        <f t="shared" si="125"/>
        <v>0,;!0,;!0,;!0</v>
      </c>
      <c r="AI451" s="18" t="e">
        <f>INDEX([1]Library!$AL:$AL,MATCH(AH451,[1]Library!$AJ:$AJ,0),1)</f>
        <v>#N/A</v>
      </c>
      <c r="AJ451" s="18" t="e">
        <f>TEXT(INDEX([1]Library!$W:$W,MATCH(AH451,[1]Library!$AJ:$AJ,0),1),"")</f>
        <v>#N/A</v>
      </c>
    </row>
    <row r="452" spans="1:36" ht="25.05" customHeight="1" outlineLevel="2">
      <c r="A452" s="376" t="s">
        <v>44</v>
      </c>
      <c r="B452" s="107" t="s">
        <v>44</v>
      </c>
      <c r="C452" s="108" t="s">
        <v>44</v>
      </c>
      <c r="D452" s="109" t="s">
        <v>430</v>
      </c>
      <c r="E452" s="110"/>
      <c r="F452" s="299"/>
      <c r="G452" s="62"/>
      <c r="H452" s="111">
        <v>1</v>
      </c>
      <c r="I452" s="112" t="s">
        <v>35</v>
      </c>
      <c r="J452" s="113">
        <v>2786464.0388459559</v>
      </c>
      <c r="K452" s="114">
        <v>2786464.0388459559</v>
      </c>
      <c r="L452" s="113">
        <v>248647.62621832688</v>
      </c>
      <c r="M452" s="114">
        <v>248647.62621832688</v>
      </c>
      <c r="N452" s="115">
        <v>0</v>
      </c>
      <c r="O452" s="114">
        <v>0</v>
      </c>
      <c r="P452" s="116">
        <v>3035111.6650642827</v>
      </c>
      <c r="Q452" s="117">
        <f>P452/P$13</f>
        <v>8.6341960304350956E-3</v>
      </c>
      <c r="R452" s="114">
        <f>P452/I$5</f>
        <v>252.64995201611262</v>
      </c>
      <c r="S452" s="377">
        <f>P452/I$7</f>
        <v>9854.2586528061129</v>
      </c>
      <c r="T452" s="357"/>
      <c r="U452" s="104"/>
      <c r="V452" s="95"/>
      <c r="W452" s="105"/>
      <c r="X452" s="95"/>
      <c r="Y452" s="95"/>
      <c r="Z452" s="95"/>
      <c r="AA452" s="95"/>
      <c r="AB452" s="95"/>
      <c r="AC452" s="95"/>
      <c r="AD452" s="17">
        <f t="shared" si="123"/>
        <v>0</v>
      </c>
      <c r="AE452" s="17">
        <f t="shared" si="128"/>
        <v>0</v>
      </c>
      <c r="AF452" s="17">
        <f t="shared" si="128"/>
        <v>0</v>
      </c>
      <c r="AG452" s="17">
        <f t="shared" si="128"/>
        <v>0</v>
      </c>
      <c r="AH452" s="18" t="str">
        <f t="shared" si="125"/>
        <v>0,;!0,;!0,;!0</v>
      </c>
      <c r="AI452" s="18" t="e">
        <f>INDEX([1]Library!$AL:$AL,MATCH(AH452,[1]Library!$AJ:$AJ,0),1)</f>
        <v>#N/A</v>
      </c>
      <c r="AJ452" s="18" t="e">
        <f>TEXT(INDEX([1]Library!$W:$W,MATCH(AH452,[1]Library!$AJ:$AJ,0),1),"")</f>
        <v>#N/A</v>
      </c>
    </row>
    <row r="453" spans="1:36" ht="25.05" customHeight="1" outlineLevel="2">
      <c r="A453" s="378" t="s">
        <v>44</v>
      </c>
      <c r="B453" s="118" t="s">
        <v>44</v>
      </c>
      <c r="C453" s="119" t="s">
        <v>44</v>
      </c>
      <c r="D453" s="120" t="s">
        <v>44</v>
      </c>
      <c r="E453" s="121" t="s">
        <v>455</v>
      </c>
      <c r="F453" s="300"/>
      <c r="G453" s="304"/>
      <c r="H453" s="122">
        <v>77</v>
      </c>
      <c r="I453" s="123" t="s">
        <v>432</v>
      </c>
      <c r="J453" s="124">
        <v>1571.1104</v>
      </c>
      <c r="K453" s="125">
        <v>120975.50080000001</v>
      </c>
      <c r="L453" s="124">
        <v>147.29159999999999</v>
      </c>
      <c r="M453" s="125">
        <v>11341.4532</v>
      </c>
      <c r="N453" s="126">
        <v>0</v>
      </c>
      <c r="O453" s="125">
        <v>0</v>
      </c>
      <c r="P453" s="127">
        <v>132316.954</v>
      </c>
      <c r="Q453" s="128">
        <f t="shared" si="120"/>
        <v>3.764113630929182E-4</v>
      </c>
      <c r="R453" s="129">
        <f t="shared" si="121"/>
        <v>11.014379623594555</v>
      </c>
      <c r="S453" s="379">
        <f t="shared" si="122"/>
        <v>429.60050000000001</v>
      </c>
      <c r="T453" s="358"/>
      <c r="U453" s="104"/>
      <c r="V453" s="95"/>
      <c r="W453" s="105"/>
      <c r="X453" s="95"/>
      <c r="Y453" s="95"/>
      <c r="Z453" s="95"/>
      <c r="AA453" s="95"/>
      <c r="AB453" s="95"/>
      <c r="AC453" s="95"/>
      <c r="AD453" s="17">
        <f t="shared" si="123"/>
        <v>0</v>
      </c>
      <c r="AE453" s="17">
        <f t="shared" si="128"/>
        <v>0</v>
      </c>
      <c r="AF453" s="17">
        <f t="shared" si="128"/>
        <v>0</v>
      </c>
      <c r="AG453" s="17">
        <f t="shared" si="128"/>
        <v>0</v>
      </c>
      <c r="AH453" s="18" t="str">
        <f t="shared" si="125"/>
        <v>0,;!0,;!0,;!0</v>
      </c>
      <c r="AI453" s="18" t="e">
        <f>INDEX([1]Library!$AL:$AL,MATCH(AH453,[1]Library!$AJ:$AJ,0),1)</f>
        <v>#N/A</v>
      </c>
      <c r="AJ453" s="18" t="e">
        <f>TEXT(INDEX([1]Library!$W:$W,MATCH(AH453,[1]Library!$AJ:$AJ,0),1),"")</f>
        <v>#N/A</v>
      </c>
    </row>
    <row r="454" spans="1:36" ht="25.05" customHeight="1" outlineLevel="2">
      <c r="A454" s="378" t="s">
        <v>44</v>
      </c>
      <c r="B454" s="118" t="s">
        <v>44</v>
      </c>
      <c r="C454" s="119" t="s">
        <v>44</v>
      </c>
      <c r="D454" s="120" t="s">
        <v>44</v>
      </c>
      <c r="E454" s="121" t="s">
        <v>456</v>
      </c>
      <c r="F454" s="300"/>
      <c r="G454" s="304"/>
      <c r="H454" s="122">
        <v>349</v>
      </c>
      <c r="I454" s="123" t="s">
        <v>432</v>
      </c>
      <c r="J454" s="124">
        <v>2977.5562031249997</v>
      </c>
      <c r="K454" s="125">
        <v>1039167.1148906249</v>
      </c>
      <c r="L454" s="124">
        <v>242.96858617500001</v>
      </c>
      <c r="M454" s="125">
        <v>84796.036575075006</v>
      </c>
      <c r="N454" s="126">
        <v>0</v>
      </c>
      <c r="O454" s="125">
        <v>0</v>
      </c>
      <c r="P454" s="127">
        <v>1123963.1514657</v>
      </c>
      <c r="Q454" s="128">
        <f t="shared" si="120"/>
        <v>3.1974171798832083E-3</v>
      </c>
      <c r="R454" s="129">
        <f t="shared" si="121"/>
        <v>93.56138014766367</v>
      </c>
      <c r="S454" s="379">
        <f t="shared" si="122"/>
        <v>3649.2310112522728</v>
      </c>
      <c r="T454" s="358"/>
      <c r="U454" s="104"/>
      <c r="V454" s="95"/>
      <c r="W454" s="105"/>
      <c r="X454" s="95"/>
      <c r="Y454" s="95"/>
      <c r="Z454" s="95"/>
      <c r="AA454" s="95"/>
      <c r="AB454" s="95"/>
      <c r="AC454" s="95"/>
      <c r="AD454" s="17">
        <f t="shared" si="123"/>
        <v>0</v>
      </c>
      <c r="AE454" s="17">
        <f t="shared" si="128"/>
        <v>0</v>
      </c>
      <c r="AF454" s="17">
        <f t="shared" si="128"/>
        <v>0</v>
      </c>
      <c r="AG454" s="17">
        <f t="shared" si="128"/>
        <v>0</v>
      </c>
      <c r="AH454" s="18" t="str">
        <f t="shared" si="125"/>
        <v>0,;!0,;!0,;!0</v>
      </c>
      <c r="AI454" s="18" t="e">
        <f>INDEX([1]Library!$AL:$AL,MATCH(AH454,[1]Library!$AJ:$AJ,0),1)</f>
        <v>#N/A</v>
      </c>
      <c r="AJ454" s="18" t="e">
        <f>TEXT(INDEX([1]Library!$W:$W,MATCH(AH454,[1]Library!$AJ:$AJ,0),1),"")</f>
        <v>#N/A</v>
      </c>
    </row>
    <row r="455" spans="1:36" ht="25.05" customHeight="1" outlineLevel="2">
      <c r="A455" s="378" t="s">
        <v>44</v>
      </c>
      <c r="B455" s="118" t="s">
        <v>44</v>
      </c>
      <c r="C455" s="119" t="s">
        <v>44</v>
      </c>
      <c r="D455" s="120" t="s">
        <v>44</v>
      </c>
      <c r="E455" s="121" t="s">
        <v>457</v>
      </c>
      <c r="F455" s="300"/>
      <c r="G455" s="304"/>
      <c r="H455" s="122">
        <v>2</v>
      </c>
      <c r="I455" s="123" t="s">
        <v>432</v>
      </c>
      <c r="J455" s="124">
        <v>2744.1358593749997</v>
      </c>
      <c r="K455" s="125">
        <v>5488.2717187499993</v>
      </c>
      <c r="L455" s="124">
        <v>223.92148612499997</v>
      </c>
      <c r="M455" s="125">
        <v>447.84297224999995</v>
      </c>
      <c r="N455" s="126">
        <v>0</v>
      </c>
      <c r="O455" s="125">
        <v>0</v>
      </c>
      <c r="P455" s="127">
        <v>5936.1146909999989</v>
      </c>
      <c r="Q455" s="128">
        <f t="shared" si="120"/>
        <v>1.6886883764836412E-5</v>
      </c>
      <c r="R455" s="129">
        <f t="shared" si="121"/>
        <v>0.49413638025457174</v>
      </c>
      <c r="S455" s="379">
        <f t="shared" si="122"/>
        <v>19.273099646103894</v>
      </c>
      <c r="T455" s="358"/>
      <c r="U455" s="104"/>
      <c r="V455" s="95"/>
      <c r="W455" s="105"/>
      <c r="X455" s="95"/>
      <c r="Y455" s="95"/>
      <c r="Z455" s="95"/>
      <c r="AA455" s="95"/>
      <c r="AB455" s="95"/>
      <c r="AC455" s="95"/>
      <c r="AD455" s="17">
        <f t="shared" si="123"/>
        <v>0</v>
      </c>
      <c r="AE455" s="17">
        <f t="shared" si="128"/>
        <v>0</v>
      </c>
      <c r="AF455" s="17">
        <f t="shared" si="128"/>
        <v>0</v>
      </c>
      <c r="AG455" s="17">
        <f t="shared" si="128"/>
        <v>0</v>
      </c>
      <c r="AH455" s="18" t="str">
        <f t="shared" si="125"/>
        <v>0,;!0,;!0,;!0</v>
      </c>
      <c r="AI455" s="18" t="e">
        <f>INDEX([1]Library!$AL:$AL,MATCH(AH455,[1]Library!$AJ:$AJ,0),1)</f>
        <v>#N/A</v>
      </c>
      <c r="AJ455" s="18" t="e">
        <f>TEXT(INDEX([1]Library!$W:$W,MATCH(AH455,[1]Library!$AJ:$AJ,0),1),"")</f>
        <v>#N/A</v>
      </c>
    </row>
    <row r="456" spans="1:36" ht="25.05" customHeight="1" outlineLevel="2">
      <c r="A456" s="378" t="s">
        <v>44</v>
      </c>
      <c r="B456" s="118" t="s">
        <v>44</v>
      </c>
      <c r="C456" s="119" t="s">
        <v>44</v>
      </c>
      <c r="D456" s="120" t="s">
        <v>44</v>
      </c>
      <c r="E456" s="121" t="s">
        <v>458</v>
      </c>
      <c r="F456" s="300"/>
      <c r="G456" s="304"/>
      <c r="H456" s="122">
        <v>35</v>
      </c>
      <c r="I456" s="123" t="s">
        <v>432</v>
      </c>
      <c r="J456" s="124">
        <v>2294.6687999999999</v>
      </c>
      <c r="K456" s="125">
        <v>80313.407999999996</v>
      </c>
      <c r="L456" s="124">
        <v>215.12520000000001</v>
      </c>
      <c r="M456" s="125">
        <v>7529.3820000000005</v>
      </c>
      <c r="N456" s="126">
        <v>0</v>
      </c>
      <c r="O456" s="125">
        <v>0</v>
      </c>
      <c r="P456" s="127">
        <v>87842.79</v>
      </c>
      <c r="Q456" s="128">
        <f t="shared" si="120"/>
        <v>2.4989257477756749E-4</v>
      </c>
      <c r="R456" s="129">
        <f t="shared" si="121"/>
        <v>7.3122438735681259</v>
      </c>
      <c r="S456" s="379">
        <f t="shared" si="122"/>
        <v>285.20386363636362</v>
      </c>
      <c r="T456" s="358"/>
      <c r="U456" s="104"/>
      <c r="V456" s="95"/>
      <c r="W456" s="105"/>
      <c r="X456" s="95"/>
      <c r="Y456" s="95"/>
      <c r="Z456" s="95"/>
      <c r="AA456" s="95"/>
      <c r="AB456" s="95"/>
      <c r="AC456" s="95"/>
      <c r="AD456" s="17">
        <f t="shared" si="123"/>
        <v>0</v>
      </c>
      <c r="AE456" s="17">
        <f t="shared" si="128"/>
        <v>0</v>
      </c>
      <c r="AF456" s="17">
        <f t="shared" si="128"/>
        <v>0</v>
      </c>
      <c r="AG456" s="17">
        <f t="shared" si="128"/>
        <v>0</v>
      </c>
      <c r="AH456" s="18" t="str">
        <f t="shared" si="125"/>
        <v>0,;!0,;!0,;!0</v>
      </c>
      <c r="AI456" s="18" t="e">
        <f>INDEX([1]Library!$AL:$AL,MATCH(AH456,[1]Library!$AJ:$AJ,0),1)</f>
        <v>#N/A</v>
      </c>
      <c r="AJ456" s="18" t="e">
        <f>TEXT(INDEX([1]Library!$W:$W,MATCH(AH456,[1]Library!$AJ:$AJ,0),1),"")</f>
        <v>#N/A</v>
      </c>
    </row>
    <row r="457" spans="1:36" ht="25.05" customHeight="1" outlineLevel="2">
      <c r="A457" s="378" t="s">
        <v>44</v>
      </c>
      <c r="B457" s="118" t="s">
        <v>44</v>
      </c>
      <c r="C457" s="119" t="s">
        <v>44</v>
      </c>
      <c r="D457" s="120" t="s">
        <v>44</v>
      </c>
      <c r="E457" s="121" t="s">
        <v>459</v>
      </c>
      <c r="F457" s="300"/>
      <c r="G457" s="304"/>
      <c r="H457" s="122">
        <v>35</v>
      </c>
      <c r="I457" s="123" t="s">
        <v>432</v>
      </c>
      <c r="J457" s="124">
        <v>6995.9679999999998</v>
      </c>
      <c r="K457" s="125">
        <v>244858.88</v>
      </c>
      <c r="L457" s="124">
        <v>655.87199999999996</v>
      </c>
      <c r="M457" s="125">
        <v>22955.52</v>
      </c>
      <c r="N457" s="126">
        <v>0</v>
      </c>
      <c r="O457" s="125">
        <v>0</v>
      </c>
      <c r="P457" s="127">
        <v>267814.40000000002</v>
      </c>
      <c r="Q457" s="128">
        <f t="shared" si="120"/>
        <v>7.6187049589965651E-4</v>
      </c>
      <c r="R457" s="129">
        <f t="shared" si="121"/>
        <v>22.293511005892729</v>
      </c>
      <c r="S457" s="379">
        <f t="shared" si="122"/>
        <v>869.52727272727282</v>
      </c>
      <c r="T457" s="358"/>
      <c r="U457" s="104"/>
      <c r="V457" s="95"/>
      <c r="W457" s="105"/>
      <c r="X457" s="95"/>
      <c r="Y457" s="95"/>
      <c r="Z457" s="95"/>
      <c r="AA457" s="95"/>
      <c r="AB457" s="95"/>
      <c r="AC457" s="95"/>
      <c r="AD457" s="17">
        <f t="shared" si="123"/>
        <v>0</v>
      </c>
      <c r="AE457" s="17">
        <f t="shared" si="128"/>
        <v>0</v>
      </c>
      <c r="AF457" s="17">
        <f t="shared" si="128"/>
        <v>0</v>
      </c>
      <c r="AG457" s="17">
        <f t="shared" si="128"/>
        <v>0</v>
      </c>
      <c r="AH457" s="18" t="str">
        <f t="shared" si="125"/>
        <v>0,;!0,;!0,;!0</v>
      </c>
      <c r="AI457" s="18" t="e">
        <f>INDEX([1]Library!$AL:$AL,MATCH(AH457,[1]Library!$AJ:$AJ,0),1)</f>
        <v>#N/A</v>
      </c>
      <c r="AJ457" s="18" t="e">
        <f>TEXT(INDEX([1]Library!$W:$W,MATCH(AH457,[1]Library!$AJ:$AJ,0),1),"")</f>
        <v>#N/A</v>
      </c>
    </row>
    <row r="458" spans="1:36" ht="25.05" customHeight="1" outlineLevel="2">
      <c r="A458" s="378" t="s">
        <v>44</v>
      </c>
      <c r="B458" s="118" t="s">
        <v>44</v>
      </c>
      <c r="C458" s="119" t="s">
        <v>44</v>
      </c>
      <c r="D458" s="120" t="s">
        <v>44</v>
      </c>
      <c r="E458" s="121" t="s">
        <v>460</v>
      </c>
      <c r="F458" s="300"/>
      <c r="G458" s="304"/>
      <c r="H458" s="122">
        <v>12</v>
      </c>
      <c r="I458" s="123" t="s">
        <v>432</v>
      </c>
      <c r="J458" s="124">
        <v>38293.760000000002</v>
      </c>
      <c r="K458" s="125">
        <v>459525.12</v>
      </c>
      <c r="L458" s="124">
        <v>3590.0399999999995</v>
      </c>
      <c r="M458" s="125">
        <v>43080.479999999996</v>
      </c>
      <c r="N458" s="126">
        <v>0</v>
      </c>
      <c r="O458" s="125">
        <v>0</v>
      </c>
      <c r="P458" s="127">
        <v>502605.6</v>
      </c>
      <c r="Q458" s="128">
        <f t="shared" ref="Q458:Q474" si="129">P458/P$13</f>
        <v>1.429797567695928E-3</v>
      </c>
      <c r="R458" s="129">
        <f t="shared" ref="R458:R474" si="130">P458/I$5</f>
        <v>41.838091884616055</v>
      </c>
      <c r="S458" s="379">
        <f t="shared" ref="S458:S474" si="131">P458/I$7</f>
        <v>1631.8363636363636</v>
      </c>
      <c r="T458" s="358"/>
      <c r="U458" s="104"/>
      <c r="V458" s="95"/>
      <c r="W458" s="105"/>
      <c r="X458" s="95"/>
      <c r="Y458" s="95"/>
      <c r="Z458" s="95"/>
      <c r="AA458" s="95"/>
      <c r="AB458" s="95"/>
      <c r="AC458" s="95"/>
      <c r="AD458" s="17">
        <f t="shared" si="123"/>
        <v>0</v>
      </c>
      <c r="AE458" s="17">
        <f t="shared" si="128"/>
        <v>0</v>
      </c>
      <c r="AF458" s="17">
        <f t="shared" si="128"/>
        <v>0</v>
      </c>
      <c r="AG458" s="17">
        <f t="shared" si="128"/>
        <v>0</v>
      </c>
      <c r="AH458" s="18" t="str">
        <f t="shared" si="125"/>
        <v>0,;!0,;!0,;!0</v>
      </c>
      <c r="AI458" s="18" t="e">
        <f>INDEX([1]Library!$AL:$AL,MATCH(AH458,[1]Library!$AJ:$AJ,0),1)</f>
        <v>#N/A</v>
      </c>
      <c r="AJ458" s="18" t="e">
        <f>TEXT(INDEX([1]Library!$W:$W,MATCH(AH458,[1]Library!$AJ:$AJ,0),1),"")</f>
        <v>#N/A</v>
      </c>
    </row>
    <row r="459" spans="1:36" ht="25.05" customHeight="1" outlineLevel="2">
      <c r="A459" s="378" t="s">
        <v>44</v>
      </c>
      <c r="B459" s="118" t="s">
        <v>44</v>
      </c>
      <c r="C459" s="119" t="s">
        <v>44</v>
      </c>
      <c r="D459" s="120" t="s">
        <v>44</v>
      </c>
      <c r="E459" s="121" t="s">
        <v>461</v>
      </c>
      <c r="F459" s="300"/>
      <c r="G459" s="304"/>
      <c r="H459" s="122">
        <v>12</v>
      </c>
      <c r="I459" s="123" t="s">
        <v>432</v>
      </c>
      <c r="J459" s="124">
        <v>1793.7920000000001</v>
      </c>
      <c r="K459" s="125">
        <v>21525.504000000001</v>
      </c>
      <c r="L459" s="124">
        <v>168.16800000000001</v>
      </c>
      <c r="M459" s="125">
        <v>2018.0160000000001</v>
      </c>
      <c r="N459" s="126">
        <v>0</v>
      </c>
      <c r="O459" s="125">
        <v>0</v>
      </c>
      <c r="P459" s="127">
        <v>23543.52</v>
      </c>
      <c r="Q459" s="128">
        <f t="shared" si="129"/>
        <v>6.697591039773619E-5</v>
      </c>
      <c r="R459" s="129">
        <f t="shared" si="130"/>
        <v>1.9598188978540942</v>
      </c>
      <c r="S459" s="379">
        <f t="shared" si="131"/>
        <v>76.44</v>
      </c>
      <c r="T459" s="358"/>
      <c r="U459" s="104"/>
      <c r="V459" s="95"/>
      <c r="W459" s="105"/>
      <c r="X459" s="95"/>
      <c r="Y459" s="95"/>
      <c r="Z459" s="95"/>
      <c r="AA459" s="95"/>
      <c r="AB459" s="95"/>
      <c r="AC459" s="95"/>
      <c r="AD459" s="17">
        <f t="shared" si="123"/>
        <v>0</v>
      </c>
      <c r="AE459" s="17">
        <f t="shared" si="128"/>
        <v>0</v>
      </c>
      <c r="AF459" s="17">
        <f t="shared" si="128"/>
        <v>0</v>
      </c>
      <c r="AG459" s="17">
        <f t="shared" si="128"/>
        <v>0</v>
      </c>
      <c r="AH459" s="18" t="str">
        <f t="shared" si="125"/>
        <v>0,;!0,;!0,;!0</v>
      </c>
      <c r="AI459" s="18" t="e">
        <f>INDEX([1]Library!$AL:$AL,MATCH(AH459,[1]Library!$AJ:$AJ,0),1)</f>
        <v>#N/A</v>
      </c>
      <c r="AJ459" s="18" t="e">
        <f>TEXT(INDEX([1]Library!$W:$W,MATCH(AH459,[1]Library!$AJ:$AJ,0),1),"")</f>
        <v>#N/A</v>
      </c>
    </row>
    <row r="460" spans="1:36" ht="25.05" customHeight="1" outlineLevel="2">
      <c r="A460" s="378" t="s">
        <v>44</v>
      </c>
      <c r="B460" s="118" t="s">
        <v>44</v>
      </c>
      <c r="C460" s="119" t="s">
        <v>44</v>
      </c>
      <c r="D460" s="120" t="s">
        <v>44</v>
      </c>
      <c r="E460" s="121" t="s">
        <v>462</v>
      </c>
      <c r="F460" s="300"/>
      <c r="G460" s="304"/>
      <c r="H460" s="122">
        <v>12</v>
      </c>
      <c r="I460" s="123" t="s">
        <v>432</v>
      </c>
      <c r="J460" s="124">
        <v>2627.0720000000001</v>
      </c>
      <c r="K460" s="125">
        <v>31524.864000000001</v>
      </c>
      <c r="L460" s="124">
        <v>246.28800000000001</v>
      </c>
      <c r="M460" s="125">
        <v>2955.4560000000001</v>
      </c>
      <c r="N460" s="126">
        <v>0</v>
      </c>
      <c r="O460" s="125">
        <v>0</v>
      </c>
      <c r="P460" s="127">
        <v>34480.32</v>
      </c>
      <c r="Q460" s="128">
        <f t="shared" si="129"/>
        <v>9.8088596047034225E-5</v>
      </c>
      <c r="R460" s="129">
        <f t="shared" si="130"/>
        <v>2.8702242799741282</v>
      </c>
      <c r="S460" s="379">
        <f t="shared" si="131"/>
        <v>111.94909090909091</v>
      </c>
      <c r="T460" s="358"/>
      <c r="U460" s="104"/>
      <c r="V460" s="95"/>
      <c r="W460" s="105"/>
      <c r="X460" s="95"/>
      <c r="Y460" s="95"/>
      <c r="Z460" s="95"/>
      <c r="AA460" s="95"/>
      <c r="AB460" s="95"/>
      <c r="AC460" s="95"/>
      <c r="AD460" s="17">
        <f t="shared" si="123"/>
        <v>0</v>
      </c>
      <c r="AE460" s="17">
        <f t="shared" si="128"/>
        <v>0</v>
      </c>
      <c r="AF460" s="17">
        <f t="shared" si="128"/>
        <v>0</v>
      </c>
      <c r="AG460" s="17">
        <f t="shared" si="128"/>
        <v>0</v>
      </c>
      <c r="AH460" s="18" t="str">
        <f t="shared" si="125"/>
        <v>0,;!0,;!0,;!0</v>
      </c>
      <c r="AI460" s="18" t="e">
        <f>INDEX([1]Library!$AL:$AL,MATCH(AH460,[1]Library!$AJ:$AJ,0),1)</f>
        <v>#N/A</v>
      </c>
      <c r="AJ460" s="18" t="e">
        <f>TEXT(INDEX([1]Library!$W:$W,MATCH(AH460,[1]Library!$AJ:$AJ,0),1),"")</f>
        <v>#N/A</v>
      </c>
    </row>
    <row r="461" spans="1:36" ht="25.05" customHeight="1" outlineLevel="2" collapsed="1">
      <c r="A461" s="378" t="s">
        <v>44</v>
      </c>
      <c r="B461" s="118" t="s">
        <v>44</v>
      </c>
      <c r="C461" s="119" t="s">
        <v>44</v>
      </c>
      <c r="D461" s="120" t="s">
        <v>44</v>
      </c>
      <c r="E461" s="121" t="s">
        <v>463</v>
      </c>
      <c r="F461" s="300"/>
      <c r="G461" s="304"/>
      <c r="H461" s="122">
        <v>12</v>
      </c>
      <c r="I461" s="123" t="s">
        <v>432</v>
      </c>
      <c r="J461" s="124">
        <v>2627.0720000000001</v>
      </c>
      <c r="K461" s="125">
        <v>31524.864000000001</v>
      </c>
      <c r="L461" s="124">
        <v>246.28800000000001</v>
      </c>
      <c r="M461" s="125">
        <v>2955.4560000000001</v>
      </c>
      <c r="N461" s="126">
        <v>0</v>
      </c>
      <c r="O461" s="125">
        <v>0</v>
      </c>
      <c r="P461" s="127">
        <v>34480.32</v>
      </c>
      <c r="Q461" s="128">
        <f t="shared" si="129"/>
        <v>9.8088596047034225E-5</v>
      </c>
      <c r="R461" s="129">
        <f t="shared" si="130"/>
        <v>2.8702242799741282</v>
      </c>
      <c r="S461" s="379">
        <f t="shared" si="131"/>
        <v>111.94909090909091</v>
      </c>
      <c r="T461" s="358"/>
      <c r="U461" s="104"/>
      <c r="V461" s="95"/>
      <c r="W461" s="105"/>
      <c r="X461" s="95"/>
      <c r="Y461" s="95"/>
      <c r="Z461" s="95"/>
      <c r="AA461" s="95"/>
      <c r="AB461" s="95"/>
      <c r="AC461" s="95"/>
      <c r="AD461" s="17">
        <f t="shared" si="123"/>
        <v>0</v>
      </c>
      <c r="AE461" s="17">
        <f t="shared" si="128"/>
        <v>0</v>
      </c>
      <c r="AF461" s="17">
        <f t="shared" si="128"/>
        <v>0</v>
      </c>
      <c r="AG461" s="17">
        <f t="shared" si="128"/>
        <v>0</v>
      </c>
      <c r="AH461" s="18" t="str">
        <f t="shared" si="125"/>
        <v>0,;!0,;!0,;!0</v>
      </c>
      <c r="AI461" s="18" t="e">
        <f>INDEX([1]Library!$AL:$AL,MATCH(AH461,[1]Library!$AJ:$AJ,0),1)</f>
        <v>#N/A</v>
      </c>
      <c r="AJ461" s="18" t="e">
        <f>TEXT(INDEX([1]Library!$W:$W,MATCH(AH461,[1]Library!$AJ:$AJ,0),1),"")</f>
        <v>#N/A</v>
      </c>
    </row>
    <row r="462" spans="1:36" ht="25.05" customHeight="1" outlineLevel="2">
      <c r="A462" s="378" t="s">
        <v>44</v>
      </c>
      <c r="B462" s="118" t="s">
        <v>44</v>
      </c>
      <c r="C462" s="119" t="s">
        <v>44</v>
      </c>
      <c r="D462" s="120" t="s">
        <v>44</v>
      </c>
      <c r="E462" s="121" t="s">
        <v>464</v>
      </c>
      <c r="F462" s="300"/>
      <c r="G462" s="304"/>
      <c r="H462" s="122">
        <v>11</v>
      </c>
      <c r="I462" s="123" t="s">
        <v>432</v>
      </c>
      <c r="J462" s="124">
        <v>8.5</v>
      </c>
      <c r="K462" s="125">
        <v>93.5</v>
      </c>
      <c r="L462" s="124">
        <v>3.4000000000000004</v>
      </c>
      <c r="M462" s="125">
        <v>37.400000000000006</v>
      </c>
      <c r="N462" s="126">
        <v>0</v>
      </c>
      <c r="O462" s="125">
        <v>0</v>
      </c>
      <c r="P462" s="127">
        <v>130.9</v>
      </c>
      <c r="Q462" s="128">
        <f t="shared" si="129"/>
        <v>3.7238045419986765E-7</v>
      </c>
      <c r="R462" s="129">
        <f t="shared" si="130"/>
        <v>1.0896428984667583E-2</v>
      </c>
      <c r="S462" s="379">
        <f t="shared" si="131"/>
        <v>0.42500000000000004</v>
      </c>
      <c r="T462" s="358"/>
      <c r="U462" s="104"/>
      <c r="V462" s="95"/>
      <c r="W462" s="105"/>
      <c r="X462" s="95"/>
      <c r="Y462" s="95"/>
      <c r="Z462" s="95"/>
      <c r="AA462" s="95"/>
      <c r="AB462" s="95"/>
      <c r="AC462" s="95"/>
      <c r="AD462" s="17">
        <f t="shared" ref="AD462:AD525" si="132">IF(X462&lt;&gt;0,IF($X462&gt;=AD$12,AD461,""),Z462)</f>
        <v>0</v>
      </c>
      <c r="AE462" s="17">
        <f t="shared" ref="AE462:AG477" si="133">IF(AA462=" ",IF($X462&gt;=AE$12,AE461,""),AA462)</f>
        <v>0</v>
      </c>
      <c r="AF462" s="17">
        <f t="shared" si="133"/>
        <v>0</v>
      </c>
      <c r="AG462" s="17">
        <f t="shared" si="133"/>
        <v>0</v>
      </c>
      <c r="AH462" s="18" t="str">
        <f t="shared" ref="AH462:AH525" si="134">AD462&amp;",;!"&amp;AE462&amp;",;!"&amp;AF462&amp;",;!"&amp;AG462</f>
        <v>0,;!0,;!0,;!0</v>
      </c>
      <c r="AI462" s="18" t="e">
        <f>INDEX([1]Library!$AL:$AL,MATCH(AH462,[1]Library!$AJ:$AJ,0),1)</f>
        <v>#N/A</v>
      </c>
      <c r="AJ462" s="18" t="e">
        <f>TEXT(INDEX([1]Library!$W:$W,MATCH(AH462,[1]Library!$AJ:$AJ,0),1),"")</f>
        <v>#N/A</v>
      </c>
    </row>
    <row r="463" spans="1:36" ht="25.05" customHeight="1" outlineLevel="2">
      <c r="A463" s="378" t="s">
        <v>44</v>
      </c>
      <c r="B463" s="118" t="s">
        <v>44</v>
      </c>
      <c r="C463" s="119" t="s">
        <v>44</v>
      </c>
      <c r="D463" s="120" t="s">
        <v>44</v>
      </c>
      <c r="E463" s="121" t="s">
        <v>465</v>
      </c>
      <c r="F463" s="300"/>
      <c r="G463" s="304"/>
      <c r="H463" s="122">
        <v>11</v>
      </c>
      <c r="I463" s="123" t="s">
        <v>432</v>
      </c>
      <c r="J463" s="124">
        <v>2901.6785156249994</v>
      </c>
      <c r="K463" s="125">
        <v>31918.463671874993</v>
      </c>
      <c r="L463" s="124">
        <v>295.97120859374996</v>
      </c>
      <c r="M463" s="125">
        <v>3255.6832945312494</v>
      </c>
      <c r="N463" s="126">
        <v>0</v>
      </c>
      <c r="O463" s="125">
        <v>0</v>
      </c>
      <c r="P463" s="127">
        <v>35174.146966406246</v>
      </c>
      <c r="Q463" s="128">
        <f t="shared" si="129"/>
        <v>1.0006237451064365E-4</v>
      </c>
      <c r="R463" s="129">
        <f t="shared" si="130"/>
        <v>2.92798009561273</v>
      </c>
      <c r="S463" s="379">
        <f t="shared" si="131"/>
        <v>114.20177586495535</v>
      </c>
      <c r="T463" s="358"/>
      <c r="U463" s="104"/>
      <c r="V463" s="95"/>
      <c r="W463" s="105"/>
      <c r="X463" s="95"/>
      <c r="Y463" s="95"/>
      <c r="Z463" s="95"/>
      <c r="AA463" s="95"/>
      <c r="AB463" s="95"/>
      <c r="AC463" s="95"/>
      <c r="AD463" s="17">
        <f t="shared" si="132"/>
        <v>0</v>
      </c>
      <c r="AE463" s="17">
        <f t="shared" si="133"/>
        <v>0</v>
      </c>
      <c r="AF463" s="17">
        <f t="shared" si="133"/>
        <v>0</v>
      </c>
      <c r="AG463" s="17">
        <f t="shared" si="133"/>
        <v>0</v>
      </c>
      <c r="AH463" s="18" t="str">
        <f t="shared" si="134"/>
        <v>0,;!0,;!0,;!0</v>
      </c>
      <c r="AI463" s="18" t="e">
        <f>INDEX([1]Library!$AL:$AL,MATCH(AH463,[1]Library!$AJ:$AJ,0),1)</f>
        <v>#N/A</v>
      </c>
      <c r="AJ463" s="18" t="e">
        <f>TEXT(INDEX([1]Library!$W:$W,MATCH(AH463,[1]Library!$AJ:$AJ,0),1),"")</f>
        <v>#N/A</v>
      </c>
    </row>
    <row r="464" spans="1:36" ht="25.05" customHeight="1" outlineLevel="2">
      <c r="A464" s="378" t="s">
        <v>44</v>
      </c>
      <c r="B464" s="118" t="s">
        <v>44</v>
      </c>
      <c r="C464" s="119" t="s">
        <v>44</v>
      </c>
      <c r="D464" s="120" t="s">
        <v>44</v>
      </c>
      <c r="E464" s="121" t="s">
        <v>466</v>
      </c>
      <c r="F464" s="300"/>
      <c r="G464" s="304"/>
      <c r="H464" s="122">
        <v>3</v>
      </c>
      <c r="I464" s="123" t="s">
        <v>432</v>
      </c>
      <c r="J464" s="124">
        <v>23279.460000000003</v>
      </c>
      <c r="K464" s="125">
        <v>69838.38</v>
      </c>
      <c r="L464" s="124">
        <v>1939.9549999999999</v>
      </c>
      <c r="M464" s="125">
        <v>5819.8649999999998</v>
      </c>
      <c r="N464" s="126">
        <v>0</v>
      </c>
      <c r="O464" s="125">
        <v>0</v>
      </c>
      <c r="P464" s="127">
        <v>75658.24500000001</v>
      </c>
      <c r="Q464" s="128">
        <f t="shared" si="129"/>
        <v>2.1523034100125949E-4</v>
      </c>
      <c r="R464" s="129">
        <f t="shared" si="130"/>
        <v>6.2979732142634175</v>
      </c>
      <c r="S464" s="379">
        <f t="shared" si="131"/>
        <v>245.64365259740262</v>
      </c>
      <c r="T464" s="358"/>
      <c r="U464" s="104"/>
      <c r="V464" s="95"/>
      <c r="W464" s="105"/>
      <c r="X464" s="95"/>
      <c r="Y464" s="95"/>
      <c r="Z464" s="95"/>
      <c r="AA464" s="95"/>
      <c r="AB464" s="95"/>
      <c r="AC464" s="95"/>
      <c r="AD464" s="17">
        <f t="shared" si="132"/>
        <v>0</v>
      </c>
      <c r="AE464" s="17">
        <f t="shared" si="133"/>
        <v>0</v>
      </c>
      <c r="AF464" s="17">
        <f t="shared" si="133"/>
        <v>0</v>
      </c>
      <c r="AG464" s="17">
        <f t="shared" si="133"/>
        <v>0</v>
      </c>
      <c r="AH464" s="18" t="str">
        <f t="shared" si="134"/>
        <v>0,;!0,;!0,;!0</v>
      </c>
      <c r="AI464" s="18" t="e">
        <f>INDEX([1]Library!$AL:$AL,MATCH(AH464,[1]Library!$AJ:$AJ,0),1)</f>
        <v>#N/A</v>
      </c>
      <c r="AJ464" s="18" t="e">
        <f>TEXT(INDEX([1]Library!$W:$W,MATCH(AH464,[1]Library!$AJ:$AJ,0),1),"")</f>
        <v>#N/A</v>
      </c>
    </row>
    <row r="465" spans="1:36" ht="25.05" customHeight="1" outlineLevel="2">
      <c r="A465" s="378" t="s">
        <v>44</v>
      </c>
      <c r="B465" s="118" t="s">
        <v>44</v>
      </c>
      <c r="C465" s="119" t="s">
        <v>44</v>
      </c>
      <c r="D465" s="120" t="s">
        <v>44</v>
      </c>
      <c r="E465" s="121" t="s">
        <v>467</v>
      </c>
      <c r="F465" s="300"/>
      <c r="G465" s="304"/>
      <c r="H465" s="122">
        <v>5</v>
      </c>
      <c r="I465" s="123" t="s">
        <v>432</v>
      </c>
      <c r="J465" s="124">
        <v>3365.5167999999999</v>
      </c>
      <c r="K465" s="125">
        <v>16827.583999999999</v>
      </c>
      <c r="L465" s="124">
        <v>315.5172</v>
      </c>
      <c r="M465" s="125">
        <v>1577.586</v>
      </c>
      <c r="N465" s="126">
        <v>0</v>
      </c>
      <c r="O465" s="125">
        <v>0</v>
      </c>
      <c r="P465" s="127">
        <v>18405.169999999998</v>
      </c>
      <c r="Q465" s="128">
        <f t="shared" si="129"/>
        <v>5.2358484065895924E-5</v>
      </c>
      <c r="R465" s="129">
        <f t="shared" si="130"/>
        <v>1.5320903579506053</v>
      </c>
      <c r="S465" s="379">
        <f t="shared" si="131"/>
        <v>59.757045454545448</v>
      </c>
      <c r="T465" s="358"/>
      <c r="U465" s="104"/>
      <c r="V465" s="95"/>
      <c r="W465" s="105"/>
      <c r="X465" s="95"/>
      <c r="Y465" s="95"/>
      <c r="Z465" s="95"/>
      <c r="AA465" s="95"/>
      <c r="AB465" s="95"/>
      <c r="AC465" s="95"/>
      <c r="AD465" s="17">
        <f t="shared" si="132"/>
        <v>0</v>
      </c>
      <c r="AE465" s="17">
        <f t="shared" si="133"/>
        <v>0</v>
      </c>
      <c r="AF465" s="17">
        <f t="shared" si="133"/>
        <v>0</v>
      </c>
      <c r="AG465" s="17">
        <f t="shared" si="133"/>
        <v>0</v>
      </c>
      <c r="AH465" s="18" t="str">
        <f t="shared" si="134"/>
        <v>0,;!0,;!0,;!0</v>
      </c>
      <c r="AI465" s="18" t="e">
        <f>INDEX([1]Library!$AL:$AL,MATCH(AH465,[1]Library!$AJ:$AJ,0),1)</f>
        <v>#N/A</v>
      </c>
      <c r="AJ465" s="18" t="e">
        <f>TEXT(INDEX([1]Library!$W:$W,MATCH(AH465,[1]Library!$AJ:$AJ,0),1),"")</f>
        <v>#N/A</v>
      </c>
    </row>
    <row r="466" spans="1:36" ht="25.05" customHeight="1" outlineLevel="2">
      <c r="A466" s="378" t="s">
        <v>44</v>
      </c>
      <c r="B466" s="118" t="s">
        <v>44</v>
      </c>
      <c r="C466" s="119" t="s">
        <v>44</v>
      </c>
      <c r="D466" s="120" t="s">
        <v>44</v>
      </c>
      <c r="E466" s="121" t="s">
        <v>468</v>
      </c>
      <c r="F466" s="300"/>
      <c r="G466" s="304"/>
      <c r="H466" s="122">
        <v>9</v>
      </c>
      <c r="I466" s="123" t="s">
        <v>432</v>
      </c>
      <c r="J466" s="124">
        <v>3715.7120000000004</v>
      </c>
      <c r="K466" s="125">
        <v>33441.408000000003</v>
      </c>
      <c r="L466" s="124">
        <v>348.34800000000001</v>
      </c>
      <c r="M466" s="125">
        <v>3135.1320000000001</v>
      </c>
      <c r="N466" s="126">
        <v>0</v>
      </c>
      <c r="O466" s="125">
        <v>0</v>
      </c>
      <c r="P466" s="127">
        <v>36576.54</v>
      </c>
      <c r="Q466" s="128">
        <f t="shared" si="129"/>
        <v>1.0405186079648301E-4</v>
      </c>
      <c r="R466" s="129">
        <f t="shared" si="130"/>
        <v>3.0447186448804682</v>
      </c>
      <c r="S466" s="379">
        <f t="shared" si="131"/>
        <v>118.75500000000001</v>
      </c>
      <c r="T466" s="358"/>
      <c r="U466" s="104"/>
      <c r="V466" s="95"/>
      <c r="W466" s="105"/>
      <c r="X466" s="95"/>
      <c r="Y466" s="95"/>
      <c r="Z466" s="95"/>
      <c r="AA466" s="95"/>
      <c r="AB466" s="95"/>
      <c r="AC466" s="95"/>
      <c r="AD466" s="17">
        <f t="shared" si="132"/>
        <v>0</v>
      </c>
      <c r="AE466" s="17">
        <f t="shared" si="133"/>
        <v>0</v>
      </c>
      <c r="AF466" s="17">
        <f t="shared" si="133"/>
        <v>0</v>
      </c>
      <c r="AG466" s="17">
        <f t="shared" si="133"/>
        <v>0</v>
      </c>
      <c r="AH466" s="18" t="str">
        <f t="shared" si="134"/>
        <v>0,;!0,;!0,;!0</v>
      </c>
      <c r="AI466" s="18" t="e">
        <f>INDEX([1]Library!$AL:$AL,MATCH(AH466,[1]Library!$AJ:$AJ,0),1)</f>
        <v>#N/A</v>
      </c>
      <c r="AJ466" s="18" t="e">
        <f>TEXT(INDEX([1]Library!$W:$W,MATCH(AH466,[1]Library!$AJ:$AJ,0),1),"")</f>
        <v>#N/A</v>
      </c>
    </row>
    <row r="467" spans="1:36" ht="25.05" customHeight="1" outlineLevel="2">
      <c r="A467" s="378" t="s">
        <v>44</v>
      </c>
      <c r="B467" s="118" t="s">
        <v>44</v>
      </c>
      <c r="C467" s="119" t="s">
        <v>44</v>
      </c>
      <c r="D467" s="120" t="s">
        <v>44</v>
      </c>
      <c r="E467" s="121" t="s">
        <v>449</v>
      </c>
      <c r="F467" s="300"/>
      <c r="G467" s="304"/>
      <c r="H467" s="122">
        <v>1</v>
      </c>
      <c r="I467" s="123" t="s">
        <v>432</v>
      </c>
      <c r="J467" s="124">
        <v>23529.411764705881</v>
      </c>
      <c r="K467" s="125">
        <v>23529.411764705881</v>
      </c>
      <c r="L467" s="124">
        <v>2352.9411764705883</v>
      </c>
      <c r="M467" s="125">
        <v>2352.9411764705883</v>
      </c>
      <c r="N467" s="126">
        <v>0</v>
      </c>
      <c r="O467" s="125">
        <v>0</v>
      </c>
      <c r="P467" s="127">
        <v>25882.352941176468</v>
      </c>
      <c r="Q467" s="128">
        <f t="shared" si="129"/>
        <v>7.3629353277284741E-5</v>
      </c>
      <c r="R467" s="129">
        <f t="shared" si="130"/>
        <v>2.1545089440766354</v>
      </c>
      <c r="S467" s="379">
        <f t="shared" si="131"/>
        <v>84.033613445378151</v>
      </c>
      <c r="T467" s="358"/>
      <c r="U467" s="104"/>
      <c r="V467" s="95"/>
      <c r="W467" s="105"/>
      <c r="X467" s="95"/>
      <c r="Y467" s="95"/>
      <c r="Z467" s="95"/>
      <c r="AA467" s="95"/>
      <c r="AB467" s="95"/>
      <c r="AC467" s="95"/>
      <c r="AD467" s="17">
        <f t="shared" si="132"/>
        <v>0</v>
      </c>
      <c r="AE467" s="17">
        <f t="shared" si="133"/>
        <v>0</v>
      </c>
      <c r="AF467" s="17">
        <f t="shared" si="133"/>
        <v>0</v>
      </c>
      <c r="AG467" s="17">
        <f t="shared" si="133"/>
        <v>0</v>
      </c>
      <c r="AH467" s="18" t="str">
        <f t="shared" si="134"/>
        <v>0,;!0,;!0,;!0</v>
      </c>
      <c r="AI467" s="18" t="e">
        <f>INDEX([1]Library!$AL:$AL,MATCH(AH467,[1]Library!$AJ:$AJ,0),1)</f>
        <v>#N/A</v>
      </c>
      <c r="AJ467" s="18" t="e">
        <f>TEXT(INDEX([1]Library!$W:$W,MATCH(AH467,[1]Library!$AJ:$AJ,0),1),"")</f>
        <v>#N/A</v>
      </c>
    </row>
    <row r="468" spans="1:36" ht="25.05" customHeight="1" outlineLevel="2">
      <c r="A468" s="378" t="s">
        <v>44</v>
      </c>
      <c r="B468" s="118" t="s">
        <v>44</v>
      </c>
      <c r="C468" s="119" t="s">
        <v>44</v>
      </c>
      <c r="D468" s="120" t="s">
        <v>44</v>
      </c>
      <c r="E468" s="290" t="s">
        <v>469</v>
      </c>
      <c r="F468" s="300"/>
      <c r="G468" s="304"/>
      <c r="H468" s="122">
        <v>1</v>
      </c>
      <c r="I468" s="123" t="s">
        <v>432</v>
      </c>
      <c r="J468" s="124">
        <v>63623.7</v>
      </c>
      <c r="K468" s="125">
        <v>63623.7</v>
      </c>
      <c r="L468" s="124">
        <v>6362.37</v>
      </c>
      <c r="M468" s="125">
        <v>6362.37</v>
      </c>
      <c r="N468" s="126">
        <v>0</v>
      </c>
      <c r="O468" s="125">
        <v>0</v>
      </c>
      <c r="P468" s="127">
        <v>69986.069999999992</v>
      </c>
      <c r="Q468" s="128">
        <f t="shared" si="129"/>
        <v>1.9909430507458921E-4</v>
      </c>
      <c r="R468" s="129">
        <f t="shared" si="130"/>
        <v>5.8258078049730662</v>
      </c>
      <c r="S468" s="379">
        <f t="shared" si="131"/>
        <v>227.22749999999996</v>
      </c>
      <c r="T468" s="358"/>
      <c r="U468" s="104"/>
      <c r="V468" s="95"/>
      <c r="W468" s="105"/>
      <c r="X468" s="95"/>
      <c r="Y468" s="95"/>
      <c r="Z468" s="95"/>
      <c r="AA468" s="95"/>
      <c r="AB468" s="95"/>
      <c r="AC468" s="95"/>
      <c r="AD468" s="17">
        <f t="shared" si="132"/>
        <v>0</v>
      </c>
      <c r="AE468" s="17">
        <f t="shared" si="133"/>
        <v>0</v>
      </c>
      <c r="AF468" s="17">
        <f t="shared" si="133"/>
        <v>0</v>
      </c>
      <c r="AG468" s="17">
        <f t="shared" si="133"/>
        <v>0</v>
      </c>
      <c r="AH468" s="18" t="str">
        <f t="shared" si="134"/>
        <v>0,;!0,;!0,;!0</v>
      </c>
      <c r="AI468" s="18" t="e">
        <f>INDEX([1]Library!$AL:$AL,MATCH(AH468,[1]Library!$AJ:$AJ,0),1)</f>
        <v>#N/A</v>
      </c>
      <c r="AJ468" s="18" t="e">
        <f>TEXT(INDEX([1]Library!$W:$W,MATCH(AH468,[1]Library!$AJ:$AJ,0),1),"")</f>
        <v>#N/A</v>
      </c>
    </row>
    <row r="469" spans="1:36" ht="25.05" customHeight="1" outlineLevel="2">
      <c r="A469" s="378" t="s">
        <v>44</v>
      </c>
      <c r="B469" s="118" t="s">
        <v>44</v>
      </c>
      <c r="C469" s="119" t="s">
        <v>44</v>
      </c>
      <c r="D469" s="120" t="s">
        <v>44</v>
      </c>
      <c r="E469" s="121" t="s">
        <v>470</v>
      </c>
      <c r="F469" s="300"/>
      <c r="G469" s="304"/>
      <c r="H469" s="122">
        <v>1</v>
      </c>
      <c r="I469" s="123" t="s">
        <v>432</v>
      </c>
      <c r="J469" s="124">
        <v>512288.06400000001</v>
      </c>
      <c r="K469" s="125">
        <v>512288.06400000001</v>
      </c>
      <c r="L469" s="124">
        <v>48027.005999999994</v>
      </c>
      <c r="M469" s="125">
        <v>48027.005999999994</v>
      </c>
      <c r="N469" s="126">
        <v>0</v>
      </c>
      <c r="O469" s="125">
        <v>0</v>
      </c>
      <c r="P469" s="127">
        <v>560315.07000000007</v>
      </c>
      <c r="Q469" s="128">
        <f t="shared" si="129"/>
        <v>1.5939677636488208E-3</v>
      </c>
      <c r="R469" s="129">
        <f t="shared" si="130"/>
        <v>46.641966151978963</v>
      </c>
      <c r="S469" s="379">
        <f t="shared" si="131"/>
        <v>1819.2047727272729</v>
      </c>
      <c r="T469" s="358"/>
      <c r="U469" s="104"/>
      <c r="V469" s="95"/>
      <c r="W469" s="105"/>
      <c r="X469" s="95"/>
      <c r="Y469" s="95"/>
      <c r="Z469" s="95"/>
      <c r="AA469" s="95"/>
      <c r="AB469" s="95"/>
      <c r="AC469" s="95"/>
      <c r="AD469" s="17">
        <f t="shared" si="132"/>
        <v>0</v>
      </c>
      <c r="AE469" s="17">
        <f t="shared" si="133"/>
        <v>0</v>
      </c>
      <c r="AF469" s="17">
        <f t="shared" si="133"/>
        <v>0</v>
      </c>
      <c r="AG469" s="17">
        <f t="shared" si="133"/>
        <v>0</v>
      </c>
      <c r="AH469" s="18" t="str">
        <f t="shared" si="134"/>
        <v>0,;!0,;!0,;!0</v>
      </c>
      <c r="AI469" s="18" t="e">
        <f>INDEX([1]Library!$AL:$AL,MATCH(AH469,[1]Library!$AJ:$AJ,0),1)</f>
        <v>#N/A</v>
      </c>
      <c r="AJ469" s="18" t="e">
        <f>TEXT(INDEX([1]Library!$W:$W,MATCH(AH469,[1]Library!$AJ:$AJ,0),1),"")</f>
        <v>#N/A</v>
      </c>
    </row>
    <row r="470" spans="1:36" ht="25.05" customHeight="1" outlineLevel="1">
      <c r="A470" s="374" t="s">
        <v>44</v>
      </c>
      <c r="B470" s="96" t="s">
        <v>44</v>
      </c>
      <c r="C470" s="97" t="s">
        <v>274</v>
      </c>
      <c r="D470" s="97"/>
      <c r="E470" s="98"/>
      <c r="F470" s="298"/>
      <c r="G470" s="62"/>
      <c r="H470" s="99">
        <v>1</v>
      </c>
      <c r="I470" s="100" t="s">
        <v>35</v>
      </c>
      <c r="J470" s="99">
        <v>161466.89405644854</v>
      </c>
      <c r="K470" s="99">
        <v>161466.89405644854</v>
      </c>
      <c r="L470" s="99">
        <v>24220.03410846728</v>
      </c>
      <c r="M470" s="99">
        <v>24220.03410846728</v>
      </c>
      <c r="N470" s="99">
        <v>0</v>
      </c>
      <c r="O470" s="99">
        <v>0</v>
      </c>
      <c r="P470" s="101">
        <v>185686.92816491582</v>
      </c>
      <c r="Q470" s="102">
        <f t="shared" si="129"/>
        <v>5.2823668945018755E-4</v>
      </c>
      <c r="R470" s="103">
        <f t="shared" si="130"/>
        <v>15.457023881818763</v>
      </c>
      <c r="S470" s="375">
        <f t="shared" si="131"/>
        <v>602.87963689907735</v>
      </c>
      <c r="T470" s="356"/>
      <c r="U470" s="104"/>
      <c r="V470" s="95"/>
      <c r="W470" s="105"/>
      <c r="X470" s="95"/>
      <c r="Y470" s="95"/>
      <c r="Z470" s="95"/>
      <c r="AA470" s="95"/>
      <c r="AB470" s="95"/>
      <c r="AC470" s="95"/>
      <c r="AD470" s="17">
        <f t="shared" si="132"/>
        <v>0</v>
      </c>
      <c r="AE470" s="17">
        <f t="shared" si="133"/>
        <v>0</v>
      </c>
      <c r="AF470" s="17">
        <f t="shared" si="133"/>
        <v>0</v>
      </c>
      <c r="AG470" s="17">
        <f t="shared" si="133"/>
        <v>0</v>
      </c>
      <c r="AH470" s="18" t="str">
        <f t="shared" si="134"/>
        <v>0,;!0,;!0,;!0</v>
      </c>
      <c r="AI470" s="18" t="e">
        <f>INDEX([1]Library!$AL:$AL,MATCH(AH470,[1]Library!$AJ:$AJ,0),1)</f>
        <v>#N/A</v>
      </c>
      <c r="AJ470" s="18" t="e">
        <f>TEXT(INDEX([1]Library!$W:$W,MATCH(AH470,[1]Library!$AJ:$AJ,0),1),"")</f>
        <v>#N/A</v>
      </c>
    </row>
    <row r="471" spans="1:36" ht="25.05" customHeight="1" outlineLevel="1">
      <c r="A471" s="374" t="s">
        <v>44</v>
      </c>
      <c r="B471" s="96" t="s">
        <v>44</v>
      </c>
      <c r="C471" s="97" t="s">
        <v>275</v>
      </c>
      <c r="D471" s="97"/>
      <c r="E471" s="98"/>
      <c r="F471" s="298"/>
      <c r="G471" s="62"/>
      <c r="H471" s="99">
        <v>1</v>
      </c>
      <c r="I471" s="100" t="s">
        <v>35</v>
      </c>
      <c r="J471" s="99">
        <v>121100.1705423364</v>
      </c>
      <c r="K471" s="99">
        <v>121100.1705423364</v>
      </c>
      <c r="L471" s="99">
        <v>18165.025581350459</v>
      </c>
      <c r="M471" s="99">
        <v>18165.025581350459</v>
      </c>
      <c r="N471" s="99">
        <v>0</v>
      </c>
      <c r="O471" s="99">
        <v>0</v>
      </c>
      <c r="P471" s="101">
        <v>139265.19612368685</v>
      </c>
      <c r="Q471" s="102">
        <f t="shared" si="129"/>
        <v>3.9617751708764061E-4</v>
      </c>
      <c r="R471" s="103">
        <f t="shared" si="130"/>
        <v>11.592767911364072</v>
      </c>
      <c r="S471" s="375">
        <f t="shared" si="131"/>
        <v>452.15972767430799</v>
      </c>
      <c r="T471" s="356"/>
      <c r="U471" s="104"/>
      <c r="V471" s="95"/>
      <c r="W471" s="105"/>
      <c r="X471" s="95"/>
      <c r="Y471" s="95"/>
      <c r="Z471" s="95"/>
      <c r="AA471" s="95"/>
      <c r="AB471" s="95"/>
      <c r="AC471" s="95"/>
      <c r="AD471" s="17">
        <f t="shared" si="132"/>
        <v>0</v>
      </c>
      <c r="AE471" s="17">
        <f t="shared" si="133"/>
        <v>0</v>
      </c>
      <c r="AF471" s="17">
        <f t="shared" si="133"/>
        <v>0</v>
      </c>
      <c r="AG471" s="17">
        <f t="shared" si="133"/>
        <v>0</v>
      </c>
      <c r="AH471" s="18" t="str">
        <f t="shared" si="134"/>
        <v>0,;!0,;!0,;!0</v>
      </c>
      <c r="AI471" s="18" t="e">
        <f>INDEX([1]Library!$AL:$AL,MATCH(AH471,[1]Library!$AJ:$AJ,0),1)</f>
        <v>#N/A</v>
      </c>
      <c r="AJ471" s="18" t="e">
        <f>TEXT(INDEX([1]Library!$W:$W,MATCH(AH471,[1]Library!$AJ:$AJ,0),1),"")</f>
        <v>#N/A</v>
      </c>
    </row>
    <row r="472" spans="1:36" ht="25.05" customHeight="1" outlineLevel="1">
      <c r="A472" s="374" t="s">
        <v>44</v>
      </c>
      <c r="B472" s="96" t="s">
        <v>44</v>
      </c>
      <c r="C472" s="97" t="s">
        <v>276</v>
      </c>
      <c r="D472" s="97"/>
      <c r="E472" s="98"/>
      <c r="F472" s="298"/>
      <c r="G472" s="62"/>
      <c r="H472" s="99">
        <v>1</v>
      </c>
      <c r="I472" s="100" t="s">
        <v>35</v>
      </c>
      <c r="J472" s="99">
        <v>40366.723514112135</v>
      </c>
      <c r="K472" s="99">
        <v>40366.723514112135</v>
      </c>
      <c r="L472" s="99">
        <v>6055.00852711682</v>
      </c>
      <c r="M472" s="99">
        <v>6055.00852711682</v>
      </c>
      <c r="N472" s="99">
        <v>0</v>
      </c>
      <c r="O472" s="99">
        <v>0</v>
      </c>
      <c r="P472" s="101">
        <v>46421.732041228955</v>
      </c>
      <c r="Q472" s="102">
        <f t="shared" si="129"/>
        <v>1.3205917236254689E-4</v>
      </c>
      <c r="R472" s="103">
        <f t="shared" si="130"/>
        <v>3.8642559704546908</v>
      </c>
      <c r="S472" s="375">
        <f t="shared" si="131"/>
        <v>150.71990922476934</v>
      </c>
      <c r="T472" s="356"/>
      <c r="U472" s="104"/>
      <c r="V472" s="95"/>
      <c r="W472" s="105"/>
      <c r="X472" s="95"/>
      <c r="Y472" s="95"/>
      <c r="Z472" s="95"/>
      <c r="AA472" s="95"/>
      <c r="AB472" s="95"/>
      <c r="AC472" s="95"/>
      <c r="AD472" s="17">
        <f t="shared" si="132"/>
        <v>0</v>
      </c>
      <c r="AE472" s="17">
        <f t="shared" si="133"/>
        <v>0</v>
      </c>
      <c r="AF472" s="17">
        <f t="shared" si="133"/>
        <v>0</v>
      </c>
      <c r="AG472" s="17">
        <f t="shared" si="133"/>
        <v>0</v>
      </c>
      <c r="AH472" s="18" t="str">
        <f t="shared" si="134"/>
        <v>0,;!0,;!0,;!0</v>
      </c>
      <c r="AI472" s="18" t="e">
        <f>INDEX([1]Library!$AL:$AL,MATCH(AH472,[1]Library!$AJ:$AJ,0),1)</f>
        <v>#N/A</v>
      </c>
      <c r="AJ472" s="18" t="e">
        <f>TEXT(INDEX([1]Library!$W:$W,MATCH(AH472,[1]Library!$AJ:$AJ,0),1),"")</f>
        <v>#N/A</v>
      </c>
    </row>
    <row r="473" spans="1:36" ht="25.05" customHeight="1" outlineLevel="1">
      <c r="A473" s="374" t="s">
        <v>44</v>
      </c>
      <c r="B473" s="96" t="s">
        <v>44</v>
      </c>
      <c r="C473" s="97" t="s">
        <v>277</v>
      </c>
      <c r="D473" s="97"/>
      <c r="E473" s="98"/>
      <c r="F473" s="298"/>
      <c r="G473" s="62"/>
      <c r="H473" s="99">
        <v>1</v>
      </c>
      <c r="I473" s="100" t="s">
        <v>35</v>
      </c>
      <c r="J473" s="99">
        <v>80733.447028224269</v>
      </c>
      <c r="K473" s="99">
        <v>80733.447028224269</v>
      </c>
      <c r="L473" s="99">
        <v>12110.01705423364</v>
      </c>
      <c r="M473" s="99">
        <v>12110.01705423364</v>
      </c>
      <c r="N473" s="99">
        <v>0</v>
      </c>
      <c r="O473" s="99">
        <v>0</v>
      </c>
      <c r="P473" s="101">
        <v>92843.464082457911</v>
      </c>
      <c r="Q473" s="102">
        <f t="shared" si="129"/>
        <v>2.6411834472509377E-4</v>
      </c>
      <c r="R473" s="103">
        <f t="shared" si="130"/>
        <v>7.7285119409093817</v>
      </c>
      <c r="S473" s="375">
        <f t="shared" si="131"/>
        <v>301.43981844953868</v>
      </c>
      <c r="T473" s="356"/>
      <c r="U473" s="104"/>
      <c r="V473" s="95"/>
      <c r="W473" s="105"/>
      <c r="X473" s="95"/>
      <c r="Y473" s="95"/>
      <c r="Z473" s="95"/>
      <c r="AA473" s="95"/>
      <c r="AB473" s="95"/>
      <c r="AC473" s="95"/>
      <c r="AD473" s="17">
        <f t="shared" si="132"/>
        <v>0</v>
      </c>
      <c r="AE473" s="17">
        <f t="shared" si="133"/>
        <v>0</v>
      </c>
      <c r="AF473" s="17">
        <f t="shared" si="133"/>
        <v>0</v>
      </c>
      <c r="AG473" s="17">
        <f t="shared" si="133"/>
        <v>0</v>
      </c>
      <c r="AH473" s="18" t="str">
        <f t="shared" si="134"/>
        <v>0,;!0,;!0,;!0</v>
      </c>
      <c r="AI473" s="18" t="e">
        <f>INDEX([1]Library!$AL:$AL,MATCH(AH473,[1]Library!$AJ:$AJ,0),1)</f>
        <v>#N/A</v>
      </c>
      <c r="AJ473" s="18" t="e">
        <f>TEXT(INDEX([1]Library!$W:$W,MATCH(AH473,[1]Library!$AJ:$AJ,0),1),"")</f>
        <v>#N/A</v>
      </c>
    </row>
    <row r="474" spans="1:36" ht="25.05" customHeight="1" outlineLevel="1">
      <c r="A474" s="374" t="s">
        <v>44</v>
      </c>
      <c r="B474" s="96" t="s">
        <v>44</v>
      </c>
      <c r="C474" s="97" t="s">
        <v>278</v>
      </c>
      <c r="D474" s="97"/>
      <c r="E474" s="98"/>
      <c r="F474" s="298"/>
      <c r="G474" s="62"/>
      <c r="H474" s="99">
        <v>1</v>
      </c>
      <c r="I474" s="100" t="s">
        <v>35</v>
      </c>
      <c r="J474" s="99">
        <v>0</v>
      </c>
      <c r="K474" s="99">
        <v>0</v>
      </c>
      <c r="L474" s="99">
        <v>0</v>
      </c>
      <c r="M474" s="99">
        <v>0</v>
      </c>
      <c r="N474" s="99">
        <v>520610.22712793574</v>
      </c>
      <c r="O474" s="99">
        <v>520610.22712793574</v>
      </c>
      <c r="P474" s="101">
        <v>520610.22712793574</v>
      </c>
      <c r="Q474" s="102">
        <f t="shared" si="129"/>
        <v>1.4810165992283953E-3</v>
      </c>
      <c r="R474" s="103">
        <f t="shared" si="130"/>
        <v>43.336840096189555</v>
      </c>
      <c r="S474" s="375">
        <f t="shared" si="131"/>
        <v>1690.2929452205706</v>
      </c>
      <c r="T474" s="356"/>
      <c r="U474" s="104"/>
      <c r="V474" s="95"/>
      <c r="W474" s="105"/>
      <c r="X474" s="95"/>
      <c r="Y474" s="95"/>
      <c r="Z474" s="95"/>
      <c r="AA474" s="95"/>
      <c r="AB474" s="95"/>
      <c r="AC474" s="95"/>
      <c r="AD474" s="17">
        <f t="shared" si="132"/>
        <v>0</v>
      </c>
      <c r="AE474" s="17">
        <f t="shared" si="133"/>
        <v>0</v>
      </c>
      <c r="AF474" s="17">
        <f t="shared" si="133"/>
        <v>0</v>
      </c>
      <c r="AG474" s="17">
        <f t="shared" si="133"/>
        <v>0</v>
      </c>
      <c r="AH474" s="18" t="str">
        <f t="shared" si="134"/>
        <v>0,;!0,;!0,;!0</v>
      </c>
      <c r="AI474" s="18" t="e">
        <f>INDEX([1]Library!$AL:$AL,MATCH(AH474,[1]Library!$AJ:$AJ,0),1)</f>
        <v>#N/A</v>
      </c>
      <c r="AJ474" s="18" t="e">
        <f>TEXT(INDEX([1]Library!$W:$W,MATCH(AH474,[1]Library!$AJ:$AJ,0),1),"")</f>
        <v>#N/A</v>
      </c>
    </row>
    <row r="475" spans="1:36" ht="25.05" customHeight="1">
      <c r="A475" s="372" t="s">
        <v>471</v>
      </c>
      <c r="B475" s="84" t="s">
        <v>472</v>
      </c>
      <c r="C475" s="85"/>
      <c r="D475" s="85"/>
      <c r="E475" s="86"/>
      <c r="F475" s="297"/>
      <c r="G475" s="62"/>
      <c r="H475" s="87">
        <v>1</v>
      </c>
      <c r="I475" s="88" t="s">
        <v>35</v>
      </c>
      <c r="J475" s="89">
        <v>15226608.375754103</v>
      </c>
      <c r="K475" s="90">
        <v>15226608.375754103</v>
      </c>
      <c r="L475" s="89">
        <v>4569773.1675779335</v>
      </c>
      <c r="M475" s="90">
        <v>4569773.1675779335</v>
      </c>
      <c r="N475" s="89">
        <v>2989912.1900017597</v>
      </c>
      <c r="O475" s="90">
        <v>2989912.1900017597</v>
      </c>
      <c r="P475" s="91">
        <v>22786293.733333796</v>
      </c>
      <c r="Q475" s="92">
        <f>P475/P$13</f>
        <v>6.4821775477085078E-2</v>
      </c>
      <c r="R475" s="90">
        <f>P475/I$5</f>
        <v>1896.7855728727861</v>
      </c>
      <c r="S475" s="373">
        <f>P475/I$7</f>
        <v>73981.473160174661</v>
      </c>
      <c r="T475" s="355"/>
      <c r="U475" s="104"/>
      <c r="V475" s="95"/>
      <c r="W475" s="105"/>
      <c r="X475" s="95"/>
      <c r="Y475" s="95"/>
      <c r="Z475" s="95"/>
      <c r="AA475" s="95"/>
      <c r="AB475" s="95"/>
      <c r="AC475" s="95"/>
      <c r="AD475" s="17">
        <f t="shared" si="132"/>
        <v>0</v>
      </c>
      <c r="AE475" s="17">
        <f t="shared" si="133"/>
        <v>0</v>
      </c>
      <c r="AF475" s="17">
        <f t="shared" si="133"/>
        <v>0</v>
      </c>
      <c r="AG475" s="17">
        <f t="shared" si="133"/>
        <v>0</v>
      </c>
      <c r="AH475" s="18" t="str">
        <f t="shared" si="134"/>
        <v>0,;!0,;!0,;!0</v>
      </c>
      <c r="AI475" s="18" t="e">
        <f>INDEX([1]Library!$AL:$AL,MATCH(AH475,[1]Library!$AJ:$AJ,0),1)</f>
        <v>#N/A</v>
      </c>
      <c r="AJ475" s="18" t="e">
        <f>TEXT(INDEX([1]Library!$W:$W,MATCH(AH475,[1]Library!$AJ:$AJ,0),1),"")</f>
        <v>#N/A</v>
      </c>
    </row>
    <row r="476" spans="1:36" ht="25.05" customHeight="1" outlineLevel="1">
      <c r="A476" s="374" t="s">
        <v>44</v>
      </c>
      <c r="B476" s="96" t="s">
        <v>44</v>
      </c>
      <c r="C476" s="97" t="s">
        <v>205</v>
      </c>
      <c r="D476" s="97"/>
      <c r="E476" s="98"/>
      <c r="F476" s="298"/>
      <c r="G476" s="62"/>
      <c r="H476" s="99">
        <v>1</v>
      </c>
      <c r="I476" s="100" t="s">
        <v>35</v>
      </c>
      <c r="J476" s="99">
        <v>0</v>
      </c>
      <c r="K476" s="99">
        <v>0</v>
      </c>
      <c r="L476" s="99">
        <v>1386000</v>
      </c>
      <c r="M476" s="99">
        <v>1386000</v>
      </c>
      <c r="N476" s="99">
        <v>0</v>
      </c>
      <c r="O476" s="99">
        <v>0</v>
      </c>
      <c r="P476" s="101">
        <v>1386000</v>
      </c>
      <c r="Q476" s="102">
        <f>P476/P$13</f>
        <v>3.9428518679985982E-3</v>
      </c>
      <c r="R476" s="103">
        <f>P476/I$5</f>
        <v>115.37395395530382</v>
      </c>
      <c r="S476" s="375">
        <f>P476/I$7</f>
        <v>4500</v>
      </c>
      <c r="T476" s="356"/>
      <c r="U476" s="104"/>
      <c r="V476" s="95"/>
      <c r="W476" s="105"/>
      <c r="X476" s="95"/>
      <c r="Y476" s="95"/>
      <c r="Z476" s="95"/>
      <c r="AA476" s="95"/>
      <c r="AB476" s="95"/>
      <c r="AC476" s="95"/>
      <c r="AD476" s="17">
        <f t="shared" si="132"/>
        <v>0</v>
      </c>
      <c r="AE476" s="17">
        <f t="shared" si="133"/>
        <v>0</v>
      </c>
      <c r="AF476" s="17">
        <f t="shared" si="133"/>
        <v>0</v>
      </c>
      <c r="AG476" s="17">
        <f t="shared" si="133"/>
        <v>0</v>
      </c>
      <c r="AH476" s="18" t="str">
        <f t="shared" si="134"/>
        <v>0,;!0,;!0,;!0</v>
      </c>
      <c r="AI476" s="18" t="e">
        <f>INDEX([1]Library!$AL:$AL,MATCH(AH476,[1]Library!$AJ:$AJ,0),1)</f>
        <v>#N/A</v>
      </c>
      <c r="AJ476" s="18" t="e">
        <f>TEXT(INDEX([1]Library!$W:$W,MATCH(AH476,[1]Library!$AJ:$AJ,0),1),"")</f>
        <v>#N/A</v>
      </c>
    </row>
    <row r="477" spans="1:36" ht="25.05" customHeight="1" outlineLevel="2" collapsed="1">
      <c r="A477" s="376" t="s">
        <v>44</v>
      </c>
      <c r="B477" s="107" t="s">
        <v>44</v>
      </c>
      <c r="C477" s="108" t="s">
        <v>44</v>
      </c>
      <c r="D477" s="109" t="s">
        <v>206</v>
      </c>
      <c r="E477" s="110"/>
      <c r="F477" s="299"/>
      <c r="G477" s="62"/>
      <c r="H477" s="111">
        <v>308</v>
      </c>
      <c r="I477" s="112" t="s">
        <v>140</v>
      </c>
      <c r="J477" s="113">
        <v>0</v>
      </c>
      <c r="K477" s="114">
        <v>0</v>
      </c>
      <c r="L477" s="113">
        <v>1000</v>
      </c>
      <c r="M477" s="114">
        <v>308000</v>
      </c>
      <c r="N477" s="115">
        <v>0</v>
      </c>
      <c r="O477" s="114">
        <v>0</v>
      </c>
      <c r="P477" s="116">
        <v>308000</v>
      </c>
      <c r="Q477" s="117">
        <f t="shared" ref="Q477:Q485" si="135">P477/P$13</f>
        <v>8.7618930399968847E-4</v>
      </c>
      <c r="R477" s="114">
        <f t="shared" ref="R477:R485" si="136">P477/I$5</f>
        <v>25.638656434511962</v>
      </c>
      <c r="S477" s="377">
        <f t="shared" ref="S477:S485" si="137">P477/I$7</f>
        <v>1000</v>
      </c>
      <c r="T477" s="357"/>
      <c r="U477" s="104"/>
      <c r="V477" s="95"/>
      <c r="W477" s="105"/>
      <c r="X477" s="95"/>
      <c r="Y477" s="95"/>
      <c r="Z477" s="95"/>
      <c r="AA477" s="95"/>
      <c r="AB477" s="95"/>
      <c r="AC477" s="95"/>
      <c r="AD477" s="17">
        <f t="shared" si="132"/>
        <v>0</v>
      </c>
      <c r="AE477" s="17">
        <f t="shared" si="133"/>
        <v>0</v>
      </c>
      <c r="AF477" s="17">
        <f t="shared" si="133"/>
        <v>0</v>
      </c>
      <c r="AG477" s="17">
        <f t="shared" si="133"/>
        <v>0</v>
      </c>
      <c r="AH477" s="18" t="str">
        <f t="shared" si="134"/>
        <v>0,;!0,;!0,;!0</v>
      </c>
      <c r="AI477" s="18" t="e">
        <f>INDEX([1]Library!$AL:$AL,MATCH(AH477,[1]Library!$AJ:$AJ,0),1)</f>
        <v>#N/A</v>
      </c>
      <c r="AJ477" s="18" t="e">
        <f>TEXT(INDEX([1]Library!$W:$W,MATCH(AH477,[1]Library!$AJ:$AJ,0),1),"")</f>
        <v>#N/A</v>
      </c>
    </row>
    <row r="478" spans="1:36" ht="25.05" customHeight="1" outlineLevel="2">
      <c r="A478" s="376" t="s">
        <v>44</v>
      </c>
      <c r="B478" s="107" t="s">
        <v>44</v>
      </c>
      <c r="C478" s="108" t="s">
        <v>44</v>
      </c>
      <c r="D478" s="109" t="s">
        <v>207</v>
      </c>
      <c r="E478" s="110"/>
      <c r="F478" s="299"/>
      <c r="G478" s="62"/>
      <c r="H478" s="111">
        <v>308</v>
      </c>
      <c r="I478" s="112" t="s">
        <v>140</v>
      </c>
      <c r="J478" s="113">
        <v>0</v>
      </c>
      <c r="K478" s="114">
        <v>0</v>
      </c>
      <c r="L478" s="113">
        <v>1000</v>
      </c>
      <c r="M478" s="114">
        <v>308000</v>
      </c>
      <c r="N478" s="115">
        <v>0</v>
      </c>
      <c r="O478" s="114">
        <v>0</v>
      </c>
      <c r="P478" s="116">
        <v>308000</v>
      </c>
      <c r="Q478" s="117">
        <f t="shared" si="135"/>
        <v>8.7618930399968847E-4</v>
      </c>
      <c r="R478" s="114">
        <f t="shared" si="136"/>
        <v>25.638656434511962</v>
      </c>
      <c r="S478" s="377">
        <f t="shared" si="137"/>
        <v>1000</v>
      </c>
      <c r="T478" s="357"/>
      <c r="U478" s="104"/>
      <c r="V478" s="95"/>
      <c r="W478" s="105"/>
      <c r="X478" s="95"/>
      <c r="Y478" s="95"/>
      <c r="Z478" s="95"/>
      <c r="AA478" s="95"/>
      <c r="AB478" s="95"/>
      <c r="AC478" s="95"/>
      <c r="AD478" s="17">
        <f t="shared" si="132"/>
        <v>0</v>
      </c>
      <c r="AE478" s="17">
        <f t="shared" ref="AE478:AG493" si="138">IF(AA478=" ",IF($X478&gt;=AE$12,AE477,""),AA478)</f>
        <v>0</v>
      </c>
      <c r="AF478" s="17">
        <f t="shared" si="138"/>
        <v>0</v>
      </c>
      <c r="AG478" s="17">
        <f t="shared" si="138"/>
        <v>0</v>
      </c>
      <c r="AH478" s="18" t="str">
        <f t="shared" si="134"/>
        <v>0,;!0,;!0,;!0</v>
      </c>
      <c r="AI478" s="18" t="e">
        <f>INDEX([1]Library!$AL:$AL,MATCH(AH478,[1]Library!$AJ:$AJ,0),1)</f>
        <v>#N/A</v>
      </c>
      <c r="AJ478" s="18" t="e">
        <f>TEXT(INDEX([1]Library!$W:$W,MATCH(AH478,[1]Library!$AJ:$AJ,0),1),"")</f>
        <v>#N/A</v>
      </c>
    </row>
    <row r="479" spans="1:36" ht="25.05" customHeight="1" outlineLevel="2">
      <c r="A479" s="376" t="s">
        <v>44</v>
      </c>
      <c r="B479" s="107" t="s">
        <v>44</v>
      </c>
      <c r="C479" s="108" t="s">
        <v>44</v>
      </c>
      <c r="D479" s="109" t="s">
        <v>208</v>
      </c>
      <c r="E479" s="110"/>
      <c r="F479" s="299"/>
      <c r="G479" s="62"/>
      <c r="H479" s="111">
        <v>308</v>
      </c>
      <c r="I479" s="112" t="s">
        <v>140</v>
      </c>
      <c r="J479" s="113">
        <v>0</v>
      </c>
      <c r="K479" s="114">
        <v>0</v>
      </c>
      <c r="L479" s="113">
        <v>500</v>
      </c>
      <c r="M479" s="114">
        <v>154000</v>
      </c>
      <c r="N479" s="115">
        <v>0</v>
      </c>
      <c r="O479" s="114">
        <v>0</v>
      </c>
      <c r="P479" s="116">
        <v>154000</v>
      </c>
      <c r="Q479" s="117">
        <f t="shared" si="135"/>
        <v>4.3809465199984423E-4</v>
      </c>
      <c r="R479" s="114">
        <f t="shared" si="136"/>
        <v>12.819328217255981</v>
      </c>
      <c r="S479" s="377">
        <f t="shared" si="137"/>
        <v>500</v>
      </c>
      <c r="T479" s="357"/>
      <c r="U479" s="104"/>
      <c r="V479" s="95"/>
      <c r="W479" s="105"/>
      <c r="X479" s="95"/>
      <c r="Y479" s="95"/>
      <c r="Z479" s="95"/>
      <c r="AA479" s="95"/>
      <c r="AB479" s="95"/>
      <c r="AC479" s="95"/>
      <c r="AD479" s="17">
        <f t="shared" si="132"/>
        <v>0</v>
      </c>
      <c r="AE479" s="17">
        <f t="shared" si="138"/>
        <v>0</v>
      </c>
      <c r="AF479" s="17">
        <f t="shared" si="138"/>
        <v>0</v>
      </c>
      <c r="AG479" s="17">
        <f t="shared" si="138"/>
        <v>0</v>
      </c>
      <c r="AH479" s="18" t="str">
        <f t="shared" si="134"/>
        <v>0,;!0,;!0,;!0</v>
      </c>
      <c r="AI479" s="18" t="e">
        <f>INDEX([1]Library!$AL:$AL,MATCH(AH479,[1]Library!$AJ:$AJ,0),1)</f>
        <v>#N/A</v>
      </c>
      <c r="AJ479" s="18" t="e">
        <f>TEXT(INDEX([1]Library!$W:$W,MATCH(AH479,[1]Library!$AJ:$AJ,0),1),"")</f>
        <v>#N/A</v>
      </c>
    </row>
    <row r="480" spans="1:36" ht="25.05" customHeight="1" outlineLevel="2">
      <c r="A480" s="376" t="s">
        <v>44</v>
      </c>
      <c r="B480" s="107" t="s">
        <v>44</v>
      </c>
      <c r="C480" s="108" t="s">
        <v>44</v>
      </c>
      <c r="D480" s="109" t="s">
        <v>473</v>
      </c>
      <c r="E480" s="110"/>
      <c r="F480" s="299"/>
      <c r="G480" s="62"/>
      <c r="H480" s="111">
        <v>308</v>
      </c>
      <c r="I480" s="112" t="s">
        <v>140</v>
      </c>
      <c r="J480" s="113">
        <v>0</v>
      </c>
      <c r="K480" s="114">
        <v>0</v>
      </c>
      <c r="L480" s="113">
        <v>500</v>
      </c>
      <c r="M480" s="114">
        <v>154000</v>
      </c>
      <c r="N480" s="115">
        <v>0</v>
      </c>
      <c r="O480" s="114">
        <v>0</v>
      </c>
      <c r="P480" s="116">
        <v>154000</v>
      </c>
      <c r="Q480" s="117">
        <f t="shared" si="135"/>
        <v>4.3809465199984423E-4</v>
      </c>
      <c r="R480" s="114">
        <f t="shared" si="136"/>
        <v>12.819328217255981</v>
      </c>
      <c r="S480" s="377">
        <f t="shared" si="137"/>
        <v>500</v>
      </c>
      <c r="T480" s="357"/>
      <c r="U480" s="104"/>
      <c r="V480" s="95"/>
      <c r="W480" s="105"/>
      <c r="X480" s="95"/>
      <c r="Y480" s="95"/>
      <c r="Z480" s="95"/>
      <c r="AA480" s="95"/>
      <c r="AB480" s="95"/>
      <c r="AC480" s="95"/>
      <c r="AD480" s="17">
        <f t="shared" si="132"/>
        <v>0</v>
      </c>
      <c r="AE480" s="17">
        <f t="shared" si="138"/>
        <v>0</v>
      </c>
      <c r="AF480" s="17">
        <f t="shared" si="138"/>
        <v>0</v>
      </c>
      <c r="AG480" s="17">
        <f t="shared" si="138"/>
        <v>0</v>
      </c>
      <c r="AH480" s="18" t="str">
        <f t="shared" si="134"/>
        <v>0,;!0,;!0,;!0</v>
      </c>
      <c r="AI480" s="18" t="e">
        <f>INDEX([1]Library!$AL:$AL,MATCH(AH480,[1]Library!$AJ:$AJ,0),1)</f>
        <v>#N/A</v>
      </c>
      <c r="AJ480" s="18" t="e">
        <f>TEXT(INDEX([1]Library!$W:$W,MATCH(AH480,[1]Library!$AJ:$AJ,0),1),"")</f>
        <v>#N/A</v>
      </c>
    </row>
    <row r="481" spans="1:36" ht="25.05" customHeight="1" outlineLevel="2">
      <c r="A481" s="376" t="s">
        <v>44</v>
      </c>
      <c r="B481" s="107" t="s">
        <v>44</v>
      </c>
      <c r="C481" s="108" t="s">
        <v>44</v>
      </c>
      <c r="D481" s="109" t="s">
        <v>474</v>
      </c>
      <c r="E481" s="110"/>
      <c r="F481" s="299"/>
      <c r="G481" s="62"/>
      <c r="H481" s="111">
        <v>308</v>
      </c>
      <c r="I481" s="112" t="s">
        <v>140</v>
      </c>
      <c r="J481" s="113">
        <v>0</v>
      </c>
      <c r="K481" s="114">
        <v>0</v>
      </c>
      <c r="L481" s="113">
        <v>0</v>
      </c>
      <c r="M481" s="114">
        <v>0</v>
      </c>
      <c r="N481" s="115">
        <v>0</v>
      </c>
      <c r="O481" s="114">
        <v>0</v>
      </c>
      <c r="P481" s="116">
        <v>0</v>
      </c>
      <c r="Q481" s="117">
        <f t="shared" si="135"/>
        <v>0</v>
      </c>
      <c r="R481" s="114">
        <f t="shared" si="136"/>
        <v>0</v>
      </c>
      <c r="S481" s="377">
        <f t="shared" si="137"/>
        <v>0</v>
      </c>
      <c r="T481" s="357"/>
      <c r="U481" s="104"/>
      <c r="V481" s="95"/>
      <c r="W481" s="105"/>
      <c r="X481" s="95"/>
      <c r="Y481" s="95"/>
      <c r="Z481" s="95"/>
      <c r="AA481" s="95"/>
      <c r="AB481" s="95"/>
      <c r="AC481" s="95"/>
      <c r="AD481" s="17">
        <f t="shared" si="132"/>
        <v>0</v>
      </c>
      <c r="AE481" s="17">
        <f t="shared" si="138"/>
        <v>0</v>
      </c>
      <c r="AF481" s="17">
        <f t="shared" si="138"/>
        <v>0</v>
      </c>
      <c r="AG481" s="17">
        <f t="shared" si="138"/>
        <v>0</v>
      </c>
      <c r="AH481" s="18" t="str">
        <f t="shared" si="134"/>
        <v>0,;!0,;!0,;!0</v>
      </c>
      <c r="AI481" s="18" t="e">
        <f>INDEX([1]Library!$AL:$AL,MATCH(AH481,[1]Library!$AJ:$AJ,0),1)</f>
        <v>#N/A</v>
      </c>
      <c r="AJ481" s="18" t="e">
        <f>TEXT(INDEX([1]Library!$W:$W,MATCH(AH481,[1]Library!$AJ:$AJ,0),1),"")</f>
        <v>#N/A</v>
      </c>
    </row>
    <row r="482" spans="1:36" ht="25.05" customHeight="1" outlineLevel="2">
      <c r="A482" s="376" t="s">
        <v>44</v>
      </c>
      <c r="B482" s="107" t="s">
        <v>44</v>
      </c>
      <c r="C482" s="108" t="s">
        <v>44</v>
      </c>
      <c r="D482" s="109" t="s">
        <v>211</v>
      </c>
      <c r="E482" s="110"/>
      <c r="F482" s="299"/>
      <c r="G482" s="62"/>
      <c r="H482" s="111">
        <v>308</v>
      </c>
      <c r="I482" s="112" t="s">
        <v>140</v>
      </c>
      <c r="J482" s="113">
        <v>0</v>
      </c>
      <c r="K482" s="114">
        <v>0</v>
      </c>
      <c r="L482" s="113">
        <v>250</v>
      </c>
      <c r="M482" s="114">
        <v>77000</v>
      </c>
      <c r="N482" s="115">
        <v>0</v>
      </c>
      <c r="O482" s="114">
        <v>0</v>
      </c>
      <c r="P482" s="116">
        <v>77000</v>
      </c>
      <c r="Q482" s="117">
        <f t="shared" si="135"/>
        <v>2.1904732599992212E-4</v>
      </c>
      <c r="R482" s="114">
        <f t="shared" si="136"/>
        <v>6.4096641086279904</v>
      </c>
      <c r="S482" s="377">
        <f t="shared" si="137"/>
        <v>250</v>
      </c>
      <c r="T482" s="357"/>
      <c r="U482" s="104"/>
      <c r="V482" s="95"/>
      <c r="W482" s="105"/>
      <c r="X482" s="95"/>
      <c r="Y482" s="95"/>
      <c r="Z482" s="95"/>
      <c r="AA482" s="95"/>
      <c r="AB482" s="95"/>
      <c r="AC482" s="95"/>
      <c r="AD482" s="17">
        <f t="shared" si="132"/>
        <v>0</v>
      </c>
      <c r="AE482" s="17">
        <f t="shared" si="138"/>
        <v>0</v>
      </c>
      <c r="AF482" s="17">
        <f t="shared" si="138"/>
        <v>0</v>
      </c>
      <c r="AG482" s="17">
        <f t="shared" si="138"/>
        <v>0</v>
      </c>
      <c r="AH482" s="18" t="str">
        <f t="shared" si="134"/>
        <v>0,;!0,;!0,;!0</v>
      </c>
      <c r="AI482" s="18" t="e">
        <f>INDEX([1]Library!$AL:$AL,MATCH(AH482,[1]Library!$AJ:$AJ,0),1)</f>
        <v>#N/A</v>
      </c>
      <c r="AJ482" s="18" t="e">
        <f>TEXT(INDEX([1]Library!$W:$W,MATCH(AH482,[1]Library!$AJ:$AJ,0),1),"")</f>
        <v>#N/A</v>
      </c>
    </row>
    <row r="483" spans="1:36" ht="25.05" customHeight="1" outlineLevel="2">
      <c r="A483" s="376" t="s">
        <v>44</v>
      </c>
      <c r="B483" s="107" t="s">
        <v>44</v>
      </c>
      <c r="C483" s="108" t="s">
        <v>44</v>
      </c>
      <c r="D483" s="109" t="s">
        <v>212</v>
      </c>
      <c r="E483" s="110"/>
      <c r="F483" s="299"/>
      <c r="G483" s="62"/>
      <c r="H483" s="111">
        <v>308</v>
      </c>
      <c r="I483" s="112" t="s">
        <v>140</v>
      </c>
      <c r="J483" s="113">
        <v>0</v>
      </c>
      <c r="K483" s="114">
        <v>0</v>
      </c>
      <c r="L483" s="113">
        <v>250</v>
      </c>
      <c r="M483" s="114">
        <v>77000</v>
      </c>
      <c r="N483" s="115">
        <v>0</v>
      </c>
      <c r="O483" s="114">
        <v>0</v>
      </c>
      <c r="P483" s="116">
        <v>77000</v>
      </c>
      <c r="Q483" s="117">
        <f t="shared" si="135"/>
        <v>2.1904732599992212E-4</v>
      </c>
      <c r="R483" s="114">
        <f t="shared" si="136"/>
        <v>6.4096641086279904</v>
      </c>
      <c r="S483" s="377">
        <f t="shared" si="137"/>
        <v>250</v>
      </c>
      <c r="T483" s="357"/>
      <c r="U483" s="104"/>
      <c r="V483" s="95"/>
      <c r="W483" s="105"/>
      <c r="X483" s="95"/>
      <c r="Y483" s="95"/>
      <c r="Z483" s="95"/>
      <c r="AA483" s="95"/>
      <c r="AB483" s="95"/>
      <c r="AC483" s="95"/>
      <c r="AD483" s="17">
        <f t="shared" si="132"/>
        <v>0</v>
      </c>
      <c r="AE483" s="17">
        <f t="shared" si="138"/>
        <v>0</v>
      </c>
      <c r="AF483" s="17">
        <f t="shared" si="138"/>
        <v>0</v>
      </c>
      <c r="AG483" s="17">
        <f t="shared" si="138"/>
        <v>0</v>
      </c>
      <c r="AH483" s="18" t="str">
        <f t="shared" si="134"/>
        <v>0,;!0,;!0,;!0</v>
      </c>
      <c r="AI483" s="18" t="e">
        <f>INDEX([1]Library!$AL:$AL,MATCH(AH483,[1]Library!$AJ:$AJ,0),1)</f>
        <v>#N/A</v>
      </c>
      <c r="AJ483" s="18" t="e">
        <f>TEXT(INDEX([1]Library!$W:$W,MATCH(AH483,[1]Library!$AJ:$AJ,0),1),"")</f>
        <v>#N/A</v>
      </c>
    </row>
    <row r="484" spans="1:36" ht="25.05" customHeight="1" outlineLevel="2">
      <c r="A484" s="376" t="s">
        <v>44</v>
      </c>
      <c r="B484" s="107" t="s">
        <v>44</v>
      </c>
      <c r="C484" s="108" t="s">
        <v>44</v>
      </c>
      <c r="D484" s="109" t="s">
        <v>213</v>
      </c>
      <c r="E484" s="110"/>
      <c r="F484" s="299"/>
      <c r="G484" s="62"/>
      <c r="H484" s="111">
        <v>308</v>
      </c>
      <c r="I484" s="112" t="s">
        <v>140</v>
      </c>
      <c r="J484" s="113">
        <v>0</v>
      </c>
      <c r="K484" s="114">
        <v>0</v>
      </c>
      <c r="L484" s="113">
        <v>1000</v>
      </c>
      <c r="M484" s="114">
        <v>308000</v>
      </c>
      <c r="N484" s="115">
        <v>0</v>
      </c>
      <c r="O484" s="114">
        <v>0</v>
      </c>
      <c r="P484" s="116">
        <v>308000</v>
      </c>
      <c r="Q484" s="117">
        <f t="shared" si="135"/>
        <v>8.7618930399968847E-4</v>
      </c>
      <c r="R484" s="114">
        <f t="shared" si="136"/>
        <v>25.638656434511962</v>
      </c>
      <c r="S484" s="377">
        <f t="shared" si="137"/>
        <v>1000</v>
      </c>
      <c r="T484" s="357"/>
      <c r="U484" s="104"/>
      <c r="V484" s="95"/>
      <c r="W484" s="105"/>
      <c r="X484" s="95"/>
      <c r="Y484" s="95"/>
      <c r="Z484" s="95"/>
      <c r="AA484" s="95"/>
      <c r="AB484" s="95"/>
      <c r="AC484" s="95"/>
      <c r="AD484" s="17">
        <f t="shared" si="132"/>
        <v>0</v>
      </c>
      <c r="AE484" s="17">
        <f t="shared" si="138"/>
        <v>0</v>
      </c>
      <c r="AF484" s="17">
        <f t="shared" si="138"/>
        <v>0</v>
      </c>
      <c r="AG484" s="17">
        <f t="shared" si="138"/>
        <v>0</v>
      </c>
      <c r="AH484" s="18" t="str">
        <f t="shared" si="134"/>
        <v>0,;!0,;!0,;!0</v>
      </c>
      <c r="AI484" s="18" t="e">
        <f>INDEX([1]Library!$AL:$AL,MATCH(AH484,[1]Library!$AJ:$AJ,0),1)</f>
        <v>#N/A</v>
      </c>
      <c r="AJ484" s="18" t="e">
        <f>TEXT(INDEX([1]Library!$W:$W,MATCH(AH484,[1]Library!$AJ:$AJ,0),1),"")</f>
        <v>#N/A</v>
      </c>
    </row>
    <row r="485" spans="1:36" ht="25.05" customHeight="1" outlineLevel="2">
      <c r="A485" s="376" t="s">
        <v>44</v>
      </c>
      <c r="B485" s="107" t="s">
        <v>44</v>
      </c>
      <c r="C485" s="108" t="s">
        <v>44</v>
      </c>
      <c r="D485" s="109" t="s">
        <v>475</v>
      </c>
      <c r="E485" s="110"/>
      <c r="F485" s="299"/>
      <c r="G485" s="62"/>
      <c r="H485" s="111">
        <v>308</v>
      </c>
      <c r="I485" s="112" t="s">
        <v>140</v>
      </c>
      <c r="J485" s="113">
        <v>0</v>
      </c>
      <c r="K485" s="114">
        <v>0</v>
      </c>
      <c r="L485" s="113">
        <v>0</v>
      </c>
      <c r="M485" s="114">
        <v>0</v>
      </c>
      <c r="N485" s="115">
        <v>0</v>
      </c>
      <c r="O485" s="114">
        <v>0</v>
      </c>
      <c r="P485" s="116">
        <v>0</v>
      </c>
      <c r="Q485" s="117">
        <f t="shared" si="135"/>
        <v>0</v>
      </c>
      <c r="R485" s="114">
        <f t="shared" si="136"/>
        <v>0</v>
      </c>
      <c r="S485" s="377">
        <f t="shared" si="137"/>
        <v>0</v>
      </c>
      <c r="T485" s="357"/>
      <c r="U485" s="104"/>
      <c r="V485" s="95"/>
      <c r="W485" s="105"/>
      <c r="X485" s="95"/>
      <c r="Y485" s="95"/>
      <c r="Z485" s="95"/>
      <c r="AA485" s="95"/>
      <c r="AB485" s="95"/>
      <c r="AC485" s="95"/>
      <c r="AD485" s="17">
        <f t="shared" si="132"/>
        <v>0</v>
      </c>
      <c r="AE485" s="17">
        <f t="shared" si="138"/>
        <v>0</v>
      </c>
      <c r="AF485" s="17">
        <f t="shared" si="138"/>
        <v>0</v>
      </c>
      <c r="AG485" s="17">
        <f t="shared" si="138"/>
        <v>0</v>
      </c>
      <c r="AH485" s="18" t="str">
        <f t="shared" si="134"/>
        <v>0,;!0,;!0,;!0</v>
      </c>
      <c r="AI485" s="18" t="e">
        <f>INDEX([1]Library!$AL:$AL,MATCH(AH485,[1]Library!$AJ:$AJ,0),1)</f>
        <v>#N/A</v>
      </c>
      <c r="AJ485" s="18" t="e">
        <f>TEXT(INDEX([1]Library!$W:$W,MATCH(AH485,[1]Library!$AJ:$AJ,0),1),"")</f>
        <v>#N/A</v>
      </c>
    </row>
    <row r="486" spans="1:36" ht="25.05" customHeight="1" outlineLevel="1">
      <c r="A486" s="374" t="s">
        <v>44</v>
      </c>
      <c r="B486" s="96" t="s">
        <v>44</v>
      </c>
      <c r="C486" s="97" t="s">
        <v>476</v>
      </c>
      <c r="D486" s="97"/>
      <c r="E486" s="98"/>
      <c r="F486" s="298"/>
      <c r="G486" s="62"/>
      <c r="H486" s="99">
        <v>1</v>
      </c>
      <c r="I486" s="100" t="s">
        <v>35</v>
      </c>
      <c r="J486" s="99">
        <v>53802.799999999996</v>
      </c>
      <c r="K486" s="99">
        <v>53802.799999999996</v>
      </c>
      <c r="L486" s="99">
        <v>13450.699999999999</v>
      </c>
      <c r="M486" s="99">
        <v>13450.699999999999</v>
      </c>
      <c r="N486" s="99">
        <v>0</v>
      </c>
      <c r="O486" s="99">
        <v>0</v>
      </c>
      <c r="P486" s="101">
        <v>67253.5</v>
      </c>
      <c r="Q486" s="102">
        <f>P486/P$13</f>
        <v>1.9132077063812678E-4</v>
      </c>
      <c r="R486" s="103">
        <f>P486/I$5</f>
        <v>5.5983421445404229</v>
      </c>
      <c r="S486" s="375">
        <f>P486/I$7</f>
        <v>218.35551948051949</v>
      </c>
      <c r="T486" s="356"/>
      <c r="U486" s="104"/>
      <c r="V486" s="95"/>
      <c r="W486" s="105"/>
      <c r="X486" s="95"/>
      <c r="Y486" s="95"/>
      <c r="Z486" s="95"/>
      <c r="AA486" s="95"/>
      <c r="AB486" s="95"/>
      <c r="AC486" s="95"/>
      <c r="AD486" s="17">
        <f t="shared" si="132"/>
        <v>0</v>
      </c>
      <c r="AE486" s="17">
        <f t="shared" si="138"/>
        <v>0</v>
      </c>
      <c r="AF486" s="17">
        <f t="shared" si="138"/>
        <v>0</v>
      </c>
      <c r="AG486" s="17">
        <f t="shared" si="138"/>
        <v>0</v>
      </c>
      <c r="AH486" s="18" t="str">
        <f t="shared" si="134"/>
        <v>0,;!0,;!0,;!0</v>
      </c>
      <c r="AI486" s="18" t="e">
        <f>INDEX([1]Library!$AL:$AL,MATCH(AH486,[1]Library!$AJ:$AJ,0),1)</f>
        <v>#N/A</v>
      </c>
      <c r="AJ486" s="18" t="e">
        <f>TEXT(INDEX([1]Library!$W:$W,MATCH(AH486,[1]Library!$AJ:$AJ,0),1),"")</f>
        <v>#N/A</v>
      </c>
    </row>
    <row r="487" spans="1:36" ht="25.05" customHeight="1" outlineLevel="2">
      <c r="A487" s="376" t="s">
        <v>44</v>
      </c>
      <c r="B487" s="107" t="s">
        <v>44</v>
      </c>
      <c r="C487" s="108" t="s">
        <v>44</v>
      </c>
      <c r="D487" s="109" t="s">
        <v>477</v>
      </c>
      <c r="E487" s="110"/>
      <c r="F487" s="299"/>
      <c r="G487" s="62"/>
      <c r="H487" s="111">
        <v>20</v>
      </c>
      <c r="I487" s="112" t="s">
        <v>122</v>
      </c>
      <c r="J487" s="113">
        <v>2690.14</v>
      </c>
      <c r="K487" s="114">
        <v>53802.799999999996</v>
      </c>
      <c r="L487" s="113">
        <v>672.53499999999997</v>
      </c>
      <c r="M487" s="114">
        <v>13450.699999999999</v>
      </c>
      <c r="N487" s="115">
        <v>0</v>
      </c>
      <c r="O487" s="114">
        <v>0</v>
      </c>
      <c r="P487" s="116">
        <v>67253.5</v>
      </c>
      <c r="Q487" s="117">
        <f>P487/P$13</f>
        <v>1.9132077063812678E-4</v>
      </c>
      <c r="R487" s="114">
        <f>P487/I$5</f>
        <v>5.5983421445404229</v>
      </c>
      <c r="S487" s="377">
        <f>P487/I$7</f>
        <v>218.35551948051949</v>
      </c>
      <c r="T487" s="357"/>
      <c r="U487" s="104"/>
      <c r="V487" s="95"/>
      <c r="W487" s="105"/>
      <c r="X487" s="95"/>
      <c r="Y487" s="95"/>
      <c r="Z487" s="95"/>
      <c r="AA487" s="95"/>
      <c r="AB487" s="95"/>
      <c r="AC487" s="95"/>
      <c r="AD487" s="17">
        <f t="shared" si="132"/>
        <v>0</v>
      </c>
      <c r="AE487" s="17">
        <f t="shared" si="138"/>
        <v>0</v>
      </c>
      <c r="AF487" s="17">
        <f t="shared" si="138"/>
        <v>0</v>
      </c>
      <c r="AG487" s="17">
        <f t="shared" si="138"/>
        <v>0</v>
      </c>
      <c r="AH487" s="18" t="str">
        <f t="shared" si="134"/>
        <v>0,;!0,;!0,;!0</v>
      </c>
      <c r="AI487" s="18" t="e">
        <f>INDEX([1]Library!$AL:$AL,MATCH(AH487,[1]Library!$AJ:$AJ,0),1)</f>
        <v>#N/A</v>
      </c>
      <c r="AJ487" s="18" t="e">
        <f>TEXT(INDEX([1]Library!$W:$W,MATCH(AH487,[1]Library!$AJ:$AJ,0),1),"")</f>
        <v>#N/A</v>
      </c>
    </row>
    <row r="488" spans="1:36" ht="25.05" customHeight="1" outlineLevel="1">
      <c r="A488" s="374" t="s">
        <v>44</v>
      </c>
      <c r="B488" s="96" t="s">
        <v>44</v>
      </c>
      <c r="C488" s="97" t="s">
        <v>478</v>
      </c>
      <c r="D488" s="97"/>
      <c r="E488" s="98"/>
      <c r="F488" s="298"/>
      <c r="G488" s="62"/>
      <c r="H488" s="99">
        <v>1</v>
      </c>
      <c r="I488" s="100" t="s">
        <v>35</v>
      </c>
      <c r="J488" s="99">
        <v>174859.1</v>
      </c>
      <c r="K488" s="99">
        <v>174859.1</v>
      </c>
      <c r="L488" s="99">
        <v>43714.775000000001</v>
      </c>
      <c r="M488" s="99">
        <v>43714.775000000001</v>
      </c>
      <c r="N488" s="99">
        <v>0</v>
      </c>
      <c r="O488" s="99">
        <v>0</v>
      </c>
      <c r="P488" s="101">
        <v>218573.875</v>
      </c>
      <c r="Q488" s="102">
        <f>P488/P$13</f>
        <v>6.2179250457391208E-4</v>
      </c>
      <c r="R488" s="103">
        <f>P488/I$5</f>
        <v>18.194611969756373</v>
      </c>
      <c r="S488" s="375">
        <f>P488/I$7</f>
        <v>709.65543831168827</v>
      </c>
      <c r="T488" s="356"/>
      <c r="U488" s="104"/>
      <c r="V488" s="95"/>
      <c r="W488" s="105"/>
      <c r="X488" s="95"/>
      <c r="Y488" s="95"/>
      <c r="Z488" s="95"/>
      <c r="AA488" s="95"/>
      <c r="AB488" s="95"/>
      <c r="AC488" s="95"/>
      <c r="AD488" s="17">
        <f t="shared" si="132"/>
        <v>0</v>
      </c>
      <c r="AE488" s="17">
        <f t="shared" si="138"/>
        <v>0</v>
      </c>
      <c r="AF488" s="17">
        <f t="shared" si="138"/>
        <v>0</v>
      </c>
      <c r="AG488" s="17">
        <f t="shared" si="138"/>
        <v>0</v>
      </c>
      <c r="AH488" s="18" t="str">
        <f t="shared" si="134"/>
        <v>0,;!0,;!0,;!0</v>
      </c>
      <c r="AI488" s="18" t="e">
        <f>INDEX([1]Library!$AL:$AL,MATCH(AH488,[1]Library!$AJ:$AJ,0),1)</f>
        <v>#N/A</v>
      </c>
      <c r="AJ488" s="18" t="e">
        <f>TEXT(INDEX([1]Library!$W:$W,MATCH(AH488,[1]Library!$AJ:$AJ,0),1),"")</f>
        <v>#N/A</v>
      </c>
    </row>
    <row r="489" spans="1:36" ht="25.05" customHeight="1" outlineLevel="2">
      <c r="A489" s="376" t="s">
        <v>44</v>
      </c>
      <c r="B489" s="107" t="s">
        <v>44</v>
      </c>
      <c r="C489" s="108" t="s">
        <v>44</v>
      </c>
      <c r="D489" s="109" t="s">
        <v>477</v>
      </c>
      <c r="E489" s="110"/>
      <c r="F489" s="299"/>
      <c r="G489" s="62"/>
      <c r="H489" s="111">
        <v>65</v>
      </c>
      <c r="I489" s="112" t="s">
        <v>122</v>
      </c>
      <c r="J489" s="113">
        <v>2690.14</v>
      </c>
      <c r="K489" s="114">
        <v>174859.1</v>
      </c>
      <c r="L489" s="113">
        <v>672.53499999999997</v>
      </c>
      <c r="M489" s="114">
        <v>43714.775000000001</v>
      </c>
      <c r="N489" s="115">
        <v>0</v>
      </c>
      <c r="O489" s="114">
        <v>0</v>
      </c>
      <c r="P489" s="116">
        <v>218573.875</v>
      </c>
      <c r="Q489" s="117">
        <f>P489/P$13</f>
        <v>6.2179250457391208E-4</v>
      </c>
      <c r="R489" s="114">
        <f>P489/I$5</f>
        <v>18.194611969756373</v>
      </c>
      <c r="S489" s="377">
        <f>P489/I$7</f>
        <v>709.65543831168827</v>
      </c>
      <c r="T489" s="357"/>
      <c r="U489" s="104"/>
      <c r="V489" s="95"/>
      <c r="W489" s="105"/>
      <c r="X489" s="95"/>
      <c r="Y489" s="95"/>
      <c r="Z489" s="95"/>
      <c r="AA489" s="95"/>
      <c r="AB489" s="95"/>
      <c r="AC489" s="95"/>
      <c r="AD489" s="17">
        <f t="shared" si="132"/>
        <v>0</v>
      </c>
      <c r="AE489" s="17">
        <f t="shared" si="138"/>
        <v>0</v>
      </c>
      <c r="AF489" s="17">
        <f t="shared" si="138"/>
        <v>0</v>
      </c>
      <c r="AG489" s="17">
        <f t="shared" si="138"/>
        <v>0</v>
      </c>
      <c r="AH489" s="18" t="str">
        <f t="shared" si="134"/>
        <v>0,;!0,;!0,;!0</v>
      </c>
      <c r="AI489" s="18" t="e">
        <f>INDEX([1]Library!$AL:$AL,MATCH(AH489,[1]Library!$AJ:$AJ,0),1)</f>
        <v>#N/A</v>
      </c>
      <c r="AJ489" s="18" t="e">
        <f>TEXT(INDEX([1]Library!$W:$W,MATCH(AH489,[1]Library!$AJ:$AJ,0),1),"")</f>
        <v>#N/A</v>
      </c>
    </row>
    <row r="490" spans="1:36" ht="25.05" customHeight="1" outlineLevel="1">
      <c r="A490" s="374" t="s">
        <v>44</v>
      </c>
      <c r="B490" s="96" t="s">
        <v>44</v>
      </c>
      <c r="C490" s="97" t="s">
        <v>479</v>
      </c>
      <c r="D490" s="97"/>
      <c r="E490" s="98"/>
      <c r="F490" s="298"/>
      <c r="G490" s="62"/>
      <c r="H490" s="99">
        <v>1</v>
      </c>
      <c r="I490" s="100" t="s">
        <v>35</v>
      </c>
      <c r="J490" s="99">
        <v>349155.87680083461</v>
      </c>
      <c r="K490" s="99">
        <v>349155.87680083461</v>
      </c>
      <c r="L490" s="99">
        <v>81000.775772222667</v>
      </c>
      <c r="M490" s="99">
        <v>81000.775772222667</v>
      </c>
      <c r="N490" s="99">
        <v>0</v>
      </c>
      <c r="O490" s="99">
        <v>0</v>
      </c>
      <c r="P490" s="101">
        <v>430156.65257305728</v>
      </c>
      <c r="Q490" s="102">
        <f>P490/P$13</f>
        <v>1.2236969416520222E-3</v>
      </c>
      <c r="R490" s="103">
        <f>P490/I$5</f>
        <v>35.807268273832278</v>
      </c>
      <c r="S490" s="375">
        <f>P490/I$7</f>
        <v>1396.6125083540821</v>
      </c>
      <c r="T490" s="356"/>
      <c r="U490" s="104"/>
      <c r="V490" s="95"/>
      <c r="W490" s="105"/>
      <c r="X490" s="95"/>
      <c r="Y490" s="95"/>
      <c r="Z490" s="95"/>
      <c r="AA490" s="95"/>
      <c r="AB490" s="95"/>
      <c r="AC490" s="95"/>
      <c r="AD490" s="17">
        <f t="shared" si="132"/>
        <v>0</v>
      </c>
      <c r="AE490" s="17">
        <f t="shared" si="138"/>
        <v>0</v>
      </c>
      <c r="AF490" s="17">
        <f t="shared" si="138"/>
        <v>0</v>
      </c>
      <c r="AG490" s="17">
        <f t="shared" si="138"/>
        <v>0</v>
      </c>
      <c r="AH490" s="18" t="str">
        <f t="shared" si="134"/>
        <v>0,;!0,;!0,;!0</v>
      </c>
      <c r="AI490" s="18" t="e">
        <f>INDEX([1]Library!$AL:$AL,MATCH(AH490,[1]Library!$AJ:$AJ,0),1)</f>
        <v>#N/A</v>
      </c>
      <c r="AJ490" s="18" t="e">
        <f>TEXT(INDEX([1]Library!$W:$W,MATCH(AH490,[1]Library!$AJ:$AJ,0),1),"")</f>
        <v>#N/A</v>
      </c>
    </row>
    <row r="491" spans="1:36" ht="25.05" customHeight="1" outlineLevel="2">
      <c r="A491" s="376" t="s">
        <v>44</v>
      </c>
      <c r="B491" s="107" t="s">
        <v>44</v>
      </c>
      <c r="C491" s="108" t="s">
        <v>44</v>
      </c>
      <c r="D491" s="109" t="s">
        <v>477</v>
      </c>
      <c r="E491" s="110"/>
      <c r="F491" s="299"/>
      <c r="G491" s="62"/>
      <c r="H491" s="111">
        <v>24</v>
      </c>
      <c r="I491" s="112" t="s">
        <v>122</v>
      </c>
      <c r="J491" s="113">
        <v>2690.14</v>
      </c>
      <c r="K491" s="114">
        <v>64563.360000000001</v>
      </c>
      <c r="L491" s="113">
        <v>672.53499999999997</v>
      </c>
      <c r="M491" s="114">
        <v>16140.84</v>
      </c>
      <c r="N491" s="115">
        <v>0</v>
      </c>
      <c r="O491" s="114">
        <v>0</v>
      </c>
      <c r="P491" s="116">
        <v>80704.2</v>
      </c>
      <c r="Q491" s="117">
        <f t="shared" ref="Q491:Q497" si="139">P491/P$13</f>
        <v>2.2958492476575214E-4</v>
      </c>
      <c r="R491" s="114">
        <f t="shared" ref="R491:R497" si="140">P491/I$5</f>
        <v>6.7180105734485069</v>
      </c>
      <c r="S491" s="377">
        <f t="shared" ref="S491:S497" si="141">P491/I$7</f>
        <v>262.02662337662338</v>
      </c>
      <c r="T491" s="357"/>
      <c r="U491" s="104"/>
      <c r="V491" s="95"/>
      <c r="W491" s="105"/>
      <c r="X491" s="95"/>
      <c r="Y491" s="95"/>
      <c r="Z491" s="95"/>
      <c r="AA491" s="95"/>
      <c r="AB491" s="95"/>
      <c r="AC491" s="95"/>
      <c r="AD491" s="17">
        <f t="shared" si="132"/>
        <v>0</v>
      </c>
      <c r="AE491" s="17">
        <f t="shared" si="138"/>
        <v>0</v>
      </c>
      <c r="AF491" s="17">
        <f t="shared" si="138"/>
        <v>0</v>
      </c>
      <c r="AG491" s="17">
        <f t="shared" si="138"/>
        <v>0</v>
      </c>
      <c r="AH491" s="18" t="str">
        <f t="shared" si="134"/>
        <v>0,;!0,;!0,;!0</v>
      </c>
      <c r="AI491" s="18" t="e">
        <f>INDEX([1]Library!$AL:$AL,MATCH(AH491,[1]Library!$AJ:$AJ,0),1)</f>
        <v>#N/A</v>
      </c>
      <c r="AJ491" s="18" t="e">
        <f>TEXT(INDEX([1]Library!$W:$W,MATCH(AH491,[1]Library!$AJ:$AJ,0),1),"")</f>
        <v>#N/A</v>
      </c>
    </row>
    <row r="492" spans="1:36" ht="25.05" customHeight="1" outlineLevel="2">
      <c r="A492" s="376" t="s">
        <v>44</v>
      </c>
      <c r="B492" s="107" t="s">
        <v>44</v>
      </c>
      <c r="C492" s="108" t="s">
        <v>44</v>
      </c>
      <c r="D492" s="109" t="s">
        <v>480</v>
      </c>
      <c r="E492" s="110"/>
      <c r="F492" s="299"/>
      <c r="G492" s="62"/>
      <c r="H492" s="111">
        <v>22</v>
      </c>
      <c r="I492" s="112" t="s">
        <v>122</v>
      </c>
      <c r="J492" s="113">
        <v>1317.4979999999998</v>
      </c>
      <c r="K492" s="114">
        <v>28984.955999999995</v>
      </c>
      <c r="L492" s="113">
        <v>329.37449999999995</v>
      </c>
      <c r="M492" s="114">
        <v>7246.2389999999987</v>
      </c>
      <c r="N492" s="115">
        <v>0</v>
      </c>
      <c r="O492" s="114">
        <v>0</v>
      </c>
      <c r="P492" s="116">
        <v>36231.194999999992</v>
      </c>
      <c r="Q492" s="117">
        <f t="shared" si="139"/>
        <v>1.0306943353937333E-4</v>
      </c>
      <c r="R492" s="114">
        <f t="shared" si="140"/>
        <v>3.0159713013532707</v>
      </c>
      <c r="S492" s="377">
        <f t="shared" si="141"/>
        <v>117.63374999999998</v>
      </c>
      <c r="T492" s="357"/>
      <c r="U492" s="104"/>
      <c r="V492" s="95"/>
      <c r="W492" s="105"/>
      <c r="X492" s="95"/>
      <c r="Y492" s="95"/>
      <c r="Z492" s="95"/>
      <c r="AA492" s="95"/>
      <c r="AB492" s="95"/>
      <c r="AC492" s="95"/>
      <c r="AD492" s="17">
        <f t="shared" si="132"/>
        <v>0</v>
      </c>
      <c r="AE492" s="17">
        <f t="shared" si="138"/>
        <v>0</v>
      </c>
      <c r="AF492" s="17">
        <f t="shared" si="138"/>
        <v>0</v>
      </c>
      <c r="AG492" s="17">
        <f t="shared" si="138"/>
        <v>0</v>
      </c>
      <c r="AH492" s="18" t="str">
        <f t="shared" si="134"/>
        <v>0,;!0,;!0,;!0</v>
      </c>
      <c r="AI492" s="18" t="e">
        <f>INDEX([1]Library!$AL:$AL,MATCH(AH492,[1]Library!$AJ:$AJ,0),1)</f>
        <v>#N/A</v>
      </c>
      <c r="AJ492" s="18" t="e">
        <f>TEXT(INDEX([1]Library!$W:$W,MATCH(AH492,[1]Library!$AJ:$AJ,0),1),"")</f>
        <v>#N/A</v>
      </c>
    </row>
    <row r="493" spans="1:36" ht="25.05" customHeight="1" outlineLevel="2">
      <c r="A493" s="376" t="s">
        <v>44</v>
      </c>
      <c r="B493" s="107" t="s">
        <v>44</v>
      </c>
      <c r="C493" s="108" t="s">
        <v>44</v>
      </c>
      <c r="D493" s="109" t="s">
        <v>481</v>
      </c>
      <c r="E493" s="110"/>
      <c r="F493" s="299"/>
      <c r="G493" s="62"/>
      <c r="H493" s="111">
        <v>10</v>
      </c>
      <c r="I493" s="112" t="s">
        <v>122</v>
      </c>
      <c r="J493" s="113">
        <v>1185.7481999999998</v>
      </c>
      <c r="K493" s="114">
        <v>11857.481999999998</v>
      </c>
      <c r="L493" s="113">
        <v>296.43704999999994</v>
      </c>
      <c r="M493" s="114">
        <v>2964.3704999999995</v>
      </c>
      <c r="N493" s="115">
        <v>0</v>
      </c>
      <c r="O493" s="114">
        <v>0</v>
      </c>
      <c r="P493" s="116">
        <v>14821.852499999997</v>
      </c>
      <c r="Q493" s="117">
        <f t="shared" si="139"/>
        <v>4.2164768266107278E-5</v>
      </c>
      <c r="R493" s="114">
        <f t="shared" si="140"/>
        <v>1.2338064414627017</v>
      </c>
      <c r="S493" s="377">
        <f t="shared" si="141"/>
        <v>48.122897727272715</v>
      </c>
      <c r="T493" s="357"/>
      <c r="U493" s="104"/>
      <c r="V493" s="95"/>
      <c r="W493" s="105"/>
      <c r="X493" s="95"/>
      <c r="Y493" s="95"/>
      <c r="Z493" s="95"/>
      <c r="AA493" s="95"/>
      <c r="AB493" s="95"/>
      <c r="AC493" s="95"/>
      <c r="AD493" s="17">
        <f t="shared" si="132"/>
        <v>0</v>
      </c>
      <c r="AE493" s="17">
        <f t="shared" si="138"/>
        <v>0</v>
      </c>
      <c r="AF493" s="17">
        <f t="shared" si="138"/>
        <v>0</v>
      </c>
      <c r="AG493" s="17">
        <f t="shared" si="138"/>
        <v>0</v>
      </c>
      <c r="AH493" s="18" t="str">
        <f t="shared" si="134"/>
        <v>0,;!0,;!0,;!0</v>
      </c>
      <c r="AI493" s="18" t="e">
        <f>INDEX([1]Library!$AL:$AL,MATCH(AH493,[1]Library!$AJ:$AJ,0),1)</f>
        <v>#N/A</v>
      </c>
      <c r="AJ493" s="18" t="e">
        <f>TEXT(INDEX([1]Library!$W:$W,MATCH(AH493,[1]Library!$AJ:$AJ,0),1),"")</f>
        <v>#N/A</v>
      </c>
    </row>
    <row r="494" spans="1:36" ht="25.05" customHeight="1" outlineLevel="2">
      <c r="A494" s="376" t="s">
        <v>44</v>
      </c>
      <c r="B494" s="107" t="s">
        <v>44</v>
      </c>
      <c r="C494" s="108" t="s">
        <v>44</v>
      </c>
      <c r="D494" s="109" t="s">
        <v>482</v>
      </c>
      <c r="E494" s="110"/>
      <c r="F494" s="299"/>
      <c r="G494" s="62"/>
      <c r="H494" s="111">
        <v>141</v>
      </c>
      <c r="I494" s="112" t="s">
        <v>122</v>
      </c>
      <c r="J494" s="113">
        <v>892.00087822013995</v>
      </c>
      <c r="K494" s="114">
        <v>125772.12382903973</v>
      </c>
      <c r="L494" s="113">
        <v>178.40310304449599</v>
      </c>
      <c r="M494" s="114">
        <v>25154.837529273937</v>
      </c>
      <c r="N494" s="115">
        <v>0</v>
      </c>
      <c r="O494" s="114">
        <v>0</v>
      </c>
      <c r="P494" s="116">
        <v>150926.96135831368</v>
      </c>
      <c r="Q494" s="117">
        <f t="shared" si="139"/>
        <v>4.2935256242639206E-4</v>
      </c>
      <c r="R494" s="114">
        <f t="shared" si="140"/>
        <v>12.563521133021647</v>
      </c>
      <c r="S494" s="377">
        <f t="shared" si="141"/>
        <v>490.02260181270674</v>
      </c>
      <c r="T494" s="357"/>
      <c r="U494" s="104"/>
      <c r="V494" s="95"/>
      <c r="W494" s="105"/>
      <c r="X494" s="95"/>
      <c r="Y494" s="95"/>
      <c r="Z494" s="95"/>
      <c r="AA494" s="95"/>
      <c r="AB494" s="95"/>
      <c r="AC494" s="95"/>
      <c r="AD494" s="17">
        <f t="shared" si="132"/>
        <v>0</v>
      </c>
      <c r="AE494" s="17">
        <f t="shared" ref="AE494:AG509" si="142">IF(AA494=" ",IF($X494&gt;=AE$12,AE493,""),AA494)</f>
        <v>0</v>
      </c>
      <c r="AF494" s="17">
        <f t="shared" si="142"/>
        <v>0</v>
      </c>
      <c r="AG494" s="17">
        <f t="shared" si="142"/>
        <v>0</v>
      </c>
      <c r="AH494" s="18" t="str">
        <f t="shared" si="134"/>
        <v>0,;!0,;!0,;!0</v>
      </c>
      <c r="AI494" s="18" t="e">
        <f>INDEX([1]Library!$AL:$AL,MATCH(AH494,[1]Library!$AJ:$AJ,0),1)</f>
        <v>#N/A</v>
      </c>
      <c r="AJ494" s="18" t="e">
        <f>TEXT(INDEX([1]Library!$W:$W,MATCH(AH494,[1]Library!$AJ:$AJ,0),1),"")</f>
        <v>#N/A</v>
      </c>
    </row>
    <row r="495" spans="1:36" ht="25.05" customHeight="1" outlineLevel="2">
      <c r="A495" s="376" t="s">
        <v>44</v>
      </c>
      <c r="B495" s="107" t="s">
        <v>44</v>
      </c>
      <c r="C495" s="108" t="s">
        <v>44</v>
      </c>
      <c r="D495" s="109" t="s">
        <v>483</v>
      </c>
      <c r="E495" s="110"/>
      <c r="F495" s="299"/>
      <c r="G495" s="62"/>
      <c r="H495" s="111">
        <v>232</v>
      </c>
      <c r="I495" s="112" t="s">
        <v>122</v>
      </c>
      <c r="J495" s="113">
        <v>300.99342660256423</v>
      </c>
      <c r="K495" s="114">
        <v>69830.474971794902</v>
      </c>
      <c r="L495" s="113">
        <v>75.248356650641057</v>
      </c>
      <c r="M495" s="114">
        <v>17457.618742948725</v>
      </c>
      <c r="N495" s="115">
        <v>0</v>
      </c>
      <c r="O495" s="114">
        <v>0</v>
      </c>
      <c r="P495" s="116">
        <v>87288.09371474362</v>
      </c>
      <c r="Q495" s="117">
        <f t="shared" si="139"/>
        <v>2.4831459116682076E-4</v>
      </c>
      <c r="R495" s="114">
        <f t="shared" si="140"/>
        <v>7.2660696284928399</v>
      </c>
      <c r="S495" s="377">
        <f t="shared" si="141"/>
        <v>283.4029016712455</v>
      </c>
      <c r="T495" s="357"/>
      <c r="U495" s="104"/>
      <c r="V495" s="95"/>
      <c r="W495" s="105"/>
      <c r="X495" s="95"/>
      <c r="Y495" s="95"/>
      <c r="Z495" s="95"/>
      <c r="AA495" s="95"/>
      <c r="AB495" s="95"/>
      <c r="AC495" s="95"/>
      <c r="AD495" s="17">
        <f t="shared" si="132"/>
        <v>0</v>
      </c>
      <c r="AE495" s="17">
        <f t="shared" si="142"/>
        <v>0</v>
      </c>
      <c r="AF495" s="17">
        <f t="shared" si="142"/>
        <v>0</v>
      </c>
      <c r="AG495" s="17">
        <f t="shared" si="142"/>
        <v>0</v>
      </c>
      <c r="AH495" s="18" t="str">
        <f t="shared" si="134"/>
        <v>0,;!0,;!0,;!0</v>
      </c>
      <c r="AI495" s="18" t="e">
        <f>INDEX([1]Library!$AL:$AL,MATCH(AH495,[1]Library!$AJ:$AJ,0),1)</f>
        <v>#N/A</v>
      </c>
      <c r="AJ495" s="18" t="e">
        <f>TEXT(INDEX([1]Library!$W:$W,MATCH(AH495,[1]Library!$AJ:$AJ,0),1),"")</f>
        <v>#N/A</v>
      </c>
    </row>
    <row r="496" spans="1:36" ht="25.05" customHeight="1" outlineLevel="2">
      <c r="A496" s="376" t="s">
        <v>44</v>
      </c>
      <c r="B496" s="107" t="s">
        <v>44</v>
      </c>
      <c r="C496" s="108" t="s">
        <v>44</v>
      </c>
      <c r="D496" s="109" t="s">
        <v>484</v>
      </c>
      <c r="E496" s="110"/>
      <c r="F496" s="299"/>
      <c r="G496" s="62"/>
      <c r="H496" s="111">
        <v>150</v>
      </c>
      <c r="I496" s="112" t="s">
        <v>122</v>
      </c>
      <c r="J496" s="113">
        <v>275.54000000000002</v>
      </c>
      <c r="K496" s="114">
        <v>41331</v>
      </c>
      <c r="L496" s="113">
        <v>68.885000000000005</v>
      </c>
      <c r="M496" s="114">
        <v>10332.75</v>
      </c>
      <c r="N496" s="115">
        <v>0</v>
      </c>
      <c r="O496" s="114">
        <v>0</v>
      </c>
      <c r="P496" s="116">
        <v>51663.75</v>
      </c>
      <c r="Q496" s="117">
        <f t="shared" si="139"/>
        <v>1.4697151024192827E-4</v>
      </c>
      <c r="R496" s="114">
        <f t="shared" si="140"/>
        <v>4.3006140791185627</v>
      </c>
      <c r="S496" s="377">
        <f t="shared" si="141"/>
        <v>167.73944805194805</v>
      </c>
      <c r="T496" s="357"/>
      <c r="U496" s="104"/>
      <c r="V496" s="95"/>
      <c r="W496" s="105"/>
      <c r="X496" s="95"/>
      <c r="Y496" s="95"/>
      <c r="Z496" s="95"/>
      <c r="AA496" s="95"/>
      <c r="AB496" s="95"/>
      <c r="AC496" s="95"/>
      <c r="AD496" s="17">
        <f t="shared" si="132"/>
        <v>0</v>
      </c>
      <c r="AE496" s="17">
        <f t="shared" si="142"/>
        <v>0</v>
      </c>
      <c r="AF496" s="17">
        <f t="shared" si="142"/>
        <v>0</v>
      </c>
      <c r="AG496" s="17">
        <f t="shared" si="142"/>
        <v>0</v>
      </c>
      <c r="AH496" s="18" t="str">
        <f t="shared" si="134"/>
        <v>0,;!0,;!0,;!0</v>
      </c>
      <c r="AI496" s="18" t="e">
        <f>INDEX([1]Library!$AL:$AL,MATCH(AH496,[1]Library!$AJ:$AJ,0),1)</f>
        <v>#N/A</v>
      </c>
      <c r="AJ496" s="18" t="e">
        <f>TEXT(INDEX([1]Library!$W:$W,MATCH(AH496,[1]Library!$AJ:$AJ,0),1),"")</f>
        <v>#N/A</v>
      </c>
    </row>
    <row r="497" spans="1:36" ht="25.05" customHeight="1" outlineLevel="2">
      <c r="A497" s="376" t="s">
        <v>44</v>
      </c>
      <c r="B497" s="107" t="s">
        <v>44</v>
      </c>
      <c r="C497" s="108" t="s">
        <v>44</v>
      </c>
      <c r="D497" s="109" t="s">
        <v>485</v>
      </c>
      <c r="E497" s="110"/>
      <c r="F497" s="299"/>
      <c r="G497" s="62"/>
      <c r="H497" s="111">
        <v>66</v>
      </c>
      <c r="I497" s="112" t="s">
        <v>122</v>
      </c>
      <c r="J497" s="113">
        <v>103.28</v>
      </c>
      <c r="K497" s="114">
        <v>6816.4800000000005</v>
      </c>
      <c r="L497" s="113">
        <v>25.82</v>
      </c>
      <c r="M497" s="114">
        <v>1704.1200000000001</v>
      </c>
      <c r="N497" s="115">
        <v>0</v>
      </c>
      <c r="O497" s="114">
        <v>0</v>
      </c>
      <c r="P497" s="116">
        <v>8520.6</v>
      </c>
      <c r="Q497" s="117">
        <f t="shared" si="139"/>
        <v>2.4239151245648526E-5</v>
      </c>
      <c r="R497" s="114">
        <f t="shared" si="140"/>
        <v>0.70927511693474876</v>
      </c>
      <c r="S497" s="377">
        <f t="shared" si="141"/>
        <v>27.664285714285715</v>
      </c>
      <c r="T497" s="357"/>
      <c r="U497" s="104"/>
      <c r="V497" s="95"/>
      <c r="W497" s="105"/>
      <c r="X497" s="95"/>
      <c r="Y497" s="95"/>
      <c r="Z497" s="95"/>
      <c r="AA497" s="95"/>
      <c r="AB497" s="95"/>
      <c r="AC497" s="95"/>
      <c r="AD497" s="17">
        <f t="shared" si="132"/>
        <v>0</v>
      </c>
      <c r="AE497" s="17">
        <f t="shared" si="142"/>
        <v>0</v>
      </c>
      <c r="AF497" s="17">
        <f t="shared" si="142"/>
        <v>0</v>
      </c>
      <c r="AG497" s="17">
        <f t="shared" si="142"/>
        <v>0</v>
      </c>
      <c r="AH497" s="18" t="str">
        <f t="shared" si="134"/>
        <v>0,;!0,;!0,;!0</v>
      </c>
      <c r="AI497" s="18" t="e">
        <f>INDEX([1]Library!$AL:$AL,MATCH(AH497,[1]Library!$AJ:$AJ,0),1)</f>
        <v>#N/A</v>
      </c>
      <c r="AJ497" s="18" t="e">
        <f>TEXT(INDEX([1]Library!$W:$W,MATCH(AH497,[1]Library!$AJ:$AJ,0),1),"")</f>
        <v>#N/A</v>
      </c>
    </row>
    <row r="498" spans="1:36" ht="25.05" customHeight="1" outlineLevel="1">
      <c r="A498" s="374" t="s">
        <v>44</v>
      </c>
      <c r="B498" s="96" t="s">
        <v>44</v>
      </c>
      <c r="C498" s="97" t="s">
        <v>486</v>
      </c>
      <c r="D498" s="97"/>
      <c r="E498" s="98"/>
      <c r="F498" s="298"/>
      <c r="G498" s="62"/>
      <c r="H498" s="99">
        <v>1</v>
      </c>
      <c r="I498" s="100" t="s">
        <v>35</v>
      </c>
      <c r="J498" s="99">
        <v>492939.47399999993</v>
      </c>
      <c r="K498" s="99">
        <v>492939.47399999993</v>
      </c>
      <c r="L498" s="99">
        <v>123234.86849999998</v>
      </c>
      <c r="M498" s="99">
        <v>123234.86849999998</v>
      </c>
      <c r="N498" s="99">
        <v>0</v>
      </c>
      <c r="O498" s="99">
        <v>0</v>
      </c>
      <c r="P498" s="101">
        <v>616174.34249999991</v>
      </c>
      <c r="Q498" s="102">
        <f>P498/P$13</f>
        <v>1.7528745723946124E-3</v>
      </c>
      <c r="R498" s="103">
        <f>P498/I$5</f>
        <v>51.291825555580516</v>
      </c>
      <c r="S498" s="375">
        <f>P498/I$7</f>
        <v>2000.5660470779219</v>
      </c>
      <c r="T498" s="356"/>
      <c r="U498" s="104"/>
      <c r="V498" s="95"/>
      <c r="W498" s="105"/>
      <c r="X498" s="95"/>
      <c r="Y498" s="95"/>
      <c r="Z498" s="95"/>
      <c r="AA498" s="95"/>
      <c r="AB498" s="95"/>
      <c r="AC498" s="95"/>
      <c r="AD498" s="17">
        <f t="shared" si="132"/>
        <v>0</v>
      </c>
      <c r="AE498" s="17">
        <f t="shared" si="142"/>
        <v>0</v>
      </c>
      <c r="AF498" s="17">
        <f t="shared" si="142"/>
        <v>0</v>
      </c>
      <c r="AG498" s="17">
        <f t="shared" si="142"/>
        <v>0</v>
      </c>
      <c r="AH498" s="18" t="str">
        <f t="shared" si="134"/>
        <v>0,;!0,;!0,;!0</v>
      </c>
      <c r="AI498" s="18" t="e">
        <f>INDEX([1]Library!$AL:$AL,MATCH(AH498,[1]Library!$AJ:$AJ,0),1)</f>
        <v>#N/A</v>
      </c>
      <c r="AJ498" s="18" t="e">
        <f>TEXT(INDEX([1]Library!$W:$W,MATCH(AH498,[1]Library!$AJ:$AJ,0),1),"")</f>
        <v>#N/A</v>
      </c>
    </row>
    <row r="499" spans="1:36" ht="25.05" customHeight="1" outlineLevel="2">
      <c r="A499" s="376" t="s">
        <v>44</v>
      </c>
      <c r="B499" s="107" t="s">
        <v>44</v>
      </c>
      <c r="C499" s="108" t="s">
        <v>44</v>
      </c>
      <c r="D499" s="109" t="s">
        <v>477</v>
      </c>
      <c r="E499" s="110"/>
      <c r="F499" s="299"/>
      <c r="G499" s="62"/>
      <c r="H499" s="111">
        <v>123</v>
      </c>
      <c r="I499" s="112" t="s">
        <v>122</v>
      </c>
      <c r="J499" s="113">
        <v>2690.14</v>
      </c>
      <c r="K499" s="114">
        <v>330887.21999999997</v>
      </c>
      <c r="L499" s="113">
        <v>672.53499999999997</v>
      </c>
      <c r="M499" s="114">
        <v>82721.804999999993</v>
      </c>
      <c r="N499" s="115">
        <v>0</v>
      </c>
      <c r="O499" s="114">
        <v>0</v>
      </c>
      <c r="P499" s="116">
        <v>413609.02499999997</v>
      </c>
      <c r="Q499" s="117">
        <f t="shared" ref="Q499:Q500" si="143">P499/P$13</f>
        <v>1.1766227394244798E-3</v>
      </c>
      <c r="R499" s="114">
        <f t="shared" ref="R499:R500" si="144">P499/I$5</f>
        <v>34.429804188923598</v>
      </c>
      <c r="S499" s="377">
        <f t="shared" ref="S499:S500" si="145">P499/I$7</f>
        <v>1342.8864448051947</v>
      </c>
      <c r="T499" s="357"/>
      <c r="U499" s="104"/>
      <c r="V499" s="95"/>
      <c r="W499" s="105"/>
      <c r="X499" s="95"/>
      <c r="Y499" s="95"/>
      <c r="Z499" s="95"/>
      <c r="AA499" s="95"/>
      <c r="AB499" s="95"/>
      <c r="AC499" s="95"/>
      <c r="AD499" s="17">
        <f t="shared" si="132"/>
        <v>0</v>
      </c>
      <c r="AE499" s="17">
        <f t="shared" si="142"/>
        <v>0</v>
      </c>
      <c r="AF499" s="17">
        <f t="shared" si="142"/>
        <v>0</v>
      </c>
      <c r="AG499" s="17">
        <f t="shared" si="142"/>
        <v>0</v>
      </c>
      <c r="AH499" s="18" t="str">
        <f t="shared" si="134"/>
        <v>0,;!0,;!0,;!0</v>
      </c>
      <c r="AI499" s="18" t="e">
        <f>INDEX([1]Library!$AL:$AL,MATCH(AH499,[1]Library!$AJ:$AJ,0),1)</f>
        <v>#N/A</v>
      </c>
      <c r="AJ499" s="18" t="e">
        <f>TEXT(INDEX([1]Library!$W:$W,MATCH(AH499,[1]Library!$AJ:$AJ,0),1),"")</f>
        <v>#N/A</v>
      </c>
    </row>
    <row r="500" spans="1:36" ht="25.05" customHeight="1" outlineLevel="2">
      <c r="A500" s="376" t="s">
        <v>44</v>
      </c>
      <c r="B500" s="107" t="s">
        <v>44</v>
      </c>
      <c r="C500" s="108" t="s">
        <v>44</v>
      </c>
      <c r="D500" s="109" t="s">
        <v>480</v>
      </c>
      <c r="E500" s="110"/>
      <c r="F500" s="299"/>
      <c r="G500" s="62"/>
      <c r="H500" s="111">
        <v>123</v>
      </c>
      <c r="I500" s="112" t="s">
        <v>122</v>
      </c>
      <c r="J500" s="113">
        <v>1317.4979999999998</v>
      </c>
      <c r="K500" s="114">
        <v>162052.25399999999</v>
      </c>
      <c r="L500" s="113">
        <v>329.37449999999995</v>
      </c>
      <c r="M500" s="114">
        <v>40513.063499999997</v>
      </c>
      <c r="N500" s="115">
        <v>0</v>
      </c>
      <c r="O500" s="114">
        <v>0</v>
      </c>
      <c r="P500" s="116">
        <v>202565.31749999998</v>
      </c>
      <c r="Q500" s="117">
        <f t="shared" si="143"/>
        <v>5.7625183297013282E-4</v>
      </c>
      <c r="R500" s="114">
        <f t="shared" si="144"/>
        <v>16.862021366656926</v>
      </c>
      <c r="S500" s="377">
        <f t="shared" si="145"/>
        <v>657.67960227272715</v>
      </c>
      <c r="T500" s="357"/>
      <c r="U500" s="104"/>
      <c r="V500" s="95"/>
      <c r="W500" s="105"/>
      <c r="X500" s="95"/>
      <c r="Y500" s="95"/>
      <c r="Z500" s="95"/>
      <c r="AA500" s="95"/>
      <c r="AB500" s="95"/>
      <c r="AC500" s="95"/>
      <c r="AD500" s="17">
        <f t="shared" si="132"/>
        <v>0</v>
      </c>
      <c r="AE500" s="17">
        <f t="shared" si="142"/>
        <v>0</v>
      </c>
      <c r="AF500" s="17">
        <f t="shared" si="142"/>
        <v>0</v>
      </c>
      <c r="AG500" s="17">
        <f t="shared" si="142"/>
        <v>0</v>
      </c>
      <c r="AH500" s="18" t="str">
        <f t="shared" si="134"/>
        <v>0,;!0,;!0,;!0</v>
      </c>
      <c r="AI500" s="18" t="e">
        <f>INDEX([1]Library!$AL:$AL,MATCH(AH500,[1]Library!$AJ:$AJ,0),1)</f>
        <v>#N/A</v>
      </c>
      <c r="AJ500" s="18" t="e">
        <f>TEXT(INDEX([1]Library!$W:$W,MATCH(AH500,[1]Library!$AJ:$AJ,0),1),"")</f>
        <v>#N/A</v>
      </c>
    </row>
    <row r="501" spans="1:36" ht="25.05" customHeight="1" outlineLevel="1">
      <c r="A501" s="374" t="s">
        <v>44</v>
      </c>
      <c r="B501" s="96" t="s">
        <v>44</v>
      </c>
      <c r="C501" s="97" t="s">
        <v>487</v>
      </c>
      <c r="D501" s="97"/>
      <c r="E501" s="98"/>
      <c r="F501" s="298"/>
      <c r="G501" s="62"/>
      <c r="H501" s="99">
        <v>1</v>
      </c>
      <c r="I501" s="100" t="s">
        <v>35</v>
      </c>
      <c r="J501" s="99">
        <v>582687.90975409851</v>
      </c>
      <c r="K501" s="99">
        <v>582687.90975409851</v>
      </c>
      <c r="L501" s="99">
        <v>126558.08143442623</v>
      </c>
      <c r="M501" s="99">
        <v>126558.08143442623</v>
      </c>
      <c r="N501" s="99">
        <v>0</v>
      </c>
      <c r="O501" s="99">
        <v>0</v>
      </c>
      <c r="P501" s="101">
        <v>709245.99118852476</v>
      </c>
      <c r="Q501" s="102">
        <f>P501/P$13</f>
        <v>2.0176420499481906E-3</v>
      </c>
      <c r="R501" s="103">
        <f>P501/I$5</f>
        <v>59.039332128693133</v>
      </c>
      <c r="S501" s="375">
        <f>P501/I$7</f>
        <v>2302.7467246380675</v>
      </c>
      <c r="T501" s="356"/>
      <c r="U501" s="104"/>
      <c r="V501" s="95"/>
      <c r="W501" s="105"/>
      <c r="X501" s="95"/>
      <c r="Y501" s="95"/>
      <c r="Z501" s="95"/>
      <c r="AA501" s="95"/>
      <c r="AB501" s="95"/>
      <c r="AC501" s="95"/>
      <c r="AD501" s="17">
        <f t="shared" si="132"/>
        <v>0</v>
      </c>
      <c r="AE501" s="17">
        <f t="shared" si="142"/>
        <v>0</v>
      </c>
      <c r="AF501" s="17">
        <f t="shared" si="142"/>
        <v>0</v>
      </c>
      <c r="AG501" s="17">
        <f t="shared" si="142"/>
        <v>0</v>
      </c>
      <c r="AH501" s="18" t="str">
        <f t="shared" si="134"/>
        <v>0,;!0,;!0,;!0</v>
      </c>
      <c r="AI501" s="18" t="e">
        <f>INDEX([1]Library!$AL:$AL,MATCH(AH501,[1]Library!$AJ:$AJ,0),1)</f>
        <v>#N/A</v>
      </c>
      <c r="AJ501" s="18" t="e">
        <f>TEXT(INDEX([1]Library!$W:$W,MATCH(AH501,[1]Library!$AJ:$AJ,0),1),"")</f>
        <v>#N/A</v>
      </c>
    </row>
    <row r="502" spans="1:36" ht="25.05" customHeight="1" outlineLevel="2">
      <c r="A502" s="376" t="s">
        <v>44</v>
      </c>
      <c r="B502" s="107" t="s">
        <v>44</v>
      </c>
      <c r="C502" s="108" t="s">
        <v>44</v>
      </c>
      <c r="D502" s="109" t="s">
        <v>485</v>
      </c>
      <c r="E502" s="110"/>
      <c r="F502" s="299"/>
      <c r="G502" s="62"/>
      <c r="H502" s="111">
        <v>836</v>
      </c>
      <c r="I502" s="112" t="s">
        <v>122</v>
      </c>
      <c r="J502" s="113">
        <v>103.27999999999999</v>
      </c>
      <c r="K502" s="114">
        <v>86342.079999999987</v>
      </c>
      <c r="L502" s="113">
        <v>25.819999999999997</v>
      </c>
      <c r="M502" s="114">
        <v>21585.519999999997</v>
      </c>
      <c r="N502" s="115">
        <v>0</v>
      </c>
      <c r="O502" s="114">
        <v>0</v>
      </c>
      <c r="P502" s="116">
        <v>107927.59999999998</v>
      </c>
      <c r="Q502" s="117">
        <f t="shared" ref="Q502:Q504" si="146">P502/P$13</f>
        <v>3.0702924911154791E-4</v>
      </c>
      <c r="R502" s="114">
        <f t="shared" ref="R502:R504" si="147">P502/I$5</f>
        <v>8.9841514811734822</v>
      </c>
      <c r="S502" s="377">
        <f t="shared" ref="S502:S504" si="148">P502/I$7</f>
        <v>350.41428571428565</v>
      </c>
      <c r="T502" s="357"/>
      <c r="U502" s="104"/>
      <c r="V502" s="95"/>
      <c r="W502" s="105"/>
      <c r="X502" s="95"/>
      <c r="Y502" s="95"/>
      <c r="Z502" s="95"/>
      <c r="AA502" s="95"/>
      <c r="AB502" s="95"/>
      <c r="AC502" s="95"/>
      <c r="AD502" s="17">
        <f t="shared" si="132"/>
        <v>0</v>
      </c>
      <c r="AE502" s="17">
        <f t="shared" si="142"/>
        <v>0</v>
      </c>
      <c r="AF502" s="17">
        <f t="shared" si="142"/>
        <v>0</v>
      </c>
      <c r="AG502" s="17">
        <f t="shared" si="142"/>
        <v>0</v>
      </c>
      <c r="AH502" s="18" t="str">
        <f t="shared" si="134"/>
        <v>0,;!0,;!0,;!0</v>
      </c>
      <c r="AI502" s="18" t="e">
        <f>INDEX([1]Library!$AL:$AL,MATCH(AH502,[1]Library!$AJ:$AJ,0),1)</f>
        <v>#N/A</v>
      </c>
      <c r="AJ502" s="18" t="e">
        <f>TEXT(INDEX([1]Library!$W:$W,MATCH(AH502,[1]Library!$AJ:$AJ,0),1),"")</f>
        <v>#N/A</v>
      </c>
    </row>
    <row r="503" spans="1:36" ht="25.05" customHeight="1" outlineLevel="2">
      <c r="A503" s="376" t="s">
        <v>44</v>
      </c>
      <c r="B503" s="107" t="s">
        <v>44</v>
      </c>
      <c r="C503" s="108" t="s">
        <v>44</v>
      </c>
      <c r="D503" s="109" t="s">
        <v>488</v>
      </c>
      <c r="E503" s="110"/>
      <c r="F503" s="299"/>
      <c r="G503" s="62"/>
      <c r="H503" s="111">
        <v>936</v>
      </c>
      <c r="I503" s="112" t="s">
        <v>122</v>
      </c>
      <c r="J503" s="113">
        <v>121.94</v>
      </c>
      <c r="K503" s="114">
        <v>114135.84</v>
      </c>
      <c r="L503" s="113">
        <v>30.484999999999999</v>
      </c>
      <c r="M503" s="114">
        <v>28533.96</v>
      </c>
      <c r="N503" s="115">
        <v>0</v>
      </c>
      <c r="O503" s="114">
        <v>0</v>
      </c>
      <c r="P503" s="116">
        <v>142669.79999999999</v>
      </c>
      <c r="Q503" s="117">
        <f t="shared" si="146"/>
        <v>4.0586283364861932E-4</v>
      </c>
      <c r="R503" s="114">
        <f t="shared" si="147"/>
        <v>11.876175278508228</v>
      </c>
      <c r="S503" s="377">
        <f t="shared" si="148"/>
        <v>463.21363636363634</v>
      </c>
      <c r="T503" s="357"/>
      <c r="U503" s="104"/>
      <c r="V503" s="95"/>
      <c r="W503" s="105"/>
      <c r="X503" s="95"/>
      <c r="Y503" s="95"/>
      <c r="Z503" s="95"/>
      <c r="AA503" s="95"/>
      <c r="AB503" s="95"/>
      <c r="AC503" s="95"/>
      <c r="AD503" s="17">
        <f t="shared" si="132"/>
        <v>0</v>
      </c>
      <c r="AE503" s="17">
        <f t="shared" si="142"/>
        <v>0</v>
      </c>
      <c r="AF503" s="17">
        <f t="shared" si="142"/>
        <v>0</v>
      </c>
      <c r="AG503" s="17">
        <f t="shared" si="142"/>
        <v>0</v>
      </c>
      <c r="AH503" s="18" t="str">
        <f t="shared" si="134"/>
        <v>0,;!0,;!0,;!0</v>
      </c>
      <c r="AI503" s="18" t="e">
        <f>INDEX([1]Library!$AL:$AL,MATCH(AH503,[1]Library!$AJ:$AJ,0),1)</f>
        <v>#N/A</v>
      </c>
      <c r="AJ503" s="18" t="e">
        <f>TEXT(INDEX([1]Library!$W:$W,MATCH(AH503,[1]Library!$AJ:$AJ,0),1),"")</f>
        <v>#N/A</v>
      </c>
    </row>
    <row r="504" spans="1:36" ht="25.05" customHeight="1" outlineLevel="2">
      <c r="A504" s="376" t="s">
        <v>44</v>
      </c>
      <c r="B504" s="107" t="s">
        <v>44</v>
      </c>
      <c r="C504" s="108" t="s">
        <v>44</v>
      </c>
      <c r="D504" s="109" t="s">
        <v>489</v>
      </c>
      <c r="E504" s="110"/>
      <c r="F504" s="299"/>
      <c r="G504" s="62"/>
      <c r="H504" s="111">
        <v>2320.5</v>
      </c>
      <c r="I504" s="112" t="s">
        <v>122</v>
      </c>
      <c r="J504" s="113">
        <v>164.71018735363</v>
      </c>
      <c r="K504" s="114">
        <v>382209.98975409841</v>
      </c>
      <c r="L504" s="113">
        <v>32.94057377049181</v>
      </c>
      <c r="M504" s="114">
        <v>76438.601434426237</v>
      </c>
      <c r="N504" s="115">
        <v>0</v>
      </c>
      <c r="O504" s="114">
        <v>0</v>
      </c>
      <c r="P504" s="116">
        <v>458648.59118852462</v>
      </c>
      <c r="Q504" s="117">
        <f t="shared" si="146"/>
        <v>1.3047499671880228E-3</v>
      </c>
      <c r="R504" s="114">
        <f t="shared" si="147"/>
        <v>38.179005369011406</v>
      </c>
      <c r="S504" s="377">
        <f t="shared" si="148"/>
        <v>1489.1188025601448</v>
      </c>
      <c r="T504" s="357"/>
      <c r="U504" s="104"/>
      <c r="V504" s="95"/>
      <c r="W504" s="105"/>
      <c r="X504" s="95"/>
      <c r="Y504" s="95"/>
      <c r="Z504" s="95"/>
      <c r="AA504" s="95"/>
      <c r="AB504" s="95"/>
      <c r="AC504" s="95"/>
      <c r="AD504" s="17">
        <f t="shared" si="132"/>
        <v>0</v>
      </c>
      <c r="AE504" s="17">
        <f t="shared" si="142"/>
        <v>0</v>
      </c>
      <c r="AF504" s="17">
        <f t="shared" si="142"/>
        <v>0</v>
      </c>
      <c r="AG504" s="17">
        <f t="shared" si="142"/>
        <v>0</v>
      </c>
      <c r="AH504" s="18" t="str">
        <f t="shared" si="134"/>
        <v>0,;!0,;!0,;!0</v>
      </c>
      <c r="AI504" s="18" t="e">
        <f>INDEX([1]Library!$AL:$AL,MATCH(AH504,[1]Library!$AJ:$AJ,0),1)</f>
        <v>#N/A</v>
      </c>
      <c r="AJ504" s="18" t="e">
        <f>TEXT(INDEX([1]Library!$W:$W,MATCH(AH504,[1]Library!$AJ:$AJ,0),1),"")</f>
        <v>#N/A</v>
      </c>
    </row>
    <row r="505" spans="1:36" ht="25.05" customHeight="1" outlineLevel="1">
      <c r="A505" s="374" t="s">
        <v>44</v>
      </c>
      <c r="B505" s="96" t="s">
        <v>44</v>
      </c>
      <c r="C505" s="97" t="s">
        <v>490</v>
      </c>
      <c r="D505" s="97"/>
      <c r="E505" s="98"/>
      <c r="F505" s="298"/>
      <c r="G505" s="62"/>
      <c r="H505" s="99">
        <v>1</v>
      </c>
      <c r="I505" s="100" t="s">
        <v>35</v>
      </c>
      <c r="J505" s="99">
        <v>3078821.7081381744</v>
      </c>
      <c r="K505" s="99">
        <v>3078821.7081381744</v>
      </c>
      <c r="L505" s="99">
        <v>322472.09938524599</v>
      </c>
      <c r="M505" s="99">
        <v>322472.09938524599</v>
      </c>
      <c r="N505" s="99">
        <v>0</v>
      </c>
      <c r="O505" s="99">
        <v>0</v>
      </c>
      <c r="P505" s="101">
        <v>3401293.8075234205</v>
      </c>
      <c r="Q505" s="102">
        <f>P505/P$13</f>
        <v>9.6759001750402474E-3</v>
      </c>
      <c r="R505" s="103">
        <f>P505/I$5</f>
        <v>283.13182910365595</v>
      </c>
      <c r="S505" s="375">
        <f>P505/I$7</f>
        <v>11043.161712738378</v>
      </c>
      <c r="T505" s="356"/>
      <c r="U505" s="104"/>
      <c r="V505" s="95"/>
      <c r="W505" s="105"/>
      <c r="X505" s="95"/>
      <c r="Y505" s="95"/>
      <c r="Z505" s="95"/>
      <c r="AA505" s="95"/>
      <c r="AB505" s="95"/>
      <c r="AC505" s="95"/>
      <c r="AD505" s="17">
        <f t="shared" si="132"/>
        <v>0</v>
      </c>
      <c r="AE505" s="17">
        <f t="shared" si="142"/>
        <v>0</v>
      </c>
      <c r="AF505" s="17">
        <f t="shared" si="142"/>
        <v>0</v>
      </c>
      <c r="AG505" s="17">
        <f t="shared" si="142"/>
        <v>0</v>
      </c>
      <c r="AH505" s="18" t="str">
        <f t="shared" si="134"/>
        <v>0,;!0,;!0,;!0</v>
      </c>
      <c r="AI505" s="18" t="e">
        <f>INDEX([1]Library!$AL:$AL,MATCH(AH505,[1]Library!$AJ:$AJ,0),1)</f>
        <v>#N/A</v>
      </c>
      <c r="AJ505" s="18" t="e">
        <f>TEXT(INDEX([1]Library!$W:$W,MATCH(AH505,[1]Library!$AJ:$AJ,0),1),"")</f>
        <v>#N/A</v>
      </c>
    </row>
    <row r="506" spans="1:36" ht="25.05" customHeight="1" outlineLevel="2">
      <c r="A506" s="376" t="s">
        <v>44</v>
      </c>
      <c r="B506" s="107" t="s">
        <v>44</v>
      </c>
      <c r="C506" s="108" t="s">
        <v>44</v>
      </c>
      <c r="D506" s="109" t="s">
        <v>491</v>
      </c>
      <c r="E506" s="110"/>
      <c r="F506" s="299"/>
      <c r="G506" s="62"/>
      <c r="H506" s="111">
        <v>8</v>
      </c>
      <c r="I506" s="112" t="s">
        <v>140</v>
      </c>
      <c r="J506" s="113">
        <v>34800</v>
      </c>
      <c r="K506" s="114">
        <v>278400</v>
      </c>
      <c r="L506" s="113">
        <v>3828</v>
      </c>
      <c r="M506" s="114">
        <v>30624</v>
      </c>
      <c r="N506" s="115">
        <v>0</v>
      </c>
      <c r="O506" s="114">
        <v>0</v>
      </c>
      <c r="P506" s="116">
        <v>309024</v>
      </c>
      <c r="Q506" s="117">
        <f t="shared" ref="Q506:Q525" si="149">P506/P$13</f>
        <v>8.7910234895844069E-4</v>
      </c>
      <c r="R506" s="114">
        <f t="shared" ref="R506:R525" si="150">P506/I$5</f>
        <v>25.723896642917612</v>
      </c>
      <c r="S506" s="377">
        <f t="shared" ref="S506:S525" si="151">P506/I$7</f>
        <v>1003.3246753246754</v>
      </c>
      <c r="T506" s="357"/>
      <c r="U506" s="104"/>
      <c r="V506" s="95"/>
      <c r="W506" s="105"/>
      <c r="X506" s="95"/>
      <c r="Y506" s="95"/>
      <c r="Z506" s="95"/>
      <c r="AA506" s="95"/>
      <c r="AB506" s="95"/>
      <c r="AC506" s="95"/>
      <c r="AD506" s="17">
        <f t="shared" si="132"/>
        <v>0</v>
      </c>
      <c r="AE506" s="17">
        <f t="shared" si="142"/>
        <v>0</v>
      </c>
      <c r="AF506" s="17">
        <f t="shared" si="142"/>
        <v>0</v>
      </c>
      <c r="AG506" s="17">
        <f t="shared" si="142"/>
        <v>0</v>
      </c>
      <c r="AH506" s="18" t="str">
        <f t="shared" si="134"/>
        <v>0,;!0,;!0,;!0</v>
      </c>
      <c r="AI506" s="18" t="e">
        <f>INDEX([1]Library!$AL:$AL,MATCH(AH506,[1]Library!$AJ:$AJ,0),1)</f>
        <v>#N/A</v>
      </c>
      <c r="AJ506" s="18" t="e">
        <f>TEXT(INDEX([1]Library!$W:$W,MATCH(AH506,[1]Library!$AJ:$AJ,0),1),"")</f>
        <v>#N/A</v>
      </c>
    </row>
    <row r="507" spans="1:36" ht="25.05" customHeight="1" outlineLevel="2">
      <c r="A507" s="376" t="s">
        <v>44</v>
      </c>
      <c r="B507" s="107" t="s">
        <v>44</v>
      </c>
      <c r="C507" s="108" t="s">
        <v>44</v>
      </c>
      <c r="D507" s="109" t="s">
        <v>492</v>
      </c>
      <c r="E507" s="110"/>
      <c r="F507" s="299"/>
      <c r="G507" s="62"/>
      <c r="H507" s="111">
        <v>20</v>
      </c>
      <c r="I507" s="112" t="s">
        <v>140</v>
      </c>
      <c r="J507" s="113">
        <v>19200</v>
      </c>
      <c r="K507" s="114">
        <v>384000</v>
      </c>
      <c r="L507" s="113">
        <v>2112</v>
      </c>
      <c r="M507" s="114">
        <v>42240</v>
      </c>
      <c r="N507" s="115">
        <v>0</v>
      </c>
      <c r="O507" s="114">
        <v>0</v>
      </c>
      <c r="P507" s="116">
        <v>426240</v>
      </c>
      <c r="Q507" s="117">
        <f t="shared" si="149"/>
        <v>1.2125549640806079E-3</v>
      </c>
      <c r="R507" s="114">
        <f t="shared" si="150"/>
        <v>35.481236748851877</v>
      </c>
      <c r="S507" s="377">
        <f t="shared" si="151"/>
        <v>1383.8961038961038</v>
      </c>
      <c r="T507" s="357"/>
      <c r="U507" s="104"/>
      <c r="V507" s="95"/>
      <c r="W507" s="105"/>
      <c r="X507" s="95"/>
      <c r="Y507" s="95"/>
      <c r="Z507" s="95"/>
      <c r="AA507" s="95"/>
      <c r="AB507" s="95"/>
      <c r="AC507" s="95"/>
      <c r="AD507" s="17">
        <f t="shared" si="132"/>
        <v>0</v>
      </c>
      <c r="AE507" s="17">
        <f t="shared" si="142"/>
        <v>0</v>
      </c>
      <c r="AF507" s="17">
        <f t="shared" si="142"/>
        <v>0</v>
      </c>
      <c r="AG507" s="17">
        <f t="shared" si="142"/>
        <v>0</v>
      </c>
      <c r="AH507" s="18" t="str">
        <f t="shared" si="134"/>
        <v>0,;!0,;!0,;!0</v>
      </c>
      <c r="AI507" s="18" t="e">
        <f>INDEX([1]Library!$AL:$AL,MATCH(AH507,[1]Library!$AJ:$AJ,0),1)</f>
        <v>#N/A</v>
      </c>
      <c r="AJ507" s="18" t="e">
        <f>TEXT(INDEX([1]Library!$W:$W,MATCH(AH507,[1]Library!$AJ:$AJ,0),1),"")</f>
        <v>#N/A</v>
      </c>
    </row>
    <row r="508" spans="1:36" ht="25.05" customHeight="1" outlineLevel="2">
      <c r="A508" s="376" t="s">
        <v>44</v>
      </c>
      <c r="B508" s="107" t="s">
        <v>44</v>
      </c>
      <c r="C508" s="108" t="s">
        <v>44</v>
      </c>
      <c r="D508" s="109" t="s">
        <v>493</v>
      </c>
      <c r="E508" s="110"/>
      <c r="F508" s="299"/>
      <c r="G508" s="62"/>
      <c r="H508" s="111">
        <v>3</v>
      </c>
      <c r="I508" s="112" t="s">
        <v>140</v>
      </c>
      <c r="J508" s="113">
        <v>9200</v>
      </c>
      <c r="K508" s="114">
        <v>27600</v>
      </c>
      <c r="L508" s="113">
        <v>1012</v>
      </c>
      <c r="M508" s="114">
        <v>3036</v>
      </c>
      <c r="N508" s="115">
        <v>0</v>
      </c>
      <c r="O508" s="114">
        <v>0</v>
      </c>
      <c r="P508" s="116">
        <v>30636</v>
      </c>
      <c r="Q508" s="117">
        <f t="shared" si="149"/>
        <v>8.7152388043293687E-5</v>
      </c>
      <c r="R508" s="114">
        <f t="shared" si="150"/>
        <v>2.5502138913237289</v>
      </c>
      <c r="S508" s="377">
        <f t="shared" si="151"/>
        <v>99.467532467532465</v>
      </c>
      <c r="T508" s="357"/>
      <c r="U508" s="104"/>
      <c r="V508" s="95"/>
      <c r="W508" s="105"/>
      <c r="X508" s="95"/>
      <c r="Y508" s="95"/>
      <c r="Z508" s="95"/>
      <c r="AA508" s="95"/>
      <c r="AB508" s="95"/>
      <c r="AC508" s="95"/>
      <c r="AD508" s="17">
        <f t="shared" si="132"/>
        <v>0</v>
      </c>
      <c r="AE508" s="17">
        <f t="shared" si="142"/>
        <v>0</v>
      </c>
      <c r="AF508" s="17">
        <f t="shared" si="142"/>
        <v>0</v>
      </c>
      <c r="AG508" s="17">
        <f t="shared" si="142"/>
        <v>0</v>
      </c>
      <c r="AH508" s="18" t="str">
        <f t="shared" si="134"/>
        <v>0,;!0,;!0,;!0</v>
      </c>
      <c r="AI508" s="18" t="e">
        <f>INDEX([1]Library!$AL:$AL,MATCH(AH508,[1]Library!$AJ:$AJ,0),1)</f>
        <v>#N/A</v>
      </c>
      <c r="AJ508" s="18" t="e">
        <f>TEXT(INDEX([1]Library!$W:$W,MATCH(AH508,[1]Library!$AJ:$AJ,0),1),"")</f>
        <v>#N/A</v>
      </c>
    </row>
    <row r="509" spans="1:36" ht="25.05" customHeight="1" outlineLevel="2">
      <c r="A509" s="376" t="s">
        <v>44</v>
      </c>
      <c r="B509" s="107" t="s">
        <v>44</v>
      </c>
      <c r="C509" s="108" t="s">
        <v>44</v>
      </c>
      <c r="D509" s="109" t="s">
        <v>494</v>
      </c>
      <c r="E509" s="110"/>
      <c r="F509" s="299"/>
      <c r="G509" s="62"/>
      <c r="H509" s="111">
        <v>22</v>
      </c>
      <c r="I509" s="112" t="s">
        <v>140</v>
      </c>
      <c r="J509" s="113">
        <v>1924.9999999999998</v>
      </c>
      <c r="K509" s="114">
        <v>42349.999999999993</v>
      </c>
      <c r="L509" s="113">
        <v>211.74999999999997</v>
      </c>
      <c r="M509" s="114">
        <v>4658.4999999999991</v>
      </c>
      <c r="N509" s="115">
        <v>0</v>
      </c>
      <c r="O509" s="114">
        <v>0</v>
      </c>
      <c r="P509" s="116">
        <v>47008.499999999993</v>
      </c>
      <c r="Q509" s="117">
        <f t="shared" si="149"/>
        <v>1.3372839252295243E-4</v>
      </c>
      <c r="R509" s="114">
        <f t="shared" si="150"/>
        <v>3.9130999383173877</v>
      </c>
      <c r="S509" s="377">
        <f t="shared" si="151"/>
        <v>152.62499999999997</v>
      </c>
      <c r="T509" s="357"/>
      <c r="U509" s="104"/>
      <c r="V509" s="95"/>
      <c r="W509" s="105"/>
      <c r="X509" s="95"/>
      <c r="Y509" s="95"/>
      <c r="Z509" s="95"/>
      <c r="AA509" s="95"/>
      <c r="AB509" s="95"/>
      <c r="AC509" s="95"/>
      <c r="AD509" s="17">
        <f t="shared" si="132"/>
        <v>0</v>
      </c>
      <c r="AE509" s="17">
        <f t="shared" si="142"/>
        <v>0</v>
      </c>
      <c r="AF509" s="17">
        <f t="shared" si="142"/>
        <v>0</v>
      </c>
      <c r="AG509" s="17">
        <f t="shared" si="142"/>
        <v>0</v>
      </c>
      <c r="AH509" s="18" t="str">
        <f t="shared" si="134"/>
        <v>0,;!0,;!0,;!0</v>
      </c>
      <c r="AI509" s="18" t="e">
        <f>INDEX([1]Library!$AL:$AL,MATCH(AH509,[1]Library!$AJ:$AJ,0),1)</f>
        <v>#N/A</v>
      </c>
      <c r="AJ509" s="18" t="e">
        <f>TEXT(INDEX([1]Library!$W:$W,MATCH(AH509,[1]Library!$AJ:$AJ,0),1),"")</f>
        <v>#N/A</v>
      </c>
    </row>
    <row r="510" spans="1:36" ht="25.05" customHeight="1" outlineLevel="2">
      <c r="A510" s="376" t="s">
        <v>44</v>
      </c>
      <c r="B510" s="107" t="s">
        <v>44</v>
      </c>
      <c r="C510" s="108" t="s">
        <v>44</v>
      </c>
      <c r="D510" s="109" t="s">
        <v>495</v>
      </c>
      <c r="E510" s="110"/>
      <c r="F510" s="299"/>
      <c r="G510" s="62"/>
      <c r="H510" s="111">
        <v>18</v>
      </c>
      <c r="I510" s="112" t="s">
        <v>140</v>
      </c>
      <c r="J510" s="113">
        <v>1309</v>
      </c>
      <c r="K510" s="114">
        <v>23562</v>
      </c>
      <c r="L510" s="113">
        <v>130.9</v>
      </c>
      <c r="M510" s="114">
        <v>2356.2000000000003</v>
      </c>
      <c r="N510" s="115">
        <v>0</v>
      </c>
      <c r="O510" s="114">
        <v>0</v>
      </c>
      <c r="P510" s="116">
        <v>25918.2</v>
      </c>
      <c r="Q510" s="117">
        <f t="shared" si="149"/>
        <v>7.3731329931573791E-5</v>
      </c>
      <c r="R510" s="114">
        <f t="shared" si="150"/>
        <v>2.1574929389641815</v>
      </c>
      <c r="S510" s="377">
        <f t="shared" si="151"/>
        <v>84.15</v>
      </c>
      <c r="T510" s="357"/>
      <c r="U510" s="104"/>
      <c r="V510" s="95"/>
      <c r="W510" s="105"/>
      <c r="X510" s="95"/>
      <c r="Y510" s="95"/>
      <c r="Z510" s="95"/>
      <c r="AA510" s="95"/>
      <c r="AB510" s="95"/>
      <c r="AC510" s="95"/>
      <c r="AD510" s="17">
        <f t="shared" si="132"/>
        <v>0</v>
      </c>
      <c r="AE510" s="17">
        <f t="shared" ref="AE510:AG525" si="152">IF(AA510=" ",IF($X510&gt;=AE$12,AE509,""),AA510)</f>
        <v>0</v>
      </c>
      <c r="AF510" s="17">
        <f t="shared" si="152"/>
        <v>0</v>
      </c>
      <c r="AG510" s="17">
        <f t="shared" si="152"/>
        <v>0</v>
      </c>
      <c r="AH510" s="18" t="str">
        <f t="shared" si="134"/>
        <v>0,;!0,;!0,;!0</v>
      </c>
      <c r="AI510" s="18" t="e">
        <f>INDEX([1]Library!$AL:$AL,MATCH(AH510,[1]Library!$AJ:$AJ,0),1)</f>
        <v>#N/A</v>
      </c>
      <c r="AJ510" s="18" t="e">
        <f>TEXT(INDEX([1]Library!$W:$W,MATCH(AH510,[1]Library!$AJ:$AJ,0),1),"")</f>
        <v>#N/A</v>
      </c>
    </row>
    <row r="511" spans="1:36" ht="25.05" customHeight="1" outlineLevel="2">
      <c r="A511" s="376" t="s">
        <v>44</v>
      </c>
      <c r="B511" s="107" t="s">
        <v>44</v>
      </c>
      <c r="C511" s="108" t="s">
        <v>44</v>
      </c>
      <c r="D511" s="109" t="s">
        <v>496</v>
      </c>
      <c r="E511" s="110"/>
      <c r="F511" s="299"/>
      <c r="G511" s="62"/>
      <c r="H511" s="111">
        <v>308</v>
      </c>
      <c r="I511" s="112" t="s">
        <v>140</v>
      </c>
      <c r="J511" s="113">
        <v>728</v>
      </c>
      <c r="K511" s="114">
        <v>224224</v>
      </c>
      <c r="L511" s="113">
        <v>72.800000000000011</v>
      </c>
      <c r="M511" s="114">
        <v>22422.400000000001</v>
      </c>
      <c r="N511" s="115">
        <v>0</v>
      </c>
      <c r="O511" s="114">
        <v>0</v>
      </c>
      <c r="P511" s="116">
        <v>246646.39999999999</v>
      </c>
      <c r="Q511" s="117">
        <f t="shared" si="149"/>
        <v>7.0165239464295057E-4</v>
      </c>
      <c r="R511" s="114">
        <f t="shared" si="150"/>
        <v>20.531436072757177</v>
      </c>
      <c r="S511" s="377">
        <f t="shared" si="151"/>
        <v>800.8</v>
      </c>
      <c r="T511" s="357"/>
      <c r="U511" s="104"/>
      <c r="V511" s="95"/>
      <c r="W511" s="105"/>
      <c r="X511" s="95"/>
      <c r="Y511" s="95"/>
      <c r="Z511" s="95"/>
      <c r="AA511" s="95"/>
      <c r="AB511" s="95"/>
      <c r="AC511" s="95"/>
      <c r="AD511" s="17">
        <f t="shared" si="132"/>
        <v>0</v>
      </c>
      <c r="AE511" s="17">
        <f t="shared" si="152"/>
        <v>0</v>
      </c>
      <c r="AF511" s="17">
        <f t="shared" si="152"/>
        <v>0</v>
      </c>
      <c r="AG511" s="17">
        <f t="shared" si="152"/>
        <v>0</v>
      </c>
      <c r="AH511" s="18" t="str">
        <f t="shared" si="134"/>
        <v>0,;!0,;!0,;!0</v>
      </c>
      <c r="AI511" s="18" t="e">
        <f>INDEX([1]Library!$AL:$AL,MATCH(AH511,[1]Library!$AJ:$AJ,0),1)</f>
        <v>#N/A</v>
      </c>
      <c r="AJ511" s="18" t="e">
        <f>TEXT(INDEX([1]Library!$W:$W,MATCH(AH511,[1]Library!$AJ:$AJ,0),1),"")</f>
        <v>#N/A</v>
      </c>
    </row>
    <row r="512" spans="1:36" ht="25.05" customHeight="1" outlineLevel="2">
      <c r="A512" s="376" t="s">
        <v>44</v>
      </c>
      <c r="B512" s="107" t="s">
        <v>44</v>
      </c>
      <c r="C512" s="108" t="s">
        <v>44</v>
      </c>
      <c r="D512" s="109" t="s">
        <v>497</v>
      </c>
      <c r="E512" s="110"/>
      <c r="F512" s="299"/>
      <c r="G512" s="62"/>
      <c r="H512" s="111">
        <v>3</v>
      </c>
      <c r="I512" s="112" t="s">
        <v>140</v>
      </c>
      <c r="J512" s="113">
        <v>501.63934426229503</v>
      </c>
      <c r="K512" s="114">
        <v>1504.9180327868851</v>
      </c>
      <c r="L512" s="113">
        <v>50.163934426229503</v>
      </c>
      <c r="M512" s="114">
        <v>150.49180327868851</v>
      </c>
      <c r="N512" s="115">
        <v>0</v>
      </c>
      <c r="O512" s="114">
        <v>0</v>
      </c>
      <c r="P512" s="116">
        <v>1655.4098360655735</v>
      </c>
      <c r="Q512" s="117">
        <f t="shared" si="149"/>
        <v>4.7092610133004323E-6</v>
      </c>
      <c r="R512" s="114">
        <f t="shared" si="150"/>
        <v>0.13780027287401625</v>
      </c>
      <c r="S512" s="377">
        <f t="shared" si="151"/>
        <v>5.3747072599531602</v>
      </c>
      <c r="T512" s="357"/>
      <c r="U512" s="104"/>
      <c r="V512" s="95"/>
      <c r="W512" s="105"/>
      <c r="X512" s="95"/>
      <c r="Y512" s="95"/>
      <c r="Z512" s="95"/>
      <c r="AA512" s="95"/>
      <c r="AB512" s="95"/>
      <c r="AC512" s="95"/>
      <c r="AD512" s="17">
        <f t="shared" si="132"/>
        <v>0</v>
      </c>
      <c r="AE512" s="17">
        <f t="shared" si="152"/>
        <v>0</v>
      </c>
      <c r="AF512" s="17">
        <f t="shared" si="152"/>
        <v>0</v>
      </c>
      <c r="AG512" s="17">
        <f t="shared" si="152"/>
        <v>0</v>
      </c>
      <c r="AH512" s="18" t="str">
        <f t="shared" si="134"/>
        <v>0,;!0,;!0,;!0</v>
      </c>
      <c r="AI512" s="18" t="e">
        <f>INDEX([1]Library!$AL:$AL,MATCH(AH512,[1]Library!$AJ:$AJ,0),1)</f>
        <v>#N/A</v>
      </c>
      <c r="AJ512" s="18" t="e">
        <f>TEXT(INDEX([1]Library!$W:$W,MATCH(AH512,[1]Library!$AJ:$AJ,0),1),"")</f>
        <v>#N/A</v>
      </c>
    </row>
    <row r="513" spans="1:36" ht="25.05" customHeight="1" outlineLevel="2">
      <c r="A513" s="376" t="s">
        <v>44</v>
      </c>
      <c r="B513" s="107" t="s">
        <v>44</v>
      </c>
      <c r="C513" s="108" t="s">
        <v>44</v>
      </c>
      <c r="D513" s="109" t="s">
        <v>498</v>
      </c>
      <c r="E513" s="110"/>
      <c r="F513" s="299"/>
      <c r="G513" s="62"/>
      <c r="H513" s="111">
        <v>3</v>
      </c>
      <c r="I513" s="112" t="s">
        <v>140</v>
      </c>
      <c r="J513" s="113">
        <v>650</v>
      </c>
      <c r="K513" s="114">
        <v>1950</v>
      </c>
      <c r="L513" s="113">
        <v>65</v>
      </c>
      <c r="M513" s="114">
        <v>195</v>
      </c>
      <c r="N513" s="115">
        <v>0</v>
      </c>
      <c r="O513" s="114">
        <v>0</v>
      </c>
      <c r="P513" s="116">
        <v>2145</v>
      </c>
      <c r="Q513" s="117">
        <f t="shared" si="149"/>
        <v>6.1020326528549735E-6</v>
      </c>
      <c r="R513" s="114">
        <f t="shared" si="150"/>
        <v>0.17855492874035117</v>
      </c>
      <c r="S513" s="377">
        <f t="shared" si="151"/>
        <v>6.9642857142857144</v>
      </c>
      <c r="T513" s="357"/>
      <c r="U513" s="104"/>
      <c r="V513" s="95"/>
      <c r="W513" s="105"/>
      <c r="X513" s="95"/>
      <c r="Y513" s="95"/>
      <c r="Z513" s="95"/>
      <c r="AA513" s="95"/>
      <c r="AB513" s="95"/>
      <c r="AC513" s="95"/>
      <c r="AD513" s="17">
        <f t="shared" si="132"/>
        <v>0</v>
      </c>
      <c r="AE513" s="17">
        <f t="shared" si="152"/>
        <v>0</v>
      </c>
      <c r="AF513" s="17">
        <f t="shared" si="152"/>
        <v>0</v>
      </c>
      <c r="AG513" s="17">
        <f t="shared" si="152"/>
        <v>0</v>
      </c>
      <c r="AH513" s="18" t="str">
        <f t="shared" si="134"/>
        <v>0,;!0,;!0,;!0</v>
      </c>
      <c r="AI513" s="18" t="e">
        <f>INDEX([1]Library!$AL:$AL,MATCH(AH513,[1]Library!$AJ:$AJ,0),1)</f>
        <v>#N/A</v>
      </c>
      <c r="AJ513" s="18" t="e">
        <f>TEXT(INDEX([1]Library!$W:$W,MATCH(AH513,[1]Library!$AJ:$AJ,0),1),"")</f>
        <v>#N/A</v>
      </c>
    </row>
    <row r="514" spans="1:36" ht="25.05" customHeight="1" outlineLevel="2">
      <c r="A514" s="376" t="s">
        <v>44</v>
      </c>
      <c r="B514" s="107" t="s">
        <v>44</v>
      </c>
      <c r="C514" s="108" t="s">
        <v>44</v>
      </c>
      <c r="D514" s="109" t="s">
        <v>499</v>
      </c>
      <c r="E514" s="110"/>
      <c r="F514" s="299"/>
      <c r="G514" s="62"/>
      <c r="H514" s="111">
        <v>2</v>
      </c>
      <c r="I514" s="112" t="s">
        <v>140</v>
      </c>
      <c r="J514" s="113">
        <v>15030.3375</v>
      </c>
      <c r="K514" s="114">
        <v>30060.674999999999</v>
      </c>
      <c r="L514" s="113">
        <v>1503.0337500000001</v>
      </c>
      <c r="M514" s="114">
        <v>3006.0675000000001</v>
      </c>
      <c r="N514" s="115">
        <v>0</v>
      </c>
      <c r="O514" s="114">
        <v>0</v>
      </c>
      <c r="P514" s="116">
        <v>33066.7425</v>
      </c>
      <c r="Q514" s="117">
        <f t="shared" si="149"/>
        <v>9.4067292521467273E-5</v>
      </c>
      <c r="R514" s="114">
        <f t="shared" si="150"/>
        <v>2.7525547089804387</v>
      </c>
      <c r="S514" s="377">
        <f t="shared" si="151"/>
        <v>107.35955357142858</v>
      </c>
      <c r="T514" s="357"/>
      <c r="U514" s="104"/>
      <c r="V514" s="95"/>
      <c r="W514" s="105"/>
      <c r="X514" s="95"/>
      <c r="Y514" s="95"/>
      <c r="Z514" s="95"/>
      <c r="AA514" s="95"/>
      <c r="AB514" s="95"/>
      <c r="AC514" s="95"/>
      <c r="AD514" s="17">
        <f t="shared" si="132"/>
        <v>0</v>
      </c>
      <c r="AE514" s="17">
        <f t="shared" si="152"/>
        <v>0</v>
      </c>
      <c r="AF514" s="17">
        <f t="shared" si="152"/>
        <v>0</v>
      </c>
      <c r="AG514" s="17">
        <f t="shared" si="152"/>
        <v>0</v>
      </c>
      <c r="AH514" s="18" t="str">
        <f t="shared" si="134"/>
        <v>0,;!0,;!0,;!0</v>
      </c>
      <c r="AI514" s="18" t="e">
        <f>INDEX([1]Library!$AL:$AL,MATCH(AH514,[1]Library!$AJ:$AJ,0),1)</f>
        <v>#N/A</v>
      </c>
      <c r="AJ514" s="18" t="e">
        <f>TEXT(INDEX([1]Library!$W:$W,MATCH(AH514,[1]Library!$AJ:$AJ,0),1),"")</f>
        <v>#N/A</v>
      </c>
    </row>
    <row r="515" spans="1:36" ht="25.05" customHeight="1" outlineLevel="2">
      <c r="A515" s="376" t="s">
        <v>44</v>
      </c>
      <c r="B515" s="107" t="s">
        <v>44</v>
      </c>
      <c r="C515" s="108" t="s">
        <v>44</v>
      </c>
      <c r="D515" s="109" t="s">
        <v>500</v>
      </c>
      <c r="E515" s="110"/>
      <c r="F515" s="299"/>
      <c r="G515" s="62"/>
      <c r="H515" s="111">
        <v>3</v>
      </c>
      <c r="I515" s="112" t="s">
        <v>140</v>
      </c>
      <c r="J515" s="113">
        <v>19642.857142857141</v>
      </c>
      <c r="K515" s="114">
        <v>58928.57142857142</v>
      </c>
      <c r="L515" s="113">
        <v>2946.4285714285711</v>
      </c>
      <c r="M515" s="114">
        <v>8839.2857142857138</v>
      </c>
      <c r="N515" s="115">
        <v>0</v>
      </c>
      <c r="O515" s="114">
        <v>0</v>
      </c>
      <c r="P515" s="116">
        <v>67767.85714285713</v>
      </c>
      <c r="Q515" s="117">
        <f t="shared" si="149"/>
        <v>1.9278399864789062E-4</v>
      </c>
      <c r="R515" s="114">
        <f t="shared" si="150"/>
        <v>5.6411584629506537</v>
      </c>
      <c r="S515" s="377">
        <f t="shared" si="151"/>
        <v>220.0255102040816</v>
      </c>
      <c r="T515" s="357"/>
      <c r="U515" s="104"/>
      <c r="V515" s="95"/>
      <c r="W515" s="105"/>
      <c r="X515" s="95"/>
      <c r="Y515" s="95"/>
      <c r="Z515" s="95"/>
      <c r="AA515" s="95"/>
      <c r="AB515" s="95"/>
      <c r="AC515" s="95"/>
      <c r="AD515" s="17">
        <f t="shared" si="132"/>
        <v>0</v>
      </c>
      <c r="AE515" s="17">
        <f t="shared" si="152"/>
        <v>0</v>
      </c>
      <c r="AF515" s="17">
        <f t="shared" si="152"/>
        <v>0</v>
      </c>
      <c r="AG515" s="17">
        <f t="shared" si="152"/>
        <v>0</v>
      </c>
      <c r="AH515" s="18" t="str">
        <f t="shared" si="134"/>
        <v>0,;!0,;!0,;!0</v>
      </c>
      <c r="AI515" s="18" t="e">
        <f>INDEX([1]Library!$AL:$AL,MATCH(AH515,[1]Library!$AJ:$AJ,0),1)</f>
        <v>#N/A</v>
      </c>
      <c r="AJ515" s="18" t="e">
        <f>TEXT(INDEX([1]Library!$W:$W,MATCH(AH515,[1]Library!$AJ:$AJ,0),1),"")</f>
        <v>#N/A</v>
      </c>
    </row>
    <row r="516" spans="1:36" ht="25.05" customHeight="1" outlineLevel="2">
      <c r="A516" s="376" t="s">
        <v>44</v>
      </c>
      <c r="B516" s="107" t="s">
        <v>44</v>
      </c>
      <c r="C516" s="108" t="s">
        <v>44</v>
      </c>
      <c r="D516" s="109" t="s">
        <v>501</v>
      </c>
      <c r="E516" s="110"/>
      <c r="F516" s="299"/>
      <c r="G516" s="62"/>
      <c r="H516" s="111">
        <v>3</v>
      </c>
      <c r="I516" s="112" t="s">
        <v>140</v>
      </c>
      <c r="J516" s="113">
        <v>10800</v>
      </c>
      <c r="K516" s="114">
        <v>32400</v>
      </c>
      <c r="L516" s="113">
        <v>1080</v>
      </c>
      <c r="M516" s="114">
        <v>3240</v>
      </c>
      <c r="N516" s="115">
        <v>0</v>
      </c>
      <c r="O516" s="114">
        <v>0</v>
      </c>
      <c r="P516" s="116">
        <v>35640</v>
      </c>
      <c r="Q516" s="117">
        <f t="shared" si="149"/>
        <v>1.013876194628211E-4</v>
      </c>
      <c r="R516" s="114">
        <f t="shared" si="150"/>
        <v>2.966758815993527</v>
      </c>
      <c r="S516" s="377">
        <f t="shared" si="151"/>
        <v>115.71428571428571</v>
      </c>
      <c r="T516" s="357"/>
      <c r="U516" s="104"/>
      <c r="V516" s="95"/>
      <c r="W516" s="105"/>
      <c r="X516" s="95"/>
      <c r="Y516" s="95"/>
      <c r="Z516" s="95"/>
      <c r="AA516" s="95"/>
      <c r="AB516" s="95"/>
      <c r="AC516" s="95"/>
      <c r="AD516" s="17">
        <f t="shared" si="132"/>
        <v>0</v>
      </c>
      <c r="AE516" s="17">
        <f t="shared" si="152"/>
        <v>0</v>
      </c>
      <c r="AF516" s="17">
        <f t="shared" si="152"/>
        <v>0</v>
      </c>
      <c r="AG516" s="17">
        <f t="shared" si="152"/>
        <v>0</v>
      </c>
      <c r="AH516" s="18" t="str">
        <f t="shared" si="134"/>
        <v>0,;!0,;!0,;!0</v>
      </c>
      <c r="AI516" s="18" t="e">
        <f>INDEX([1]Library!$AL:$AL,MATCH(AH516,[1]Library!$AJ:$AJ,0),1)</f>
        <v>#N/A</v>
      </c>
      <c r="AJ516" s="18" t="e">
        <f>TEXT(INDEX([1]Library!$W:$W,MATCH(AH516,[1]Library!$AJ:$AJ,0),1),"")</f>
        <v>#N/A</v>
      </c>
    </row>
    <row r="517" spans="1:36" ht="25.05" customHeight="1" outlineLevel="2">
      <c r="A517" s="376" t="s">
        <v>44</v>
      </c>
      <c r="B517" s="107" t="s">
        <v>44</v>
      </c>
      <c r="C517" s="108" t="s">
        <v>44</v>
      </c>
      <c r="D517" s="109" t="s">
        <v>502</v>
      </c>
      <c r="E517" s="110"/>
      <c r="F517" s="299"/>
      <c r="G517" s="62"/>
      <c r="H517" s="111">
        <v>6</v>
      </c>
      <c r="I517" s="112" t="s">
        <v>140</v>
      </c>
      <c r="J517" s="113">
        <v>3600</v>
      </c>
      <c r="K517" s="114">
        <v>21600</v>
      </c>
      <c r="L517" s="113">
        <v>1080</v>
      </c>
      <c r="M517" s="114">
        <v>6480</v>
      </c>
      <c r="N517" s="115">
        <v>0</v>
      </c>
      <c r="O517" s="114">
        <v>0</v>
      </c>
      <c r="P517" s="116">
        <v>28080</v>
      </c>
      <c r="Q517" s="117">
        <f t="shared" si="149"/>
        <v>7.988115472828329E-5</v>
      </c>
      <c r="R517" s="114">
        <f t="shared" si="150"/>
        <v>2.3374463398736878</v>
      </c>
      <c r="S517" s="377">
        <f t="shared" si="151"/>
        <v>91.168831168831176</v>
      </c>
      <c r="T517" s="357"/>
      <c r="U517" s="104"/>
      <c r="V517" s="95"/>
      <c r="W517" s="105"/>
      <c r="X517" s="95"/>
      <c r="Y517" s="95"/>
      <c r="Z517" s="95"/>
      <c r="AA517" s="95"/>
      <c r="AB517" s="95"/>
      <c r="AC517" s="95"/>
      <c r="AD517" s="17">
        <f t="shared" si="132"/>
        <v>0</v>
      </c>
      <c r="AE517" s="17">
        <f t="shared" si="152"/>
        <v>0</v>
      </c>
      <c r="AF517" s="17">
        <f t="shared" si="152"/>
        <v>0</v>
      </c>
      <c r="AG517" s="17">
        <f t="shared" si="152"/>
        <v>0</v>
      </c>
      <c r="AH517" s="18" t="str">
        <f t="shared" si="134"/>
        <v>0,;!0,;!0,;!0</v>
      </c>
      <c r="AI517" s="18" t="e">
        <f>INDEX([1]Library!$AL:$AL,MATCH(AH517,[1]Library!$AJ:$AJ,0),1)</f>
        <v>#N/A</v>
      </c>
      <c r="AJ517" s="18" t="e">
        <f>TEXT(INDEX([1]Library!$W:$W,MATCH(AH517,[1]Library!$AJ:$AJ,0),1),"")</f>
        <v>#N/A</v>
      </c>
    </row>
    <row r="518" spans="1:36" ht="25.05" customHeight="1" outlineLevel="2">
      <c r="A518" s="376" t="s">
        <v>44</v>
      </c>
      <c r="B518" s="107" t="s">
        <v>44</v>
      </c>
      <c r="C518" s="108" t="s">
        <v>44</v>
      </c>
      <c r="D518" s="109" t="s">
        <v>503</v>
      </c>
      <c r="E518" s="110"/>
      <c r="F518" s="299"/>
      <c r="G518" s="62"/>
      <c r="H518" s="111">
        <v>3</v>
      </c>
      <c r="I518" s="112" t="s">
        <v>140</v>
      </c>
      <c r="J518" s="113">
        <v>1620</v>
      </c>
      <c r="K518" s="114">
        <v>4860</v>
      </c>
      <c r="L518" s="113">
        <v>162</v>
      </c>
      <c r="M518" s="114">
        <v>486</v>
      </c>
      <c r="N518" s="115">
        <v>0</v>
      </c>
      <c r="O518" s="114">
        <v>0</v>
      </c>
      <c r="P518" s="116">
        <v>5346</v>
      </c>
      <c r="Q518" s="117">
        <f t="shared" si="149"/>
        <v>1.5208142919423165E-5</v>
      </c>
      <c r="R518" s="114">
        <f t="shared" si="150"/>
        <v>0.44501382239902904</v>
      </c>
      <c r="S518" s="377">
        <f t="shared" si="151"/>
        <v>17.357142857142858</v>
      </c>
      <c r="T518" s="357"/>
      <c r="U518" s="104"/>
      <c r="V518" s="95"/>
      <c r="W518" s="105"/>
      <c r="X518" s="95"/>
      <c r="Y518" s="95"/>
      <c r="Z518" s="95"/>
      <c r="AA518" s="95"/>
      <c r="AB518" s="95"/>
      <c r="AC518" s="95"/>
      <c r="AD518" s="17">
        <f t="shared" si="132"/>
        <v>0</v>
      </c>
      <c r="AE518" s="17">
        <f t="shared" si="152"/>
        <v>0</v>
      </c>
      <c r="AF518" s="17">
        <f t="shared" si="152"/>
        <v>0</v>
      </c>
      <c r="AG518" s="17">
        <f t="shared" si="152"/>
        <v>0</v>
      </c>
      <c r="AH518" s="18" t="str">
        <f t="shared" si="134"/>
        <v>0,;!0,;!0,;!0</v>
      </c>
      <c r="AI518" s="18" t="e">
        <f>INDEX([1]Library!$AL:$AL,MATCH(AH518,[1]Library!$AJ:$AJ,0),1)</f>
        <v>#N/A</v>
      </c>
      <c r="AJ518" s="18" t="e">
        <f>TEXT(INDEX([1]Library!$W:$W,MATCH(AH518,[1]Library!$AJ:$AJ,0),1),"")</f>
        <v>#N/A</v>
      </c>
    </row>
    <row r="519" spans="1:36" ht="25.05" customHeight="1" outlineLevel="2">
      <c r="A519" s="376" t="s">
        <v>44</v>
      </c>
      <c r="B519" s="107" t="s">
        <v>44</v>
      </c>
      <c r="C519" s="108" t="s">
        <v>44</v>
      </c>
      <c r="D519" s="109" t="s">
        <v>504</v>
      </c>
      <c r="E519" s="110"/>
      <c r="F519" s="299"/>
      <c r="G519" s="62"/>
      <c r="H519" s="111">
        <v>3</v>
      </c>
      <c r="I519" s="112" t="s">
        <v>140</v>
      </c>
      <c r="J519" s="113">
        <v>164500</v>
      </c>
      <c r="K519" s="114">
        <v>493500</v>
      </c>
      <c r="L519" s="113">
        <v>16450</v>
      </c>
      <c r="M519" s="114">
        <v>49350</v>
      </c>
      <c r="N519" s="115">
        <v>0</v>
      </c>
      <c r="O519" s="114">
        <v>0</v>
      </c>
      <c r="P519" s="116">
        <v>542850</v>
      </c>
      <c r="Q519" s="117">
        <f t="shared" si="149"/>
        <v>1.544283648299451E-3</v>
      </c>
      <c r="R519" s="114">
        <f t="shared" si="150"/>
        <v>45.188131965827331</v>
      </c>
      <c r="S519" s="377">
        <f t="shared" si="151"/>
        <v>1762.5</v>
      </c>
      <c r="T519" s="357"/>
      <c r="U519" s="104"/>
      <c r="V519" s="95"/>
      <c r="W519" s="105"/>
      <c r="X519" s="95"/>
      <c r="Y519" s="95"/>
      <c r="Z519" s="95"/>
      <c r="AA519" s="95"/>
      <c r="AB519" s="95"/>
      <c r="AC519" s="95"/>
      <c r="AD519" s="17">
        <f t="shared" si="132"/>
        <v>0</v>
      </c>
      <c r="AE519" s="17">
        <f t="shared" si="152"/>
        <v>0</v>
      </c>
      <c r="AF519" s="17">
        <f t="shared" si="152"/>
        <v>0</v>
      </c>
      <c r="AG519" s="17">
        <f t="shared" si="152"/>
        <v>0</v>
      </c>
      <c r="AH519" s="18" t="str">
        <f t="shared" si="134"/>
        <v>0,;!0,;!0,;!0</v>
      </c>
      <c r="AI519" s="18" t="e">
        <f>INDEX([1]Library!$AL:$AL,MATCH(AH519,[1]Library!$AJ:$AJ,0),1)</f>
        <v>#N/A</v>
      </c>
      <c r="AJ519" s="18" t="e">
        <f>TEXT(INDEX([1]Library!$W:$W,MATCH(AH519,[1]Library!$AJ:$AJ,0),1),"")</f>
        <v>#N/A</v>
      </c>
    </row>
    <row r="520" spans="1:36" ht="25.05" customHeight="1" outlineLevel="2">
      <c r="A520" s="376" t="s">
        <v>44</v>
      </c>
      <c r="B520" s="107" t="s">
        <v>44</v>
      </c>
      <c r="C520" s="108" t="s">
        <v>44</v>
      </c>
      <c r="D520" s="109" t="s">
        <v>505</v>
      </c>
      <c r="E520" s="110"/>
      <c r="F520" s="299"/>
      <c r="G520" s="62"/>
      <c r="H520" s="111">
        <v>5</v>
      </c>
      <c r="I520" s="112" t="s">
        <v>140</v>
      </c>
      <c r="J520" s="113">
        <v>22071</v>
      </c>
      <c r="K520" s="114">
        <v>110355</v>
      </c>
      <c r="L520" s="113">
        <v>2207.1</v>
      </c>
      <c r="M520" s="114">
        <v>11035.5</v>
      </c>
      <c r="N520" s="115">
        <v>0</v>
      </c>
      <c r="O520" s="114">
        <v>0</v>
      </c>
      <c r="P520" s="116">
        <v>121390.5</v>
      </c>
      <c r="Q520" s="117">
        <f t="shared" si="149"/>
        <v>3.4532810943887723E-4</v>
      </c>
      <c r="R520" s="114">
        <f t="shared" si="150"/>
        <v>10.104835467252027</v>
      </c>
      <c r="S520" s="377">
        <f t="shared" si="151"/>
        <v>394.125</v>
      </c>
      <c r="T520" s="357"/>
      <c r="U520" s="104"/>
      <c r="V520" s="95"/>
      <c r="W520" s="105"/>
      <c r="X520" s="95"/>
      <c r="Y520" s="95"/>
      <c r="Z520" s="95"/>
      <c r="AA520" s="95"/>
      <c r="AB520" s="95"/>
      <c r="AC520" s="95"/>
      <c r="AD520" s="17">
        <f t="shared" si="132"/>
        <v>0</v>
      </c>
      <c r="AE520" s="17">
        <f t="shared" si="152"/>
        <v>0</v>
      </c>
      <c r="AF520" s="17">
        <f t="shared" si="152"/>
        <v>0</v>
      </c>
      <c r="AG520" s="17">
        <f t="shared" si="152"/>
        <v>0</v>
      </c>
      <c r="AH520" s="18" t="str">
        <f t="shared" si="134"/>
        <v>0,;!0,;!0,;!0</v>
      </c>
      <c r="AI520" s="18" t="e">
        <f>INDEX([1]Library!$AL:$AL,MATCH(AH520,[1]Library!$AJ:$AJ,0),1)</f>
        <v>#N/A</v>
      </c>
      <c r="AJ520" s="18" t="e">
        <f>TEXT(INDEX([1]Library!$W:$W,MATCH(AH520,[1]Library!$AJ:$AJ,0),1),"")</f>
        <v>#N/A</v>
      </c>
    </row>
    <row r="521" spans="1:36" ht="25.05" customHeight="1" outlineLevel="2">
      <c r="A521" s="376" t="s">
        <v>44</v>
      </c>
      <c r="B521" s="107" t="s">
        <v>44</v>
      </c>
      <c r="C521" s="108" t="s">
        <v>44</v>
      </c>
      <c r="D521" s="109" t="s">
        <v>506</v>
      </c>
      <c r="E521" s="110"/>
      <c r="F521" s="299"/>
      <c r="G521" s="62"/>
      <c r="H521" s="111">
        <v>2</v>
      </c>
      <c r="I521" s="112" t="s">
        <v>140</v>
      </c>
      <c r="J521" s="113">
        <v>13242.6</v>
      </c>
      <c r="K521" s="114">
        <v>26485.200000000001</v>
      </c>
      <c r="L521" s="113">
        <v>1324.2600000000002</v>
      </c>
      <c r="M521" s="114">
        <v>2648.5200000000004</v>
      </c>
      <c r="N521" s="115">
        <v>0</v>
      </c>
      <c r="O521" s="114">
        <v>0</v>
      </c>
      <c r="P521" s="116">
        <v>29133.72</v>
      </c>
      <c r="Q521" s="117">
        <f t="shared" si="149"/>
        <v>8.2878746265330539E-5</v>
      </c>
      <c r="R521" s="114">
        <f t="shared" si="150"/>
        <v>2.4251605121404864</v>
      </c>
      <c r="S521" s="377">
        <f t="shared" si="151"/>
        <v>94.59</v>
      </c>
      <c r="T521" s="357"/>
      <c r="U521" s="104"/>
      <c r="V521" s="95"/>
      <c r="W521" s="105"/>
      <c r="X521" s="95"/>
      <c r="Y521" s="95"/>
      <c r="Z521" s="95"/>
      <c r="AA521" s="95"/>
      <c r="AB521" s="95"/>
      <c r="AC521" s="95"/>
      <c r="AD521" s="17">
        <f t="shared" si="132"/>
        <v>0</v>
      </c>
      <c r="AE521" s="17">
        <f t="shared" si="152"/>
        <v>0</v>
      </c>
      <c r="AF521" s="17">
        <f t="shared" si="152"/>
        <v>0</v>
      </c>
      <c r="AG521" s="17">
        <f t="shared" si="152"/>
        <v>0</v>
      </c>
      <c r="AH521" s="18" t="str">
        <f t="shared" si="134"/>
        <v>0,;!0,;!0,;!0</v>
      </c>
      <c r="AI521" s="18" t="e">
        <f>INDEX([1]Library!$AL:$AL,MATCH(AH521,[1]Library!$AJ:$AJ,0),1)</f>
        <v>#N/A</v>
      </c>
      <c r="AJ521" s="18" t="e">
        <f>TEXT(INDEX([1]Library!$W:$W,MATCH(AH521,[1]Library!$AJ:$AJ,0),1),"")</f>
        <v>#N/A</v>
      </c>
    </row>
    <row r="522" spans="1:36" ht="25.05" customHeight="1" outlineLevel="2">
      <c r="A522" s="376" t="s">
        <v>44</v>
      </c>
      <c r="B522" s="107" t="s">
        <v>44</v>
      </c>
      <c r="C522" s="108" t="s">
        <v>44</v>
      </c>
      <c r="D522" s="109" t="s">
        <v>507</v>
      </c>
      <c r="E522" s="110"/>
      <c r="F522" s="299"/>
      <c r="G522" s="62"/>
      <c r="H522" s="111">
        <v>4</v>
      </c>
      <c r="I522" s="112" t="s">
        <v>140</v>
      </c>
      <c r="J522" s="113">
        <v>72850</v>
      </c>
      <c r="K522" s="114">
        <v>291400</v>
      </c>
      <c r="L522" s="113">
        <v>7285</v>
      </c>
      <c r="M522" s="114">
        <v>29140</v>
      </c>
      <c r="N522" s="115">
        <v>0</v>
      </c>
      <c r="O522" s="114">
        <v>0</v>
      </c>
      <c r="P522" s="116">
        <v>320540</v>
      </c>
      <c r="Q522" s="117">
        <f t="shared" si="149"/>
        <v>9.1186272566253293E-4</v>
      </c>
      <c r="R522" s="114">
        <f t="shared" si="150"/>
        <v>26.682516017917091</v>
      </c>
      <c r="S522" s="377">
        <f t="shared" si="151"/>
        <v>1040.7142857142858</v>
      </c>
      <c r="T522" s="357"/>
      <c r="U522" s="104"/>
      <c r="V522" s="95"/>
      <c r="W522" s="105"/>
      <c r="X522" s="95"/>
      <c r="Y522" s="95"/>
      <c r="Z522" s="95"/>
      <c r="AA522" s="95"/>
      <c r="AB522" s="95"/>
      <c r="AC522" s="95"/>
      <c r="AD522" s="17">
        <f t="shared" si="132"/>
        <v>0</v>
      </c>
      <c r="AE522" s="17">
        <f t="shared" si="152"/>
        <v>0</v>
      </c>
      <c r="AF522" s="17">
        <f t="shared" si="152"/>
        <v>0</v>
      </c>
      <c r="AG522" s="17">
        <f t="shared" si="152"/>
        <v>0</v>
      </c>
      <c r="AH522" s="18" t="str">
        <f t="shared" si="134"/>
        <v>0,;!0,;!0,;!0</v>
      </c>
      <c r="AI522" s="18" t="e">
        <f>INDEX([1]Library!$AL:$AL,MATCH(AH522,[1]Library!$AJ:$AJ,0),1)</f>
        <v>#N/A</v>
      </c>
      <c r="AJ522" s="18" t="e">
        <f>TEXT(INDEX([1]Library!$W:$W,MATCH(AH522,[1]Library!$AJ:$AJ,0),1),"")</f>
        <v>#N/A</v>
      </c>
    </row>
    <row r="523" spans="1:36" ht="25.05" customHeight="1" outlineLevel="2">
      <c r="A523" s="376" t="s">
        <v>44</v>
      </c>
      <c r="B523" s="107" t="s">
        <v>44</v>
      </c>
      <c r="C523" s="108" t="s">
        <v>44</v>
      </c>
      <c r="D523" s="109" t="s">
        <v>508</v>
      </c>
      <c r="E523" s="110"/>
      <c r="F523" s="299"/>
      <c r="G523" s="62"/>
      <c r="H523" s="111">
        <v>3</v>
      </c>
      <c r="I523" s="112" t="s">
        <v>140</v>
      </c>
      <c r="J523" s="113">
        <v>98347.5</v>
      </c>
      <c r="K523" s="114">
        <v>295042.5</v>
      </c>
      <c r="L523" s="113">
        <v>9834.75</v>
      </c>
      <c r="M523" s="114">
        <v>29504.25</v>
      </c>
      <c r="N523" s="115">
        <v>0</v>
      </c>
      <c r="O523" s="114">
        <v>0</v>
      </c>
      <c r="P523" s="116">
        <v>324546.75</v>
      </c>
      <c r="Q523" s="117">
        <f t="shared" si="149"/>
        <v>9.2326100973331461E-4</v>
      </c>
      <c r="R523" s="114">
        <f t="shared" si="150"/>
        <v>27.016047468141053</v>
      </c>
      <c r="S523" s="377">
        <f t="shared" si="151"/>
        <v>1053.7232142857142</v>
      </c>
      <c r="T523" s="357"/>
      <c r="U523" s="104"/>
      <c r="V523" s="95"/>
      <c r="W523" s="105"/>
      <c r="X523" s="95"/>
      <c r="Y523" s="95"/>
      <c r="Z523" s="95"/>
      <c r="AA523" s="95"/>
      <c r="AB523" s="95"/>
      <c r="AC523" s="95"/>
      <c r="AD523" s="17">
        <f t="shared" si="132"/>
        <v>0</v>
      </c>
      <c r="AE523" s="17">
        <f t="shared" si="152"/>
        <v>0</v>
      </c>
      <c r="AF523" s="17">
        <f t="shared" si="152"/>
        <v>0</v>
      </c>
      <c r="AG523" s="17">
        <f t="shared" si="152"/>
        <v>0</v>
      </c>
      <c r="AH523" s="18" t="str">
        <f t="shared" si="134"/>
        <v>0,;!0,;!0,;!0</v>
      </c>
      <c r="AI523" s="18" t="e">
        <f>INDEX([1]Library!$AL:$AL,MATCH(AH523,[1]Library!$AJ:$AJ,0),1)</f>
        <v>#N/A</v>
      </c>
      <c r="AJ523" s="18" t="e">
        <f>TEXT(INDEX([1]Library!$W:$W,MATCH(AH523,[1]Library!$AJ:$AJ,0),1),"")</f>
        <v>#N/A</v>
      </c>
    </row>
    <row r="524" spans="1:36" ht="25.05" customHeight="1" outlineLevel="2">
      <c r="A524" s="376" t="s">
        <v>44</v>
      </c>
      <c r="B524" s="107" t="s">
        <v>44</v>
      </c>
      <c r="C524" s="108" t="s">
        <v>44</v>
      </c>
      <c r="D524" s="109" t="s">
        <v>509</v>
      </c>
      <c r="E524" s="110"/>
      <c r="F524" s="299"/>
      <c r="G524" s="62"/>
      <c r="H524" s="111">
        <v>1</v>
      </c>
      <c r="I524" s="112" t="s">
        <v>140</v>
      </c>
      <c r="J524" s="113">
        <v>19200.892857142899</v>
      </c>
      <c r="K524" s="114">
        <v>19200.892857142899</v>
      </c>
      <c r="L524" s="113">
        <v>1920.0892857142899</v>
      </c>
      <c r="M524" s="114">
        <v>1920.0892857142899</v>
      </c>
      <c r="N524" s="115">
        <v>0</v>
      </c>
      <c r="O524" s="114">
        <v>0</v>
      </c>
      <c r="P524" s="116">
        <v>21120.982142857189</v>
      </c>
      <c r="Q524" s="117">
        <f t="shared" si="149"/>
        <v>6.0084346245259382E-5</v>
      </c>
      <c r="R524" s="114">
        <f t="shared" si="150"/>
        <v>1.7581610542862911</v>
      </c>
      <c r="S524" s="377">
        <f t="shared" si="151"/>
        <v>68.574617346938922</v>
      </c>
      <c r="T524" s="357"/>
      <c r="U524" s="104"/>
      <c r="V524" s="95"/>
      <c r="W524" s="105"/>
      <c r="X524" s="95"/>
      <c r="Y524" s="95"/>
      <c r="Z524" s="95"/>
      <c r="AA524" s="95"/>
      <c r="AB524" s="95"/>
      <c r="AC524" s="95"/>
      <c r="AD524" s="17">
        <f t="shared" si="132"/>
        <v>0</v>
      </c>
      <c r="AE524" s="17">
        <f t="shared" si="152"/>
        <v>0</v>
      </c>
      <c r="AF524" s="17">
        <f t="shared" si="152"/>
        <v>0</v>
      </c>
      <c r="AG524" s="17">
        <f t="shared" si="152"/>
        <v>0</v>
      </c>
      <c r="AH524" s="18" t="str">
        <f t="shared" si="134"/>
        <v>0,;!0,;!0,;!0</v>
      </c>
      <c r="AI524" s="18" t="e">
        <f>INDEX([1]Library!$AL:$AL,MATCH(AH524,[1]Library!$AJ:$AJ,0),1)</f>
        <v>#N/A</v>
      </c>
      <c r="AJ524" s="18" t="e">
        <f>TEXT(INDEX([1]Library!$W:$W,MATCH(AH524,[1]Library!$AJ:$AJ,0),1),"")</f>
        <v>#N/A</v>
      </c>
    </row>
    <row r="525" spans="1:36" ht="25.05" customHeight="1" outlineLevel="2">
      <c r="A525" s="376" t="s">
        <v>44</v>
      </c>
      <c r="B525" s="107" t="s">
        <v>44</v>
      </c>
      <c r="C525" s="108" t="s">
        <v>44</v>
      </c>
      <c r="D525" s="109" t="s">
        <v>510</v>
      </c>
      <c r="E525" s="110"/>
      <c r="F525" s="299"/>
      <c r="G525" s="62"/>
      <c r="H525" s="111">
        <v>308</v>
      </c>
      <c r="I525" s="112" t="s">
        <v>140</v>
      </c>
      <c r="J525" s="113">
        <v>2309.73360655738</v>
      </c>
      <c r="K525" s="114">
        <v>711397.95081967302</v>
      </c>
      <c r="L525" s="113">
        <v>230.97336065573802</v>
      </c>
      <c r="M525" s="114">
        <v>71139.795081967313</v>
      </c>
      <c r="N525" s="115">
        <v>0</v>
      </c>
      <c r="O525" s="114">
        <v>0</v>
      </c>
      <c r="P525" s="116">
        <v>782537.74590164027</v>
      </c>
      <c r="Q525" s="117">
        <f t="shared" si="149"/>
        <v>2.2261402692696211E-3</v>
      </c>
      <c r="R525" s="114">
        <f t="shared" si="150"/>
        <v>65.140313033147976</v>
      </c>
      <c r="S525" s="377">
        <f t="shared" si="151"/>
        <v>2540.7069672131179</v>
      </c>
      <c r="T525" s="357"/>
      <c r="U525" s="104"/>
      <c r="V525" s="95"/>
      <c r="W525" s="105"/>
      <c r="X525" s="95"/>
      <c r="Y525" s="95"/>
      <c r="Z525" s="95"/>
      <c r="AA525" s="95"/>
      <c r="AB525" s="95"/>
      <c r="AC525" s="95"/>
      <c r="AD525" s="17">
        <f t="shared" si="132"/>
        <v>0</v>
      </c>
      <c r="AE525" s="17">
        <f t="shared" si="152"/>
        <v>0</v>
      </c>
      <c r="AF525" s="17">
        <f t="shared" si="152"/>
        <v>0</v>
      </c>
      <c r="AG525" s="17">
        <f t="shared" si="152"/>
        <v>0</v>
      </c>
      <c r="AH525" s="18" t="str">
        <f t="shared" si="134"/>
        <v>0,;!0,;!0,;!0</v>
      </c>
      <c r="AI525" s="18" t="e">
        <f>INDEX([1]Library!$AL:$AL,MATCH(AH525,[1]Library!$AJ:$AJ,0),1)</f>
        <v>#N/A</v>
      </c>
      <c r="AJ525" s="18" t="e">
        <f>TEXT(INDEX([1]Library!$W:$W,MATCH(AH525,[1]Library!$AJ:$AJ,0),1),"")</f>
        <v>#N/A</v>
      </c>
    </row>
    <row r="526" spans="1:36" ht="25.05" customHeight="1" outlineLevel="1">
      <c r="A526" s="374" t="s">
        <v>44</v>
      </c>
      <c r="B526" s="96" t="s">
        <v>44</v>
      </c>
      <c r="C526" s="97" t="s">
        <v>511</v>
      </c>
      <c r="D526" s="97"/>
      <c r="E526" s="98"/>
      <c r="F526" s="298"/>
      <c r="G526" s="62"/>
      <c r="H526" s="99">
        <v>1</v>
      </c>
      <c r="I526" s="100" t="s">
        <v>35</v>
      </c>
      <c r="J526" s="99">
        <v>5129007.6674355995</v>
      </c>
      <c r="K526" s="99">
        <v>5129007.6674355995</v>
      </c>
      <c r="L526" s="99">
        <v>1397655.2984303287</v>
      </c>
      <c r="M526" s="99">
        <v>1397655.2984303287</v>
      </c>
      <c r="N526" s="99">
        <v>0</v>
      </c>
      <c r="O526" s="99">
        <v>0</v>
      </c>
      <c r="P526" s="101">
        <v>6526662.9658659287</v>
      </c>
      <c r="Q526" s="102">
        <f>P526/P$13</f>
        <v>1.856685805682666E-2</v>
      </c>
      <c r="R526" s="103">
        <f>P526/I$5</f>
        <v>543.29503066782274</v>
      </c>
      <c r="S526" s="375">
        <f>P526/I$7</f>
        <v>21190.464174889377</v>
      </c>
      <c r="T526" s="356"/>
      <c r="U526" s="104"/>
      <c r="V526" s="95"/>
      <c r="W526" s="105"/>
      <c r="X526" s="95"/>
      <c r="Y526" s="95"/>
      <c r="Z526" s="95"/>
      <c r="AA526" s="95"/>
      <c r="AB526" s="95"/>
      <c r="AC526" s="95"/>
      <c r="AD526" s="17">
        <f t="shared" ref="AD526:AD589" si="153">IF(X526&lt;&gt;0,IF($X526&gt;=AD$12,AD525,""),Z526)</f>
        <v>0</v>
      </c>
      <c r="AE526" s="17">
        <f t="shared" ref="AE526:AG541" si="154">IF(AA526=" ",IF($X526&gt;=AE$12,AE525,""),AA526)</f>
        <v>0</v>
      </c>
      <c r="AF526" s="17">
        <f t="shared" si="154"/>
        <v>0</v>
      </c>
      <c r="AG526" s="17">
        <f t="shared" si="154"/>
        <v>0</v>
      </c>
      <c r="AH526" s="18" t="str">
        <f t="shared" ref="AH526:AH589" si="155">AD526&amp;",;!"&amp;AE526&amp;",;!"&amp;AF526&amp;",;!"&amp;AG526</f>
        <v>0,;!0,;!0,;!0</v>
      </c>
      <c r="AI526" s="18" t="e">
        <f>INDEX([1]Library!$AL:$AL,MATCH(AH526,[1]Library!$AJ:$AJ,0),1)</f>
        <v>#N/A</v>
      </c>
      <c r="AJ526" s="18" t="e">
        <f>TEXT(INDEX([1]Library!$W:$W,MATCH(AH526,[1]Library!$AJ:$AJ,0),1),"")</f>
        <v>#N/A</v>
      </c>
    </row>
    <row r="527" spans="1:36" ht="25.05" customHeight="1" outlineLevel="2">
      <c r="A527" s="376" t="s">
        <v>44</v>
      </c>
      <c r="B527" s="107" t="s">
        <v>44</v>
      </c>
      <c r="C527" s="108" t="s">
        <v>44</v>
      </c>
      <c r="D527" s="109" t="s">
        <v>512</v>
      </c>
      <c r="E527" s="110"/>
      <c r="F527" s="299"/>
      <c r="G527" s="62"/>
      <c r="H527" s="111">
        <v>65</v>
      </c>
      <c r="I527" s="112" t="s">
        <v>122</v>
      </c>
      <c r="J527" s="113">
        <v>2083.2406323185</v>
      </c>
      <c r="K527" s="114">
        <v>135410.64110070252</v>
      </c>
      <c r="L527" s="113">
        <v>416.64959016393402</v>
      </c>
      <c r="M527" s="114">
        <v>27082.223360655713</v>
      </c>
      <c r="N527" s="115">
        <v>0</v>
      </c>
      <c r="O527" s="114">
        <v>0</v>
      </c>
      <c r="P527" s="116">
        <v>162492.86446135823</v>
      </c>
      <c r="Q527" s="117">
        <f t="shared" ref="Q527:Q533" si="156">P527/P$13</f>
        <v>4.6225490200426359E-4</v>
      </c>
      <c r="R527" s="114">
        <f t="shared" ref="R527:R533" si="157">P527/I$5</f>
        <v>13.526294561637929</v>
      </c>
      <c r="S527" s="377">
        <f t="shared" ref="S527:S533" si="158">P527/I$7</f>
        <v>527.57423526415005</v>
      </c>
      <c r="T527" s="357"/>
      <c r="U527" s="104"/>
      <c r="V527" s="95"/>
      <c r="W527" s="105"/>
      <c r="X527" s="95"/>
      <c r="Y527" s="95"/>
      <c r="Z527" s="95"/>
      <c r="AA527" s="95"/>
      <c r="AB527" s="95"/>
      <c r="AC527" s="95"/>
      <c r="AD527" s="17">
        <f t="shared" si="153"/>
        <v>0</v>
      </c>
      <c r="AE527" s="17">
        <f t="shared" si="154"/>
        <v>0</v>
      </c>
      <c r="AF527" s="17">
        <f t="shared" si="154"/>
        <v>0</v>
      </c>
      <c r="AG527" s="17">
        <f t="shared" si="154"/>
        <v>0</v>
      </c>
      <c r="AH527" s="18" t="str">
        <f t="shared" si="155"/>
        <v>0,;!0,;!0,;!0</v>
      </c>
      <c r="AI527" s="18" t="e">
        <f>INDEX([1]Library!$AL:$AL,MATCH(AH527,[1]Library!$AJ:$AJ,0),1)</f>
        <v>#N/A</v>
      </c>
      <c r="AJ527" s="18" t="e">
        <f>TEXT(INDEX([1]Library!$W:$W,MATCH(AH527,[1]Library!$AJ:$AJ,0),1),"")</f>
        <v>#N/A</v>
      </c>
    </row>
    <row r="528" spans="1:36" ht="25.05" customHeight="1" outlineLevel="2">
      <c r="A528" s="376" t="s">
        <v>44</v>
      </c>
      <c r="B528" s="107" t="s">
        <v>44</v>
      </c>
      <c r="C528" s="108" t="s">
        <v>44</v>
      </c>
      <c r="D528" s="109" t="s">
        <v>513</v>
      </c>
      <c r="E528" s="110"/>
      <c r="F528" s="299"/>
      <c r="G528" s="62"/>
      <c r="H528" s="111">
        <v>62</v>
      </c>
      <c r="I528" s="112" t="s">
        <v>122</v>
      </c>
      <c r="J528" s="113">
        <v>1260.9118852459001</v>
      </c>
      <c r="K528" s="114">
        <v>78176.536885245805</v>
      </c>
      <c r="L528" s="113">
        <v>252.18091334894601</v>
      </c>
      <c r="M528" s="114">
        <v>15635.216627634652</v>
      </c>
      <c r="N528" s="115">
        <v>0</v>
      </c>
      <c r="O528" s="114">
        <v>0</v>
      </c>
      <c r="P528" s="116">
        <v>93811.753512880459</v>
      </c>
      <c r="Q528" s="117">
        <f t="shared" si="156"/>
        <v>2.6687290590078269E-4</v>
      </c>
      <c r="R528" s="114">
        <f t="shared" si="157"/>
        <v>7.8091146682982551</v>
      </c>
      <c r="S528" s="377">
        <f t="shared" si="158"/>
        <v>304.58361530155992</v>
      </c>
      <c r="T528" s="357"/>
      <c r="U528" s="104"/>
      <c r="V528" s="95"/>
      <c r="W528" s="105"/>
      <c r="X528" s="95"/>
      <c r="Y528" s="95"/>
      <c r="Z528" s="95"/>
      <c r="AA528" s="95"/>
      <c r="AB528" s="95"/>
      <c r="AC528" s="95"/>
      <c r="AD528" s="17">
        <f t="shared" si="153"/>
        <v>0</v>
      </c>
      <c r="AE528" s="17">
        <f t="shared" si="154"/>
        <v>0</v>
      </c>
      <c r="AF528" s="17">
        <f t="shared" si="154"/>
        <v>0</v>
      </c>
      <c r="AG528" s="17">
        <f t="shared" si="154"/>
        <v>0</v>
      </c>
      <c r="AH528" s="18" t="str">
        <f t="shared" si="155"/>
        <v>0,;!0,;!0,;!0</v>
      </c>
      <c r="AI528" s="18" t="e">
        <f>INDEX([1]Library!$AL:$AL,MATCH(AH528,[1]Library!$AJ:$AJ,0),1)</f>
        <v>#N/A</v>
      </c>
      <c r="AJ528" s="18" t="e">
        <f>TEXT(INDEX([1]Library!$W:$W,MATCH(AH528,[1]Library!$AJ:$AJ,0),1),"")</f>
        <v>#N/A</v>
      </c>
    </row>
    <row r="529" spans="1:36" ht="25.05" customHeight="1" outlineLevel="2">
      <c r="A529" s="376" t="s">
        <v>44</v>
      </c>
      <c r="B529" s="107" t="s">
        <v>44</v>
      </c>
      <c r="C529" s="108" t="s">
        <v>44</v>
      </c>
      <c r="D529" s="109" t="s">
        <v>514</v>
      </c>
      <c r="E529" s="110"/>
      <c r="F529" s="299"/>
      <c r="G529" s="62"/>
      <c r="H529" s="111">
        <v>462</v>
      </c>
      <c r="I529" s="112" t="s">
        <v>122</v>
      </c>
      <c r="J529" s="113">
        <v>1617.6668618267001</v>
      </c>
      <c r="K529" s="114">
        <v>747362.09016393544</v>
      </c>
      <c r="L529" s="113">
        <v>485.30005854800987</v>
      </c>
      <c r="M529" s="114">
        <v>224208.62704918056</v>
      </c>
      <c r="N529" s="115">
        <v>0</v>
      </c>
      <c r="O529" s="114">
        <v>0</v>
      </c>
      <c r="P529" s="116">
        <v>971570.717213116</v>
      </c>
      <c r="Q529" s="117">
        <f t="shared" si="156"/>
        <v>2.7638956834462282E-3</v>
      </c>
      <c r="R529" s="114">
        <f t="shared" si="157"/>
        <v>80.875869546946291</v>
      </c>
      <c r="S529" s="377">
        <f t="shared" si="158"/>
        <v>3154.4503805620648</v>
      </c>
      <c r="T529" s="357"/>
      <c r="U529" s="104"/>
      <c r="V529" s="95"/>
      <c r="W529" s="105"/>
      <c r="X529" s="95"/>
      <c r="Y529" s="95"/>
      <c r="Z529" s="95"/>
      <c r="AA529" s="95"/>
      <c r="AB529" s="95"/>
      <c r="AC529" s="95"/>
      <c r="AD529" s="17">
        <f t="shared" si="153"/>
        <v>0</v>
      </c>
      <c r="AE529" s="17">
        <f t="shared" si="154"/>
        <v>0</v>
      </c>
      <c r="AF529" s="17">
        <f t="shared" si="154"/>
        <v>0</v>
      </c>
      <c r="AG529" s="17">
        <f t="shared" si="154"/>
        <v>0</v>
      </c>
      <c r="AH529" s="18" t="str">
        <f t="shared" si="155"/>
        <v>0,;!0,;!0,;!0</v>
      </c>
      <c r="AI529" s="18" t="e">
        <f>INDEX([1]Library!$AL:$AL,MATCH(AH529,[1]Library!$AJ:$AJ,0),1)</f>
        <v>#N/A</v>
      </c>
      <c r="AJ529" s="18" t="e">
        <f>TEXT(INDEX([1]Library!$W:$W,MATCH(AH529,[1]Library!$AJ:$AJ,0),1),"")</f>
        <v>#N/A</v>
      </c>
    </row>
    <row r="530" spans="1:36" ht="25.05" customHeight="1" outlineLevel="2">
      <c r="A530" s="376" t="s">
        <v>44</v>
      </c>
      <c r="B530" s="107" t="s">
        <v>44</v>
      </c>
      <c r="C530" s="108" t="s">
        <v>44</v>
      </c>
      <c r="D530" s="109" t="s">
        <v>515</v>
      </c>
      <c r="E530" s="110"/>
      <c r="F530" s="299"/>
      <c r="G530" s="62"/>
      <c r="H530" s="111">
        <v>2618</v>
      </c>
      <c r="I530" s="112" t="s">
        <v>122</v>
      </c>
      <c r="J530" s="113">
        <v>647.42000000000007</v>
      </c>
      <c r="K530" s="114">
        <v>1694945.56</v>
      </c>
      <c r="L530" s="113">
        <v>194.22599999999997</v>
      </c>
      <c r="M530" s="114">
        <v>508483.66799999989</v>
      </c>
      <c r="N530" s="115">
        <v>0</v>
      </c>
      <c r="O530" s="114">
        <v>0</v>
      </c>
      <c r="P530" s="116">
        <v>2203429.2280000001</v>
      </c>
      <c r="Q530" s="117">
        <f t="shared" si="156"/>
        <v>6.2682503951100362E-3</v>
      </c>
      <c r="R530" s="114">
        <f t="shared" si="157"/>
        <v>183.41871738459068</v>
      </c>
      <c r="S530" s="377">
        <f t="shared" si="158"/>
        <v>7153.991</v>
      </c>
      <c r="T530" s="357"/>
      <c r="U530" s="104"/>
      <c r="V530" s="95"/>
      <c r="W530" s="105"/>
      <c r="X530" s="95"/>
      <c r="Y530" s="95"/>
      <c r="Z530" s="95"/>
      <c r="AA530" s="95"/>
      <c r="AB530" s="95"/>
      <c r="AC530" s="95"/>
      <c r="AD530" s="17">
        <f t="shared" si="153"/>
        <v>0</v>
      </c>
      <c r="AE530" s="17">
        <f t="shared" si="154"/>
        <v>0</v>
      </c>
      <c r="AF530" s="17">
        <f t="shared" si="154"/>
        <v>0</v>
      </c>
      <c r="AG530" s="17">
        <f t="shared" si="154"/>
        <v>0</v>
      </c>
      <c r="AH530" s="18" t="str">
        <f t="shared" si="155"/>
        <v>0,;!0,;!0,;!0</v>
      </c>
      <c r="AI530" s="18" t="e">
        <f>INDEX([1]Library!$AL:$AL,MATCH(AH530,[1]Library!$AJ:$AJ,0),1)</f>
        <v>#N/A</v>
      </c>
      <c r="AJ530" s="18" t="e">
        <f>TEXT(INDEX([1]Library!$W:$W,MATCH(AH530,[1]Library!$AJ:$AJ,0),1),"")</f>
        <v>#N/A</v>
      </c>
    </row>
    <row r="531" spans="1:36" ht="25.05" customHeight="1" outlineLevel="2">
      <c r="A531" s="376" t="s">
        <v>44</v>
      </c>
      <c r="B531" s="107" t="s">
        <v>44</v>
      </c>
      <c r="C531" s="108" t="s">
        <v>44</v>
      </c>
      <c r="D531" s="109" t="s">
        <v>516</v>
      </c>
      <c r="E531" s="110"/>
      <c r="F531" s="299"/>
      <c r="G531" s="62"/>
      <c r="H531" s="111">
        <v>732</v>
      </c>
      <c r="I531" s="112" t="s">
        <v>122</v>
      </c>
      <c r="J531" s="113">
        <v>1617.6668618266999</v>
      </c>
      <c r="K531" s="114">
        <v>1184132.1428571444</v>
      </c>
      <c r="L531" s="113">
        <v>647.06674473068006</v>
      </c>
      <c r="M531" s="114">
        <v>473652.8571428578</v>
      </c>
      <c r="N531" s="115">
        <v>0</v>
      </c>
      <c r="O531" s="114">
        <v>0</v>
      </c>
      <c r="P531" s="116">
        <v>1657785.0000000021</v>
      </c>
      <c r="Q531" s="117">
        <f t="shared" si="156"/>
        <v>4.7160178095166407E-3</v>
      </c>
      <c r="R531" s="114">
        <f t="shared" si="157"/>
        <v>137.99798719898527</v>
      </c>
      <c r="S531" s="377">
        <f t="shared" si="158"/>
        <v>5382.4188311688376</v>
      </c>
      <c r="T531" s="357"/>
      <c r="U531" s="104"/>
      <c r="V531" s="95"/>
      <c r="W531" s="105"/>
      <c r="X531" s="95"/>
      <c r="Y531" s="95"/>
      <c r="Z531" s="95"/>
      <c r="AA531" s="95"/>
      <c r="AB531" s="95"/>
      <c r="AC531" s="95"/>
      <c r="AD531" s="17">
        <f t="shared" si="153"/>
        <v>0</v>
      </c>
      <c r="AE531" s="17">
        <f t="shared" si="154"/>
        <v>0</v>
      </c>
      <c r="AF531" s="17">
        <f t="shared" si="154"/>
        <v>0</v>
      </c>
      <c r="AG531" s="17">
        <f t="shared" si="154"/>
        <v>0</v>
      </c>
      <c r="AH531" s="18" t="str">
        <f t="shared" si="155"/>
        <v>0,;!0,;!0,;!0</v>
      </c>
      <c r="AI531" s="18" t="e">
        <f>INDEX([1]Library!$AL:$AL,MATCH(AH531,[1]Library!$AJ:$AJ,0),1)</f>
        <v>#N/A</v>
      </c>
      <c r="AJ531" s="18" t="e">
        <f>TEXT(INDEX([1]Library!$W:$W,MATCH(AH531,[1]Library!$AJ:$AJ,0),1),"")</f>
        <v>#N/A</v>
      </c>
    </row>
    <row r="532" spans="1:36" ht="25.05" customHeight="1" outlineLevel="2">
      <c r="A532" s="376" t="s">
        <v>44</v>
      </c>
      <c r="B532" s="107" t="s">
        <v>44</v>
      </c>
      <c r="C532" s="108" t="s">
        <v>44</v>
      </c>
      <c r="D532" s="109" t="s">
        <v>517</v>
      </c>
      <c r="E532" s="110"/>
      <c r="F532" s="299"/>
      <c r="G532" s="62"/>
      <c r="H532" s="111">
        <v>209</v>
      </c>
      <c r="I532" s="112" t="s">
        <v>140</v>
      </c>
      <c r="J532" s="113">
        <v>5225.0446428571422</v>
      </c>
      <c r="K532" s="114">
        <v>1092034.3303571427</v>
      </c>
      <c r="L532" s="113">
        <v>522.50446428571422</v>
      </c>
      <c r="M532" s="114">
        <v>109203.43303571428</v>
      </c>
      <c r="N532" s="115">
        <v>0</v>
      </c>
      <c r="O532" s="114">
        <v>0</v>
      </c>
      <c r="P532" s="116">
        <v>1201237.763392857</v>
      </c>
      <c r="Q532" s="117">
        <f t="shared" si="156"/>
        <v>3.4172457137835385E-3</v>
      </c>
      <c r="R532" s="114">
        <f t="shared" si="157"/>
        <v>99.99390360971114</v>
      </c>
      <c r="S532" s="377">
        <f t="shared" si="158"/>
        <v>3900.1226084183672</v>
      </c>
      <c r="T532" s="357"/>
      <c r="U532" s="104"/>
      <c r="V532" s="95"/>
      <c r="W532" s="105"/>
      <c r="X532" s="95"/>
      <c r="Y532" s="95"/>
      <c r="Z532" s="95"/>
      <c r="AA532" s="95"/>
      <c r="AB532" s="95"/>
      <c r="AC532" s="95"/>
      <c r="AD532" s="17">
        <f t="shared" si="153"/>
        <v>0</v>
      </c>
      <c r="AE532" s="17">
        <f t="shared" si="154"/>
        <v>0</v>
      </c>
      <c r="AF532" s="17">
        <f t="shared" si="154"/>
        <v>0</v>
      </c>
      <c r="AG532" s="17">
        <f t="shared" si="154"/>
        <v>0</v>
      </c>
      <c r="AH532" s="18" t="str">
        <f t="shared" si="155"/>
        <v>0,;!0,;!0,;!0</v>
      </c>
      <c r="AI532" s="18" t="e">
        <f>INDEX([1]Library!$AL:$AL,MATCH(AH532,[1]Library!$AJ:$AJ,0),1)</f>
        <v>#N/A</v>
      </c>
      <c r="AJ532" s="18" t="e">
        <f>TEXT(INDEX([1]Library!$W:$W,MATCH(AH532,[1]Library!$AJ:$AJ,0),1),"")</f>
        <v>#N/A</v>
      </c>
    </row>
    <row r="533" spans="1:36" ht="25.05" customHeight="1" outlineLevel="2">
      <c r="A533" s="376" t="s">
        <v>44</v>
      </c>
      <c r="B533" s="107" t="s">
        <v>44</v>
      </c>
      <c r="C533" s="108" t="s">
        <v>44</v>
      </c>
      <c r="D533" s="109" t="s">
        <v>518</v>
      </c>
      <c r="E533" s="110"/>
      <c r="F533" s="299"/>
      <c r="G533" s="62"/>
      <c r="H533" s="111">
        <v>19</v>
      </c>
      <c r="I533" s="112" t="s">
        <v>90</v>
      </c>
      <c r="J533" s="113">
        <v>10365.598214285712</v>
      </c>
      <c r="K533" s="114">
        <v>196946.36607142852</v>
      </c>
      <c r="L533" s="113">
        <v>2073.1196428571425</v>
      </c>
      <c r="M533" s="114">
        <v>39389.273214285706</v>
      </c>
      <c r="N533" s="115">
        <v>0</v>
      </c>
      <c r="O533" s="114">
        <v>0</v>
      </c>
      <c r="P533" s="116">
        <v>236335.63928571422</v>
      </c>
      <c r="Q533" s="117">
        <f t="shared" si="156"/>
        <v>6.7232064706516687E-4</v>
      </c>
      <c r="R533" s="114">
        <f t="shared" si="157"/>
        <v>19.673143697653163</v>
      </c>
      <c r="S533" s="377">
        <f t="shared" si="158"/>
        <v>767.32350417439682</v>
      </c>
      <c r="T533" s="357"/>
      <c r="U533" s="104"/>
      <c r="V533" s="95"/>
      <c r="W533" s="105"/>
      <c r="X533" s="95"/>
      <c r="Y533" s="95"/>
      <c r="Z533" s="95"/>
      <c r="AA533" s="95"/>
      <c r="AB533" s="95"/>
      <c r="AC533" s="95"/>
      <c r="AD533" s="17">
        <f t="shared" si="153"/>
        <v>0</v>
      </c>
      <c r="AE533" s="17">
        <f t="shared" si="154"/>
        <v>0</v>
      </c>
      <c r="AF533" s="17">
        <f t="shared" si="154"/>
        <v>0</v>
      </c>
      <c r="AG533" s="17">
        <f t="shared" si="154"/>
        <v>0</v>
      </c>
      <c r="AH533" s="18" t="str">
        <f t="shared" si="155"/>
        <v>0,;!0,;!0,;!0</v>
      </c>
      <c r="AI533" s="18" t="e">
        <f>INDEX([1]Library!$AL:$AL,MATCH(AH533,[1]Library!$AJ:$AJ,0),1)</f>
        <v>#N/A</v>
      </c>
      <c r="AJ533" s="18" t="e">
        <f>TEXT(INDEX([1]Library!$W:$W,MATCH(AH533,[1]Library!$AJ:$AJ,0),1),"")</f>
        <v>#N/A</v>
      </c>
    </row>
    <row r="534" spans="1:36" ht="25.05" customHeight="1" outlineLevel="1">
      <c r="A534" s="374" t="s">
        <v>44</v>
      </c>
      <c r="B534" s="96" t="s">
        <v>44</v>
      </c>
      <c r="C534" s="97" t="s">
        <v>519</v>
      </c>
      <c r="D534" s="97"/>
      <c r="E534" s="98"/>
      <c r="F534" s="298"/>
      <c r="G534" s="62"/>
      <c r="H534" s="99">
        <v>1</v>
      </c>
      <c r="I534" s="100" t="s">
        <v>35</v>
      </c>
      <c r="J534" s="99">
        <v>746102.81907400454</v>
      </c>
      <c r="K534" s="99">
        <v>746102.81907400454</v>
      </c>
      <c r="L534" s="99">
        <v>224819.75461574044</v>
      </c>
      <c r="M534" s="99">
        <v>224819.75461574044</v>
      </c>
      <c r="N534" s="99">
        <v>0</v>
      </c>
      <c r="O534" s="99">
        <v>0</v>
      </c>
      <c r="P534" s="101">
        <v>970922.57368974504</v>
      </c>
      <c r="Q534" s="102">
        <f>P534/P$13</f>
        <v>2.7620518638922205E-3</v>
      </c>
      <c r="R534" s="103">
        <f>P534/I$5</f>
        <v>80.821916530336026</v>
      </c>
      <c r="S534" s="375">
        <f>P534/I$7</f>
        <v>3152.346018473198</v>
      </c>
      <c r="T534" s="356"/>
      <c r="U534" s="104"/>
      <c r="V534" s="95"/>
      <c r="W534" s="105"/>
      <c r="X534" s="95"/>
      <c r="Y534" s="95"/>
      <c r="Z534" s="95"/>
      <c r="AA534" s="95"/>
      <c r="AB534" s="95"/>
      <c r="AC534" s="95"/>
      <c r="AD534" s="17">
        <f t="shared" si="153"/>
        <v>0</v>
      </c>
      <c r="AE534" s="17">
        <f t="shared" si="154"/>
        <v>0</v>
      </c>
      <c r="AF534" s="17">
        <f t="shared" si="154"/>
        <v>0</v>
      </c>
      <c r="AG534" s="17">
        <f t="shared" si="154"/>
        <v>0</v>
      </c>
      <c r="AH534" s="18" t="str">
        <f t="shared" si="155"/>
        <v>0,;!0,;!0,;!0</v>
      </c>
      <c r="AI534" s="18" t="e">
        <f>INDEX([1]Library!$AL:$AL,MATCH(AH534,[1]Library!$AJ:$AJ,0),1)</f>
        <v>#N/A</v>
      </c>
      <c r="AJ534" s="18" t="e">
        <f>TEXT(INDEX([1]Library!$W:$W,MATCH(AH534,[1]Library!$AJ:$AJ,0),1),"")</f>
        <v>#N/A</v>
      </c>
    </row>
    <row r="535" spans="1:36" ht="25.05" customHeight="1" outlineLevel="2">
      <c r="A535" s="376" t="s">
        <v>44</v>
      </c>
      <c r="B535" s="107" t="s">
        <v>44</v>
      </c>
      <c r="C535" s="108" t="s">
        <v>44</v>
      </c>
      <c r="D535" s="109" t="s">
        <v>520</v>
      </c>
      <c r="E535" s="110"/>
      <c r="F535" s="299"/>
      <c r="G535" s="62"/>
      <c r="H535" s="111">
        <v>78</v>
      </c>
      <c r="I535" s="112" t="s">
        <v>122</v>
      </c>
      <c r="J535" s="113">
        <v>778.6579999999999</v>
      </c>
      <c r="K535" s="114">
        <v>60735.323999999993</v>
      </c>
      <c r="L535" s="113">
        <v>233.59739999999996</v>
      </c>
      <c r="M535" s="114">
        <v>18220.597199999997</v>
      </c>
      <c r="N535" s="115">
        <v>0</v>
      </c>
      <c r="O535" s="114">
        <v>0</v>
      </c>
      <c r="P535" s="116">
        <v>78955.921199999982</v>
      </c>
      <c r="Q535" s="117">
        <f t="shared" ref="Q535:Q544" si="159">P535/P$13</f>
        <v>2.2461147286650075E-4</v>
      </c>
      <c r="R535" s="114">
        <f t="shared" ref="R535:R544" si="160">P535/I$5</f>
        <v>6.5724796659649316</v>
      </c>
      <c r="S535" s="377">
        <f t="shared" ref="S535:S544" si="161">P535/I$7</f>
        <v>256.35039350649345</v>
      </c>
      <c r="T535" s="357"/>
      <c r="U535" s="104"/>
      <c r="V535" s="95"/>
      <c r="W535" s="105"/>
      <c r="X535" s="95"/>
      <c r="Y535" s="95"/>
      <c r="Z535" s="95"/>
      <c r="AA535" s="95"/>
      <c r="AB535" s="95"/>
      <c r="AC535" s="95"/>
      <c r="AD535" s="17">
        <f t="shared" si="153"/>
        <v>0</v>
      </c>
      <c r="AE535" s="17">
        <f t="shared" si="154"/>
        <v>0</v>
      </c>
      <c r="AF535" s="17">
        <f t="shared" si="154"/>
        <v>0</v>
      </c>
      <c r="AG535" s="17">
        <f t="shared" si="154"/>
        <v>0</v>
      </c>
      <c r="AH535" s="18" t="str">
        <f t="shared" si="155"/>
        <v>0,;!0,;!0,;!0</v>
      </c>
      <c r="AI535" s="18" t="e">
        <f>INDEX([1]Library!$AL:$AL,MATCH(AH535,[1]Library!$AJ:$AJ,0),1)</f>
        <v>#N/A</v>
      </c>
      <c r="AJ535" s="18" t="e">
        <f>TEXT(INDEX([1]Library!$W:$W,MATCH(AH535,[1]Library!$AJ:$AJ,0),1),"")</f>
        <v>#N/A</v>
      </c>
    </row>
    <row r="536" spans="1:36" ht="25.05" customHeight="1" outlineLevel="2">
      <c r="A536" s="376" t="s">
        <v>44</v>
      </c>
      <c r="B536" s="107" t="s">
        <v>44</v>
      </c>
      <c r="C536" s="108" t="s">
        <v>44</v>
      </c>
      <c r="D536" s="109" t="s">
        <v>521</v>
      </c>
      <c r="E536" s="110"/>
      <c r="F536" s="299"/>
      <c r="G536" s="62"/>
      <c r="H536" s="111">
        <v>104</v>
      </c>
      <c r="I536" s="112" t="s">
        <v>122</v>
      </c>
      <c r="J536" s="113">
        <v>363.375</v>
      </c>
      <c r="K536" s="114">
        <v>37791</v>
      </c>
      <c r="L536" s="113">
        <v>109.01249999999999</v>
      </c>
      <c r="M536" s="114">
        <v>11337.3</v>
      </c>
      <c r="N536" s="115">
        <v>0</v>
      </c>
      <c r="O536" s="114">
        <v>0</v>
      </c>
      <c r="P536" s="116">
        <v>49128.3</v>
      </c>
      <c r="Q536" s="117">
        <f t="shared" si="159"/>
        <v>1.3975873696002564E-4</v>
      </c>
      <c r="R536" s="114">
        <f t="shared" si="160"/>
        <v>4.0895571588040065</v>
      </c>
      <c r="S536" s="377">
        <f t="shared" si="161"/>
        <v>159.50746753246753</v>
      </c>
      <c r="T536" s="357"/>
      <c r="U536" s="104"/>
      <c r="V536" s="95"/>
      <c r="W536" s="105"/>
      <c r="X536" s="95"/>
      <c r="Y536" s="95"/>
      <c r="Z536" s="95"/>
      <c r="AA536" s="95"/>
      <c r="AB536" s="95"/>
      <c r="AC536" s="95"/>
      <c r="AD536" s="17">
        <f t="shared" si="153"/>
        <v>0</v>
      </c>
      <c r="AE536" s="17">
        <f t="shared" si="154"/>
        <v>0</v>
      </c>
      <c r="AF536" s="17">
        <f t="shared" si="154"/>
        <v>0</v>
      </c>
      <c r="AG536" s="17">
        <f t="shared" si="154"/>
        <v>0</v>
      </c>
      <c r="AH536" s="18" t="str">
        <f t="shared" si="155"/>
        <v>0,;!0,;!0,;!0</v>
      </c>
      <c r="AI536" s="18" t="e">
        <f>INDEX([1]Library!$AL:$AL,MATCH(AH536,[1]Library!$AJ:$AJ,0),1)</f>
        <v>#N/A</v>
      </c>
      <c r="AJ536" s="18" t="e">
        <f>TEXT(INDEX([1]Library!$W:$W,MATCH(AH536,[1]Library!$AJ:$AJ,0),1),"")</f>
        <v>#N/A</v>
      </c>
    </row>
    <row r="537" spans="1:36" ht="25.05" customHeight="1" outlineLevel="2">
      <c r="A537" s="376" t="s">
        <v>44</v>
      </c>
      <c r="B537" s="107" t="s">
        <v>44</v>
      </c>
      <c r="C537" s="108" t="s">
        <v>44</v>
      </c>
      <c r="D537" s="109" t="s">
        <v>522</v>
      </c>
      <c r="E537" s="110"/>
      <c r="F537" s="299"/>
      <c r="G537" s="62"/>
      <c r="H537" s="111">
        <v>41</v>
      </c>
      <c r="I537" s="112" t="s">
        <v>122</v>
      </c>
      <c r="J537" s="113">
        <v>272.78299999999996</v>
      </c>
      <c r="K537" s="114">
        <v>11184.102999999999</v>
      </c>
      <c r="L537" s="113">
        <v>81.83489999999999</v>
      </c>
      <c r="M537" s="114">
        <v>3355.2308999999996</v>
      </c>
      <c r="N537" s="115">
        <v>0</v>
      </c>
      <c r="O537" s="114">
        <v>0</v>
      </c>
      <c r="P537" s="116">
        <v>14539.333899999998</v>
      </c>
      <c r="Q537" s="117">
        <f t="shared" si="159"/>
        <v>4.1361067696298944E-5</v>
      </c>
      <c r="R537" s="114">
        <f t="shared" si="160"/>
        <v>1.2102889176907559</v>
      </c>
      <c r="S537" s="377">
        <f t="shared" si="161"/>
        <v>47.205629545454535</v>
      </c>
      <c r="T537" s="357"/>
      <c r="U537" s="104"/>
      <c r="V537" s="95"/>
      <c r="W537" s="105"/>
      <c r="X537" s="95"/>
      <c r="Y537" s="95"/>
      <c r="Z537" s="95"/>
      <c r="AA537" s="95"/>
      <c r="AB537" s="95"/>
      <c r="AC537" s="95"/>
      <c r="AD537" s="17">
        <f t="shared" si="153"/>
        <v>0</v>
      </c>
      <c r="AE537" s="17">
        <f t="shared" si="154"/>
        <v>0</v>
      </c>
      <c r="AF537" s="17">
        <f t="shared" si="154"/>
        <v>0</v>
      </c>
      <c r="AG537" s="17">
        <f t="shared" si="154"/>
        <v>0</v>
      </c>
      <c r="AH537" s="18" t="str">
        <f t="shared" si="155"/>
        <v>0,;!0,;!0,;!0</v>
      </c>
      <c r="AI537" s="18" t="e">
        <f>INDEX([1]Library!$AL:$AL,MATCH(AH537,[1]Library!$AJ:$AJ,0),1)</f>
        <v>#N/A</v>
      </c>
      <c r="AJ537" s="18" t="e">
        <f>TEXT(INDEX([1]Library!$W:$W,MATCH(AH537,[1]Library!$AJ:$AJ,0),1),"")</f>
        <v>#N/A</v>
      </c>
    </row>
    <row r="538" spans="1:36" ht="25.05" customHeight="1" outlineLevel="2">
      <c r="A538" s="376" t="s">
        <v>44</v>
      </c>
      <c r="B538" s="107" t="s">
        <v>44</v>
      </c>
      <c r="C538" s="108" t="s">
        <v>44</v>
      </c>
      <c r="D538" s="109" t="s">
        <v>523</v>
      </c>
      <c r="E538" s="110"/>
      <c r="F538" s="299"/>
      <c r="G538" s="62"/>
      <c r="H538" s="111">
        <v>14</v>
      </c>
      <c r="I538" s="112" t="s">
        <v>122</v>
      </c>
      <c r="J538" s="113">
        <v>1526.785714285714</v>
      </c>
      <c r="K538" s="114">
        <v>21374.999999999996</v>
      </c>
      <c r="L538" s="113">
        <v>528.67206382421568</v>
      </c>
      <c r="M538" s="114">
        <v>7401.4088935390191</v>
      </c>
      <c r="N538" s="115">
        <v>0</v>
      </c>
      <c r="O538" s="114">
        <v>0</v>
      </c>
      <c r="P538" s="116">
        <v>28776.408893539017</v>
      </c>
      <c r="Q538" s="117">
        <f t="shared" si="159"/>
        <v>8.1862278181949342E-5</v>
      </c>
      <c r="R538" s="114">
        <f t="shared" si="160"/>
        <v>2.395417081300264</v>
      </c>
      <c r="S538" s="377">
        <f t="shared" si="161"/>
        <v>93.429899004996813</v>
      </c>
      <c r="T538" s="357"/>
      <c r="U538" s="104"/>
      <c r="V538" s="95"/>
      <c r="W538" s="105"/>
      <c r="X538" s="95"/>
      <c r="Y538" s="95"/>
      <c r="Z538" s="95"/>
      <c r="AA538" s="95"/>
      <c r="AB538" s="95"/>
      <c r="AC538" s="95"/>
      <c r="AD538" s="17">
        <f t="shared" si="153"/>
        <v>0</v>
      </c>
      <c r="AE538" s="17">
        <f t="shared" si="154"/>
        <v>0</v>
      </c>
      <c r="AF538" s="17">
        <f t="shared" si="154"/>
        <v>0</v>
      </c>
      <c r="AG538" s="17">
        <f t="shared" si="154"/>
        <v>0</v>
      </c>
      <c r="AH538" s="18" t="str">
        <f t="shared" si="155"/>
        <v>0,;!0,;!0,;!0</v>
      </c>
      <c r="AI538" s="18" t="e">
        <f>INDEX([1]Library!$AL:$AL,MATCH(AH538,[1]Library!$AJ:$AJ,0),1)</f>
        <v>#N/A</v>
      </c>
      <c r="AJ538" s="18" t="e">
        <f>TEXT(INDEX([1]Library!$W:$W,MATCH(AH538,[1]Library!$AJ:$AJ,0),1),"")</f>
        <v>#N/A</v>
      </c>
    </row>
    <row r="539" spans="1:36" ht="25.05" customHeight="1" outlineLevel="2">
      <c r="A539" s="376" t="s">
        <v>44</v>
      </c>
      <c r="B539" s="107" t="s">
        <v>44</v>
      </c>
      <c r="C539" s="108" t="s">
        <v>44</v>
      </c>
      <c r="D539" s="109" t="s">
        <v>524</v>
      </c>
      <c r="E539" s="110"/>
      <c r="F539" s="299"/>
      <c r="G539" s="62"/>
      <c r="H539" s="111">
        <v>41</v>
      </c>
      <c r="I539" s="112" t="s">
        <v>122</v>
      </c>
      <c r="J539" s="113">
        <v>553.23</v>
      </c>
      <c r="K539" s="114">
        <v>22682.43</v>
      </c>
      <c r="L539" s="113">
        <v>165.96899999999999</v>
      </c>
      <c r="M539" s="114">
        <v>6804.7289999999994</v>
      </c>
      <c r="N539" s="115">
        <v>0</v>
      </c>
      <c r="O539" s="114">
        <v>0</v>
      </c>
      <c r="P539" s="116">
        <v>29487.159</v>
      </c>
      <c r="Q539" s="117">
        <f t="shared" si="159"/>
        <v>8.3884199094604381E-5</v>
      </c>
      <c r="R539" s="114">
        <f t="shared" si="160"/>
        <v>2.4545816195806078</v>
      </c>
      <c r="S539" s="377">
        <f t="shared" si="161"/>
        <v>95.737529220779223</v>
      </c>
      <c r="T539" s="357"/>
      <c r="U539" s="104"/>
      <c r="V539" s="95"/>
      <c r="W539" s="105"/>
      <c r="X539" s="95"/>
      <c r="Y539" s="95"/>
      <c r="Z539" s="95"/>
      <c r="AA539" s="95"/>
      <c r="AB539" s="95"/>
      <c r="AC539" s="95"/>
      <c r="AD539" s="17">
        <f t="shared" si="153"/>
        <v>0</v>
      </c>
      <c r="AE539" s="17">
        <f t="shared" si="154"/>
        <v>0</v>
      </c>
      <c r="AF539" s="17">
        <f t="shared" si="154"/>
        <v>0</v>
      </c>
      <c r="AG539" s="17">
        <f t="shared" si="154"/>
        <v>0</v>
      </c>
      <c r="AH539" s="18" t="str">
        <f t="shared" si="155"/>
        <v>0,;!0,;!0,;!0</v>
      </c>
      <c r="AI539" s="18" t="e">
        <f>INDEX([1]Library!$AL:$AL,MATCH(AH539,[1]Library!$AJ:$AJ,0),1)</f>
        <v>#N/A</v>
      </c>
      <c r="AJ539" s="18" t="e">
        <f>TEXT(INDEX([1]Library!$W:$W,MATCH(AH539,[1]Library!$AJ:$AJ,0),1),"")</f>
        <v>#N/A</v>
      </c>
    </row>
    <row r="540" spans="1:36" ht="25.05" customHeight="1" outlineLevel="2">
      <c r="A540" s="376" t="s">
        <v>44</v>
      </c>
      <c r="B540" s="107" t="s">
        <v>44</v>
      </c>
      <c r="C540" s="108" t="s">
        <v>44</v>
      </c>
      <c r="D540" s="109" t="s">
        <v>525</v>
      </c>
      <c r="E540" s="110"/>
      <c r="F540" s="299"/>
      <c r="G540" s="62"/>
      <c r="H540" s="111">
        <v>168</v>
      </c>
      <c r="I540" s="112" t="s">
        <v>122</v>
      </c>
      <c r="J540" s="113">
        <v>1323.7185999999997</v>
      </c>
      <c r="K540" s="114">
        <v>222384.72479999994</v>
      </c>
      <c r="L540" s="113">
        <v>397.11557999999997</v>
      </c>
      <c r="M540" s="114">
        <v>66715.41743999999</v>
      </c>
      <c r="N540" s="115">
        <v>0</v>
      </c>
      <c r="O540" s="114">
        <v>0</v>
      </c>
      <c r="P540" s="116">
        <v>289100.14223999996</v>
      </c>
      <c r="Q540" s="117">
        <f t="shared" si="159"/>
        <v>8.2242354680349514E-4</v>
      </c>
      <c r="R540" s="114">
        <f t="shared" si="160"/>
        <v>24.065387084610059</v>
      </c>
      <c r="S540" s="377">
        <f t="shared" si="161"/>
        <v>938.63682545454526</v>
      </c>
      <c r="T540" s="357"/>
      <c r="U540" s="104"/>
      <c r="V540" s="95"/>
      <c r="W540" s="105"/>
      <c r="X540" s="95"/>
      <c r="Y540" s="95"/>
      <c r="Z540" s="95"/>
      <c r="AA540" s="95"/>
      <c r="AB540" s="95"/>
      <c r="AC540" s="95"/>
      <c r="AD540" s="17">
        <f t="shared" si="153"/>
        <v>0</v>
      </c>
      <c r="AE540" s="17">
        <f t="shared" si="154"/>
        <v>0</v>
      </c>
      <c r="AF540" s="17">
        <f t="shared" si="154"/>
        <v>0</v>
      </c>
      <c r="AG540" s="17">
        <f t="shared" si="154"/>
        <v>0</v>
      </c>
      <c r="AH540" s="18" t="str">
        <f t="shared" si="155"/>
        <v>0,;!0,;!0,;!0</v>
      </c>
      <c r="AI540" s="18" t="e">
        <f>INDEX([1]Library!$AL:$AL,MATCH(AH540,[1]Library!$AJ:$AJ,0),1)</f>
        <v>#N/A</v>
      </c>
      <c r="AJ540" s="18" t="e">
        <f>TEXT(INDEX([1]Library!$W:$W,MATCH(AH540,[1]Library!$AJ:$AJ,0),1),"")</f>
        <v>#N/A</v>
      </c>
    </row>
    <row r="541" spans="1:36" ht="25.05" customHeight="1" outlineLevel="2">
      <c r="A541" s="376" t="s">
        <v>44</v>
      </c>
      <c r="B541" s="107" t="s">
        <v>44</v>
      </c>
      <c r="C541" s="108" t="s">
        <v>44</v>
      </c>
      <c r="D541" s="109" t="s">
        <v>526</v>
      </c>
      <c r="E541" s="110"/>
      <c r="F541" s="299"/>
      <c r="G541" s="62"/>
      <c r="H541" s="111">
        <v>8</v>
      </c>
      <c r="I541" s="112" t="s">
        <v>122</v>
      </c>
      <c r="J541" s="113">
        <v>192.96</v>
      </c>
      <c r="K541" s="114">
        <v>1543.68</v>
      </c>
      <c r="L541" s="113">
        <v>57.887999999999998</v>
      </c>
      <c r="M541" s="114">
        <v>463.10399999999998</v>
      </c>
      <c r="N541" s="115">
        <v>0</v>
      </c>
      <c r="O541" s="114">
        <v>0</v>
      </c>
      <c r="P541" s="116">
        <v>2006.7840000000001</v>
      </c>
      <c r="Q541" s="117">
        <f t="shared" si="159"/>
        <v>5.708839857914646E-6</v>
      </c>
      <c r="R541" s="114">
        <f t="shared" si="160"/>
        <v>0.1670494984229729</v>
      </c>
      <c r="S541" s="377">
        <f t="shared" si="161"/>
        <v>6.5155324675324682</v>
      </c>
      <c r="T541" s="357"/>
      <c r="U541" s="104"/>
      <c r="V541" s="95"/>
      <c r="W541" s="105"/>
      <c r="X541" s="95"/>
      <c r="Y541" s="95"/>
      <c r="Z541" s="95"/>
      <c r="AA541" s="95"/>
      <c r="AB541" s="95"/>
      <c r="AC541" s="95"/>
      <c r="AD541" s="17">
        <f t="shared" si="153"/>
        <v>0</v>
      </c>
      <c r="AE541" s="17">
        <f t="shared" si="154"/>
        <v>0</v>
      </c>
      <c r="AF541" s="17">
        <f t="shared" si="154"/>
        <v>0</v>
      </c>
      <c r="AG541" s="17">
        <f t="shared" si="154"/>
        <v>0</v>
      </c>
      <c r="AH541" s="18" t="str">
        <f t="shared" si="155"/>
        <v>0,;!0,;!0,;!0</v>
      </c>
      <c r="AI541" s="18" t="e">
        <f>INDEX([1]Library!$AL:$AL,MATCH(AH541,[1]Library!$AJ:$AJ,0),1)</f>
        <v>#N/A</v>
      </c>
      <c r="AJ541" s="18" t="e">
        <f>TEXT(INDEX([1]Library!$W:$W,MATCH(AH541,[1]Library!$AJ:$AJ,0),1),"")</f>
        <v>#N/A</v>
      </c>
    </row>
    <row r="542" spans="1:36" ht="25.05" customHeight="1" outlineLevel="2">
      <c r="A542" s="376" t="s">
        <v>44</v>
      </c>
      <c r="B542" s="107" t="s">
        <v>44</v>
      </c>
      <c r="C542" s="108" t="s">
        <v>44</v>
      </c>
      <c r="D542" s="109" t="s">
        <v>527</v>
      </c>
      <c r="E542" s="110"/>
      <c r="F542" s="299"/>
      <c r="G542" s="62"/>
      <c r="H542" s="111">
        <v>159</v>
      </c>
      <c r="I542" s="112" t="s">
        <v>122</v>
      </c>
      <c r="J542" s="113">
        <v>352.75175644028093</v>
      </c>
      <c r="K542" s="114">
        <v>56087.529274004672</v>
      </c>
      <c r="L542" s="113">
        <v>105.8255269320843</v>
      </c>
      <c r="M542" s="114">
        <v>16826.258782201403</v>
      </c>
      <c r="N542" s="115">
        <v>0</v>
      </c>
      <c r="O542" s="114">
        <v>0</v>
      </c>
      <c r="P542" s="116">
        <v>72913.788056206075</v>
      </c>
      <c r="Q542" s="117">
        <f t="shared" si="159"/>
        <v>2.0742299093814287E-4</v>
      </c>
      <c r="R542" s="114">
        <f t="shared" si="160"/>
        <v>6.0695180562074329</v>
      </c>
      <c r="S542" s="377">
        <f t="shared" si="161"/>
        <v>236.73307810456518</v>
      </c>
      <c r="T542" s="357"/>
      <c r="U542" s="104"/>
      <c r="V542" s="95"/>
      <c r="W542" s="105"/>
      <c r="X542" s="95"/>
      <c r="Y542" s="95"/>
      <c r="Z542" s="95"/>
      <c r="AA542" s="95"/>
      <c r="AB542" s="95"/>
      <c r="AC542" s="95"/>
      <c r="AD542" s="17">
        <f t="shared" si="153"/>
        <v>0</v>
      </c>
      <c r="AE542" s="17">
        <f t="shared" ref="AE542:AG557" si="162">IF(AA542=" ",IF($X542&gt;=AE$12,AE541,""),AA542)</f>
        <v>0</v>
      </c>
      <c r="AF542" s="17">
        <f t="shared" si="162"/>
        <v>0</v>
      </c>
      <c r="AG542" s="17">
        <f t="shared" si="162"/>
        <v>0</v>
      </c>
      <c r="AH542" s="18" t="str">
        <f t="shared" si="155"/>
        <v>0,;!0,;!0,;!0</v>
      </c>
      <c r="AI542" s="18" t="e">
        <f>INDEX([1]Library!$AL:$AL,MATCH(AH542,[1]Library!$AJ:$AJ,0),1)</f>
        <v>#N/A</v>
      </c>
      <c r="AJ542" s="18" t="e">
        <f>TEXT(INDEX([1]Library!$W:$W,MATCH(AH542,[1]Library!$AJ:$AJ,0),1),"")</f>
        <v>#N/A</v>
      </c>
    </row>
    <row r="543" spans="1:36" ht="25.05" customHeight="1" outlineLevel="2">
      <c r="A543" s="376" t="s">
        <v>44</v>
      </c>
      <c r="B543" s="107" t="s">
        <v>44</v>
      </c>
      <c r="C543" s="108" t="s">
        <v>44</v>
      </c>
      <c r="D543" s="109" t="s">
        <v>528</v>
      </c>
      <c r="E543" s="110"/>
      <c r="F543" s="299"/>
      <c r="G543" s="62"/>
      <c r="H543" s="111">
        <v>154</v>
      </c>
      <c r="I543" s="112" t="s">
        <v>122</v>
      </c>
      <c r="J543" s="113">
        <v>192.96</v>
      </c>
      <c r="K543" s="114">
        <v>29715.84</v>
      </c>
      <c r="L543" s="113">
        <v>57.888000000000005</v>
      </c>
      <c r="M543" s="114">
        <v>8914.7520000000004</v>
      </c>
      <c r="N543" s="115">
        <v>0</v>
      </c>
      <c r="O543" s="114">
        <v>0</v>
      </c>
      <c r="P543" s="116">
        <v>38630.592000000004</v>
      </c>
      <c r="Q543" s="117">
        <f t="shared" si="159"/>
        <v>1.0989516726485694E-4</v>
      </c>
      <c r="R543" s="114">
        <f t="shared" si="160"/>
        <v>3.2157028446422284</v>
      </c>
      <c r="S543" s="377">
        <f t="shared" si="161"/>
        <v>125.42400000000001</v>
      </c>
      <c r="T543" s="357"/>
      <c r="U543" s="104"/>
      <c r="V543" s="95"/>
      <c r="W543" s="105"/>
      <c r="X543" s="95"/>
      <c r="Y543" s="95"/>
      <c r="Z543" s="95"/>
      <c r="AA543" s="95"/>
      <c r="AB543" s="95"/>
      <c r="AC543" s="95"/>
      <c r="AD543" s="17">
        <f t="shared" si="153"/>
        <v>0</v>
      </c>
      <c r="AE543" s="17">
        <f t="shared" si="162"/>
        <v>0</v>
      </c>
      <c r="AF543" s="17">
        <f t="shared" si="162"/>
        <v>0</v>
      </c>
      <c r="AG543" s="17">
        <f t="shared" si="162"/>
        <v>0</v>
      </c>
      <c r="AH543" s="18" t="str">
        <f t="shared" si="155"/>
        <v>0,;!0,;!0,;!0</v>
      </c>
      <c r="AI543" s="18" t="e">
        <f>INDEX([1]Library!$AL:$AL,MATCH(AH543,[1]Library!$AJ:$AJ,0),1)</f>
        <v>#N/A</v>
      </c>
      <c r="AJ543" s="18" t="e">
        <f>TEXT(INDEX([1]Library!$W:$W,MATCH(AH543,[1]Library!$AJ:$AJ,0),1),"")</f>
        <v>#N/A</v>
      </c>
    </row>
    <row r="544" spans="1:36" ht="25.05" customHeight="1" outlineLevel="2">
      <c r="A544" s="376" t="s">
        <v>44</v>
      </c>
      <c r="B544" s="107" t="s">
        <v>44</v>
      </c>
      <c r="C544" s="108" t="s">
        <v>44</v>
      </c>
      <c r="D544" s="109" t="s">
        <v>529</v>
      </c>
      <c r="E544" s="110"/>
      <c r="F544" s="299"/>
      <c r="G544" s="62"/>
      <c r="H544" s="111">
        <v>1036</v>
      </c>
      <c r="I544" s="112" t="s">
        <v>122</v>
      </c>
      <c r="J544" s="113">
        <v>272.78299999999996</v>
      </c>
      <c r="K544" s="114">
        <v>282603.18799999997</v>
      </c>
      <c r="L544" s="113">
        <v>81.83489999999999</v>
      </c>
      <c r="M544" s="114">
        <v>84780.956399999995</v>
      </c>
      <c r="N544" s="115">
        <v>0</v>
      </c>
      <c r="O544" s="114">
        <v>0</v>
      </c>
      <c r="P544" s="116">
        <v>367384.14439999999</v>
      </c>
      <c r="Q544" s="117">
        <f t="shared" si="159"/>
        <v>1.045123564228432E-3</v>
      </c>
      <c r="R544" s="114">
        <f t="shared" si="160"/>
        <v>30.581934603112764</v>
      </c>
      <c r="S544" s="377">
        <f t="shared" si="161"/>
        <v>1192.8056636363635</v>
      </c>
      <c r="T544" s="357"/>
      <c r="U544" s="104"/>
      <c r="V544" s="95"/>
      <c r="W544" s="105"/>
      <c r="X544" s="95"/>
      <c r="Y544" s="95"/>
      <c r="Z544" s="95"/>
      <c r="AA544" s="95"/>
      <c r="AB544" s="95"/>
      <c r="AC544" s="95"/>
      <c r="AD544" s="17">
        <f t="shared" si="153"/>
        <v>0</v>
      </c>
      <c r="AE544" s="17">
        <f t="shared" si="162"/>
        <v>0</v>
      </c>
      <c r="AF544" s="17">
        <f t="shared" si="162"/>
        <v>0</v>
      </c>
      <c r="AG544" s="17">
        <f t="shared" si="162"/>
        <v>0</v>
      </c>
      <c r="AH544" s="18" t="str">
        <f t="shared" si="155"/>
        <v>0,;!0,;!0,;!0</v>
      </c>
      <c r="AI544" s="18" t="e">
        <f>INDEX([1]Library!$AL:$AL,MATCH(AH544,[1]Library!$AJ:$AJ,0),1)</f>
        <v>#N/A</v>
      </c>
      <c r="AJ544" s="18" t="e">
        <f>TEXT(INDEX([1]Library!$W:$W,MATCH(AH544,[1]Library!$AJ:$AJ,0),1),"")</f>
        <v>#N/A</v>
      </c>
    </row>
    <row r="545" spans="1:36" ht="25.05" customHeight="1" outlineLevel="1">
      <c r="A545" s="374" t="s">
        <v>44</v>
      </c>
      <c r="B545" s="96" t="s">
        <v>44</v>
      </c>
      <c r="C545" s="97" t="s">
        <v>530</v>
      </c>
      <c r="D545" s="97"/>
      <c r="E545" s="98"/>
      <c r="F545" s="298"/>
      <c r="G545" s="62"/>
      <c r="H545" s="99">
        <v>1</v>
      </c>
      <c r="I545" s="100" t="s">
        <v>35</v>
      </c>
      <c r="J545" s="99">
        <v>480858.71428571426</v>
      </c>
      <c r="K545" s="99">
        <v>480858.71428571426</v>
      </c>
      <c r="L545" s="99">
        <v>87600.314285714296</v>
      </c>
      <c r="M545" s="99">
        <v>87600.314285714296</v>
      </c>
      <c r="N545" s="99">
        <v>0</v>
      </c>
      <c r="O545" s="99">
        <v>0</v>
      </c>
      <c r="P545" s="101">
        <v>568459.0285714285</v>
      </c>
      <c r="Q545" s="102">
        <f>P545/P$13</f>
        <v>1.6171354564816201E-3</v>
      </c>
      <c r="R545" s="103">
        <f>P545/I$5</f>
        <v>47.319888735841801</v>
      </c>
      <c r="S545" s="375">
        <f>P545/I$7</f>
        <v>1845.6461966604822</v>
      </c>
      <c r="T545" s="356"/>
      <c r="U545" s="104"/>
      <c r="V545" s="95"/>
      <c r="W545" s="105"/>
      <c r="X545" s="95"/>
      <c r="Y545" s="95"/>
      <c r="Z545" s="95"/>
      <c r="AA545" s="95"/>
      <c r="AB545" s="95"/>
      <c r="AC545" s="95"/>
      <c r="AD545" s="17">
        <f t="shared" si="153"/>
        <v>0</v>
      </c>
      <c r="AE545" s="17">
        <f t="shared" si="162"/>
        <v>0</v>
      </c>
      <c r="AF545" s="17">
        <f t="shared" si="162"/>
        <v>0</v>
      </c>
      <c r="AG545" s="17">
        <f t="shared" si="162"/>
        <v>0</v>
      </c>
      <c r="AH545" s="18" t="str">
        <f t="shared" si="155"/>
        <v>0,;!0,;!0,;!0</v>
      </c>
      <c r="AI545" s="18" t="e">
        <f>INDEX([1]Library!$AL:$AL,MATCH(AH545,[1]Library!$AJ:$AJ,0),1)</f>
        <v>#N/A</v>
      </c>
      <c r="AJ545" s="18" t="e">
        <f>TEXT(INDEX([1]Library!$W:$W,MATCH(AH545,[1]Library!$AJ:$AJ,0),1),"")</f>
        <v>#N/A</v>
      </c>
    </row>
    <row r="546" spans="1:36" ht="25.05" customHeight="1" outlineLevel="2">
      <c r="A546" s="376" t="s">
        <v>44</v>
      </c>
      <c r="B546" s="107" t="s">
        <v>44</v>
      </c>
      <c r="C546" s="108" t="s">
        <v>44</v>
      </c>
      <c r="D546" s="109" t="s">
        <v>531</v>
      </c>
      <c r="E546" s="110"/>
      <c r="F546" s="299"/>
      <c r="G546" s="62"/>
      <c r="H546" s="111">
        <v>10</v>
      </c>
      <c r="I546" s="112" t="s">
        <v>140</v>
      </c>
      <c r="J546" s="113">
        <v>732.85714285714289</v>
      </c>
      <c r="K546" s="114">
        <v>7328.5714285714294</v>
      </c>
      <c r="L546" s="113">
        <v>146.57142857142858</v>
      </c>
      <c r="M546" s="114">
        <v>1465.7142857142858</v>
      </c>
      <c r="N546" s="115">
        <v>0</v>
      </c>
      <c r="O546" s="114">
        <v>0</v>
      </c>
      <c r="P546" s="116">
        <v>8794.2857142857156</v>
      </c>
      <c r="Q546" s="117">
        <f t="shared" ref="Q546:Q552" si="163">P546/P$13</f>
        <v>2.5017724283033781E-5</v>
      </c>
      <c r="R546" s="114">
        <f t="shared" ref="R546:R552" si="164">P546/I$5</f>
        <v>0.73205737018022099</v>
      </c>
      <c r="S546" s="377">
        <f t="shared" ref="S546:S552" si="165">P546/I$7</f>
        <v>28.552875695732844</v>
      </c>
      <c r="T546" s="357"/>
      <c r="U546" s="104"/>
      <c r="V546" s="95"/>
      <c r="W546" s="105"/>
      <c r="X546" s="95"/>
      <c r="Y546" s="95"/>
      <c r="Z546" s="95"/>
      <c r="AA546" s="95"/>
      <c r="AB546" s="95"/>
      <c r="AC546" s="95"/>
      <c r="AD546" s="17">
        <f t="shared" si="153"/>
        <v>0</v>
      </c>
      <c r="AE546" s="17">
        <f t="shared" si="162"/>
        <v>0</v>
      </c>
      <c r="AF546" s="17">
        <f t="shared" si="162"/>
        <v>0</v>
      </c>
      <c r="AG546" s="17">
        <f t="shared" si="162"/>
        <v>0</v>
      </c>
      <c r="AH546" s="18" t="str">
        <f t="shared" si="155"/>
        <v>0,;!0,;!0,;!0</v>
      </c>
      <c r="AI546" s="18" t="e">
        <f>INDEX([1]Library!$AL:$AL,MATCH(AH546,[1]Library!$AJ:$AJ,0),1)</f>
        <v>#N/A</v>
      </c>
      <c r="AJ546" s="18" t="e">
        <f>TEXT(INDEX([1]Library!$W:$W,MATCH(AH546,[1]Library!$AJ:$AJ,0),1),"")</f>
        <v>#N/A</v>
      </c>
    </row>
    <row r="547" spans="1:36" ht="25.05" customHeight="1" outlineLevel="2">
      <c r="A547" s="376" t="s">
        <v>44</v>
      </c>
      <c r="B547" s="107" t="s">
        <v>44</v>
      </c>
      <c r="C547" s="108" t="s">
        <v>44</v>
      </c>
      <c r="D547" s="109" t="s">
        <v>532</v>
      </c>
      <c r="E547" s="110"/>
      <c r="F547" s="299"/>
      <c r="G547" s="62"/>
      <c r="H547" s="111">
        <v>616</v>
      </c>
      <c r="I547" s="112" t="s">
        <v>140</v>
      </c>
      <c r="J547" s="113">
        <v>380.89285714285711</v>
      </c>
      <c r="K547" s="114">
        <v>234629.99999999997</v>
      </c>
      <c r="L547" s="113">
        <v>76.178571428571431</v>
      </c>
      <c r="M547" s="114">
        <v>46926</v>
      </c>
      <c r="N547" s="115">
        <v>0</v>
      </c>
      <c r="O547" s="114">
        <v>0</v>
      </c>
      <c r="P547" s="116">
        <v>281556</v>
      </c>
      <c r="Q547" s="117">
        <f t="shared" si="163"/>
        <v>8.0096219375628663E-4</v>
      </c>
      <c r="R547" s="114">
        <f t="shared" si="164"/>
        <v>23.437394646348864</v>
      </c>
      <c r="S547" s="377">
        <f t="shared" si="165"/>
        <v>914.14285714285711</v>
      </c>
      <c r="T547" s="357"/>
      <c r="U547" s="104"/>
      <c r="V547" s="95"/>
      <c r="W547" s="105"/>
      <c r="X547" s="95"/>
      <c r="Y547" s="95"/>
      <c r="Z547" s="95"/>
      <c r="AA547" s="95"/>
      <c r="AB547" s="95"/>
      <c r="AC547" s="95"/>
      <c r="AD547" s="17">
        <f t="shared" si="153"/>
        <v>0</v>
      </c>
      <c r="AE547" s="17">
        <f t="shared" si="162"/>
        <v>0</v>
      </c>
      <c r="AF547" s="17">
        <f t="shared" si="162"/>
        <v>0</v>
      </c>
      <c r="AG547" s="17">
        <f t="shared" si="162"/>
        <v>0</v>
      </c>
      <c r="AH547" s="18" t="str">
        <f t="shared" si="155"/>
        <v>0,;!0,;!0,;!0</v>
      </c>
      <c r="AI547" s="18" t="e">
        <f>INDEX([1]Library!$AL:$AL,MATCH(AH547,[1]Library!$AJ:$AJ,0),1)</f>
        <v>#N/A</v>
      </c>
      <c r="AJ547" s="18" t="e">
        <f>TEXT(INDEX([1]Library!$W:$W,MATCH(AH547,[1]Library!$AJ:$AJ,0),1),"")</f>
        <v>#N/A</v>
      </c>
    </row>
    <row r="548" spans="1:36" ht="25.05" customHeight="1" outlineLevel="2">
      <c r="A548" s="376" t="s">
        <v>44</v>
      </c>
      <c r="B548" s="107" t="s">
        <v>44</v>
      </c>
      <c r="C548" s="108" t="s">
        <v>44</v>
      </c>
      <c r="D548" s="109" t="s">
        <v>533</v>
      </c>
      <c r="E548" s="110"/>
      <c r="F548" s="299"/>
      <c r="G548" s="62"/>
      <c r="H548" s="111">
        <v>1</v>
      </c>
      <c r="I548" s="112" t="s">
        <v>140</v>
      </c>
      <c r="J548" s="113">
        <v>34821.428571428565</v>
      </c>
      <c r="K548" s="114">
        <v>34821.428571428565</v>
      </c>
      <c r="L548" s="113">
        <v>5000</v>
      </c>
      <c r="M548" s="114">
        <v>5000</v>
      </c>
      <c r="N548" s="115">
        <v>0</v>
      </c>
      <c r="O548" s="114">
        <v>0</v>
      </c>
      <c r="P548" s="116">
        <v>39821.428571428565</v>
      </c>
      <c r="Q548" s="117">
        <f t="shared" si="163"/>
        <v>1.1328282397491333E-4</v>
      </c>
      <c r="R548" s="114">
        <f t="shared" si="164"/>
        <v>3.3148309281633619</v>
      </c>
      <c r="S548" s="377">
        <f t="shared" si="165"/>
        <v>129.29035250463821</v>
      </c>
      <c r="T548" s="357"/>
      <c r="U548" s="104"/>
      <c r="V548" s="95"/>
      <c r="W548" s="105"/>
      <c r="X548" s="95"/>
      <c r="Y548" s="95"/>
      <c r="Z548" s="95"/>
      <c r="AA548" s="95"/>
      <c r="AB548" s="95"/>
      <c r="AC548" s="95"/>
      <c r="AD548" s="17">
        <f t="shared" si="153"/>
        <v>0</v>
      </c>
      <c r="AE548" s="17">
        <f t="shared" si="162"/>
        <v>0</v>
      </c>
      <c r="AF548" s="17">
        <f t="shared" si="162"/>
        <v>0</v>
      </c>
      <c r="AG548" s="17">
        <f t="shared" si="162"/>
        <v>0</v>
      </c>
      <c r="AH548" s="18" t="str">
        <f t="shared" si="155"/>
        <v>0,;!0,;!0,;!0</v>
      </c>
      <c r="AI548" s="18" t="e">
        <f>INDEX([1]Library!$AL:$AL,MATCH(AH548,[1]Library!$AJ:$AJ,0),1)</f>
        <v>#N/A</v>
      </c>
      <c r="AJ548" s="18" t="e">
        <f>TEXT(INDEX([1]Library!$W:$W,MATCH(AH548,[1]Library!$AJ:$AJ,0),1),"")</f>
        <v>#N/A</v>
      </c>
    </row>
    <row r="549" spans="1:36" ht="25.05" customHeight="1" outlineLevel="2">
      <c r="A549" s="376" t="s">
        <v>44</v>
      </c>
      <c r="B549" s="107" t="s">
        <v>44</v>
      </c>
      <c r="C549" s="108" t="s">
        <v>44</v>
      </c>
      <c r="D549" s="109" t="s">
        <v>534</v>
      </c>
      <c r="E549" s="110"/>
      <c r="F549" s="299"/>
      <c r="G549" s="62"/>
      <c r="H549" s="111">
        <v>1</v>
      </c>
      <c r="I549" s="112" t="s">
        <v>140</v>
      </c>
      <c r="J549" s="113">
        <v>58035.714285714283</v>
      </c>
      <c r="K549" s="114">
        <v>58035.714285714283</v>
      </c>
      <c r="L549" s="113">
        <v>5000</v>
      </c>
      <c r="M549" s="114">
        <v>5000</v>
      </c>
      <c r="N549" s="115">
        <v>0</v>
      </c>
      <c r="O549" s="114">
        <v>0</v>
      </c>
      <c r="P549" s="116">
        <v>63035.714285714283</v>
      </c>
      <c r="Q549" s="117">
        <f t="shared" si="163"/>
        <v>1.7932213839975071E-4</v>
      </c>
      <c r="R549" s="114">
        <f t="shared" si="164"/>
        <v>5.2472435768684615</v>
      </c>
      <c r="S549" s="377">
        <f t="shared" si="165"/>
        <v>204.66141001855286</v>
      </c>
      <c r="T549" s="357"/>
      <c r="U549" s="104"/>
      <c r="V549" s="95"/>
      <c r="W549" s="105"/>
      <c r="X549" s="95"/>
      <c r="Y549" s="95"/>
      <c r="Z549" s="95"/>
      <c r="AA549" s="95"/>
      <c r="AB549" s="95"/>
      <c r="AC549" s="95"/>
      <c r="AD549" s="17">
        <f t="shared" si="153"/>
        <v>0</v>
      </c>
      <c r="AE549" s="17">
        <f t="shared" si="162"/>
        <v>0</v>
      </c>
      <c r="AF549" s="17">
        <f t="shared" si="162"/>
        <v>0</v>
      </c>
      <c r="AG549" s="17">
        <f t="shared" si="162"/>
        <v>0</v>
      </c>
      <c r="AH549" s="18" t="str">
        <f t="shared" si="155"/>
        <v>0,;!0,;!0,;!0</v>
      </c>
      <c r="AI549" s="18" t="e">
        <f>INDEX([1]Library!$AL:$AL,MATCH(AH549,[1]Library!$AJ:$AJ,0),1)</f>
        <v>#N/A</v>
      </c>
      <c r="AJ549" s="18" t="e">
        <f>TEXT(INDEX([1]Library!$W:$W,MATCH(AH549,[1]Library!$AJ:$AJ,0),1),"")</f>
        <v>#N/A</v>
      </c>
    </row>
    <row r="550" spans="1:36" ht="25.05" customHeight="1" outlineLevel="2">
      <c r="A550" s="376" t="s">
        <v>44</v>
      </c>
      <c r="B550" s="107" t="s">
        <v>44</v>
      </c>
      <c r="C550" s="108" t="s">
        <v>44</v>
      </c>
      <c r="D550" s="109" t="s">
        <v>535</v>
      </c>
      <c r="E550" s="110"/>
      <c r="F550" s="299"/>
      <c r="G550" s="62"/>
      <c r="H550" s="111">
        <v>0</v>
      </c>
      <c r="I550" s="112" t="s">
        <v>140</v>
      </c>
      <c r="J550" s="113">
        <v>0</v>
      </c>
      <c r="K550" s="114">
        <v>0</v>
      </c>
      <c r="L550" s="113">
        <v>0</v>
      </c>
      <c r="M550" s="114">
        <v>0</v>
      </c>
      <c r="N550" s="115">
        <v>0</v>
      </c>
      <c r="O550" s="114">
        <v>0</v>
      </c>
      <c r="P550" s="116">
        <v>0</v>
      </c>
      <c r="Q550" s="117">
        <f t="shared" si="163"/>
        <v>0</v>
      </c>
      <c r="R550" s="114">
        <f t="shared" si="164"/>
        <v>0</v>
      </c>
      <c r="S550" s="377">
        <f t="shared" si="165"/>
        <v>0</v>
      </c>
      <c r="T550" s="357"/>
      <c r="U550" s="104"/>
      <c r="V550" s="95"/>
      <c r="W550" s="105"/>
      <c r="X550" s="95"/>
      <c r="Y550" s="95"/>
      <c r="Z550" s="95"/>
      <c r="AA550" s="95"/>
      <c r="AB550" s="95"/>
      <c r="AC550" s="95"/>
      <c r="AD550" s="17">
        <f t="shared" si="153"/>
        <v>0</v>
      </c>
      <c r="AE550" s="17">
        <f t="shared" si="162"/>
        <v>0</v>
      </c>
      <c r="AF550" s="17">
        <f t="shared" si="162"/>
        <v>0</v>
      </c>
      <c r="AG550" s="17">
        <f t="shared" si="162"/>
        <v>0</v>
      </c>
      <c r="AH550" s="18" t="str">
        <f t="shared" si="155"/>
        <v>0,;!0,;!0,;!0</v>
      </c>
      <c r="AI550" s="18" t="e">
        <f>INDEX([1]Library!$AL:$AL,MATCH(AH550,[1]Library!$AJ:$AJ,0),1)</f>
        <v>#N/A</v>
      </c>
      <c r="AJ550" s="18" t="e">
        <f>TEXT(INDEX([1]Library!$W:$W,MATCH(AH550,[1]Library!$AJ:$AJ,0),1),"")</f>
        <v>#N/A</v>
      </c>
    </row>
    <row r="551" spans="1:36" ht="25.05" customHeight="1" outlineLevel="2">
      <c r="A551" s="376" t="s">
        <v>44</v>
      </c>
      <c r="B551" s="107" t="s">
        <v>44</v>
      </c>
      <c r="C551" s="108" t="s">
        <v>44</v>
      </c>
      <c r="D551" s="109" t="s">
        <v>536</v>
      </c>
      <c r="E551" s="110"/>
      <c r="F551" s="299"/>
      <c r="G551" s="62"/>
      <c r="H551" s="111">
        <v>28</v>
      </c>
      <c r="I551" s="112" t="s">
        <v>140</v>
      </c>
      <c r="J551" s="113">
        <v>1026</v>
      </c>
      <c r="K551" s="114">
        <v>28728</v>
      </c>
      <c r="L551" s="113">
        <v>205.20000000000002</v>
      </c>
      <c r="M551" s="114">
        <v>5745.6</v>
      </c>
      <c r="N551" s="115">
        <v>0</v>
      </c>
      <c r="O551" s="114">
        <v>0</v>
      </c>
      <c r="P551" s="116">
        <v>34473.599999999999</v>
      </c>
      <c r="Q551" s="117">
        <f t="shared" si="163"/>
        <v>9.8069479189492406E-5</v>
      </c>
      <c r="R551" s="114">
        <f t="shared" si="164"/>
        <v>2.8696648911064657</v>
      </c>
      <c r="S551" s="377">
        <f t="shared" si="165"/>
        <v>111.92727272727272</v>
      </c>
      <c r="T551" s="357"/>
      <c r="U551" s="104"/>
      <c r="V551" s="95"/>
      <c r="W551" s="105"/>
      <c r="X551" s="95"/>
      <c r="Y551" s="95"/>
      <c r="Z551" s="95"/>
      <c r="AA551" s="95"/>
      <c r="AB551" s="95"/>
      <c r="AC551" s="95"/>
      <c r="AD551" s="17">
        <f t="shared" si="153"/>
        <v>0</v>
      </c>
      <c r="AE551" s="17">
        <f t="shared" si="162"/>
        <v>0</v>
      </c>
      <c r="AF551" s="17">
        <f t="shared" si="162"/>
        <v>0</v>
      </c>
      <c r="AG551" s="17">
        <f t="shared" si="162"/>
        <v>0</v>
      </c>
      <c r="AH551" s="18" t="str">
        <f t="shared" si="155"/>
        <v>0,;!0,;!0,;!0</v>
      </c>
      <c r="AI551" s="18" t="e">
        <f>INDEX([1]Library!$AL:$AL,MATCH(AH551,[1]Library!$AJ:$AJ,0),1)</f>
        <v>#N/A</v>
      </c>
      <c r="AJ551" s="18" t="e">
        <f>TEXT(INDEX([1]Library!$W:$W,MATCH(AH551,[1]Library!$AJ:$AJ,0),1),"")</f>
        <v>#N/A</v>
      </c>
    </row>
    <row r="552" spans="1:36" ht="25.05" customHeight="1" outlineLevel="2">
      <c r="A552" s="376" t="s">
        <v>44</v>
      </c>
      <c r="B552" s="107" t="s">
        <v>44</v>
      </c>
      <c r="C552" s="108" t="s">
        <v>44</v>
      </c>
      <c r="D552" s="109" t="s">
        <v>537</v>
      </c>
      <c r="E552" s="110"/>
      <c r="F552" s="299"/>
      <c r="G552" s="62"/>
      <c r="H552" s="111">
        <v>308</v>
      </c>
      <c r="I552" s="112" t="s">
        <v>140</v>
      </c>
      <c r="J552" s="113">
        <v>380.89285714285711</v>
      </c>
      <c r="K552" s="114">
        <v>117314.99999999999</v>
      </c>
      <c r="L552" s="113">
        <v>76.178571428571431</v>
      </c>
      <c r="M552" s="114">
        <v>23463</v>
      </c>
      <c r="N552" s="115">
        <v>0</v>
      </c>
      <c r="O552" s="114">
        <v>0</v>
      </c>
      <c r="P552" s="116">
        <v>140778</v>
      </c>
      <c r="Q552" s="117">
        <f t="shared" si="163"/>
        <v>4.0048109687814331E-4</v>
      </c>
      <c r="R552" s="114">
        <f t="shared" si="164"/>
        <v>11.718697323174432</v>
      </c>
      <c r="S552" s="377">
        <f t="shared" si="165"/>
        <v>457.07142857142856</v>
      </c>
      <c r="T552" s="357"/>
      <c r="U552" s="104"/>
      <c r="V552" s="95"/>
      <c r="W552" s="105"/>
      <c r="X552" s="95"/>
      <c r="Y552" s="95"/>
      <c r="Z552" s="95"/>
      <c r="AA552" s="95"/>
      <c r="AB552" s="95"/>
      <c r="AC552" s="95"/>
      <c r="AD552" s="17">
        <f t="shared" si="153"/>
        <v>0</v>
      </c>
      <c r="AE552" s="17">
        <f t="shared" si="162"/>
        <v>0</v>
      </c>
      <c r="AF552" s="17">
        <f t="shared" si="162"/>
        <v>0</v>
      </c>
      <c r="AG552" s="17">
        <f t="shared" si="162"/>
        <v>0</v>
      </c>
      <c r="AH552" s="18" t="str">
        <f t="shared" si="155"/>
        <v>0,;!0,;!0,;!0</v>
      </c>
      <c r="AI552" s="18" t="e">
        <f>INDEX([1]Library!$AL:$AL,MATCH(AH552,[1]Library!$AJ:$AJ,0),1)</f>
        <v>#N/A</v>
      </c>
      <c r="AJ552" s="18" t="e">
        <f>TEXT(INDEX([1]Library!$W:$W,MATCH(AH552,[1]Library!$AJ:$AJ,0),1),"")</f>
        <v>#N/A</v>
      </c>
    </row>
    <row r="553" spans="1:36" ht="25.05" customHeight="1" outlineLevel="1">
      <c r="A553" s="374" t="s">
        <v>44</v>
      </c>
      <c r="B553" s="96" t="s">
        <v>44</v>
      </c>
      <c r="C553" s="97" t="s">
        <v>538</v>
      </c>
      <c r="D553" s="97"/>
      <c r="E553" s="98"/>
      <c r="F553" s="298"/>
      <c r="G553" s="62"/>
      <c r="H553" s="99">
        <v>1</v>
      </c>
      <c r="I553" s="100" t="s">
        <v>35</v>
      </c>
      <c r="J553" s="99">
        <v>340928.17095316167</v>
      </c>
      <c r="K553" s="99">
        <v>340928.17095316167</v>
      </c>
      <c r="L553" s="99">
        <v>102278.45128594851</v>
      </c>
      <c r="M553" s="99">
        <v>102278.45128594851</v>
      </c>
      <c r="N553" s="99">
        <v>0</v>
      </c>
      <c r="O553" s="99">
        <v>0</v>
      </c>
      <c r="P553" s="101">
        <v>443206.62223911018</v>
      </c>
      <c r="Q553" s="102">
        <f>P553/P$13</f>
        <v>1.260821109960191E-3</v>
      </c>
      <c r="R553" s="103">
        <f>P553/I$5</f>
        <v>36.893578951587905</v>
      </c>
      <c r="S553" s="375">
        <f>P553/I$7</f>
        <v>1438.9825397373706</v>
      </c>
      <c r="T553" s="356"/>
      <c r="U553" s="104"/>
      <c r="V553" s="95"/>
      <c r="W553" s="105"/>
      <c r="X553" s="95"/>
      <c r="Y553" s="95"/>
      <c r="Z553" s="95"/>
      <c r="AA553" s="95"/>
      <c r="AB553" s="95"/>
      <c r="AC553" s="95"/>
      <c r="AD553" s="17">
        <f t="shared" si="153"/>
        <v>0</v>
      </c>
      <c r="AE553" s="17">
        <f t="shared" si="162"/>
        <v>0</v>
      </c>
      <c r="AF553" s="17">
        <f t="shared" si="162"/>
        <v>0</v>
      </c>
      <c r="AG553" s="17">
        <f t="shared" si="162"/>
        <v>0</v>
      </c>
      <c r="AH553" s="18" t="str">
        <f t="shared" si="155"/>
        <v>0,;!0,;!0,;!0</v>
      </c>
      <c r="AI553" s="18" t="e">
        <f>INDEX([1]Library!$AL:$AL,MATCH(AH553,[1]Library!$AJ:$AJ,0),1)</f>
        <v>#N/A</v>
      </c>
      <c r="AJ553" s="18" t="e">
        <f>TEXT(INDEX([1]Library!$W:$W,MATCH(AH553,[1]Library!$AJ:$AJ,0),1),"")</f>
        <v>#N/A</v>
      </c>
    </row>
    <row r="554" spans="1:36" ht="25.05" customHeight="1" outlineLevel="2">
      <c r="A554" s="376" t="s">
        <v>44</v>
      </c>
      <c r="B554" s="107" t="s">
        <v>44</v>
      </c>
      <c r="C554" s="108" t="s">
        <v>44</v>
      </c>
      <c r="D554" s="109" t="s">
        <v>539</v>
      </c>
      <c r="E554" s="110"/>
      <c r="F554" s="299"/>
      <c r="G554" s="62"/>
      <c r="H554" s="111">
        <v>3</v>
      </c>
      <c r="I554" s="112" t="s">
        <v>122</v>
      </c>
      <c r="J554" s="113">
        <v>363.375</v>
      </c>
      <c r="K554" s="114">
        <v>1090.125</v>
      </c>
      <c r="L554" s="113">
        <v>109.0125</v>
      </c>
      <c r="M554" s="114">
        <v>327.03750000000002</v>
      </c>
      <c r="N554" s="115">
        <v>0</v>
      </c>
      <c r="O554" s="114">
        <v>0</v>
      </c>
      <c r="P554" s="116">
        <v>1417.1624999999999</v>
      </c>
      <c r="Q554" s="117">
        <f t="shared" ref="Q554:Q558" si="166">P554/P$13</f>
        <v>4.0315020276930467E-6</v>
      </c>
      <c r="R554" s="114">
        <f t="shared" ref="R554:R558" si="167">P554/I$5</f>
        <v>0.11796799496550017</v>
      </c>
      <c r="S554" s="377">
        <f t="shared" ref="S554:S558" si="168">P554/I$7</f>
        <v>4.6011769480519478</v>
      </c>
      <c r="T554" s="357"/>
      <c r="U554" s="104"/>
      <c r="V554" s="95"/>
      <c r="W554" s="105"/>
      <c r="X554" s="95"/>
      <c r="Y554" s="95"/>
      <c r="Z554" s="95"/>
      <c r="AA554" s="95"/>
      <c r="AB554" s="95"/>
      <c r="AC554" s="95"/>
      <c r="AD554" s="17">
        <f t="shared" si="153"/>
        <v>0</v>
      </c>
      <c r="AE554" s="17">
        <f t="shared" si="162"/>
        <v>0</v>
      </c>
      <c r="AF554" s="17">
        <f t="shared" si="162"/>
        <v>0</v>
      </c>
      <c r="AG554" s="17">
        <f t="shared" si="162"/>
        <v>0</v>
      </c>
      <c r="AH554" s="18" t="str">
        <f t="shared" si="155"/>
        <v>0,;!0,;!0,;!0</v>
      </c>
      <c r="AI554" s="18" t="e">
        <f>INDEX([1]Library!$AL:$AL,MATCH(AH554,[1]Library!$AJ:$AJ,0),1)</f>
        <v>#N/A</v>
      </c>
      <c r="AJ554" s="18" t="e">
        <f>TEXT(INDEX([1]Library!$W:$W,MATCH(AH554,[1]Library!$AJ:$AJ,0),1),"")</f>
        <v>#N/A</v>
      </c>
    </row>
    <row r="555" spans="1:36" ht="25.05" customHeight="1" outlineLevel="2">
      <c r="A555" s="376" t="s">
        <v>44</v>
      </c>
      <c r="B555" s="107" t="s">
        <v>44</v>
      </c>
      <c r="C555" s="108" t="s">
        <v>44</v>
      </c>
      <c r="D555" s="109" t="s">
        <v>540</v>
      </c>
      <c r="E555" s="110"/>
      <c r="F555" s="299"/>
      <c r="G555" s="62"/>
      <c r="H555" s="111">
        <v>8</v>
      </c>
      <c r="I555" s="112" t="s">
        <v>122</v>
      </c>
      <c r="J555" s="113">
        <v>5008.2192000000005</v>
      </c>
      <c r="K555" s="114">
        <v>40065.753600000004</v>
      </c>
      <c r="L555" s="113">
        <v>1502.46576</v>
      </c>
      <c r="M555" s="114">
        <v>12019.72608</v>
      </c>
      <c r="N555" s="115">
        <v>0</v>
      </c>
      <c r="O555" s="114">
        <v>0</v>
      </c>
      <c r="P555" s="116">
        <v>52085.479680000004</v>
      </c>
      <c r="Q555" s="117">
        <f t="shared" si="166"/>
        <v>1.4817123438087376E-4</v>
      </c>
      <c r="R555" s="114">
        <f t="shared" si="167"/>
        <v>4.3357198660463441</v>
      </c>
      <c r="S555" s="377">
        <f t="shared" si="168"/>
        <v>169.10870025974026</v>
      </c>
      <c r="T555" s="357"/>
      <c r="U555" s="104"/>
      <c r="V555" s="95"/>
      <c r="W555" s="105"/>
      <c r="X555" s="95"/>
      <c r="Y555" s="95"/>
      <c r="Z555" s="95"/>
      <c r="AA555" s="95"/>
      <c r="AB555" s="95"/>
      <c r="AC555" s="95"/>
      <c r="AD555" s="17">
        <f t="shared" si="153"/>
        <v>0</v>
      </c>
      <c r="AE555" s="17">
        <f t="shared" si="162"/>
        <v>0</v>
      </c>
      <c r="AF555" s="17">
        <f t="shared" si="162"/>
        <v>0</v>
      </c>
      <c r="AG555" s="17">
        <f t="shared" si="162"/>
        <v>0</v>
      </c>
      <c r="AH555" s="18" t="str">
        <f t="shared" si="155"/>
        <v>0,;!0,;!0,;!0</v>
      </c>
      <c r="AI555" s="18" t="e">
        <f>INDEX([1]Library!$AL:$AL,MATCH(AH555,[1]Library!$AJ:$AJ,0),1)</f>
        <v>#N/A</v>
      </c>
      <c r="AJ555" s="18" t="e">
        <f>TEXT(INDEX([1]Library!$W:$W,MATCH(AH555,[1]Library!$AJ:$AJ,0),1),"")</f>
        <v>#N/A</v>
      </c>
    </row>
    <row r="556" spans="1:36" ht="25.05" customHeight="1" outlineLevel="2">
      <c r="A556" s="376" t="s">
        <v>44</v>
      </c>
      <c r="B556" s="107" t="s">
        <v>44</v>
      </c>
      <c r="C556" s="108" t="s">
        <v>44</v>
      </c>
      <c r="D556" s="109" t="s">
        <v>541</v>
      </c>
      <c r="E556" s="110"/>
      <c r="F556" s="299"/>
      <c r="G556" s="62"/>
      <c r="H556" s="111">
        <v>31</v>
      </c>
      <c r="I556" s="112" t="s">
        <v>122</v>
      </c>
      <c r="J556" s="113">
        <v>3234.1703999999995</v>
      </c>
      <c r="K556" s="114">
        <v>100259.28239999998</v>
      </c>
      <c r="L556" s="113">
        <v>970.25111999999979</v>
      </c>
      <c r="M556" s="114">
        <v>30077.784719999992</v>
      </c>
      <c r="N556" s="115">
        <v>0</v>
      </c>
      <c r="O556" s="114">
        <v>0</v>
      </c>
      <c r="P556" s="116">
        <v>130337.06711999998</v>
      </c>
      <c r="Q556" s="117">
        <f t="shared" si="166"/>
        <v>3.707790393676411E-4</v>
      </c>
      <c r="R556" s="114">
        <f t="shared" si="167"/>
        <v>10.849569105751964</v>
      </c>
      <c r="S556" s="377">
        <f t="shared" si="168"/>
        <v>423.17229584415577</v>
      </c>
      <c r="T556" s="357"/>
      <c r="U556" s="104"/>
      <c r="V556" s="95"/>
      <c r="W556" s="105"/>
      <c r="X556" s="95"/>
      <c r="Y556" s="95"/>
      <c r="Z556" s="95"/>
      <c r="AA556" s="95"/>
      <c r="AB556" s="95"/>
      <c r="AC556" s="95"/>
      <c r="AD556" s="17">
        <f t="shared" si="153"/>
        <v>0</v>
      </c>
      <c r="AE556" s="17">
        <f t="shared" si="162"/>
        <v>0</v>
      </c>
      <c r="AF556" s="17">
        <f t="shared" si="162"/>
        <v>0</v>
      </c>
      <c r="AG556" s="17">
        <f t="shared" si="162"/>
        <v>0</v>
      </c>
      <c r="AH556" s="18" t="str">
        <f t="shared" si="155"/>
        <v>0,;!0,;!0,;!0</v>
      </c>
      <c r="AI556" s="18" t="e">
        <f>INDEX([1]Library!$AL:$AL,MATCH(AH556,[1]Library!$AJ:$AJ,0),1)</f>
        <v>#N/A</v>
      </c>
      <c r="AJ556" s="18" t="e">
        <f>TEXT(INDEX([1]Library!$W:$W,MATCH(AH556,[1]Library!$AJ:$AJ,0),1),"")</f>
        <v>#N/A</v>
      </c>
    </row>
    <row r="557" spans="1:36" ht="25.05" customHeight="1" outlineLevel="2">
      <c r="A557" s="376" t="s">
        <v>44</v>
      </c>
      <c r="B557" s="107" t="s">
        <v>44</v>
      </c>
      <c r="C557" s="108" t="s">
        <v>44</v>
      </c>
      <c r="D557" s="109" t="s">
        <v>542</v>
      </c>
      <c r="E557" s="110"/>
      <c r="F557" s="299"/>
      <c r="G557" s="62"/>
      <c r="H557" s="111">
        <v>56</v>
      </c>
      <c r="I557" s="112" t="s">
        <v>122</v>
      </c>
      <c r="J557" s="113">
        <v>2089.5</v>
      </c>
      <c r="K557" s="114">
        <v>117012</v>
      </c>
      <c r="L557" s="113">
        <v>626.85</v>
      </c>
      <c r="M557" s="114">
        <v>35103.599999999999</v>
      </c>
      <c r="N557" s="115">
        <v>0</v>
      </c>
      <c r="O557" s="114">
        <v>0</v>
      </c>
      <c r="P557" s="116">
        <v>152115.6</v>
      </c>
      <c r="Q557" s="117">
        <f t="shared" si="166"/>
        <v>4.3273396653082801E-4</v>
      </c>
      <c r="R557" s="114">
        <f t="shared" si="167"/>
        <v>12.66246625561574</v>
      </c>
      <c r="S557" s="377">
        <f t="shared" si="168"/>
        <v>493.88181818181818</v>
      </c>
      <c r="T557" s="357"/>
      <c r="U557" s="104"/>
      <c r="V557" s="95"/>
      <c r="W557" s="105"/>
      <c r="X557" s="95"/>
      <c r="Y557" s="95"/>
      <c r="Z557" s="95"/>
      <c r="AA557" s="95"/>
      <c r="AB557" s="95"/>
      <c r="AC557" s="95"/>
      <c r="AD557" s="17">
        <f t="shared" si="153"/>
        <v>0</v>
      </c>
      <c r="AE557" s="17">
        <f t="shared" si="162"/>
        <v>0</v>
      </c>
      <c r="AF557" s="17">
        <f t="shared" si="162"/>
        <v>0</v>
      </c>
      <c r="AG557" s="17">
        <f t="shared" si="162"/>
        <v>0</v>
      </c>
      <c r="AH557" s="18" t="str">
        <f t="shared" si="155"/>
        <v>0,;!0,;!0,;!0</v>
      </c>
      <c r="AI557" s="18" t="e">
        <f>INDEX([1]Library!$AL:$AL,MATCH(AH557,[1]Library!$AJ:$AJ,0),1)</f>
        <v>#N/A</v>
      </c>
      <c r="AJ557" s="18" t="e">
        <f>TEXT(INDEX([1]Library!$W:$W,MATCH(AH557,[1]Library!$AJ:$AJ,0),1),"")</f>
        <v>#N/A</v>
      </c>
    </row>
    <row r="558" spans="1:36" ht="25.05" customHeight="1" outlineLevel="2">
      <c r="A558" s="376" t="s">
        <v>44</v>
      </c>
      <c r="B558" s="107" t="s">
        <v>44</v>
      </c>
      <c r="C558" s="108" t="s">
        <v>44</v>
      </c>
      <c r="D558" s="109" t="s">
        <v>543</v>
      </c>
      <c r="E558" s="110"/>
      <c r="F558" s="299"/>
      <c r="G558" s="62"/>
      <c r="H558" s="111">
        <v>51</v>
      </c>
      <c r="I558" s="112" t="s">
        <v>122</v>
      </c>
      <c r="J558" s="113">
        <v>1617.6668618267001</v>
      </c>
      <c r="K558" s="114">
        <v>82501.009953161702</v>
      </c>
      <c r="L558" s="113">
        <v>485.30005854800993</v>
      </c>
      <c r="M558" s="114">
        <v>24750.302985948507</v>
      </c>
      <c r="N558" s="115">
        <v>0</v>
      </c>
      <c r="O558" s="114">
        <v>0</v>
      </c>
      <c r="P558" s="116">
        <v>107251.31293911021</v>
      </c>
      <c r="Q558" s="117">
        <f t="shared" si="166"/>
        <v>3.0510536765315506E-4</v>
      </c>
      <c r="R558" s="114">
        <f t="shared" si="167"/>
        <v>8.9278557292083569</v>
      </c>
      <c r="S558" s="377">
        <f t="shared" si="168"/>
        <v>348.21854850360461</v>
      </c>
      <c r="T558" s="357"/>
      <c r="U558" s="104"/>
      <c r="V558" s="95"/>
      <c r="W558" s="105"/>
      <c r="X558" s="95"/>
      <c r="Y558" s="95"/>
      <c r="Z558" s="95"/>
      <c r="AA558" s="95"/>
      <c r="AB558" s="95"/>
      <c r="AC558" s="95"/>
      <c r="AD558" s="17">
        <f t="shared" si="153"/>
        <v>0</v>
      </c>
      <c r="AE558" s="17">
        <f t="shared" ref="AE558:AG573" si="169">IF(AA558=" ",IF($X558&gt;=AE$12,AE557,""),AA558)</f>
        <v>0</v>
      </c>
      <c r="AF558" s="17">
        <f t="shared" si="169"/>
        <v>0</v>
      </c>
      <c r="AG558" s="17">
        <f t="shared" si="169"/>
        <v>0</v>
      </c>
      <c r="AH558" s="18" t="str">
        <f t="shared" si="155"/>
        <v>0,;!0,;!0,;!0</v>
      </c>
      <c r="AI558" s="18" t="e">
        <f>INDEX([1]Library!$AL:$AL,MATCH(AH558,[1]Library!$AJ:$AJ,0),1)</f>
        <v>#N/A</v>
      </c>
      <c r="AJ558" s="18" t="e">
        <f>TEXT(INDEX([1]Library!$W:$W,MATCH(AH558,[1]Library!$AJ:$AJ,0),1),"")</f>
        <v>#N/A</v>
      </c>
    </row>
    <row r="559" spans="1:36" ht="25.05" customHeight="1" outlineLevel="1">
      <c r="A559" s="374" t="s">
        <v>44</v>
      </c>
      <c r="B559" s="96" t="s">
        <v>44</v>
      </c>
      <c r="C559" s="97" t="s">
        <v>544</v>
      </c>
      <c r="D559" s="97"/>
      <c r="E559" s="98"/>
      <c r="F559" s="298"/>
      <c r="G559" s="62"/>
      <c r="H559" s="99">
        <v>1</v>
      </c>
      <c r="I559" s="100" t="s">
        <v>35</v>
      </c>
      <c r="J559" s="99">
        <v>0</v>
      </c>
      <c r="K559" s="99">
        <v>0</v>
      </c>
      <c r="L559" s="99">
        <v>0</v>
      </c>
      <c r="M559" s="99">
        <v>0</v>
      </c>
      <c r="N559" s="99">
        <v>1866071.428571427</v>
      </c>
      <c r="O559" s="99">
        <v>1866071.428571427</v>
      </c>
      <c r="P559" s="101">
        <v>1866071.428571427</v>
      </c>
      <c r="Q559" s="102">
        <f>P559/P$13</f>
        <v>5.3085448903042306E-3</v>
      </c>
      <c r="R559" s="103">
        <f>P559/I$5</f>
        <v>155.33624753052516</v>
      </c>
      <c r="S559" s="375">
        <f>P559/I$7</f>
        <v>6058.6734693877497</v>
      </c>
      <c r="T559" s="356"/>
      <c r="U559" s="104"/>
      <c r="V559" s="95"/>
      <c r="W559" s="105"/>
      <c r="X559" s="95"/>
      <c r="Y559" s="95"/>
      <c r="Z559" s="95"/>
      <c r="AA559" s="95"/>
      <c r="AB559" s="95"/>
      <c r="AC559" s="95"/>
      <c r="AD559" s="17">
        <f t="shared" si="153"/>
        <v>0</v>
      </c>
      <c r="AE559" s="17">
        <f t="shared" si="169"/>
        <v>0</v>
      </c>
      <c r="AF559" s="17">
        <f t="shared" si="169"/>
        <v>0</v>
      </c>
      <c r="AG559" s="17">
        <f t="shared" si="169"/>
        <v>0</v>
      </c>
      <c r="AH559" s="18" t="str">
        <f t="shared" si="155"/>
        <v>0,;!0,;!0,;!0</v>
      </c>
      <c r="AI559" s="18" t="e">
        <f>INDEX([1]Library!$AL:$AL,MATCH(AH559,[1]Library!$AJ:$AJ,0),1)</f>
        <v>#N/A</v>
      </c>
      <c r="AJ559" s="18" t="e">
        <f>TEXT(INDEX([1]Library!$W:$W,MATCH(AH559,[1]Library!$AJ:$AJ,0),1),"")</f>
        <v>#N/A</v>
      </c>
    </row>
    <row r="560" spans="1:36" ht="25.05" customHeight="1" outlineLevel="2">
      <c r="A560" s="376" t="s">
        <v>44</v>
      </c>
      <c r="B560" s="107" t="s">
        <v>44</v>
      </c>
      <c r="C560" s="108" t="s">
        <v>44</v>
      </c>
      <c r="D560" s="109" t="s">
        <v>545</v>
      </c>
      <c r="E560" s="110"/>
      <c r="F560" s="299"/>
      <c r="G560" s="62"/>
      <c r="H560" s="111">
        <v>1</v>
      </c>
      <c r="I560" s="112" t="s">
        <v>140</v>
      </c>
      <c r="J560" s="113">
        <v>0</v>
      </c>
      <c r="K560" s="114">
        <v>0</v>
      </c>
      <c r="L560" s="113">
        <v>0</v>
      </c>
      <c r="M560" s="114">
        <v>0</v>
      </c>
      <c r="N560" s="115">
        <v>1866071.428571427</v>
      </c>
      <c r="O560" s="114">
        <v>1866071.428571427</v>
      </c>
      <c r="P560" s="116">
        <v>1866071.428571427</v>
      </c>
      <c r="Q560" s="117">
        <f>P560/P$13</f>
        <v>5.3085448903042306E-3</v>
      </c>
      <c r="R560" s="114">
        <f>P560/I$5</f>
        <v>155.33624753052516</v>
      </c>
      <c r="S560" s="377">
        <f>P560/I$7</f>
        <v>6058.6734693877497</v>
      </c>
      <c r="T560" s="357"/>
      <c r="U560" s="104"/>
      <c r="V560" s="95"/>
      <c r="W560" s="105"/>
      <c r="X560" s="95"/>
      <c r="Y560" s="95"/>
      <c r="Z560" s="95"/>
      <c r="AA560" s="95"/>
      <c r="AB560" s="95"/>
      <c r="AC560" s="95"/>
      <c r="AD560" s="17">
        <f t="shared" si="153"/>
        <v>0</v>
      </c>
      <c r="AE560" s="17">
        <f t="shared" si="169"/>
        <v>0</v>
      </c>
      <c r="AF560" s="17">
        <f t="shared" si="169"/>
        <v>0</v>
      </c>
      <c r="AG560" s="17">
        <f t="shared" si="169"/>
        <v>0</v>
      </c>
      <c r="AH560" s="18" t="str">
        <f t="shared" si="155"/>
        <v>0,;!0,;!0,;!0</v>
      </c>
      <c r="AI560" s="18" t="e">
        <f>INDEX([1]Library!$AL:$AL,MATCH(AH560,[1]Library!$AJ:$AJ,0),1)</f>
        <v>#N/A</v>
      </c>
      <c r="AJ560" s="18" t="e">
        <f>TEXT(INDEX([1]Library!$W:$W,MATCH(AH560,[1]Library!$AJ:$AJ,0),1),"")</f>
        <v>#N/A</v>
      </c>
    </row>
    <row r="561" spans="1:36" ht="25.05" customHeight="1" outlineLevel="1">
      <c r="A561" s="374" t="s">
        <v>44</v>
      </c>
      <c r="B561" s="96" t="s">
        <v>44</v>
      </c>
      <c r="C561" s="97" t="s">
        <v>546</v>
      </c>
      <c r="D561" s="97"/>
      <c r="E561" s="98"/>
      <c r="F561" s="298"/>
      <c r="G561" s="62"/>
      <c r="H561" s="99">
        <v>1</v>
      </c>
      <c r="I561" s="100" t="s">
        <v>35</v>
      </c>
      <c r="J561" s="99">
        <v>2000857.1428571427</v>
      </c>
      <c r="K561" s="99">
        <v>2000857.1428571427</v>
      </c>
      <c r="L561" s="99">
        <v>360000</v>
      </c>
      <c r="M561" s="99">
        <v>360000</v>
      </c>
      <c r="N561" s="99">
        <v>0</v>
      </c>
      <c r="O561" s="99">
        <v>0</v>
      </c>
      <c r="P561" s="101">
        <v>2360857.1428571427</v>
      </c>
      <c r="Q561" s="102">
        <f>P561/P$13</f>
        <v>6.7160966780606922E-3</v>
      </c>
      <c r="R561" s="103">
        <f>P561/I$5</f>
        <v>196.5233934307721</v>
      </c>
      <c r="S561" s="375">
        <f>P561/I$7</f>
        <v>7665.1205936920214</v>
      </c>
      <c r="T561" s="356"/>
      <c r="U561" s="104"/>
      <c r="V561" s="95"/>
      <c r="W561" s="105"/>
      <c r="X561" s="95"/>
      <c r="Y561" s="95"/>
      <c r="Z561" s="95"/>
      <c r="AA561" s="95"/>
      <c r="AB561" s="95"/>
      <c r="AC561" s="95"/>
      <c r="AD561" s="17">
        <f t="shared" si="153"/>
        <v>0</v>
      </c>
      <c r="AE561" s="17">
        <f t="shared" si="169"/>
        <v>0</v>
      </c>
      <c r="AF561" s="17">
        <f t="shared" si="169"/>
        <v>0</v>
      </c>
      <c r="AG561" s="17">
        <f t="shared" si="169"/>
        <v>0</v>
      </c>
      <c r="AH561" s="18" t="str">
        <f t="shared" si="155"/>
        <v>0,;!0,;!0,;!0</v>
      </c>
      <c r="AI561" s="18" t="e">
        <f>INDEX([1]Library!$AL:$AL,MATCH(AH561,[1]Library!$AJ:$AJ,0),1)</f>
        <v>#N/A</v>
      </c>
      <c r="AJ561" s="18" t="e">
        <f>TEXT(INDEX([1]Library!$W:$W,MATCH(AH561,[1]Library!$AJ:$AJ,0),1),"")</f>
        <v>#N/A</v>
      </c>
    </row>
    <row r="562" spans="1:36" s="130" customFormat="1" ht="25.05" customHeight="1" outlineLevel="2">
      <c r="A562" s="376" t="s">
        <v>44</v>
      </c>
      <c r="B562" s="107" t="s">
        <v>44</v>
      </c>
      <c r="C562" s="108" t="s">
        <v>44</v>
      </c>
      <c r="D562" s="109" t="s">
        <v>547</v>
      </c>
      <c r="E562" s="110"/>
      <c r="F562" s="299"/>
      <c r="G562" s="62"/>
      <c r="H562" s="111">
        <v>1</v>
      </c>
      <c r="I562" s="112" t="s">
        <v>140</v>
      </c>
      <c r="J562" s="113">
        <v>1051785.7142857141</v>
      </c>
      <c r="K562" s="114">
        <v>1051785.7142857141</v>
      </c>
      <c r="L562" s="113">
        <v>150000</v>
      </c>
      <c r="M562" s="114">
        <v>150000</v>
      </c>
      <c r="N562" s="115">
        <v>0</v>
      </c>
      <c r="O562" s="114">
        <v>0</v>
      </c>
      <c r="P562" s="116">
        <v>1201785.7142857141</v>
      </c>
      <c r="Q562" s="117">
        <f t="shared" ref="Q562:Q621" si="170">P562/P$13</f>
        <v>3.418804508301196E-3</v>
      </c>
      <c r="R562" s="114">
        <f t="shared" ref="R562:R624" si="171">P562/I$5</f>
        <v>100.03951635219472</v>
      </c>
      <c r="S562" s="377">
        <f t="shared" ref="S562:S624" si="172">P562/I$7</f>
        <v>3901.9016697588117</v>
      </c>
      <c r="T562" s="357"/>
      <c r="U562" s="104"/>
      <c r="V562" s="95"/>
      <c r="W562" s="105"/>
      <c r="X562" s="95"/>
      <c r="Y562" s="95"/>
      <c r="Z562" s="95"/>
      <c r="AA562" s="95"/>
      <c r="AB562" s="95"/>
      <c r="AC562" s="95"/>
      <c r="AD562" s="17">
        <f t="shared" si="153"/>
        <v>0</v>
      </c>
      <c r="AE562" s="17">
        <f t="shared" si="169"/>
        <v>0</v>
      </c>
      <c r="AF562" s="17">
        <f t="shared" si="169"/>
        <v>0</v>
      </c>
      <c r="AG562" s="17">
        <f t="shared" si="169"/>
        <v>0</v>
      </c>
      <c r="AH562" s="18" t="str">
        <f t="shared" si="155"/>
        <v>0,;!0,;!0,;!0</v>
      </c>
      <c r="AI562" s="18" t="e">
        <f>INDEX([1]Library!$AL:$AL,MATCH(AH562,[1]Library!$AJ:$AJ,0),1)</f>
        <v>#N/A</v>
      </c>
      <c r="AJ562" s="18" t="e">
        <f>TEXT(INDEX([1]Library!$W:$W,MATCH(AH562,[1]Library!$AJ:$AJ,0),1),"")</f>
        <v>#N/A</v>
      </c>
    </row>
    <row r="563" spans="1:36" ht="25.05" customHeight="1" outlineLevel="2">
      <c r="A563" s="376" t="s">
        <v>44</v>
      </c>
      <c r="B563" s="107" t="s">
        <v>44</v>
      </c>
      <c r="C563" s="108" t="s">
        <v>44</v>
      </c>
      <c r="D563" s="109" t="s">
        <v>548</v>
      </c>
      <c r="E563" s="110"/>
      <c r="F563" s="299"/>
      <c r="G563" s="62"/>
      <c r="H563" s="111">
        <v>1</v>
      </c>
      <c r="I563" s="112" t="s">
        <v>140</v>
      </c>
      <c r="J563" s="113">
        <v>464285.71428571426</v>
      </c>
      <c r="K563" s="114">
        <v>464285.71428571426</v>
      </c>
      <c r="L563" s="113">
        <v>150000</v>
      </c>
      <c r="M563" s="114">
        <v>150000</v>
      </c>
      <c r="N563" s="115">
        <v>0</v>
      </c>
      <c r="O563" s="114">
        <v>0</v>
      </c>
      <c r="P563" s="116">
        <v>614285.71428571432</v>
      </c>
      <c r="Q563" s="117">
        <f t="shared" si="170"/>
        <v>1.747501858626466E-3</v>
      </c>
      <c r="R563" s="114">
        <f t="shared" si="171"/>
        <v>51.134611627273394</v>
      </c>
      <c r="S563" s="377">
        <f t="shared" si="172"/>
        <v>1994.4341372912802</v>
      </c>
      <c r="T563" s="357"/>
      <c r="U563" s="104"/>
      <c r="V563" s="95"/>
      <c r="W563" s="105"/>
      <c r="X563" s="95"/>
      <c r="Y563" s="95"/>
      <c r="Z563" s="95"/>
      <c r="AA563" s="95"/>
      <c r="AB563" s="95"/>
      <c r="AC563" s="95"/>
      <c r="AD563" s="17">
        <f t="shared" si="153"/>
        <v>0</v>
      </c>
      <c r="AE563" s="17">
        <f t="shared" si="169"/>
        <v>0</v>
      </c>
      <c r="AF563" s="17">
        <f t="shared" si="169"/>
        <v>0</v>
      </c>
      <c r="AG563" s="17">
        <f t="shared" si="169"/>
        <v>0</v>
      </c>
      <c r="AH563" s="18" t="str">
        <f t="shared" si="155"/>
        <v>0,;!0,;!0,;!0</v>
      </c>
      <c r="AI563" s="18" t="e">
        <f>INDEX([1]Library!$AL:$AL,MATCH(AH563,[1]Library!$AJ:$AJ,0),1)</f>
        <v>#N/A</v>
      </c>
      <c r="AJ563" s="18" t="e">
        <f>TEXT(INDEX([1]Library!$W:$W,MATCH(AH563,[1]Library!$AJ:$AJ,0),1),"")</f>
        <v>#N/A</v>
      </c>
    </row>
    <row r="564" spans="1:36" ht="25.05" customHeight="1" outlineLevel="2">
      <c r="A564" s="376" t="s">
        <v>44</v>
      </c>
      <c r="B564" s="107" t="s">
        <v>44</v>
      </c>
      <c r="C564" s="108" t="s">
        <v>44</v>
      </c>
      <c r="D564" s="109" t="s">
        <v>549</v>
      </c>
      <c r="E564" s="110"/>
      <c r="F564" s="299"/>
      <c r="G564" s="62"/>
      <c r="H564" s="111">
        <v>1</v>
      </c>
      <c r="I564" s="112" t="s">
        <v>140</v>
      </c>
      <c r="J564" s="113">
        <v>46428.571428571428</v>
      </c>
      <c r="K564" s="114">
        <v>46428.571428571428</v>
      </c>
      <c r="L564" s="113">
        <v>15000</v>
      </c>
      <c r="M564" s="114">
        <v>15000</v>
      </c>
      <c r="N564" s="115">
        <v>0</v>
      </c>
      <c r="O564" s="114">
        <v>0</v>
      </c>
      <c r="P564" s="116">
        <v>61428.571428571428</v>
      </c>
      <c r="Q564" s="117">
        <f t="shared" si="170"/>
        <v>1.7475018586264658E-4</v>
      </c>
      <c r="R564" s="114">
        <f t="shared" si="171"/>
        <v>5.1134611627273392</v>
      </c>
      <c r="S564" s="377">
        <f t="shared" si="172"/>
        <v>199.44341372912803</v>
      </c>
      <c r="T564" s="357"/>
      <c r="U564" s="104"/>
      <c r="V564" s="95"/>
      <c r="W564" s="105"/>
      <c r="X564" s="95"/>
      <c r="Y564" s="95"/>
      <c r="Z564" s="95"/>
      <c r="AA564" s="95"/>
      <c r="AB564" s="95"/>
      <c r="AC564" s="95"/>
      <c r="AD564" s="17">
        <f t="shared" si="153"/>
        <v>0</v>
      </c>
      <c r="AE564" s="17">
        <f t="shared" si="169"/>
        <v>0</v>
      </c>
      <c r="AF564" s="17">
        <f t="shared" si="169"/>
        <v>0</v>
      </c>
      <c r="AG564" s="17">
        <f t="shared" si="169"/>
        <v>0</v>
      </c>
      <c r="AH564" s="18" t="str">
        <f t="shared" si="155"/>
        <v>0,;!0,;!0,;!0</v>
      </c>
      <c r="AI564" s="18" t="e">
        <f>INDEX([1]Library!$AL:$AL,MATCH(AH564,[1]Library!$AJ:$AJ,0),1)</f>
        <v>#N/A</v>
      </c>
      <c r="AJ564" s="18" t="e">
        <f>TEXT(INDEX([1]Library!$W:$W,MATCH(AH564,[1]Library!$AJ:$AJ,0),1),"")</f>
        <v>#N/A</v>
      </c>
    </row>
    <row r="565" spans="1:36" ht="34.200000000000003" customHeight="1" outlineLevel="2">
      <c r="A565" s="376" t="s">
        <v>44</v>
      </c>
      <c r="B565" s="107" t="s">
        <v>44</v>
      </c>
      <c r="C565" s="108" t="s">
        <v>44</v>
      </c>
      <c r="D565" s="401" t="s">
        <v>550</v>
      </c>
      <c r="E565" s="401"/>
      <c r="F565" s="402"/>
      <c r="G565" s="62"/>
      <c r="H565" s="111">
        <v>1</v>
      </c>
      <c r="I565" s="112" t="s">
        <v>140</v>
      </c>
      <c r="J565" s="113">
        <v>345500</v>
      </c>
      <c r="K565" s="114">
        <v>345500</v>
      </c>
      <c r="L565" s="113">
        <v>15000</v>
      </c>
      <c r="M565" s="114">
        <v>15000</v>
      </c>
      <c r="N565" s="115">
        <v>0</v>
      </c>
      <c r="O565" s="114">
        <v>0</v>
      </c>
      <c r="P565" s="116">
        <v>360500</v>
      </c>
      <c r="Q565" s="117">
        <f t="shared" si="170"/>
        <v>1.02553975354509E-3</v>
      </c>
      <c r="R565" s="114">
        <f t="shared" si="171"/>
        <v>30.008881963121954</v>
      </c>
      <c r="S565" s="377">
        <f t="shared" si="172"/>
        <v>1170.4545454545455</v>
      </c>
      <c r="T565" s="357"/>
      <c r="U565" s="104"/>
      <c r="V565" s="95"/>
      <c r="W565" s="105"/>
      <c r="X565" s="95"/>
      <c r="Y565" s="95"/>
      <c r="Z565" s="95"/>
      <c r="AA565" s="95"/>
      <c r="AB565" s="95"/>
      <c r="AC565" s="95"/>
      <c r="AD565" s="17">
        <f t="shared" si="153"/>
        <v>0</v>
      </c>
      <c r="AE565" s="17">
        <f t="shared" si="169"/>
        <v>0</v>
      </c>
      <c r="AF565" s="17">
        <f t="shared" si="169"/>
        <v>0</v>
      </c>
      <c r="AG565" s="17">
        <f t="shared" si="169"/>
        <v>0</v>
      </c>
      <c r="AH565" s="18" t="str">
        <f t="shared" si="155"/>
        <v>0,;!0,;!0,;!0</v>
      </c>
      <c r="AI565" s="18" t="e">
        <f>INDEX([1]Library!$AL:$AL,MATCH(AH565,[1]Library!$AJ:$AJ,0),1)</f>
        <v>#N/A</v>
      </c>
      <c r="AJ565" s="18" t="e">
        <f>TEXT(INDEX([1]Library!$W:$W,MATCH(AH565,[1]Library!$AJ:$AJ,0),1),"")</f>
        <v>#N/A</v>
      </c>
    </row>
    <row r="566" spans="1:36" ht="25.05" customHeight="1" outlineLevel="2">
      <c r="A566" s="376" t="s">
        <v>44</v>
      </c>
      <c r="B566" s="107" t="s">
        <v>44</v>
      </c>
      <c r="C566" s="108" t="s">
        <v>44</v>
      </c>
      <c r="D566" s="109" t="s">
        <v>551</v>
      </c>
      <c r="E566" s="110"/>
      <c r="F566" s="299"/>
      <c r="G566" s="62"/>
      <c r="H566" s="111">
        <v>2</v>
      </c>
      <c r="I566" s="112" t="s">
        <v>140</v>
      </c>
      <c r="J566" s="113">
        <v>46428.571428571428</v>
      </c>
      <c r="K566" s="114">
        <v>92857.142857142855</v>
      </c>
      <c r="L566" s="113">
        <v>15000</v>
      </c>
      <c r="M566" s="114">
        <v>30000</v>
      </c>
      <c r="N566" s="115">
        <v>0</v>
      </c>
      <c r="O566" s="114">
        <v>0</v>
      </c>
      <c r="P566" s="116">
        <v>122857.14285714286</v>
      </c>
      <c r="Q566" s="117">
        <f t="shared" si="170"/>
        <v>3.4950037172529316E-4</v>
      </c>
      <c r="R566" s="114">
        <f t="shared" si="171"/>
        <v>10.226922325454678</v>
      </c>
      <c r="S566" s="377">
        <f t="shared" si="172"/>
        <v>398.88682745825605</v>
      </c>
      <c r="T566" s="357"/>
      <c r="U566" s="104"/>
      <c r="V566" s="95"/>
      <c r="W566" s="105"/>
      <c r="X566" s="95"/>
      <c r="Y566" s="95"/>
      <c r="Z566" s="95"/>
      <c r="AA566" s="95"/>
      <c r="AB566" s="95"/>
      <c r="AC566" s="95"/>
      <c r="AD566" s="17">
        <f t="shared" si="153"/>
        <v>0</v>
      </c>
      <c r="AE566" s="17">
        <f t="shared" si="169"/>
        <v>0</v>
      </c>
      <c r="AF566" s="17">
        <f t="shared" si="169"/>
        <v>0</v>
      </c>
      <c r="AG566" s="17">
        <f t="shared" si="169"/>
        <v>0</v>
      </c>
      <c r="AH566" s="18" t="str">
        <f t="shared" si="155"/>
        <v>0,;!0,;!0,;!0</v>
      </c>
      <c r="AI566" s="18" t="e">
        <f>INDEX([1]Library!$AL:$AL,MATCH(AH566,[1]Library!$AJ:$AJ,0),1)</f>
        <v>#N/A</v>
      </c>
      <c r="AJ566" s="18" t="e">
        <f>TEXT(INDEX([1]Library!$W:$W,MATCH(AH566,[1]Library!$AJ:$AJ,0),1),"")</f>
        <v>#N/A</v>
      </c>
    </row>
    <row r="567" spans="1:36" ht="25.05" customHeight="1" outlineLevel="1">
      <c r="A567" s="374" t="s">
        <v>44</v>
      </c>
      <c r="B567" s="96" t="s">
        <v>44</v>
      </c>
      <c r="C567" s="97" t="s">
        <v>552</v>
      </c>
      <c r="D567" s="97"/>
      <c r="E567" s="98"/>
      <c r="F567" s="298"/>
      <c r="G567" s="62"/>
      <c r="H567" s="99">
        <v>6</v>
      </c>
      <c r="I567" s="100" t="s">
        <v>140</v>
      </c>
      <c r="J567" s="99">
        <v>15000</v>
      </c>
      <c r="K567" s="99">
        <v>90000</v>
      </c>
      <c r="L567" s="99">
        <v>7500</v>
      </c>
      <c r="M567" s="99">
        <v>45000</v>
      </c>
      <c r="N567" s="99">
        <v>0</v>
      </c>
      <c r="O567" s="99">
        <v>0</v>
      </c>
      <c r="P567" s="101">
        <v>135000</v>
      </c>
      <c r="Q567" s="102">
        <f t="shared" si="170"/>
        <v>3.8404401311674656E-4</v>
      </c>
      <c r="R567" s="103">
        <f t="shared" si="171"/>
        <v>11.237722787854269</v>
      </c>
      <c r="S567" s="375">
        <f t="shared" si="172"/>
        <v>438.31168831168833</v>
      </c>
      <c r="T567" s="356"/>
      <c r="U567" s="104"/>
      <c r="V567" s="95"/>
      <c r="W567" s="105"/>
      <c r="X567" s="95"/>
      <c r="Y567" s="95"/>
      <c r="Z567" s="95"/>
      <c r="AA567" s="95"/>
      <c r="AB567" s="95"/>
      <c r="AC567" s="95"/>
      <c r="AD567" s="17">
        <f t="shared" si="153"/>
        <v>0</v>
      </c>
      <c r="AE567" s="17">
        <f t="shared" si="169"/>
        <v>0</v>
      </c>
      <c r="AF567" s="17">
        <f t="shared" si="169"/>
        <v>0</v>
      </c>
      <c r="AG567" s="17">
        <f t="shared" si="169"/>
        <v>0</v>
      </c>
      <c r="AH567" s="18" t="str">
        <f t="shared" si="155"/>
        <v>0,;!0,;!0,;!0</v>
      </c>
      <c r="AI567" s="18" t="e">
        <f>INDEX([1]Library!$AL:$AL,MATCH(AH567,[1]Library!$AJ:$AJ,0),1)</f>
        <v>#N/A</v>
      </c>
      <c r="AJ567" s="18" t="e">
        <f>TEXT(INDEX([1]Library!$W:$W,MATCH(AH567,[1]Library!$AJ:$AJ,0),1),"")</f>
        <v>#N/A</v>
      </c>
    </row>
    <row r="568" spans="1:36" ht="25.05" customHeight="1" outlineLevel="1">
      <c r="A568" s="374" t="s">
        <v>44</v>
      </c>
      <c r="B568" s="96" t="s">
        <v>44</v>
      </c>
      <c r="C568" s="97" t="s">
        <v>274</v>
      </c>
      <c r="D568" s="97"/>
      <c r="E568" s="98"/>
      <c r="F568" s="298"/>
      <c r="G568" s="62"/>
      <c r="H568" s="99">
        <v>1</v>
      </c>
      <c r="I568" s="100" t="s">
        <v>35</v>
      </c>
      <c r="J568" s="99">
        <v>711077.91352307133</v>
      </c>
      <c r="K568" s="99">
        <v>711077.91352307133</v>
      </c>
      <c r="L568" s="99">
        <v>106661.6870284607</v>
      </c>
      <c r="M568" s="99">
        <v>106661.6870284607</v>
      </c>
      <c r="N568" s="99">
        <v>0</v>
      </c>
      <c r="O568" s="99">
        <v>0</v>
      </c>
      <c r="P568" s="101">
        <v>817739.600551532</v>
      </c>
      <c r="Q568" s="102">
        <f t="shared" si="170"/>
        <v>2.3262814657799679E-3</v>
      </c>
      <c r="R568" s="103">
        <f t="shared" si="171"/>
        <v>68.070599582583696</v>
      </c>
      <c r="S568" s="375">
        <f t="shared" si="172"/>
        <v>2654.9987030893894</v>
      </c>
      <c r="T568" s="356"/>
      <c r="U568" s="104"/>
      <c r="V568" s="95"/>
      <c r="W568" s="105"/>
      <c r="X568" s="95"/>
      <c r="Y568" s="95"/>
      <c r="Z568" s="95"/>
      <c r="AA568" s="95"/>
      <c r="AB568" s="95"/>
      <c r="AC568" s="95"/>
      <c r="AD568" s="17">
        <f t="shared" si="153"/>
        <v>0</v>
      </c>
      <c r="AE568" s="17">
        <f t="shared" si="169"/>
        <v>0</v>
      </c>
      <c r="AF568" s="17">
        <f t="shared" si="169"/>
        <v>0</v>
      </c>
      <c r="AG568" s="17">
        <f t="shared" si="169"/>
        <v>0</v>
      </c>
      <c r="AH568" s="18" t="str">
        <f t="shared" si="155"/>
        <v>0,;!0,;!0,;!0</v>
      </c>
      <c r="AI568" s="18" t="e">
        <f>INDEX([1]Library!$AL:$AL,MATCH(AH568,[1]Library!$AJ:$AJ,0),1)</f>
        <v>#N/A</v>
      </c>
      <c r="AJ568" s="18" t="e">
        <f>TEXT(INDEX([1]Library!$W:$W,MATCH(AH568,[1]Library!$AJ:$AJ,0),1),"")</f>
        <v>#N/A</v>
      </c>
    </row>
    <row r="569" spans="1:36" ht="25.05" customHeight="1" outlineLevel="1">
      <c r="A569" s="374" t="s">
        <v>44</v>
      </c>
      <c r="B569" s="96" t="s">
        <v>44</v>
      </c>
      <c r="C569" s="97" t="s">
        <v>275</v>
      </c>
      <c r="D569" s="97"/>
      <c r="E569" s="98"/>
      <c r="F569" s="298"/>
      <c r="G569" s="62"/>
      <c r="H569" s="99">
        <v>1</v>
      </c>
      <c r="I569" s="100" t="s">
        <v>35</v>
      </c>
      <c r="J569" s="99">
        <v>568862.33081845706</v>
      </c>
      <c r="K569" s="99">
        <v>568862.33081845706</v>
      </c>
      <c r="L569" s="99">
        <v>85329.349622768554</v>
      </c>
      <c r="M569" s="99">
        <v>85329.349622768554</v>
      </c>
      <c r="N569" s="99">
        <v>0</v>
      </c>
      <c r="O569" s="99">
        <v>0</v>
      </c>
      <c r="P569" s="101">
        <v>654191.68044122565</v>
      </c>
      <c r="Q569" s="102">
        <f t="shared" si="170"/>
        <v>1.8610251726239745E-3</v>
      </c>
      <c r="R569" s="103">
        <f t="shared" si="171"/>
        <v>54.456479666066954</v>
      </c>
      <c r="S569" s="375">
        <f t="shared" si="172"/>
        <v>2123.9989624715117</v>
      </c>
      <c r="T569" s="356"/>
      <c r="U569" s="104"/>
      <c r="V569" s="95"/>
      <c r="W569" s="105"/>
      <c r="X569" s="95"/>
      <c r="Y569" s="95"/>
      <c r="Z569" s="95"/>
      <c r="AA569" s="95"/>
      <c r="AB569" s="95"/>
      <c r="AC569" s="95"/>
      <c r="AD569" s="17">
        <f t="shared" si="153"/>
        <v>0</v>
      </c>
      <c r="AE569" s="17">
        <f t="shared" si="169"/>
        <v>0</v>
      </c>
      <c r="AF569" s="17">
        <f t="shared" si="169"/>
        <v>0</v>
      </c>
      <c r="AG569" s="17">
        <f t="shared" si="169"/>
        <v>0</v>
      </c>
      <c r="AH569" s="18" t="str">
        <f t="shared" si="155"/>
        <v>0,;!0,;!0,;!0</v>
      </c>
      <c r="AI569" s="18" t="e">
        <f>INDEX([1]Library!$AL:$AL,MATCH(AH569,[1]Library!$AJ:$AJ,0),1)</f>
        <v>#N/A</v>
      </c>
      <c r="AJ569" s="18" t="e">
        <f>TEXT(INDEX([1]Library!$W:$W,MATCH(AH569,[1]Library!$AJ:$AJ,0),1),"")</f>
        <v>#N/A</v>
      </c>
    </row>
    <row r="570" spans="1:36" ht="25.05" customHeight="1" outlineLevel="1">
      <c r="A570" s="374" t="s">
        <v>44</v>
      </c>
      <c r="B570" s="96" t="s">
        <v>44</v>
      </c>
      <c r="C570" s="97" t="s">
        <v>276</v>
      </c>
      <c r="D570" s="97"/>
      <c r="E570" s="98"/>
      <c r="F570" s="298"/>
      <c r="G570" s="62"/>
      <c r="H570" s="99">
        <v>1</v>
      </c>
      <c r="I570" s="100" t="s">
        <v>35</v>
      </c>
      <c r="J570" s="99">
        <v>142215.58270461427</v>
      </c>
      <c r="K570" s="99">
        <v>142215.58270461427</v>
      </c>
      <c r="L570" s="99">
        <v>21332.337405692138</v>
      </c>
      <c r="M570" s="99">
        <v>21332.337405692138</v>
      </c>
      <c r="N570" s="99">
        <v>0</v>
      </c>
      <c r="O570" s="99">
        <v>0</v>
      </c>
      <c r="P570" s="101">
        <v>163547.92011030641</v>
      </c>
      <c r="Q570" s="102">
        <f t="shared" si="170"/>
        <v>4.6525629315599361E-4</v>
      </c>
      <c r="R570" s="103">
        <f t="shared" si="171"/>
        <v>13.614119916516739</v>
      </c>
      <c r="S570" s="375">
        <f t="shared" si="172"/>
        <v>530.99974061787793</v>
      </c>
      <c r="T570" s="356"/>
      <c r="U570" s="104"/>
      <c r="V570" s="95"/>
      <c r="W570" s="105"/>
      <c r="X570" s="95"/>
      <c r="Y570" s="95"/>
      <c r="Z570" s="95"/>
      <c r="AA570" s="95"/>
      <c r="AB570" s="95"/>
      <c r="AC570" s="95"/>
      <c r="AD570" s="17">
        <f t="shared" si="153"/>
        <v>0</v>
      </c>
      <c r="AE570" s="17">
        <f t="shared" si="169"/>
        <v>0</v>
      </c>
      <c r="AF570" s="17">
        <f t="shared" si="169"/>
        <v>0</v>
      </c>
      <c r="AG570" s="17">
        <f t="shared" si="169"/>
        <v>0</v>
      </c>
      <c r="AH570" s="18" t="str">
        <f t="shared" si="155"/>
        <v>0,;!0,;!0,;!0</v>
      </c>
      <c r="AI570" s="18" t="e">
        <f>INDEX([1]Library!$AL:$AL,MATCH(AH570,[1]Library!$AJ:$AJ,0),1)</f>
        <v>#N/A</v>
      </c>
      <c r="AJ570" s="18" t="e">
        <f>TEXT(INDEX([1]Library!$W:$W,MATCH(AH570,[1]Library!$AJ:$AJ,0),1),"")</f>
        <v>#N/A</v>
      </c>
    </row>
    <row r="571" spans="1:36" ht="25.05" customHeight="1" outlineLevel="1">
      <c r="A571" s="374" t="s">
        <v>44</v>
      </c>
      <c r="B571" s="96" t="s">
        <v>44</v>
      </c>
      <c r="C571" s="97" t="s">
        <v>277</v>
      </c>
      <c r="D571" s="97"/>
      <c r="E571" s="98"/>
      <c r="F571" s="298"/>
      <c r="G571" s="62"/>
      <c r="H571" s="99">
        <v>1</v>
      </c>
      <c r="I571" s="100" t="s">
        <v>35</v>
      </c>
      <c r="J571" s="99">
        <v>284431.16540922853</v>
      </c>
      <c r="K571" s="99">
        <v>284431.16540922853</v>
      </c>
      <c r="L571" s="99">
        <v>42664.674811384277</v>
      </c>
      <c r="M571" s="99">
        <v>42664.674811384277</v>
      </c>
      <c r="N571" s="99">
        <v>0</v>
      </c>
      <c r="O571" s="99">
        <v>0</v>
      </c>
      <c r="P571" s="101">
        <v>327095.84022061282</v>
      </c>
      <c r="Q571" s="102">
        <f t="shared" si="170"/>
        <v>9.3051258631198723E-4</v>
      </c>
      <c r="R571" s="103">
        <f t="shared" si="171"/>
        <v>27.228239833033477</v>
      </c>
      <c r="S571" s="375">
        <f t="shared" si="172"/>
        <v>1061.9994812357559</v>
      </c>
      <c r="T571" s="356"/>
      <c r="U571" s="104"/>
      <c r="V571" s="95"/>
      <c r="W571" s="105"/>
      <c r="X571" s="95"/>
      <c r="Y571" s="95"/>
      <c r="Z571" s="95"/>
      <c r="AA571" s="95"/>
      <c r="AB571" s="95"/>
      <c r="AC571" s="95"/>
      <c r="AD571" s="17">
        <f t="shared" si="153"/>
        <v>0</v>
      </c>
      <c r="AE571" s="17">
        <f t="shared" si="169"/>
        <v>0</v>
      </c>
      <c r="AF571" s="17">
        <f t="shared" si="169"/>
        <v>0</v>
      </c>
      <c r="AG571" s="17">
        <f t="shared" si="169"/>
        <v>0</v>
      </c>
      <c r="AH571" s="18" t="str">
        <f t="shared" si="155"/>
        <v>0,;!0,;!0,;!0</v>
      </c>
      <c r="AI571" s="18" t="e">
        <f>INDEX([1]Library!$AL:$AL,MATCH(AH571,[1]Library!$AJ:$AJ,0),1)</f>
        <v>#N/A</v>
      </c>
      <c r="AJ571" s="18" t="e">
        <f>TEXT(INDEX([1]Library!$W:$W,MATCH(AH571,[1]Library!$AJ:$AJ,0),1),"")</f>
        <v>#N/A</v>
      </c>
    </row>
    <row r="572" spans="1:36" ht="25.05" customHeight="1" outlineLevel="1">
      <c r="A572" s="374" t="s">
        <v>44</v>
      </c>
      <c r="B572" s="96" t="s">
        <v>44</v>
      </c>
      <c r="C572" s="97" t="s">
        <v>278</v>
      </c>
      <c r="D572" s="97"/>
      <c r="E572" s="98"/>
      <c r="F572" s="298"/>
      <c r="G572" s="62"/>
      <c r="H572" s="99">
        <v>1</v>
      </c>
      <c r="I572" s="100" t="s">
        <v>35</v>
      </c>
      <c r="J572" s="99">
        <v>0</v>
      </c>
      <c r="K572" s="99">
        <v>0</v>
      </c>
      <c r="L572" s="99">
        <v>0</v>
      </c>
      <c r="M572" s="99">
        <v>0</v>
      </c>
      <c r="N572" s="99">
        <v>1123840.7614303324</v>
      </c>
      <c r="O572" s="99">
        <v>1123840.7614303324</v>
      </c>
      <c r="P572" s="101">
        <v>1123840.7614303324</v>
      </c>
      <c r="Q572" s="102">
        <f t="shared" si="170"/>
        <v>3.1970690083250744E-3</v>
      </c>
      <c r="R572" s="103">
        <f t="shared" si="171"/>
        <v>93.55119210848251</v>
      </c>
      <c r="S572" s="375">
        <f t="shared" si="172"/>
        <v>3648.8336410075726</v>
      </c>
      <c r="T572" s="356"/>
      <c r="U572" s="104"/>
      <c r="V572" s="95"/>
      <c r="W572" s="105"/>
      <c r="X572" s="95"/>
      <c r="Y572" s="95"/>
      <c r="Z572" s="95"/>
      <c r="AA572" s="95"/>
      <c r="AB572" s="95"/>
      <c r="AC572" s="95"/>
      <c r="AD572" s="17">
        <f t="shared" si="153"/>
        <v>0</v>
      </c>
      <c r="AE572" s="17">
        <f t="shared" si="169"/>
        <v>0</v>
      </c>
      <c r="AF572" s="17">
        <f t="shared" si="169"/>
        <v>0</v>
      </c>
      <c r="AG572" s="17">
        <f t="shared" si="169"/>
        <v>0</v>
      </c>
      <c r="AH572" s="18" t="str">
        <f t="shared" si="155"/>
        <v>0,;!0,;!0,;!0</v>
      </c>
      <c r="AI572" s="18" t="e">
        <f>INDEX([1]Library!$AL:$AL,MATCH(AH572,[1]Library!$AJ:$AJ,0),1)</f>
        <v>#N/A</v>
      </c>
      <c r="AJ572" s="18" t="e">
        <f>TEXT(INDEX([1]Library!$W:$W,MATCH(AH572,[1]Library!$AJ:$AJ,0),1),"")</f>
        <v>#N/A</v>
      </c>
    </row>
    <row r="573" spans="1:36" ht="25.05" customHeight="1">
      <c r="A573" s="372" t="s">
        <v>553</v>
      </c>
      <c r="B573" s="84" t="s">
        <v>554</v>
      </c>
      <c r="C573" s="85"/>
      <c r="D573" s="85"/>
      <c r="E573" s="86"/>
      <c r="F573" s="297"/>
      <c r="G573" s="62"/>
      <c r="H573" s="87">
        <v>1</v>
      </c>
      <c r="I573" s="88" t="s">
        <v>35</v>
      </c>
      <c r="J573" s="89">
        <v>6834723.3594232108</v>
      </c>
      <c r="K573" s="90">
        <v>6834723.3594232108</v>
      </c>
      <c r="L573" s="89">
        <v>1637912.4301289394</v>
      </c>
      <c r="M573" s="90">
        <v>1637912.4301289394</v>
      </c>
      <c r="N573" s="89">
        <v>841745.72181235801</v>
      </c>
      <c r="O573" s="90">
        <v>841745.72181235801</v>
      </c>
      <c r="P573" s="91">
        <v>9314381.5113645084</v>
      </c>
      <c r="Q573" s="92">
        <f>P573/P$13</f>
        <v>2.6497277446850764E-2</v>
      </c>
      <c r="R573" s="90">
        <f>P573/I$5</f>
        <v>775.35138788910683</v>
      </c>
      <c r="S573" s="373">
        <f>P573/I$7</f>
        <v>30241.498413521131</v>
      </c>
      <c r="T573" s="355"/>
      <c r="U573" s="104"/>
      <c r="V573" s="95"/>
      <c r="W573" s="105"/>
      <c r="X573" s="95"/>
      <c r="Y573" s="95"/>
      <c r="Z573" s="95"/>
      <c r="AA573" s="95"/>
      <c r="AB573" s="95"/>
      <c r="AC573" s="95"/>
      <c r="AD573" s="17">
        <f t="shared" si="153"/>
        <v>0</v>
      </c>
      <c r="AE573" s="17">
        <f t="shared" si="169"/>
        <v>0</v>
      </c>
      <c r="AF573" s="17">
        <f t="shared" si="169"/>
        <v>0</v>
      </c>
      <c r="AG573" s="17">
        <f t="shared" si="169"/>
        <v>0</v>
      </c>
      <c r="AH573" s="18" t="str">
        <f t="shared" si="155"/>
        <v>0,;!0,;!0,;!0</v>
      </c>
      <c r="AI573" s="18" t="e">
        <f>INDEX([1]Library!$AL:$AL,MATCH(AH573,[1]Library!$AJ:$AJ,0),1)</f>
        <v>#N/A</v>
      </c>
      <c r="AJ573" s="18" t="e">
        <f>TEXT(INDEX([1]Library!$W:$W,MATCH(AH573,[1]Library!$AJ:$AJ,0),1),"")</f>
        <v>#N/A</v>
      </c>
    </row>
    <row r="574" spans="1:36" ht="25.05" customHeight="1" outlineLevel="1">
      <c r="A574" s="374" t="s">
        <v>44</v>
      </c>
      <c r="B574" s="96" t="s">
        <v>44</v>
      </c>
      <c r="C574" s="97" t="s">
        <v>555</v>
      </c>
      <c r="D574" s="97"/>
      <c r="E574" s="98"/>
      <c r="F574" s="298"/>
      <c r="G574" s="62"/>
      <c r="H574" s="99">
        <v>1</v>
      </c>
      <c r="I574" s="100" t="s">
        <v>35</v>
      </c>
      <c r="J574" s="99">
        <v>1122869.2074560593</v>
      </c>
      <c r="K574" s="99">
        <v>1122869.2074560593</v>
      </c>
      <c r="L574" s="99">
        <v>262631.92229131819</v>
      </c>
      <c r="M574" s="99">
        <v>262631.92229131819</v>
      </c>
      <c r="N574" s="99">
        <v>0</v>
      </c>
      <c r="O574" s="99">
        <v>0</v>
      </c>
      <c r="P574" s="101">
        <v>1385501.1297473775</v>
      </c>
      <c r="Q574" s="102">
        <f>P574/P$13</f>
        <v>3.9414326966368081E-3</v>
      </c>
      <c r="R574" s="103">
        <f>P574/I$5</f>
        <v>115.33242680266621</v>
      </c>
      <c r="S574" s="375">
        <f>P574/I$7</f>
        <v>4498.3802913875888</v>
      </c>
      <c r="T574" s="356"/>
      <c r="U574" s="104"/>
      <c r="V574" s="95"/>
      <c r="W574" s="105"/>
      <c r="X574" s="95"/>
      <c r="Y574" s="95"/>
      <c r="Z574" s="95"/>
      <c r="AA574" s="95"/>
      <c r="AB574" s="95"/>
      <c r="AC574" s="95"/>
      <c r="AD574" s="17">
        <f t="shared" si="153"/>
        <v>0</v>
      </c>
      <c r="AE574" s="17">
        <f t="shared" ref="AE574:AG589" si="173">IF(AA574=" ",IF($X574&gt;=AE$12,AE573,""),AA574)</f>
        <v>0</v>
      </c>
      <c r="AF574" s="17">
        <f t="shared" si="173"/>
        <v>0</v>
      </c>
      <c r="AG574" s="17">
        <f t="shared" si="173"/>
        <v>0</v>
      </c>
      <c r="AH574" s="18" t="str">
        <f t="shared" si="155"/>
        <v>0,;!0,;!0,;!0</v>
      </c>
      <c r="AI574" s="18" t="e">
        <f>INDEX([1]Library!$AL:$AL,MATCH(AH574,[1]Library!$AJ:$AJ,0),1)</f>
        <v>#N/A</v>
      </c>
      <c r="AJ574" s="18" t="e">
        <f>TEXT(INDEX([1]Library!$W:$W,MATCH(AH574,[1]Library!$AJ:$AJ,0),1),"")</f>
        <v>#N/A</v>
      </c>
    </row>
    <row r="575" spans="1:36" ht="25.05" customHeight="1" outlineLevel="2">
      <c r="A575" s="376" t="s">
        <v>44</v>
      </c>
      <c r="B575" s="107" t="s">
        <v>44</v>
      </c>
      <c r="C575" s="108" t="s">
        <v>44</v>
      </c>
      <c r="D575" s="109" t="s">
        <v>556</v>
      </c>
      <c r="E575" s="110"/>
      <c r="F575" s="299"/>
      <c r="G575" s="62"/>
      <c r="H575" s="111">
        <v>144</v>
      </c>
      <c r="I575" s="112" t="s">
        <v>122</v>
      </c>
      <c r="J575" s="113">
        <v>3366.66</v>
      </c>
      <c r="K575" s="114">
        <v>484799.04</v>
      </c>
      <c r="L575" s="113">
        <v>936.19011302204854</v>
      </c>
      <c r="M575" s="114">
        <v>134811.37627517499</v>
      </c>
      <c r="N575" s="115">
        <v>0</v>
      </c>
      <c r="O575" s="114">
        <v>0</v>
      </c>
      <c r="P575" s="116">
        <v>619610.41627517494</v>
      </c>
      <c r="Q575" s="117">
        <f t="shared" ref="Q575:Q576" si="174">P575/P$13</f>
        <v>1.7626494135944896E-3</v>
      </c>
      <c r="R575" s="114">
        <f t="shared" ref="R575:R576" si="175">P575/I$5</f>
        <v>51.577852552351132</v>
      </c>
      <c r="S575" s="377">
        <f t="shared" ref="S575:S576" si="176">P575/I$7</f>
        <v>2011.722130763555</v>
      </c>
      <c r="T575" s="357"/>
      <c r="U575" s="104"/>
      <c r="V575" s="95"/>
      <c r="W575" s="105"/>
      <c r="X575" s="95"/>
      <c r="Y575" s="95"/>
      <c r="Z575" s="95"/>
      <c r="AA575" s="95"/>
      <c r="AB575" s="95"/>
      <c r="AC575" s="95"/>
      <c r="AD575" s="17">
        <f t="shared" si="153"/>
        <v>0</v>
      </c>
      <c r="AE575" s="17">
        <f t="shared" si="173"/>
        <v>0</v>
      </c>
      <c r="AF575" s="17">
        <f t="shared" si="173"/>
        <v>0</v>
      </c>
      <c r="AG575" s="17">
        <f t="shared" si="173"/>
        <v>0</v>
      </c>
      <c r="AH575" s="18" t="str">
        <f t="shared" si="155"/>
        <v>0,;!0,;!0,;!0</v>
      </c>
      <c r="AI575" s="18" t="e">
        <f>INDEX([1]Library!$AL:$AL,MATCH(AH575,[1]Library!$AJ:$AJ,0),1)</f>
        <v>#N/A</v>
      </c>
      <c r="AJ575" s="18" t="e">
        <f>TEXT(INDEX([1]Library!$W:$W,MATCH(AH575,[1]Library!$AJ:$AJ,0),1),"")</f>
        <v>#N/A</v>
      </c>
    </row>
    <row r="576" spans="1:36" ht="25.05" customHeight="1" outlineLevel="2">
      <c r="A576" s="376" t="s">
        <v>44</v>
      </c>
      <c r="B576" s="107" t="s">
        <v>44</v>
      </c>
      <c r="C576" s="108" t="s">
        <v>44</v>
      </c>
      <c r="D576" s="109" t="s">
        <v>557</v>
      </c>
      <c r="E576" s="110"/>
      <c r="F576" s="299"/>
      <c r="G576" s="62"/>
      <c r="H576" s="111">
        <v>1</v>
      </c>
      <c r="I576" s="112" t="s">
        <v>35</v>
      </c>
      <c r="J576" s="113">
        <v>638070.16745605937</v>
      </c>
      <c r="K576" s="114">
        <v>638070.16745605937</v>
      </c>
      <c r="L576" s="113">
        <v>127820.5460161432</v>
      </c>
      <c r="M576" s="114">
        <v>127820.5460161432</v>
      </c>
      <c r="N576" s="115">
        <v>0</v>
      </c>
      <c r="O576" s="114">
        <v>0</v>
      </c>
      <c r="P576" s="116">
        <v>765890.71347220254</v>
      </c>
      <c r="Q576" s="117">
        <f t="shared" si="174"/>
        <v>2.178783283042318E-3</v>
      </c>
      <c r="R576" s="114">
        <f t="shared" si="175"/>
        <v>63.754574250315073</v>
      </c>
      <c r="S576" s="377">
        <f t="shared" si="176"/>
        <v>2486.6581606240343</v>
      </c>
      <c r="T576" s="357"/>
      <c r="U576" s="104"/>
      <c r="V576" s="95"/>
      <c r="W576" s="105"/>
      <c r="X576" s="95"/>
      <c r="Y576" s="95"/>
      <c r="Z576" s="95"/>
      <c r="AA576" s="95"/>
      <c r="AB576" s="95"/>
      <c r="AC576" s="95"/>
      <c r="AD576" s="17">
        <f t="shared" si="153"/>
        <v>0</v>
      </c>
      <c r="AE576" s="17">
        <f t="shared" si="173"/>
        <v>0</v>
      </c>
      <c r="AF576" s="17">
        <f t="shared" si="173"/>
        <v>0</v>
      </c>
      <c r="AG576" s="17">
        <f t="shared" si="173"/>
        <v>0</v>
      </c>
      <c r="AH576" s="18" t="str">
        <f t="shared" si="155"/>
        <v>0,;!0,;!0,;!0</v>
      </c>
      <c r="AI576" s="18" t="e">
        <f>INDEX([1]Library!$AL:$AL,MATCH(AH576,[1]Library!$AJ:$AJ,0),1)</f>
        <v>#N/A</v>
      </c>
      <c r="AJ576" s="18" t="e">
        <f>TEXT(INDEX([1]Library!$W:$W,MATCH(AH576,[1]Library!$AJ:$AJ,0),1),"")</f>
        <v>#N/A</v>
      </c>
    </row>
    <row r="577" spans="1:36" ht="25.05" customHeight="1" outlineLevel="2">
      <c r="A577" s="378" t="s">
        <v>44</v>
      </c>
      <c r="B577" s="118" t="s">
        <v>44</v>
      </c>
      <c r="C577" s="119" t="s">
        <v>44</v>
      </c>
      <c r="D577" s="120" t="s">
        <v>44</v>
      </c>
      <c r="E577" s="121" t="s">
        <v>558</v>
      </c>
      <c r="F577" s="300"/>
      <c r="G577" s="304"/>
      <c r="H577" s="122">
        <v>24</v>
      </c>
      <c r="I577" s="123" t="s">
        <v>140</v>
      </c>
      <c r="J577" s="124">
        <v>15222.214285714284</v>
      </c>
      <c r="K577" s="125">
        <v>365333.14285714284</v>
      </c>
      <c r="L577" s="124">
        <v>3044.4428571428566</v>
      </c>
      <c r="M577" s="125">
        <v>73066.628571428562</v>
      </c>
      <c r="N577" s="126">
        <v>0</v>
      </c>
      <c r="O577" s="125">
        <v>0</v>
      </c>
      <c r="P577" s="127">
        <v>438399.77142857143</v>
      </c>
      <c r="Q577" s="128">
        <f t="shared" si="170"/>
        <v>1.2471467227325407E-3</v>
      </c>
      <c r="R577" s="129">
        <f t="shared" si="171"/>
        <v>36.493445196836738</v>
      </c>
      <c r="S577" s="379">
        <f t="shared" si="172"/>
        <v>1423.3758812615956</v>
      </c>
      <c r="T577" s="358"/>
      <c r="U577" s="104"/>
      <c r="V577" s="95"/>
      <c r="W577" s="105"/>
      <c r="X577" s="95"/>
      <c r="Y577" s="95"/>
      <c r="Z577" s="95"/>
      <c r="AA577" s="95"/>
      <c r="AB577" s="95"/>
      <c r="AC577" s="95"/>
      <c r="AD577" s="17">
        <f t="shared" si="153"/>
        <v>0</v>
      </c>
      <c r="AE577" s="17">
        <f t="shared" si="173"/>
        <v>0</v>
      </c>
      <c r="AF577" s="17">
        <f t="shared" si="173"/>
        <v>0</v>
      </c>
      <c r="AG577" s="17">
        <f t="shared" si="173"/>
        <v>0</v>
      </c>
      <c r="AH577" s="18" t="str">
        <f t="shared" si="155"/>
        <v>0,;!0,;!0,;!0</v>
      </c>
      <c r="AI577" s="18" t="e">
        <f>INDEX([1]Library!$AL:$AL,MATCH(AH577,[1]Library!$AJ:$AJ,0),1)</f>
        <v>#N/A</v>
      </c>
      <c r="AJ577" s="18" t="e">
        <f>TEXT(INDEX([1]Library!$W:$W,MATCH(AH577,[1]Library!$AJ:$AJ,0),1),"")</f>
        <v>#N/A</v>
      </c>
    </row>
    <row r="578" spans="1:36" ht="25.05" customHeight="1" outlineLevel="2">
      <c r="A578" s="378" t="s">
        <v>44</v>
      </c>
      <c r="B578" s="118" t="s">
        <v>44</v>
      </c>
      <c r="C578" s="119" t="s">
        <v>44</v>
      </c>
      <c r="D578" s="120" t="s">
        <v>44</v>
      </c>
      <c r="E578" s="121" t="s">
        <v>559</v>
      </c>
      <c r="F578" s="300"/>
      <c r="G578" s="304"/>
      <c r="H578" s="122">
        <v>1</v>
      </c>
      <c r="I578" s="123" t="s">
        <v>140</v>
      </c>
      <c r="J578" s="124">
        <v>61953.757479400279</v>
      </c>
      <c r="K578" s="125">
        <v>61953.757479400279</v>
      </c>
      <c r="L578" s="124">
        <v>12390.751495880055</v>
      </c>
      <c r="M578" s="125">
        <v>12390.751495880055</v>
      </c>
      <c r="N578" s="126">
        <v>0</v>
      </c>
      <c r="O578" s="125">
        <v>0</v>
      </c>
      <c r="P578" s="127">
        <v>74344.508975280332</v>
      </c>
      <c r="Q578" s="128">
        <f t="shared" si="170"/>
        <v>2.1149306355600477E-4</v>
      </c>
      <c r="R578" s="129">
        <f t="shared" si="171"/>
        <v>6.188614686395141</v>
      </c>
      <c r="S578" s="379">
        <f t="shared" si="172"/>
        <v>241.37827589376732</v>
      </c>
      <c r="T578" s="358"/>
      <c r="U578" s="104"/>
      <c r="V578" s="95"/>
      <c r="W578" s="105"/>
      <c r="X578" s="95"/>
      <c r="Y578" s="95"/>
      <c r="Z578" s="95"/>
      <c r="AA578" s="95"/>
      <c r="AB578" s="95"/>
      <c r="AC578" s="95"/>
      <c r="AD578" s="17">
        <f t="shared" si="153"/>
        <v>0</v>
      </c>
      <c r="AE578" s="17">
        <f t="shared" si="173"/>
        <v>0</v>
      </c>
      <c r="AF578" s="17">
        <f t="shared" si="173"/>
        <v>0</v>
      </c>
      <c r="AG578" s="17">
        <f t="shared" si="173"/>
        <v>0</v>
      </c>
      <c r="AH578" s="18" t="str">
        <f t="shared" si="155"/>
        <v>0,;!0,;!0,;!0</v>
      </c>
      <c r="AI578" s="18" t="e">
        <f>INDEX([1]Library!$AL:$AL,MATCH(AH578,[1]Library!$AJ:$AJ,0),1)</f>
        <v>#N/A</v>
      </c>
      <c r="AJ578" s="18" t="e">
        <f>TEXT(INDEX([1]Library!$W:$W,MATCH(AH578,[1]Library!$AJ:$AJ,0),1),"")</f>
        <v>#N/A</v>
      </c>
    </row>
    <row r="579" spans="1:36" ht="25.05" customHeight="1" outlineLevel="2">
      <c r="A579" s="378" t="s">
        <v>44</v>
      </c>
      <c r="B579" s="118" t="s">
        <v>44</v>
      </c>
      <c r="C579" s="119" t="s">
        <v>44</v>
      </c>
      <c r="D579" s="120" t="s">
        <v>44</v>
      </c>
      <c r="E579" s="121" t="s">
        <v>560</v>
      </c>
      <c r="F579" s="300"/>
      <c r="G579" s="304"/>
      <c r="H579" s="122">
        <v>1</v>
      </c>
      <c r="I579" s="123" t="s">
        <v>140</v>
      </c>
      <c r="J579" s="124">
        <v>30288.503656595687</v>
      </c>
      <c r="K579" s="125">
        <v>30288.503656595687</v>
      </c>
      <c r="L579" s="124">
        <v>6057.700731319138</v>
      </c>
      <c r="M579" s="125">
        <v>6057.700731319138</v>
      </c>
      <c r="N579" s="126">
        <v>0</v>
      </c>
      <c r="O579" s="125">
        <v>0</v>
      </c>
      <c r="P579" s="127">
        <v>36346.204387914826</v>
      </c>
      <c r="Q579" s="128">
        <f t="shared" si="170"/>
        <v>1.0339660884960232E-4</v>
      </c>
      <c r="R579" s="129">
        <f t="shared" si="171"/>
        <v>3.0255449577931794</v>
      </c>
      <c r="S579" s="379">
        <f t="shared" si="172"/>
        <v>118.00715710361956</v>
      </c>
      <c r="T579" s="358"/>
      <c r="U579" s="104"/>
      <c r="V579" s="95"/>
      <c r="W579" s="105"/>
      <c r="X579" s="95"/>
      <c r="Y579" s="95"/>
      <c r="Z579" s="95"/>
      <c r="AA579" s="95"/>
      <c r="AB579" s="95"/>
      <c r="AC579" s="95"/>
      <c r="AD579" s="17">
        <f t="shared" si="153"/>
        <v>0</v>
      </c>
      <c r="AE579" s="17">
        <f t="shared" si="173"/>
        <v>0</v>
      </c>
      <c r="AF579" s="17">
        <f t="shared" si="173"/>
        <v>0</v>
      </c>
      <c r="AG579" s="17">
        <f t="shared" si="173"/>
        <v>0</v>
      </c>
      <c r="AH579" s="18" t="str">
        <f t="shared" si="155"/>
        <v>0,;!0,;!0,;!0</v>
      </c>
      <c r="AI579" s="18" t="e">
        <f>INDEX([1]Library!$AL:$AL,MATCH(AH579,[1]Library!$AJ:$AJ,0),1)</f>
        <v>#N/A</v>
      </c>
      <c r="AJ579" s="18" t="e">
        <f>TEXT(INDEX([1]Library!$W:$W,MATCH(AH579,[1]Library!$AJ:$AJ,0),1),"")</f>
        <v>#N/A</v>
      </c>
    </row>
    <row r="580" spans="1:36" ht="25.05" customHeight="1" outlineLevel="2">
      <c r="A580" s="378" t="s">
        <v>44</v>
      </c>
      <c r="B580" s="118" t="s">
        <v>44</v>
      </c>
      <c r="C580" s="119" t="s">
        <v>44</v>
      </c>
      <c r="D580" s="120" t="s">
        <v>44</v>
      </c>
      <c r="E580" s="121" t="s">
        <v>561</v>
      </c>
      <c r="F580" s="300"/>
      <c r="G580" s="304"/>
      <c r="H580" s="122">
        <v>1</v>
      </c>
      <c r="I580" s="123" t="s">
        <v>140</v>
      </c>
      <c r="J580" s="124">
        <v>27535.003324177902</v>
      </c>
      <c r="K580" s="125">
        <v>27535.003324177902</v>
      </c>
      <c r="L580" s="124">
        <v>5507.0006648355793</v>
      </c>
      <c r="M580" s="125">
        <v>5507.0006648355793</v>
      </c>
      <c r="N580" s="126">
        <v>0</v>
      </c>
      <c r="O580" s="125">
        <v>0</v>
      </c>
      <c r="P580" s="127">
        <v>33042.003989013479</v>
      </c>
      <c r="Q580" s="128">
        <f t="shared" si="170"/>
        <v>9.3996917136002112E-5</v>
      </c>
      <c r="R580" s="129">
        <f t="shared" si="171"/>
        <v>2.7504954161756179</v>
      </c>
      <c r="S580" s="379">
        <f t="shared" si="172"/>
        <v>107.27923373056325</v>
      </c>
      <c r="T580" s="358"/>
      <c r="U580" s="104"/>
      <c r="V580" s="95"/>
      <c r="W580" s="105"/>
      <c r="X580" s="95"/>
      <c r="Y580" s="95"/>
      <c r="Z580" s="95"/>
      <c r="AA580" s="95"/>
      <c r="AB580" s="95"/>
      <c r="AC580" s="95"/>
      <c r="AD580" s="17">
        <f t="shared" si="153"/>
        <v>0</v>
      </c>
      <c r="AE580" s="17">
        <f t="shared" si="173"/>
        <v>0</v>
      </c>
      <c r="AF580" s="17">
        <f t="shared" si="173"/>
        <v>0</v>
      </c>
      <c r="AG580" s="17">
        <f t="shared" si="173"/>
        <v>0</v>
      </c>
      <c r="AH580" s="18" t="str">
        <f t="shared" si="155"/>
        <v>0,;!0,;!0,;!0</v>
      </c>
      <c r="AI580" s="18" t="e">
        <f>INDEX([1]Library!$AL:$AL,MATCH(AH580,[1]Library!$AJ:$AJ,0),1)</f>
        <v>#N/A</v>
      </c>
      <c r="AJ580" s="18" t="e">
        <f>TEXT(INDEX([1]Library!$W:$W,MATCH(AH580,[1]Library!$AJ:$AJ,0),1),"")</f>
        <v>#N/A</v>
      </c>
    </row>
    <row r="581" spans="1:36" ht="25.05" customHeight="1" outlineLevel="2">
      <c r="A581" s="378" t="s">
        <v>44</v>
      </c>
      <c r="B581" s="118" t="s">
        <v>44</v>
      </c>
      <c r="C581" s="119" t="s">
        <v>44</v>
      </c>
      <c r="D581" s="120" t="s">
        <v>44</v>
      </c>
      <c r="E581" s="121" t="s">
        <v>562</v>
      </c>
      <c r="F581" s="300"/>
      <c r="G581" s="304"/>
      <c r="H581" s="122">
        <v>1</v>
      </c>
      <c r="I581" s="123" t="s">
        <v>140</v>
      </c>
      <c r="J581" s="124">
        <v>61953.757479400279</v>
      </c>
      <c r="K581" s="125">
        <v>61953.757479400279</v>
      </c>
      <c r="L581" s="124">
        <v>12390.751495880055</v>
      </c>
      <c r="M581" s="125">
        <v>12390.751495880055</v>
      </c>
      <c r="N581" s="126">
        <v>0</v>
      </c>
      <c r="O581" s="125">
        <v>0</v>
      </c>
      <c r="P581" s="127">
        <v>74344.508975280332</v>
      </c>
      <c r="Q581" s="128">
        <f t="shared" si="170"/>
        <v>2.1149306355600477E-4</v>
      </c>
      <c r="R581" s="129">
        <f t="shared" si="171"/>
        <v>6.188614686395141</v>
      </c>
      <c r="S581" s="379">
        <f t="shared" si="172"/>
        <v>241.37827589376732</v>
      </c>
      <c r="T581" s="358"/>
      <c r="U581" s="104"/>
      <c r="V581" s="95"/>
      <c r="W581" s="105"/>
      <c r="X581" s="95"/>
      <c r="Y581" s="95"/>
      <c r="Z581" s="95"/>
      <c r="AA581" s="95"/>
      <c r="AB581" s="95"/>
      <c r="AC581" s="95"/>
      <c r="AD581" s="17">
        <f t="shared" si="153"/>
        <v>0</v>
      </c>
      <c r="AE581" s="17">
        <f t="shared" si="173"/>
        <v>0</v>
      </c>
      <c r="AF581" s="17">
        <f t="shared" si="173"/>
        <v>0</v>
      </c>
      <c r="AG581" s="17">
        <f t="shared" si="173"/>
        <v>0</v>
      </c>
      <c r="AH581" s="18" t="str">
        <f t="shared" si="155"/>
        <v>0,;!0,;!0,;!0</v>
      </c>
      <c r="AI581" s="18" t="e">
        <f>INDEX([1]Library!$AL:$AL,MATCH(AH581,[1]Library!$AJ:$AJ,0),1)</f>
        <v>#N/A</v>
      </c>
      <c r="AJ581" s="18" t="e">
        <f>TEXT(INDEX([1]Library!$W:$W,MATCH(AH581,[1]Library!$AJ:$AJ,0),1),"")</f>
        <v>#N/A</v>
      </c>
    </row>
    <row r="582" spans="1:36" ht="25.05" customHeight="1" outlineLevel="2">
      <c r="A582" s="378" t="s">
        <v>44</v>
      </c>
      <c r="B582" s="118" t="s">
        <v>44</v>
      </c>
      <c r="C582" s="119" t="s">
        <v>44</v>
      </c>
      <c r="D582" s="120" t="s">
        <v>44</v>
      </c>
      <c r="E582" s="121" t="s">
        <v>563</v>
      </c>
      <c r="F582" s="300"/>
      <c r="G582" s="304"/>
      <c r="H582" s="122">
        <v>2</v>
      </c>
      <c r="I582" s="123" t="s">
        <v>140</v>
      </c>
      <c r="J582" s="124">
        <v>8948.876080357817</v>
      </c>
      <c r="K582" s="125">
        <v>17897.752160715634</v>
      </c>
      <c r="L582" s="124">
        <v>1789.7752160715634</v>
      </c>
      <c r="M582" s="125">
        <v>3579.5504321431267</v>
      </c>
      <c r="N582" s="126">
        <v>0</v>
      </c>
      <c r="O582" s="125">
        <v>0</v>
      </c>
      <c r="P582" s="127">
        <v>21477.302592858759</v>
      </c>
      <c r="Q582" s="128">
        <f t="shared" si="170"/>
        <v>6.1097996138401368E-5</v>
      </c>
      <c r="R582" s="129">
        <f t="shared" si="171"/>
        <v>1.7878220205141515</v>
      </c>
      <c r="S582" s="379">
        <f t="shared" si="172"/>
        <v>69.731501924866109</v>
      </c>
      <c r="T582" s="358"/>
      <c r="U582" s="104"/>
      <c r="V582" s="95"/>
      <c r="W582" s="105"/>
      <c r="X582" s="95"/>
      <c r="Y582" s="95"/>
      <c r="Z582" s="95"/>
      <c r="AA582" s="95"/>
      <c r="AB582" s="95"/>
      <c r="AC582" s="95"/>
      <c r="AD582" s="17">
        <f t="shared" si="153"/>
        <v>0</v>
      </c>
      <c r="AE582" s="17">
        <f t="shared" si="173"/>
        <v>0</v>
      </c>
      <c r="AF582" s="17">
        <f t="shared" si="173"/>
        <v>0</v>
      </c>
      <c r="AG582" s="17">
        <f t="shared" si="173"/>
        <v>0</v>
      </c>
      <c r="AH582" s="18" t="str">
        <f t="shared" si="155"/>
        <v>0,;!0,;!0,;!0</v>
      </c>
      <c r="AI582" s="18" t="e">
        <f>INDEX([1]Library!$AL:$AL,MATCH(AH582,[1]Library!$AJ:$AJ,0),1)</f>
        <v>#N/A</v>
      </c>
      <c r="AJ582" s="18" t="e">
        <f>TEXT(INDEX([1]Library!$W:$W,MATCH(AH582,[1]Library!$AJ:$AJ,0),1),"")</f>
        <v>#N/A</v>
      </c>
    </row>
    <row r="583" spans="1:36" ht="25.05" customHeight="1" outlineLevel="2">
      <c r="A583" s="378" t="s">
        <v>44</v>
      </c>
      <c r="B583" s="118" t="s">
        <v>44</v>
      </c>
      <c r="C583" s="119" t="s">
        <v>44</v>
      </c>
      <c r="D583" s="120" t="s">
        <v>44</v>
      </c>
      <c r="E583" s="121" t="s">
        <v>564</v>
      </c>
      <c r="F583" s="300"/>
      <c r="G583" s="304"/>
      <c r="H583" s="122">
        <v>2</v>
      </c>
      <c r="I583" s="123" t="s">
        <v>140</v>
      </c>
      <c r="J583" s="124">
        <v>2065.1252493133425</v>
      </c>
      <c r="K583" s="125">
        <v>4130.2504986266849</v>
      </c>
      <c r="L583" s="124">
        <v>516.28131232833562</v>
      </c>
      <c r="M583" s="125">
        <v>1032.5626246566712</v>
      </c>
      <c r="N583" s="126">
        <v>0</v>
      </c>
      <c r="O583" s="125">
        <v>0</v>
      </c>
      <c r="P583" s="127">
        <v>5162.8131232833566</v>
      </c>
      <c r="Q583" s="128">
        <f t="shared" si="170"/>
        <v>1.4687018302500332E-5</v>
      </c>
      <c r="R583" s="129">
        <f t="shared" si="171"/>
        <v>0.42976490877744034</v>
      </c>
      <c r="S583" s="379">
        <f t="shared" si="172"/>
        <v>16.762380270400509</v>
      </c>
      <c r="T583" s="358"/>
      <c r="U583" s="104"/>
      <c r="V583" s="95"/>
      <c r="W583" s="105"/>
      <c r="X583" s="95"/>
      <c r="Y583" s="95"/>
      <c r="Z583" s="95"/>
      <c r="AA583" s="95"/>
      <c r="AB583" s="95"/>
      <c r="AC583" s="95"/>
      <c r="AD583" s="17">
        <f t="shared" si="153"/>
        <v>0</v>
      </c>
      <c r="AE583" s="17">
        <f t="shared" si="173"/>
        <v>0</v>
      </c>
      <c r="AF583" s="17">
        <f t="shared" si="173"/>
        <v>0</v>
      </c>
      <c r="AG583" s="17">
        <f t="shared" si="173"/>
        <v>0</v>
      </c>
      <c r="AH583" s="18" t="str">
        <f t="shared" si="155"/>
        <v>0,;!0,;!0,;!0</v>
      </c>
      <c r="AI583" s="18" t="e">
        <f>INDEX([1]Library!$AL:$AL,MATCH(AH583,[1]Library!$AJ:$AJ,0),1)</f>
        <v>#N/A</v>
      </c>
      <c r="AJ583" s="18" t="e">
        <f>TEXT(INDEX([1]Library!$W:$W,MATCH(AH583,[1]Library!$AJ:$AJ,0),1),"")</f>
        <v>#N/A</v>
      </c>
    </row>
    <row r="584" spans="1:36" ht="25.05" customHeight="1" outlineLevel="2">
      <c r="A584" s="378" t="s">
        <v>44</v>
      </c>
      <c r="B584" s="118" t="s">
        <v>44</v>
      </c>
      <c r="C584" s="119" t="s">
        <v>44</v>
      </c>
      <c r="D584" s="120" t="s">
        <v>44</v>
      </c>
      <c r="E584" s="121" t="s">
        <v>565</v>
      </c>
      <c r="F584" s="300"/>
      <c r="G584" s="304"/>
      <c r="H584" s="122">
        <v>2</v>
      </c>
      <c r="I584" s="123" t="s">
        <v>140</v>
      </c>
      <c r="J584" s="124">
        <v>34489</v>
      </c>
      <c r="K584" s="125">
        <v>68978</v>
      </c>
      <c r="L584" s="124">
        <v>6897.8</v>
      </c>
      <c r="M584" s="125">
        <v>13795.6</v>
      </c>
      <c r="N584" s="126">
        <v>0</v>
      </c>
      <c r="O584" s="125">
        <v>0</v>
      </c>
      <c r="P584" s="127">
        <v>82773.600000000006</v>
      </c>
      <c r="Q584" s="128">
        <f t="shared" si="170"/>
        <v>2.3547189277126177E-4</v>
      </c>
      <c r="R584" s="129">
        <f t="shared" si="171"/>
        <v>6.8902723774276602</v>
      </c>
      <c r="S584" s="379">
        <f t="shared" si="172"/>
        <v>268.74545454545455</v>
      </c>
      <c r="T584" s="358"/>
      <c r="U584" s="104"/>
      <c r="V584" s="95"/>
      <c r="W584" s="105"/>
      <c r="X584" s="95"/>
      <c r="Y584" s="95"/>
      <c r="Z584" s="95"/>
      <c r="AA584" s="95"/>
      <c r="AB584" s="95"/>
      <c r="AC584" s="95"/>
      <c r="AD584" s="17">
        <f t="shared" si="153"/>
        <v>0</v>
      </c>
      <c r="AE584" s="17">
        <f t="shared" si="173"/>
        <v>0</v>
      </c>
      <c r="AF584" s="17">
        <f t="shared" si="173"/>
        <v>0</v>
      </c>
      <c r="AG584" s="17">
        <f t="shared" si="173"/>
        <v>0</v>
      </c>
      <c r="AH584" s="18" t="str">
        <f t="shared" si="155"/>
        <v>0,;!0,;!0,;!0</v>
      </c>
      <c r="AI584" s="18" t="e">
        <f>INDEX([1]Library!$AL:$AL,MATCH(AH584,[1]Library!$AJ:$AJ,0),1)</f>
        <v>#N/A</v>
      </c>
      <c r="AJ584" s="18" t="e">
        <f>TEXT(INDEX([1]Library!$W:$W,MATCH(AH584,[1]Library!$AJ:$AJ,0),1),"")</f>
        <v>#N/A</v>
      </c>
    </row>
    <row r="585" spans="1:36" ht="25.05" customHeight="1" outlineLevel="1">
      <c r="A585" s="374" t="s">
        <v>44</v>
      </c>
      <c r="B585" s="96" t="s">
        <v>44</v>
      </c>
      <c r="C585" s="97" t="s">
        <v>566</v>
      </c>
      <c r="D585" s="97"/>
      <c r="E585" s="98"/>
      <c r="F585" s="298"/>
      <c r="G585" s="62"/>
      <c r="H585" s="99">
        <v>1</v>
      </c>
      <c r="I585" s="100" t="s">
        <v>35</v>
      </c>
      <c r="J585" s="99">
        <v>1123698.8742857142</v>
      </c>
      <c r="K585" s="99">
        <v>1123698.8742857142</v>
      </c>
      <c r="L585" s="99">
        <v>212343.28934927666</v>
      </c>
      <c r="M585" s="99">
        <v>212343.28934927666</v>
      </c>
      <c r="N585" s="99">
        <v>0</v>
      </c>
      <c r="O585" s="99">
        <v>0</v>
      </c>
      <c r="P585" s="101">
        <v>1336042.1636349908</v>
      </c>
      <c r="Q585" s="102">
        <f>P585/P$13</f>
        <v>3.8007332904856513E-3</v>
      </c>
      <c r="R585" s="103">
        <f>P585/I$5</f>
        <v>111.21534420603747</v>
      </c>
      <c r="S585" s="375">
        <f>P585/I$7</f>
        <v>4337.7992325811392</v>
      </c>
      <c r="T585" s="356"/>
      <c r="U585" s="104"/>
      <c r="V585" s="95"/>
      <c r="W585" s="105"/>
      <c r="X585" s="95"/>
      <c r="Y585" s="95"/>
      <c r="Z585" s="95"/>
      <c r="AA585" s="95"/>
      <c r="AB585" s="95"/>
      <c r="AC585" s="95"/>
      <c r="AD585" s="17">
        <f t="shared" si="153"/>
        <v>0</v>
      </c>
      <c r="AE585" s="17">
        <f t="shared" si="173"/>
        <v>0</v>
      </c>
      <c r="AF585" s="17">
        <f t="shared" si="173"/>
        <v>0</v>
      </c>
      <c r="AG585" s="17">
        <f t="shared" si="173"/>
        <v>0</v>
      </c>
      <c r="AH585" s="18" t="str">
        <f t="shared" si="155"/>
        <v>0,;!0,;!0,;!0</v>
      </c>
      <c r="AI585" s="18" t="e">
        <f>INDEX([1]Library!$AL:$AL,MATCH(AH585,[1]Library!$AJ:$AJ,0),1)</f>
        <v>#N/A</v>
      </c>
      <c r="AJ585" s="18" t="e">
        <f>TEXT(INDEX([1]Library!$W:$W,MATCH(AH585,[1]Library!$AJ:$AJ,0),1),"")</f>
        <v>#N/A</v>
      </c>
    </row>
    <row r="586" spans="1:36" ht="25.05" customHeight="1" outlineLevel="2">
      <c r="A586" s="376" t="s">
        <v>44</v>
      </c>
      <c r="B586" s="107" t="s">
        <v>44</v>
      </c>
      <c r="C586" s="108" t="s">
        <v>44</v>
      </c>
      <c r="D586" s="109" t="s">
        <v>567</v>
      </c>
      <c r="E586" s="110"/>
      <c r="F586" s="299"/>
      <c r="G586" s="62"/>
      <c r="H586" s="111">
        <v>48</v>
      </c>
      <c r="I586" s="112" t="s">
        <v>122</v>
      </c>
      <c r="J586" s="113">
        <v>1526.785714285714</v>
      </c>
      <c r="K586" s="114">
        <v>73285.714285714275</v>
      </c>
      <c r="L586" s="113">
        <v>528.67206382421568</v>
      </c>
      <c r="M586" s="114">
        <v>25376.259063562353</v>
      </c>
      <c r="N586" s="115">
        <v>0</v>
      </c>
      <c r="O586" s="114">
        <v>0</v>
      </c>
      <c r="P586" s="116">
        <v>98661.973349276625</v>
      </c>
      <c r="Q586" s="117">
        <f t="shared" ref="Q586:Q587" si="177">P586/P$13</f>
        <v>2.8067066805239775E-4</v>
      </c>
      <c r="R586" s="114">
        <f t="shared" ref="R586:R587" si="178">P586/I$5</f>
        <v>8.2128585644580472</v>
      </c>
      <c r="S586" s="377">
        <f t="shared" ref="S586:S587" si="179">P586/I$7</f>
        <v>320.3310823028462</v>
      </c>
      <c r="T586" s="357"/>
      <c r="U586" s="104"/>
      <c r="V586" s="95"/>
      <c r="W586" s="105"/>
      <c r="X586" s="95"/>
      <c r="Y586" s="95"/>
      <c r="Z586" s="95"/>
      <c r="AA586" s="95"/>
      <c r="AB586" s="95"/>
      <c r="AC586" s="95"/>
      <c r="AD586" s="17">
        <f t="shared" si="153"/>
        <v>0</v>
      </c>
      <c r="AE586" s="17">
        <f t="shared" si="173"/>
        <v>0</v>
      </c>
      <c r="AF586" s="17">
        <f t="shared" si="173"/>
        <v>0</v>
      </c>
      <c r="AG586" s="17">
        <f t="shared" si="173"/>
        <v>0</v>
      </c>
      <c r="AH586" s="18" t="str">
        <f t="shared" si="155"/>
        <v>0,;!0,;!0,;!0</v>
      </c>
      <c r="AI586" s="18" t="e">
        <f>INDEX([1]Library!$AL:$AL,MATCH(AH586,[1]Library!$AJ:$AJ,0),1)</f>
        <v>#N/A</v>
      </c>
      <c r="AJ586" s="18" t="e">
        <f>TEXT(INDEX([1]Library!$W:$W,MATCH(AH586,[1]Library!$AJ:$AJ,0),1),"")</f>
        <v>#N/A</v>
      </c>
    </row>
    <row r="587" spans="1:36" ht="25.05" customHeight="1" outlineLevel="2">
      <c r="A587" s="376" t="s">
        <v>44</v>
      </c>
      <c r="B587" s="107" t="s">
        <v>44</v>
      </c>
      <c r="C587" s="108" t="s">
        <v>44</v>
      </c>
      <c r="D587" s="109" t="s">
        <v>568</v>
      </c>
      <c r="E587" s="110"/>
      <c r="F587" s="299"/>
      <c r="G587" s="62"/>
      <c r="H587" s="111">
        <v>1</v>
      </c>
      <c r="I587" s="112" t="s">
        <v>35</v>
      </c>
      <c r="J587" s="113">
        <v>1050413.1599999999</v>
      </c>
      <c r="K587" s="114">
        <v>1050413.1599999999</v>
      </c>
      <c r="L587" s="113">
        <v>186967.03028571434</v>
      </c>
      <c r="M587" s="114">
        <v>186967.03028571434</v>
      </c>
      <c r="N587" s="115">
        <v>0</v>
      </c>
      <c r="O587" s="114">
        <v>0</v>
      </c>
      <c r="P587" s="116">
        <v>1237380.1902857143</v>
      </c>
      <c r="Q587" s="117">
        <f t="shared" si="177"/>
        <v>3.5200626224332538E-3</v>
      </c>
      <c r="R587" s="114">
        <f t="shared" si="178"/>
        <v>103.00248564157943</v>
      </c>
      <c r="S587" s="377">
        <f t="shared" si="179"/>
        <v>4017.4681502782933</v>
      </c>
      <c r="T587" s="357"/>
      <c r="U587" s="104"/>
      <c r="V587" s="95"/>
      <c r="W587" s="105"/>
      <c r="X587" s="95"/>
      <c r="Y587" s="95"/>
      <c r="Z587" s="95"/>
      <c r="AA587" s="95"/>
      <c r="AB587" s="95"/>
      <c r="AC587" s="95"/>
      <c r="AD587" s="17">
        <f t="shared" si="153"/>
        <v>0</v>
      </c>
      <c r="AE587" s="17">
        <f t="shared" si="173"/>
        <v>0</v>
      </c>
      <c r="AF587" s="17">
        <f t="shared" si="173"/>
        <v>0</v>
      </c>
      <c r="AG587" s="17">
        <f t="shared" si="173"/>
        <v>0</v>
      </c>
      <c r="AH587" s="18" t="str">
        <f t="shared" si="155"/>
        <v>0,;!0,;!0,;!0</v>
      </c>
      <c r="AI587" s="18" t="e">
        <f>INDEX([1]Library!$AL:$AL,MATCH(AH587,[1]Library!$AJ:$AJ,0),1)</f>
        <v>#N/A</v>
      </c>
      <c r="AJ587" s="18" t="e">
        <f>TEXT(INDEX([1]Library!$W:$W,MATCH(AH587,[1]Library!$AJ:$AJ,0),1),"")</f>
        <v>#N/A</v>
      </c>
    </row>
    <row r="588" spans="1:36" ht="34.200000000000003" customHeight="1" outlineLevel="2">
      <c r="A588" s="378" t="s">
        <v>44</v>
      </c>
      <c r="B588" s="118" t="s">
        <v>44</v>
      </c>
      <c r="C588" s="119" t="s">
        <v>44</v>
      </c>
      <c r="D588" s="120" t="s">
        <v>44</v>
      </c>
      <c r="E588" s="397" t="s">
        <v>569</v>
      </c>
      <c r="F588" s="398"/>
      <c r="G588" s="304"/>
      <c r="H588" s="122">
        <v>12</v>
      </c>
      <c r="I588" s="123" t="s">
        <v>140</v>
      </c>
      <c r="J588" s="124">
        <v>28928.571428571424</v>
      </c>
      <c r="K588" s="125">
        <v>347142.8571428571</v>
      </c>
      <c r="L588" s="124">
        <v>5785.7142857142862</v>
      </c>
      <c r="M588" s="125">
        <v>69428.571428571435</v>
      </c>
      <c r="N588" s="126">
        <v>0</v>
      </c>
      <c r="O588" s="125">
        <v>0</v>
      </c>
      <c r="P588" s="127">
        <v>416571.42857142852</v>
      </c>
      <c r="Q588" s="128">
        <f t="shared" si="170"/>
        <v>1.1850500976173894E-3</v>
      </c>
      <c r="R588" s="129">
        <f t="shared" si="171"/>
        <v>34.676401745378882</v>
      </c>
      <c r="S588" s="379">
        <f t="shared" si="172"/>
        <v>1352.5046382189237</v>
      </c>
      <c r="T588" s="358"/>
      <c r="U588" s="104"/>
      <c r="V588" s="95"/>
      <c r="W588" s="105"/>
      <c r="X588" s="95"/>
      <c r="Y588" s="95"/>
      <c r="Z588" s="95"/>
      <c r="AA588" s="95"/>
      <c r="AB588" s="95"/>
      <c r="AC588" s="95"/>
      <c r="AD588" s="17">
        <f t="shared" si="153"/>
        <v>0</v>
      </c>
      <c r="AE588" s="17">
        <f t="shared" si="173"/>
        <v>0</v>
      </c>
      <c r="AF588" s="17">
        <f t="shared" si="173"/>
        <v>0</v>
      </c>
      <c r="AG588" s="17">
        <f t="shared" si="173"/>
        <v>0</v>
      </c>
      <c r="AH588" s="18" t="str">
        <f t="shared" si="155"/>
        <v>0,;!0,;!0,;!0</v>
      </c>
      <c r="AI588" s="18" t="e">
        <f>INDEX([1]Library!$AL:$AL,MATCH(AH588,[1]Library!$AJ:$AJ,0),1)</f>
        <v>#N/A</v>
      </c>
      <c r="AJ588" s="18" t="e">
        <f>TEXT(INDEX([1]Library!$W:$W,MATCH(AH588,[1]Library!$AJ:$AJ,0),1),"")</f>
        <v>#N/A</v>
      </c>
    </row>
    <row r="589" spans="1:36" ht="25.05" customHeight="1" outlineLevel="2">
      <c r="A589" s="378" t="s">
        <v>44</v>
      </c>
      <c r="B589" s="118" t="s">
        <v>44</v>
      </c>
      <c r="C589" s="119" t="s">
        <v>44</v>
      </c>
      <c r="D589" s="120" t="s">
        <v>44</v>
      </c>
      <c r="E589" s="121" t="s">
        <v>570</v>
      </c>
      <c r="F589" s="300"/>
      <c r="G589" s="304"/>
      <c r="H589" s="122">
        <v>12</v>
      </c>
      <c r="I589" s="123" t="s">
        <v>140</v>
      </c>
      <c r="J589" s="124">
        <v>5234.8214285714284</v>
      </c>
      <c r="K589" s="125">
        <v>62817.857142857138</v>
      </c>
      <c r="L589" s="124">
        <v>523.48214285714289</v>
      </c>
      <c r="M589" s="125">
        <v>6281.7857142857147</v>
      </c>
      <c r="N589" s="126">
        <v>0</v>
      </c>
      <c r="O589" s="125">
        <v>0</v>
      </c>
      <c r="P589" s="127">
        <v>69099.642857142855</v>
      </c>
      <c r="Q589" s="128">
        <f t="shared" si="170"/>
        <v>1.9657262331697093E-4</v>
      </c>
      <c r="R589" s="129">
        <f t="shared" si="171"/>
        <v>5.7520194901355977</v>
      </c>
      <c r="S589" s="379">
        <f t="shared" si="172"/>
        <v>224.34948979591837</v>
      </c>
      <c r="T589" s="358"/>
      <c r="U589" s="104"/>
      <c r="V589" s="95"/>
      <c r="W589" s="105"/>
      <c r="X589" s="95"/>
      <c r="Y589" s="95"/>
      <c r="Z589" s="95"/>
      <c r="AA589" s="95"/>
      <c r="AB589" s="95"/>
      <c r="AC589" s="95"/>
      <c r="AD589" s="17">
        <f t="shared" si="153"/>
        <v>0</v>
      </c>
      <c r="AE589" s="17">
        <f t="shared" si="173"/>
        <v>0</v>
      </c>
      <c r="AF589" s="17">
        <f t="shared" si="173"/>
        <v>0</v>
      </c>
      <c r="AG589" s="17">
        <f t="shared" si="173"/>
        <v>0</v>
      </c>
      <c r="AH589" s="18" t="str">
        <f t="shared" si="155"/>
        <v>0,;!0,;!0,;!0</v>
      </c>
      <c r="AI589" s="18" t="e">
        <f>INDEX([1]Library!$AL:$AL,MATCH(AH589,[1]Library!$AJ:$AJ,0),1)</f>
        <v>#N/A</v>
      </c>
      <c r="AJ589" s="18" t="e">
        <f>TEXT(INDEX([1]Library!$W:$W,MATCH(AH589,[1]Library!$AJ:$AJ,0),1),"")</f>
        <v>#N/A</v>
      </c>
    </row>
    <row r="590" spans="1:36" ht="25.05" customHeight="1" outlineLevel="2">
      <c r="A590" s="378" t="s">
        <v>44</v>
      </c>
      <c r="B590" s="118" t="s">
        <v>44</v>
      </c>
      <c r="C590" s="119" t="s">
        <v>44</v>
      </c>
      <c r="D590" s="120" t="s">
        <v>44</v>
      </c>
      <c r="E590" s="121" t="s">
        <v>571</v>
      </c>
      <c r="F590" s="300"/>
      <c r="G590" s="304"/>
      <c r="H590" s="122">
        <v>12</v>
      </c>
      <c r="I590" s="123" t="s">
        <v>140</v>
      </c>
      <c r="J590" s="124">
        <v>39342.857142857145</v>
      </c>
      <c r="K590" s="125">
        <v>472114.28571428574</v>
      </c>
      <c r="L590" s="124">
        <v>7868.5714285714303</v>
      </c>
      <c r="M590" s="125">
        <v>94422.857142857159</v>
      </c>
      <c r="N590" s="126">
        <v>0</v>
      </c>
      <c r="O590" s="125">
        <v>0</v>
      </c>
      <c r="P590" s="127">
        <v>566537.14285714296</v>
      </c>
      <c r="Q590" s="128">
        <f t="shared" si="170"/>
        <v>1.61166813275965E-3</v>
      </c>
      <c r="R590" s="129">
        <f t="shared" si="171"/>
        <v>47.159906373715295</v>
      </c>
      <c r="S590" s="379">
        <f t="shared" si="172"/>
        <v>1839.4063079777368</v>
      </c>
      <c r="T590" s="358"/>
      <c r="U590" s="104"/>
      <c r="V590" s="95"/>
      <c r="W590" s="105"/>
      <c r="X590" s="95"/>
      <c r="Y590" s="95"/>
      <c r="Z590" s="95"/>
      <c r="AA590" s="95"/>
      <c r="AB590" s="95"/>
      <c r="AC590" s="95"/>
      <c r="AD590" s="17">
        <f t="shared" ref="AD590:AD622" si="180">IF(X590&lt;&gt;0,IF($X590&gt;=AD$12,AD589,""),Z590)</f>
        <v>0</v>
      </c>
      <c r="AE590" s="17">
        <f t="shared" ref="AE590:AG605" si="181">IF(AA590=" ",IF($X590&gt;=AE$12,AE589,""),AA590)</f>
        <v>0</v>
      </c>
      <c r="AF590" s="17">
        <f t="shared" si="181"/>
        <v>0</v>
      </c>
      <c r="AG590" s="17">
        <f t="shared" si="181"/>
        <v>0</v>
      </c>
      <c r="AH590" s="18" t="str">
        <f t="shared" ref="AH590:AH623" si="182">AD590&amp;",;!"&amp;AE590&amp;",;!"&amp;AF590&amp;",;!"&amp;AG590</f>
        <v>0,;!0,;!0,;!0</v>
      </c>
      <c r="AI590" s="18" t="e">
        <f>INDEX([1]Library!$AL:$AL,MATCH(AH590,[1]Library!$AJ:$AJ,0),1)</f>
        <v>#N/A</v>
      </c>
      <c r="AJ590" s="18" t="e">
        <f>TEXT(INDEX([1]Library!$W:$W,MATCH(AH590,[1]Library!$AJ:$AJ,0),1),"")</f>
        <v>#N/A</v>
      </c>
    </row>
    <row r="591" spans="1:36" ht="25.05" customHeight="1" outlineLevel="2">
      <c r="A591" s="378" t="s">
        <v>44</v>
      </c>
      <c r="B591" s="118" t="s">
        <v>44</v>
      </c>
      <c r="C591" s="119" t="s">
        <v>44</v>
      </c>
      <c r="D591" s="120" t="s">
        <v>44</v>
      </c>
      <c r="E591" s="121" t="s">
        <v>564</v>
      </c>
      <c r="F591" s="300"/>
      <c r="G591" s="304"/>
      <c r="H591" s="122">
        <v>12</v>
      </c>
      <c r="I591" s="123" t="s">
        <v>140</v>
      </c>
      <c r="J591" s="124">
        <v>3947.36</v>
      </c>
      <c r="K591" s="125">
        <v>47368.32</v>
      </c>
      <c r="L591" s="124">
        <v>394.73600000000005</v>
      </c>
      <c r="M591" s="125">
        <v>4736.8320000000003</v>
      </c>
      <c r="N591" s="126">
        <v>0</v>
      </c>
      <c r="O591" s="125">
        <v>0</v>
      </c>
      <c r="P591" s="127">
        <v>52105.152000000002</v>
      </c>
      <c r="Q591" s="128">
        <f t="shared" si="170"/>
        <v>1.4822719761583758E-4</v>
      </c>
      <c r="R591" s="129">
        <f t="shared" si="171"/>
        <v>4.3373574370000769</v>
      </c>
      <c r="S591" s="379">
        <f t="shared" si="172"/>
        <v>169.17257142857144</v>
      </c>
      <c r="T591" s="358"/>
      <c r="U591" s="104"/>
      <c r="V591" s="95"/>
      <c r="W591" s="105"/>
      <c r="X591" s="95"/>
      <c r="Y591" s="95"/>
      <c r="Z591" s="95"/>
      <c r="AA591" s="95"/>
      <c r="AB591" s="95"/>
      <c r="AC591" s="95"/>
      <c r="AD591" s="17">
        <f t="shared" si="180"/>
        <v>0</v>
      </c>
      <c r="AE591" s="17">
        <f t="shared" si="181"/>
        <v>0</v>
      </c>
      <c r="AF591" s="17">
        <f t="shared" si="181"/>
        <v>0</v>
      </c>
      <c r="AG591" s="17">
        <f t="shared" si="181"/>
        <v>0</v>
      </c>
      <c r="AH591" s="18" t="str">
        <f t="shared" si="182"/>
        <v>0,;!0,;!0,;!0</v>
      </c>
      <c r="AI591" s="18" t="e">
        <f>INDEX([1]Library!$AL:$AL,MATCH(AH591,[1]Library!$AJ:$AJ,0),1)</f>
        <v>#N/A</v>
      </c>
      <c r="AJ591" s="18" t="e">
        <f>TEXT(INDEX([1]Library!$W:$W,MATCH(AH591,[1]Library!$AJ:$AJ,0),1),"")</f>
        <v>#N/A</v>
      </c>
    </row>
    <row r="592" spans="1:36" ht="25.05" customHeight="1" outlineLevel="2">
      <c r="A592" s="378" t="s">
        <v>44</v>
      </c>
      <c r="B592" s="118" t="s">
        <v>44</v>
      </c>
      <c r="C592" s="119" t="s">
        <v>44</v>
      </c>
      <c r="D592" s="120" t="s">
        <v>44</v>
      </c>
      <c r="E592" s="121" t="s">
        <v>572</v>
      </c>
      <c r="F592" s="300"/>
      <c r="G592" s="304"/>
      <c r="H592" s="122">
        <v>12</v>
      </c>
      <c r="I592" s="123" t="s">
        <v>140</v>
      </c>
      <c r="J592" s="124">
        <v>7330.82</v>
      </c>
      <c r="K592" s="125">
        <v>87969.84</v>
      </c>
      <c r="L592" s="124">
        <v>733.08199999999999</v>
      </c>
      <c r="M592" s="125">
        <v>8796.9840000000004</v>
      </c>
      <c r="N592" s="126">
        <v>0</v>
      </c>
      <c r="O592" s="125">
        <v>0</v>
      </c>
      <c r="P592" s="127">
        <v>96766.823999999993</v>
      </c>
      <c r="Q592" s="128">
        <f t="shared" si="170"/>
        <v>2.7527940315201412E-4</v>
      </c>
      <c r="R592" s="129">
        <f t="shared" si="171"/>
        <v>8.055101801282099</v>
      </c>
      <c r="S592" s="379">
        <f t="shared" si="172"/>
        <v>314.178</v>
      </c>
      <c r="T592" s="358"/>
      <c r="U592" s="104"/>
      <c r="V592" s="95"/>
      <c r="W592" s="105"/>
      <c r="X592" s="95"/>
      <c r="Y592" s="95"/>
      <c r="Z592" s="95"/>
      <c r="AA592" s="95"/>
      <c r="AB592" s="95"/>
      <c r="AC592" s="95"/>
      <c r="AD592" s="17">
        <f t="shared" si="180"/>
        <v>0</v>
      </c>
      <c r="AE592" s="17">
        <f t="shared" si="181"/>
        <v>0</v>
      </c>
      <c r="AF592" s="17">
        <f t="shared" si="181"/>
        <v>0</v>
      </c>
      <c r="AG592" s="17">
        <f t="shared" si="181"/>
        <v>0</v>
      </c>
      <c r="AH592" s="18" t="str">
        <f t="shared" si="182"/>
        <v>0,;!0,;!0,;!0</v>
      </c>
      <c r="AI592" s="18" t="e">
        <f>INDEX([1]Library!$AL:$AL,MATCH(AH592,[1]Library!$AJ:$AJ,0),1)</f>
        <v>#N/A</v>
      </c>
      <c r="AJ592" s="18" t="e">
        <f>TEXT(INDEX([1]Library!$W:$W,MATCH(AH592,[1]Library!$AJ:$AJ,0),1),"")</f>
        <v>#N/A</v>
      </c>
    </row>
    <row r="593" spans="1:36" ht="25.05" customHeight="1" outlineLevel="2">
      <c r="A593" s="378" t="s">
        <v>44</v>
      </c>
      <c r="B593" s="118" t="s">
        <v>44</v>
      </c>
      <c r="C593" s="119" t="s">
        <v>44</v>
      </c>
      <c r="D593" s="120" t="s">
        <v>44</v>
      </c>
      <c r="E593" s="121" t="s">
        <v>573</v>
      </c>
      <c r="F593" s="300"/>
      <c r="G593" s="304"/>
      <c r="H593" s="122">
        <v>12</v>
      </c>
      <c r="I593" s="123" t="s">
        <v>140</v>
      </c>
      <c r="J593" s="124">
        <v>2750</v>
      </c>
      <c r="K593" s="125">
        <v>33000</v>
      </c>
      <c r="L593" s="124">
        <v>275</v>
      </c>
      <c r="M593" s="125">
        <v>3300</v>
      </c>
      <c r="N593" s="126">
        <v>0</v>
      </c>
      <c r="O593" s="125">
        <v>0</v>
      </c>
      <c r="P593" s="127">
        <v>36300</v>
      </c>
      <c r="Q593" s="128">
        <f t="shared" si="170"/>
        <v>1.0326516797139186E-4</v>
      </c>
      <c r="R593" s="129">
        <f t="shared" si="171"/>
        <v>3.0216987940674813</v>
      </c>
      <c r="S593" s="379">
        <f t="shared" si="172"/>
        <v>117.85714285714286</v>
      </c>
      <c r="T593" s="358"/>
      <c r="U593" s="104"/>
      <c r="V593" s="95"/>
      <c r="W593" s="105"/>
      <c r="X593" s="95"/>
      <c r="Y593" s="95"/>
      <c r="Z593" s="95"/>
      <c r="AA593" s="95"/>
      <c r="AB593" s="95"/>
      <c r="AC593" s="95"/>
      <c r="AD593" s="17">
        <f t="shared" si="180"/>
        <v>0</v>
      </c>
      <c r="AE593" s="17">
        <f t="shared" si="181"/>
        <v>0</v>
      </c>
      <c r="AF593" s="17">
        <f t="shared" si="181"/>
        <v>0</v>
      </c>
      <c r="AG593" s="17">
        <f t="shared" si="181"/>
        <v>0</v>
      </c>
      <c r="AH593" s="18" t="str">
        <f t="shared" si="182"/>
        <v>0,;!0,;!0,;!0</v>
      </c>
      <c r="AI593" s="18" t="e">
        <f>INDEX([1]Library!$AL:$AL,MATCH(AH593,[1]Library!$AJ:$AJ,0),1)</f>
        <v>#N/A</v>
      </c>
      <c r="AJ593" s="18" t="e">
        <f>TEXT(INDEX([1]Library!$W:$W,MATCH(AH593,[1]Library!$AJ:$AJ,0),1),"")</f>
        <v>#N/A</v>
      </c>
    </row>
    <row r="594" spans="1:36" ht="25.05" customHeight="1" outlineLevel="1">
      <c r="A594" s="374" t="s">
        <v>44</v>
      </c>
      <c r="B594" s="96" t="s">
        <v>44</v>
      </c>
      <c r="C594" s="97" t="s">
        <v>574</v>
      </c>
      <c r="D594" s="97"/>
      <c r="E594" s="98"/>
      <c r="F594" s="298"/>
      <c r="G594" s="62"/>
      <c r="H594" s="99">
        <v>1</v>
      </c>
      <c r="I594" s="100" t="s">
        <v>35</v>
      </c>
      <c r="J594" s="99">
        <v>1073525.48</v>
      </c>
      <c r="K594" s="99">
        <v>1073525.48</v>
      </c>
      <c r="L594" s="99">
        <v>365536.59520000004</v>
      </c>
      <c r="M594" s="99">
        <v>365536.59520000004</v>
      </c>
      <c r="N594" s="99">
        <v>0</v>
      </c>
      <c r="O594" s="99">
        <v>0</v>
      </c>
      <c r="P594" s="101">
        <v>1439062.0752000001</v>
      </c>
      <c r="Q594" s="102">
        <f>P594/P$13</f>
        <v>4.0938012924734918E-3</v>
      </c>
      <c r="R594" s="103">
        <f>P594/I$5</f>
        <v>119.79096796749552</v>
      </c>
      <c r="S594" s="375">
        <f>P594/I$7</f>
        <v>4672.2794649350653</v>
      </c>
      <c r="T594" s="356"/>
      <c r="U594" s="104"/>
      <c r="V594" s="95"/>
      <c r="W594" s="105"/>
      <c r="X594" s="95"/>
      <c r="Y594" s="95"/>
      <c r="Z594" s="95"/>
      <c r="AA594" s="95"/>
      <c r="AB594" s="95"/>
      <c r="AC594" s="95"/>
      <c r="AD594" s="17">
        <f t="shared" si="180"/>
        <v>0</v>
      </c>
      <c r="AE594" s="17">
        <f t="shared" si="181"/>
        <v>0</v>
      </c>
      <c r="AF594" s="17">
        <f t="shared" si="181"/>
        <v>0</v>
      </c>
      <c r="AG594" s="17">
        <f t="shared" si="181"/>
        <v>0</v>
      </c>
      <c r="AH594" s="18" t="str">
        <f t="shared" si="182"/>
        <v>0,;!0,;!0,;!0</v>
      </c>
      <c r="AI594" s="18" t="e">
        <f>INDEX([1]Library!$AL:$AL,MATCH(AH594,[1]Library!$AJ:$AJ,0),1)</f>
        <v>#N/A</v>
      </c>
      <c r="AJ594" s="18" t="e">
        <f>TEXT(INDEX([1]Library!$W:$W,MATCH(AH594,[1]Library!$AJ:$AJ,0),1),"")</f>
        <v>#N/A</v>
      </c>
    </row>
    <row r="595" spans="1:36" ht="25.05" customHeight="1" outlineLevel="2">
      <c r="A595" s="376" t="s">
        <v>44</v>
      </c>
      <c r="B595" s="107" t="s">
        <v>44</v>
      </c>
      <c r="C595" s="108" t="s">
        <v>44</v>
      </c>
      <c r="D595" s="109" t="s">
        <v>575</v>
      </c>
      <c r="E595" s="110"/>
      <c r="F595" s="299"/>
      <c r="G595" s="62"/>
      <c r="H595" s="111">
        <v>724</v>
      </c>
      <c r="I595" s="112" t="s">
        <v>122</v>
      </c>
      <c r="J595" s="113">
        <v>1482.77</v>
      </c>
      <c r="K595" s="114">
        <v>1073525.48</v>
      </c>
      <c r="L595" s="113">
        <v>504.88480000000004</v>
      </c>
      <c r="M595" s="114">
        <v>365536.59520000004</v>
      </c>
      <c r="N595" s="115">
        <v>0</v>
      </c>
      <c r="O595" s="114">
        <v>0</v>
      </c>
      <c r="P595" s="116">
        <v>1439062.0752000001</v>
      </c>
      <c r="Q595" s="117">
        <f>P595/P$13</f>
        <v>4.0938012924734918E-3</v>
      </c>
      <c r="R595" s="114">
        <f>P595/I$5</f>
        <v>119.79096796749552</v>
      </c>
      <c r="S595" s="377">
        <f>P595/I$7</f>
        <v>4672.2794649350653</v>
      </c>
      <c r="T595" s="357"/>
      <c r="U595" s="104"/>
      <c r="V595" s="95"/>
      <c r="W595" s="105"/>
      <c r="X595" s="95"/>
      <c r="Y595" s="95"/>
      <c r="Z595" s="95"/>
      <c r="AA595" s="95"/>
      <c r="AB595" s="95"/>
      <c r="AC595" s="95"/>
      <c r="AD595" s="17">
        <f t="shared" si="180"/>
        <v>0</v>
      </c>
      <c r="AE595" s="17">
        <f t="shared" si="181"/>
        <v>0</v>
      </c>
      <c r="AF595" s="17">
        <f t="shared" si="181"/>
        <v>0</v>
      </c>
      <c r="AG595" s="17">
        <f t="shared" si="181"/>
        <v>0</v>
      </c>
      <c r="AH595" s="18" t="str">
        <f t="shared" si="182"/>
        <v>0,;!0,;!0,;!0</v>
      </c>
      <c r="AI595" s="18" t="e">
        <f>INDEX([1]Library!$AL:$AL,MATCH(AH595,[1]Library!$AJ:$AJ,0),1)</f>
        <v>#N/A</v>
      </c>
      <c r="AJ595" s="18" t="e">
        <f>TEXT(INDEX([1]Library!$W:$W,MATCH(AH595,[1]Library!$AJ:$AJ,0),1),"")</f>
        <v>#N/A</v>
      </c>
    </row>
    <row r="596" spans="1:36" ht="25.05" customHeight="1" outlineLevel="1">
      <c r="A596" s="374" t="s">
        <v>44</v>
      </c>
      <c r="B596" s="96" t="s">
        <v>44</v>
      </c>
      <c r="C596" s="97" t="s">
        <v>576</v>
      </c>
      <c r="D596" s="97"/>
      <c r="E596" s="98"/>
      <c r="F596" s="298"/>
      <c r="G596" s="62"/>
      <c r="H596" s="99">
        <v>1</v>
      </c>
      <c r="I596" s="100" t="s">
        <v>35</v>
      </c>
      <c r="J596" s="99">
        <v>1105499.5956470072</v>
      </c>
      <c r="K596" s="99">
        <v>1105499.5956470072</v>
      </c>
      <c r="L596" s="99">
        <v>294107.27841175179</v>
      </c>
      <c r="M596" s="99">
        <v>294107.27841175179</v>
      </c>
      <c r="N596" s="99">
        <v>0</v>
      </c>
      <c r="O596" s="99">
        <v>0</v>
      </c>
      <c r="P596" s="101">
        <v>1399606.8740587591</v>
      </c>
      <c r="Q596" s="102">
        <f>P596/P$13</f>
        <v>3.9815603014763763E-3</v>
      </c>
      <c r="R596" s="103">
        <f>P596/I$5</f>
        <v>116.50662268627849</v>
      </c>
      <c r="S596" s="375">
        <f>P596/I$7</f>
        <v>4544.1781625284384</v>
      </c>
      <c r="T596" s="356"/>
      <c r="U596" s="104"/>
      <c r="V596" s="95"/>
      <c r="W596" s="105"/>
      <c r="X596" s="95"/>
      <c r="Y596" s="95"/>
      <c r="Z596" s="95"/>
      <c r="AA596" s="95"/>
      <c r="AB596" s="95"/>
      <c r="AC596" s="95"/>
      <c r="AD596" s="17">
        <f t="shared" si="180"/>
        <v>0</v>
      </c>
      <c r="AE596" s="17">
        <f t="shared" si="181"/>
        <v>0</v>
      </c>
      <c r="AF596" s="17">
        <f t="shared" si="181"/>
        <v>0</v>
      </c>
      <c r="AG596" s="17">
        <f t="shared" si="181"/>
        <v>0</v>
      </c>
      <c r="AH596" s="18" t="str">
        <f t="shared" si="182"/>
        <v>0,;!0,;!0,;!0</v>
      </c>
      <c r="AI596" s="18" t="e">
        <f>INDEX([1]Library!$AL:$AL,MATCH(AH596,[1]Library!$AJ:$AJ,0),1)</f>
        <v>#N/A</v>
      </c>
      <c r="AJ596" s="18" t="e">
        <f>TEXT(INDEX([1]Library!$W:$W,MATCH(AH596,[1]Library!$AJ:$AJ,0),1),"")</f>
        <v>#N/A</v>
      </c>
    </row>
    <row r="597" spans="1:36" ht="25.05" customHeight="1" outlineLevel="2">
      <c r="A597" s="376" t="s">
        <v>44</v>
      </c>
      <c r="B597" s="107" t="s">
        <v>44</v>
      </c>
      <c r="C597" s="108" t="s">
        <v>44</v>
      </c>
      <c r="D597" s="109" t="s">
        <v>577</v>
      </c>
      <c r="E597" s="110"/>
      <c r="F597" s="299"/>
      <c r="G597" s="62"/>
      <c r="H597" s="111">
        <v>75</v>
      </c>
      <c r="I597" s="112" t="s">
        <v>122</v>
      </c>
      <c r="J597" s="113">
        <v>450.79</v>
      </c>
      <c r="K597" s="114">
        <v>33809.25</v>
      </c>
      <c r="L597" s="113">
        <v>135.23699999999999</v>
      </c>
      <c r="M597" s="114">
        <v>10142.775</v>
      </c>
      <c r="N597" s="115">
        <v>0</v>
      </c>
      <c r="O597" s="114">
        <v>0</v>
      </c>
      <c r="P597" s="116">
        <v>43952.025000000001</v>
      </c>
      <c r="Q597" s="117">
        <f t="shared" ref="Q597:Q599" si="183">P597/P$13</f>
        <v>1.2503342270820425E-4</v>
      </c>
      <c r="R597" s="114">
        <f t="shared" ref="R597:R599" si="184">P597/I$5</f>
        <v>3.6586716512210411</v>
      </c>
      <c r="S597" s="377">
        <f t="shared" ref="S597:S599" si="185">P597/I$7</f>
        <v>142.70137987012987</v>
      </c>
      <c r="T597" s="357"/>
      <c r="U597" s="104"/>
      <c r="V597" s="95"/>
      <c r="W597" s="105"/>
      <c r="X597" s="95"/>
      <c r="Y597" s="95"/>
      <c r="Z597" s="95"/>
      <c r="AA597" s="95"/>
      <c r="AB597" s="95"/>
      <c r="AC597" s="95"/>
      <c r="AD597" s="17">
        <f t="shared" si="180"/>
        <v>0</v>
      </c>
      <c r="AE597" s="17">
        <f t="shared" si="181"/>
        <v>0</v>
      </c>
      <c r="AF597" s="17">
        <f t="shared" si="181"/>
        <v>0</v>
      </c>
      <c r="AG597" s="17">
        <f t="shared" si="181"/>
        <v>0</v>
      </c>
      <c r="AH597" s="18" t="str">
        <f t="shared" si="182"/>
        <v>0,;!0,;!0,;!0</v>
      </c>
      <c r="AI597" s="18" t="e">
        <f>INDEX([1]Library!$AL:$AL,MATCH(AH597,[1]Library!$AJ:$AJ,0),1)</f>
        <v>#N/A</v>
      </c>
      <c r="AJ597" s="18" t="e">
        <f>TEXT(INDEX([1]Library!$W:$W,MATCH(AH597,[1]Library!$AJ:$AJ,0),1),"")</f>
        <v>#N/A</v>
      </c>
    </row>
    <row r="598" spans="1:36" ht="25.05" customHeight="1" outlineLevel="2">
      <c r="A598" s="376" t="s">
        <v>44</v>
      </c>
      <c r="B598" s="107" t="s">
        <v>44</v>
      </c>
      <c r="C598" s="108" t="s">
        <v>44</v>
      </c>
      <c r="D598" s="109" t="s">
        <v>578</v>
      </c>
      <c r="E598" s="110"/>
      <c r="F598" s="299"/>
      <c r="G598" s="62"/>
      <c r="H598" s="111">
        <v>934</v>
      </c>
      <c r="I598" s="112" t="s">
        <v>122</v>
      </c>
      <c r="J598" s="113">
        <v>343.51</v>
      </c>
      <c r="K598" s="114">
        <v>320838.33999999997</v>
      </c>
      <c r="L598" s="113">
        <v>103.053</v>
      </c>
      <c r="M598" s="114">
        <v>96251.501999999993</v>
      </c>
      <c r="N598" s="115">
        <v>0</v>
      </c>
      <c r="O598" s="114">
        <v>0</v>
      </c>
      <c r="P598" s="116">
        <v>417089.84199999995</v>
      </c>
      <c r="Q598" s="117">
        <f t="shared" si="183"/>
        <v>1.186524864828961E-3</v>
      </c>
      <c r="R598" s="114">
        <f t="shared" si="184"/>
        <v>34.719555718710637</v>
      </c>
      <c r="S598" s="377">
        <f t="shared" si="185"/>
        <v>1354.1877987012986</v>
      </c>
      <c r="T598" s="357"/>
      <c r="U598" s="104"/>
      <c r="V598" s="95"/>
      <c r="W598" s="105"/>
      <c r="X598" s="95"/>
      <c r="Y598" s="95"/>
      <c r="Z598" s="95"/>
      <c r="AA598" s="95"/>
      <c r="AB598" s="95"/>
      <c r="AC598" s="95"/>
      <c r="AD598" s="17">
        <f t="shared" si="180"/>
        <v>0</v>
      </c>
      <c r="AE598" s="17">
        <f t="shared" si="181"/>
        <v>0</v>
      </c>
      <c r="AF598" s="17">
        <f t="shared" si="181"/>
        <v>0</v>
      </c>
      <c r="AG598" s="17">
        <f t="shared" si="181"/>
        <v>0</v>
      </c>
      <c r="AH598" s="18" t="str">
        <f t="shared" si="182"/>
        <v>0,;!0,;!0,;!0</v>
      </c>
      <c r="AI598" s="18" t="e">
        <f>INDEX([1]Library!$AL:$AL,MATCH(AH598,[1]Library!$AJ:$AJ,0),1)</f>
        <v>#N/A</v>
      </c>
      <c r="AJ598" s="18" t="e">
        <f>TEXT(INDEX([1]Library!$W:$W,MATCH(AH598,[1]Library!$AJ:$AJ,0),1),"")</f>
        <v>#N/A</v>
      </c>
    </row>
    <row r="599" spans="1:36" ht="25.05" customHeight="1" outlineLevel="2">
      <c r="A599" s="376" t="s">
        <v>44</v>
      </c>
      <c r="B599" s="107" t="s">
        <v>44</v>
      </c>
      <c r="C599" s="108" t="s">
        <v>44</v>
      </c>
      <c r="D599" s="109" t="s">
        <v>579</v>
      </c>
      <c r="E599" s="110"/>
      <c r="F599" s="299"/>
      <c r="G599" s="62"/>
      <c r="H599" s="111">
        <v>2948</v>
      </c>
      <c r="I599" s="112" t="s">
        <v>122</v>
      </c>
      <c r="J599" s="113">
        <v>254.69878074864556</v>
      </c>
      <c r="K599" s="114">
        <v>750852.00564700714</v>
      </c>
      <c r="L599" s="113">
        <v>63.67469518716139</v>
      </c>
      <c r="M599" s="114">
        <v>187713.00141175179</v>
      </c>
      <c r="N599" s="115">
        <v>0</v>
      </c>
      <c r="O599" s="114">
        <v>0</v>
      </c>
      <c r="P599" s="116">
        <v>938565.00705875899</v>
      </c>
      <c r="Q599" s="117">
        <f t="shared" si="183"/>
        <v>2.6700020139392103E-3</v>
      </c>
      <c r="R599" s="114">
        <f t="shared" si="184"/>
        <v>78.128395316346797</v>
      </c>
      <c r="S599" s="377">
        <f t="shared" si="185"/>
        <v>3047.2889839570098</v>
      </c>
      <c r="T599" s="357"/>
      <c r="U599" s="104"/>
      <c r="V599" s="95"/>
      <c r="W599" s="105"/>
      <c r="X599" s="95"/>
      <c r="Y599" s="95"/>
      <c r="Z599" s="95"/>
      <c r="AA599" s="95"/>
      <c r="AB599" s="95"/>
      <c r="AC599" s="95"/>
      <c r="AD599" s="17">
        <f t="shared" si="180"/>
        <v>0</v>
      </c>
      <c r="AE599" s="17">
        <f t="shared" si="181"/>
        <v>0</v>
      </c>
      <c r="AF599" s="17">
        <f t="shared" si="181"/>
        <v>0</v>
      </c>
      <c r="AG599" s="17">
        <f t="shared" si="181"/>
        <v>0</v>
      </c>
      <c r="AH599" s="18" t="str">
        <f t="shared" si="182"/>
        <v>0,;!0,;!0,;!0</v>
      </c>
      <c r="AI599" s="18" t="e">
        <f>INDEX([1]Library!$AL:$AL,MATCH(AH599,[1]Library!$AJ:$AJ,0),1)</f>
        <v>#N/A</v>
      </c>
      <c r="AJ599" s="18" t="e">
        <f>TEXT(INDEX([1]Library!$W:$W,MATCH(AH599,[1]Library!$AJ:$AJ,0),1),"")</f>
        <v>#N/A</v>
      </c>
    </row>
    <row r="600" spans="1:36" ht="25.05" customHeight="1" outlineLevel="1">
      <c r="A600" s="374" t="s">
        <v>44</v>
      </c>
      <c r="B600" s="96" t="s">
        <v>44</v>
      </c>
      <c r="C600" s="97" t="s">
        <v>580</v>
      </c>
      <c r="D600" s="97"/>
      <c r="E600" s="98"/>
      <c r="F600" s="298"/>
      <c r="G600" s="62"/>
      <c r="H600" s="99">
        <v>1</v>
      </c>
      <c r="I600" s="100" t="s">
        <v>35</v>
      </c>
      <c r="J600" s="99">
        <v>55853.62</v>
      </c>
      <c r="K600" s="99">
        <v>55853.62</v>
      </c>
      <c r="L600" s="99">
        <v>16371.085999999999</v>
      </c>
      <c r="M600" s="99">
        <v>16371.085999999999</v>
      </c>
      <c r="N600" s="99">
        <v>0</v>
      </c>
      <c r="O600" s="99">
        <v>0</v>
      </c>
      <c r="P600" s="101">
        <v>72224.706000000006</v>
      </c>
      <c r="Q600" s="102">
        <f>P600/P$13</f>
        <v>2.0546271065494199E-4</v>
      </c>
      <c r="R600" s="103">
        <f>P600/I$5</f>
        <v>6.0121572182390741</v>
      </c>
      <c r="S600" s="375">
        <f>P600/I$7</f>
        <v>234.49579870129872</v>
      </c>
      <c r="T600" s="356"/>
      <c r="U600" s="104"/>
      <c r="V600" s="95"/>
      <c r="W600" s="105"/>
      <c r="X600" s="95"/>
      <c r="Y600" s="95"/>
      <c r="Z600" s="95"/>
      <c r="AA600" s="95"/>
      <c r="AB600" s="95"/>
      <c r="AC600" s="95"/>
      <c r="AD600" s="17">
        <f t="shared" si="180"/>
        <v>0</v>
      </c>
      <c r="AE600" s="17">
        <f t="shared" si="181"/>
        <v>0</v>
      </c>
      <c r="AF600" s="17">
        <f t="shared" si="181"/>
        <v>0</v>
      </c>
      <c r="AG600" s="17">
        <f t="shared" si="181"/>
        <v>0</v>
      </c>
      <c r="AH600" s="18" t="str">
        <f t="shared" si="182"/>
        <v>0,;!0,;!0,;!0</v>
      </c>
      <c r="AI600" s="18" t="e">
        <f>INDEX([1]Library!$AL:$AL,MATCH(AH600,[1]Library!$AJ:$AJ,0),1)</f>
        <v>#N/A</v>
      </c>
      <c r="AJ600" s="18" t="e">
        <f>TEXT(INDEX([1]Library!$W:$W,MATCH(AH600,[1]Library!$AJ:$AJ,0),1),"")</f>
        <v>#N/A</v>
      </c>
    </row>
    <row r="601" spans="1:36" ht="25.05" customHeight="1" outlineLevel="2">
      <c r="A601" s="376" t="s">
        <v>44</v>
      </c>
      <c r="B601" s="107" t="s">
        <v>44</v>
      </c>
      <c r="C601" s="108" t="s">
        <v>44</v>
      </c>
      <c r="D601" s="109" t="s">
        <v>581</v>
      </c>
      <c r="E601" s="110"/>
      <c r="F601" s="299"/>
      <c r="G601" s="62"/>
      <c r="H601" s="111">
        <v>94</v>
      </c>
      <c r="I601" s="112" t="s">
        <v>122</v>
      </c>
      <c r="J601" s="113">
        <v>553.23</v>
      </c>
      <c r="K601" s="114">
        <v>52003.62</v>
      </c>
      <c r="L601" s="113">
        <v>165.96899999999999</v>
      </c>
      <c r="M601" s="114">
        <v>15601.085999999999</v>
      </c>
      <c r="N601" s="115">
        <v>0</v>
      </c>
      <c r="O601" s="114">
        <v>0</v>
      </c>
      <c r="P601" s="116">
        <v>67604.706000000006</v>
      </c>
      <c r="Q601" s="117">
        <f t="shared" ref="Q601:Q602" si="186">P601/P$13</f>
        <v>1.9231987109494665E-4</v>
      </c>
      <c r="R601" s="114">
        <f t="shared" ref="R601:R602" si="187">P601/I$5</f>
        <v>5.6275773717213946</v>
      </c>
      <c r="S601" s="377">
        <f t="shared" ref="S601:S602" si="188">P601/I$7</f>
        <v>219.49579870129872</v>
      </c>
      <c r="T601" s="357"/>
      <c r="U601" s="104"/>
      <c r="V601" s="95"/>
      <c r="W601" s="105"/>
      <c r="X601" s="95"/>
      <c r="Y601" s="95"/>
      <c r="Z601" s="95"/>
      <c r="AA601" s="95"/>
      <c r="AB601" s="95"/>
      <c r="AC601" s="95"/>
      <c r="AD601" s="17">
        <f t="shared" si="180"/>
        <v>0</v>
      </c>
      <c r="AE601" s="17">
        <f t="shared" si="181"/>
        <v>0</v>
      </c>
      <c r="AF601" s="17">
        <f t="shared" si="181"/>
        <v>0</v>
      </c>
      <c r="AG601" s="17">
        <f t="shared" si="181"/>
        <v>0</v>
      </c>
      <c r="AH601" s="18" t="str">
        <f t="shared" si="182"/>
        <v>0,;!0,;!0,;!0</v>
      </c>
      <c r="AI601" s="18" t="e">
        <f>INDEX([1]Library!$AL:$AL,MATCH(AH601,[1]Library!$AJ:$AJ,0),1)</f>
        <v>#N/A</v>
      </c>
      <c r="AJ601" s="18" t="e">
        <f>TEXT(INDEX([1]Library!$W:$W,MATCH(AH601,[1]Library!$AJ:$AJ,0),1),"")</f>
        <v>#N/A</v>
      </c>
    </row>
    <row r="602" spans="1:36" ht="25.05" customHeight="1" outlineLevel="2">
      <c r="A602" s="376" t="s">
        <v>44</v>
      </c>
      <c r="B602" s="107" t="s">
        <v>44</v>
      </c>
      <c r="C602" s="108" t="s">
        <v>44</v>
      </c>
      <c r="D602" s="109" t="s">
        <v>582</v>
      </c>
      <c r="E602" s="110"/>
      <c r="F602" s="299"/>
      <c r="G602" s="62"/>
      <c r="H602" s="111">
        <v>2</v>
      </c>
      <c r="I602" s="112" t="s">
        <v>140</v>
      </c>
      <c r="J602" s="113">
        <v>1924.9999999999998</v>
      </c>
      <c r="K602" s="114">
        <v>3849.9999999999995</v>
      </c>
      <c r="L602" s="113">
        <v>385</v>
      </c>
      <c r="M602" s="114">
        <v>770</v>
      </c>
      <c r="N602" s="115">
        <v>0</v>
      </c>
      <c r="O602" s="114">
        <v>0</v>
      </c>
      <c r="P602" s="116">
        <v>4620</v>
      </c>
      <c r="Q602" s="117">
        <f t="shared" si="186"/>
        <v>1.3142839559995327E-5</v>
      </c>
      <c r="R602" s="114">
        <f t="shared" si="187"/>
        <v>0.3845798465176794</v>
      </c>
      <c r="S602" s="377">
        <f t="shared" si="188"/>
        <v>15</v>
      </c>
      <c r="T602" s="357"/>
      <c r="U602" s="104"/>
      <c r="V602" s="95"/>
      <c r="W602" s="105"/>
      <c r="X602" s="95"/>
      <c r="Y602" s="95"/>
      <c r="Z602" s="95"/>
      <c r="AA602" s="95"/>
      <c r="AB602" s="95"/>
      <c r="AC602" s="95"/>
      <c r="AD602" s="17">
        <f t="shared" si="180"/>
        <v>0</v>
      </c>
      <c r="AE602" s="17">
        <f t="shared" si="181"/>
        <v>0</v>
      </c>
      <c r="AF602" s="17">
        <f t="shared" si="181"/>
        <v>0</v>
      </c>
      <c r="AG602" s="17">
        <f t="shared" si="181"/>
        <v>0</v>
      </c>
      <c r="AH602" s="18" t="str">
        <f t="shared" si="182"/>
        <v>0,;!0,;!0,;!0</v>
      </c>
      <c r="AI602" s="18" t="e">
        <f>INDEX([1]Library!$AL:$AL,MATCH(AH602,[1]Library!$AJ:$AJ,0),1)</f>
        <v>#N/A</v>
      </c>
      <c r="AJ602" s="18" t="e">
        <f>TEXT(INDEX([1]Library!$W:$W,MATCH(AH602,[1]Library!$AJ:$AJ,0),1),"")</f>
        <v>#N/A</v>
      </c>
    </row>
    <row r="603" spans="1:36" ht="25.05" customHeight="1" outlineLevel="1">
      <c r="A603" s="374" t="s">
        <v>44</v>
      </c>
      <c r="B603" s="96" t="s">
        <v>44</v>
      </c>
      <c r="C603" s="97" t="s">
        <v>583</v>
      </c>
      <c r="D603" s="97"/>
      <c r="E603" s="98"/>
      <c r="F603" s="298"/>
      <c r="G603" s="62"/>
      <c r="H603" s="99">
        <v>1</v>
      </c>
      <c r="I603" s="100" t="s">
        <v>35</v>
      </c>
      <c r="J603" s="99">
        <v>1520240.3800000001</v>
      </c>
      <c r="K603" s="99">
        <v>1520240.3800000001</v>
      </c>
      <c r="L603" s="99">
        <v>361966.82857142854</v>
      </c>
      <c r="M603" s="99">
        <v>361966.82857142854</v>
      </c>
      <c r="N603" s="99">
        <v>0</v>
      </c>
      <c r="O603" s="99">
        <v>0</v>
      </c>
      <c r="P603" s="101">
        <v>1882207.2085714287</v>
      </c>
      <c r="Q603" s="102">
        <f>P603/P$13</f>
        <v>5.3544474807188198E-3</v>
      </c>
      <c r="R603" s="103">
        <f>P603/I$5</f>
        <v>156.67942843871643</v>
      </c>
      <c r="S603" s="375">
        <f>P603/I$7</f>
        <v>6111.0623654916517</v>
      </c>
      <c r="T603" s="356"/>
      <c r="U603" s="104"/>
      <c r="V603" s="95"/>
      <c r="W603" s="105"/>
      <c r="X603" s="95"/>
      <c r="Y603" s="95"/>
      <c r="Z603" s="95"/>
      <c r="AA603" s="95"/>
      <c r="AB603" s="95"/>
      <c r="AC603" s="95"/>
      <c r="AD603" s="17">
        <f t="shared" si="180"/>
        <v>0</v>
      </c>
      <c r="AE603" s="17">
        <f t="shared" si="181"/>
        <v>0</v>
      </c>
      <c r="AF603" s="17">
        <f t="shared" si="181"/>
        <v>0</v>
      </c>
      <c r="AG603" s="17">
        <f t="shared" si="181"/>
        <v>0</v>
      </c>
      <c r="AH603" s="18" t="str">
        <f t="shared" si="182"/>
        <v>0,;!0,;!0,;!0</v>
      </c>
      <c r="AI603" s="18" t="e">
        <f>INDEX([1]Library!$AL:$AL,MATCH(AH603,[1]Library!$AJ:$AJ,0),1)</f>
        <v>#N/A</v>
      </c>
      <c r="AJ603" s="18" t="e">
        <f>TEXT(INDEX([1]Library!$W:$W,MATCH(AH603,[1]Library!$AJ:$AJ,0),1),"")</f>
        <v>#N/A</v>
      </c>
    </row>
    <row r="604" spans="1:36" ht="25.05" customHeight="1" outlineLevel="2">
      <c r="A604" s="376" t="s">
        <v>44</v>
      </c>
      <c r="B604" s="107" t="s">
        <v>44</v>
      </c>
      <c r="C604" s="108" t="s">
        <v>44</v>
      </c>
      <c r="D604" s="109" t="s">
        <v>584</v>
      </c>
      <c r="E604" s="110"/>
      <c r="F604" s="299"/>
      <c r="G604" s="62"/>
      <c r="H604" s="111">
        <v>269</v>
      </c>
      <c r="I604" s="112" t="s">
        <v>140</v>
      </c>
      <c r="J604" s="113">
        <v>247.68</v>
      </c>
      <c r="K604" s="114">
        <v>66625.919999999998</v>
      </c>
      <c r="L604" s="113">
        <v>150</v>
      </c>
      <c r="M604" s="114">
        <v>40350</v>
      </c>
      <c r="N604" s="115">
        <v>0</v>
      </c>
      <c r="O604" s="114">
        <v>0</v>
      </c>
      <c r="P604" s="116">
        <v>106975.92</v>
      </c>
      <c r="Q604" s="117">
        <f t="shared" ref="Q604:Q610" si="189">P604/P$13</f>
        <v>3.0432193795300766E-4</v>
      </c>
      <c r="R604" s="114">
        <f t="shared" ref="R604:R610" si="190">P604/I$5</f>
        <v>8.904931362486483</v>
      </c>
      <c r="S604" s="377">
        <f t="shared" ref="S604:S610" si="191">P604/I$7</f>
        <v>347.32441558441559</v>
      </c>
      <c r="T604" s="357"/>
      <c r="U604" s="104"/>
      <c r="V604" s="95"/>
      <c r="W604" s="105"/>
      <c r="X604" s="95"/>
      <c r="Y604" s="95"/>
      <c r="Z604" s="95"/>
      <c r="AA604" s="95"/>
      <c r="AB604" s="95"/>
      <c r="AC604" s="95"/>
      <c r="AD604" s="17">
        <f t="shared" si="180"/>
        <v>0</v>
      </c>
      <c r="AE604" s="17">
        <f t="shared" si="181"/>
        <v>0</v>
      </c>
      <c r="AF604" s="17">
        <f t="shared" si="181"/>
        <v>0</v>
      </c>
      <c r="AG604" s="17">
        <f t="shared" si="181"/>
        <v>0</v>
      </c>
      <c r="AH604" s="18" t="str">
        <f t="shared" si="182"/>
        <v>0,;!0,;!0,;!0</v>
      </c>
      <c r="AI604" s="18" t="e">
        <f>INDEX([1]Library!$AL:$AL,MATCH(AH604,[1]Library!$AJ:$AJ,0),1)</f>
        <v>#N/A</v>
      </c>
      <c r="AJ604" s="18" t="e">
        <f>TEXT(INDEX([1]Library!$W:$W,MATCH(AH604,[1]Library!$AJ:$AJ,0),1),"")</f>
        <v>#N/A</v>
      </c>
    </row>
    <row r="605" spans="1:36" ht="25.05" customHeight="1" outlineLevel="2">
      <c r="A605" s="376" t="s">
        <v>44</v>
      </c>
      <c r="B605" s="107" t="s">
        <v>44</v>
      </c>
      <c r="C605" s="108" t="s">
        <v>44</v>
      </c>
      <c r="D605" s="109" t="s">
        <v>585</v>
      </c>
      <c r="E605" s="110"/>
      <c r="F605" s="299"/>
      <c r="G605" s="62"/>
      <c r="H605" s="111">
        <v>666</v>
      </c>
      <c r="I605" s="112" t="s">
        <v>140</v>
      </c>
      <c r="J605" s="113">
        <v>421.55999999999995</v>
      </c>
      <c r="K605" s="114">
        <v>280758.95999999996</v>
      </c>
      <c r="L605" s="113">
        <v>150</v>
      </c>
      <c r="M605" s="114">
        <v>99900</v>
      </c>
      <c r="N605" s="115">
        <v>0</v>
      </c>
      <c r="O605" s="114">
        <v>0</v>
      </c>
      <c r="P605" s="116">
        <v>380658.95999999996</v>
      </c>
      <c r="Q605" s="117">
        <f t="shared" si="189"/>
        <v>1.0828873676092378E-3</v>
      </c>
      <c r="R605" s="114">
        <f t="shared" si="190"/>
        <v>31.686961994021527</v>
      </c>
      <c r="S605" s="377">
        <f t="shared" si="191"/>
        <v>1235.9057142857141</v>
      </c>
      <c r="T605" s="357"/>
      <c r="U605" s="104"/>
      <c r="V605" s="95"/>
      <c r="W605" s="105"/>
      <c r="X605" s="95"/>
      <c r="Y605" s="95"/>
      <c r="Z605" s="95"/>
      <c r="AA605" s="95"/>
      <c r="AB605" s="95"/>
      <c r="AC605" s="95"/>
      <c r="AD605" s="17">
        <f t="shared" si="180"/>
        <v>0</v>
      </c>
      <c r="AE605" s="17">
        <f t="shared" si="181"/>
        <v>0</v>
      </c>
      <c r="AF605" s="17">
        <f t="shared" si="181"/>
        <v>0</v>
      </c>
      <c r="AG605" s="17">
        <f t="shared" si="181"/>
        <v>0</v>
      </c>
      <c r="AH605" s="18" t="str">
        <f t="shared" si="182"/>
        <v>0,;!0,;!0,;!0</v>
      </c>
      <c r="AI605" s="18" t="e">
        <f>INDEX([1]Library!$AL:$AL,MATCH(AH605,[1]Library!$AJ:$AJ,0),1)</f>
        <v>#N/A</v>
      </c>
      <c r="AJ605" s="18" t="e">
        <f>TEXT(INDEX([1]Library!$W:$W,MATCH(AH605,[1]Library!$AJ:$AJ,0),1),"")</f>
        <v>#N/A</v>
      </c>
    </row>
    <row r="606" spans="1:36" ht="25.05" customHeight="1" outlineLevel="2">
      <c r="A606" s="376" t="s">
        <v>44</v>
      </c>
      <c r="B606" s="107" t="s">
        <v>44</v>
      </c>
      <c r="C606" s="108" t="s">
        <v>44</v>
      </c>
      <c r="D606" s="109" t="s">
        <v>586</v>
      </c>
      <c r="E606" s="110"/>
      <c r="F606" s="299"/>
      <c r="G606" s="62"/>
      <c r="H606" s="111">
        <v>308</v>
      </c>
      <c r="I606" s="112" t="s">
        <v>140</v>
      </c>
      <c r="J606" s="113">
        <v>636.16071428571399</v>
      </c>
      <c r="K606" s="114">
        <v>195937.49999999991</v>
      </c>
      <c r="L606" s="113">
        <v>150</v>
      </c>
      <c r="M606" s="114">
        <v>46200</v>
      </c>
      <c r="N606" s="115">
        <v>0</v>
      </c>
      <c r="O606" s="114">
        <v>0</v>
      </c>
      <c r="P606" s="116">
        <v>242137.49999999991</v>
      </c>
      <c r="Q606" s="117">
        <f t="shared" si="189"/>
        <v>6.8882560908189777E-4</v>
      </c>
      <c r="R606" s="114">
        <f t="shared" si="190"/>
        <v>20.156104455881941</v>
      </c>
      <c r="S606" s="377">
        <f t="shared" si="191"/>
        <v>786.16071428571399</v>
      </c>
      <c r="T606" s="357"/>
      <c r="U606" s="104"/>
      <c r="V606" s="95"/>
      <c r="W606" s="105"/>
      <c r="X606" s="95"/>
      <c r="Y606" s="95"/>
      <c r="Z606" s="95"/>
      <c r="AA606" s="95"/>
      <c r="AB606" s="95"/>
      <c r="AC606" s="95"/>
      <c r="AD606" s="17">
        <f t="shared" si="180"/>
        <v>0</v>
      </c>
      <c r="AE606" s="17">
        <f t="shared" ref="AE606:AG621" si="192">IF(AA606=" ",IF($X606&gt;=AE$12,AE605,""),AA606)</f>
        <v>0</v>
      </c>
      <c r="AF606" s="17">
        <f t="shared" si="192"/>
        <v>0</v>
      </c>
      <c r="AG606" s="17">
        <f t="shared" si="192"/>
        <v>0</v>
      </c>
      <c r="AH606" s="18" t="str">
        <f t="shared" si="182"/>
        <v>0,;!0,;!0,;!0</v>
      </c>
      <c r="AI606" s="18" t="e">
        <f>INDEX([1]Library!$AL:$AL,MATCH(AH606,[1]Library!$AJ:$AJ,0),1)</f>
        <v>#N/A</v>
      </c>
      <c r="AJ606" s="18" t="e">
        <f>TEXT(INDEX([1]Library!$W:$W,MATCH(AH606,[1]Library!$AJ:$AJ,0),1),"")</f>
        <v>#N/A</v>
      </c>
    </row>
    <row r="607" spans="1:36" ht="25.05" customHeight="1" outlineLevel="2">
      <c r="A607" s="376" t="s">
        <v>44</v>
      </c>
      <c r="B607" s="107" t="s">
        <v>44</v>
      </c>
      <c r="C607" s="108" t="s">
        <v>44</v>
      </c>
      <c r="D607" s="109" t="s">
        <v>587</v>
      </c>
      <c r="E607" s="110"/>
      <c r="F607" s="299"/>
      <c r="G607" s="62"/>
      <c r="H607" s="111">
        <v>40</v>
      </c>
      <c r="I607" s="112" t="s">
        <v>140</v>
      </c>
      <c r="J607" s="113">
        <v>2087.8000000000002</v>
      </c>
      <c r="K607" s="114">
        <v>83512.000000000015</v>
      </c>
      <c r="L607" s="113">
        <v>500</v>
      </c>
      <c r="M607" s="114">
        <v>20000</v>
      </c>
      <c r="N607" s="115">
        <v>0</v>
      </c>
      <c r="O607" s="114">
        <v>0</v>
      </c>
      <c r="P607" s="116">
        <v>103512.00000000001</v>
      </c>
      <c r="Q607" s="117">
        <f t="shared" si="189"/>
        <v>2.9446788063511612E-4</v>
      </c>
      <c r="R607" s="114">
        <f t="shared" si="190"/>
        <v>8.6165863793805269</v>
      </c>
      <c r="S607" s="377">
        <f t="shared" si="191"/>
        <v>336.07792207792215</v>
      </c>
      <c r="T607" s="357"/>
      <c r="U607" s="104"/>
      <c r="V607" s="95"/>
      <c r="W607" s="105"/>
      <c r="X607" s="95"/>
      <c r="Y607" s="95"/>
      <c r="Z607" s="95"/>
      <c r="AA607" s="95"/>
      <c r="AB607" s="95"/>
      <c r="AC607" s="95"/>
      <c r="AD607" s="17">
        <f t="shared" si="180"/>
        <v>0</v>
      </c>
      <c r="AE607" s="17">
        <f t="shared" si="192"/>
        <v>0</v>
      </c>
      <c r="AF607" s="17">
        <f t="shared" si="192"/>
        <v>0</v>
      </c>
      <c r="AG607" s="17">
        <f t="shared" si="192"/>
        <v>0</v>
      </c>
      <c r="AH607" s="18" t="str">
        <f t="shared" si="182"/>
        <v>0,;!0,;!0,;!0</v>
      </c>
      <c r="AI607" s="18" t="e">
        <f>INDEX([1]Library!$AL:$AL,MATCH(AH607,[1]Library!$AJ:$AJ,0),1)</f>
        <v>#N/A</v>
      </c>
      <c r="AJ607" s="18" t="e">
        <f>TEXT(INDEX([1]Library!$W:$W,MATCH(AH607,[1]Library!$AJ:$AJ,0),1),"")</f>
        <v>#N/A</v>
      </c>
    </row>
    <row r="608" spans="1:36" ht="25.05" customHeight="1" outlineLevel="2">
      <c r="A608" s="376" t="s">
        <v>44</v>
      </c>
      <c r="B608" s="107" t="s">
        <v>44</v>
      </c>
      <c r="C608" s="108" t="s">
        <v>44</v>
      </c>
      <c r="D608" s="109" t="s">
        <v>588</v>
      </c>
      <c r="E608" s="110"/>
      <c r="F608" s="299"/>
      <c r="G608" s="62"/>
      <c r="H608" s="111">
        <v>24</v>
      </c>
      <c r="I608" s="112" t="s">
        <v>140</v>
      </c>
      <c r="J608" s="113">
        <v>12337</v>
      </c>
      <c r="K608" s="114">
        <v>296088</v>
      </c>
      <c r="L608" s="113">
        <v>500</v>
      </c>
      <c r="M608" s="114">
        <v>12000</v>
      </c>
      <c r="N608" s="115">
        <v>0</v>
      </c>
      <c r="O608" s="114">
        <v>0</v>
      </c>
      <c r="P608" s="116">
        <v>308088</v>
      </c>
      <c r="Q608" s="117">
        <f t="shared" si="189"/>
        <v>8.7643964380083124E-4</v>
      </c>
      <c r="R608" s="114">
        <f t="shared" si="190"/>
        <v>25.645981764921821</v>
      </c>
      <c r="S608" s="377">
        <f t="shared" si="191"/>
        <v>1000.2857142857143</v>
      </c>
      <c r="T608" s="357"/>
      <c r="U608" s="104"/>
      <c r="V608" s="95"/>
      <c r="W608" s="105"/>
      <c r="X608" s="95"/>
      <c r="Y608" s="95"/>
      <c r="Z608" s="95"/>
      <c r="AA608" s="95"/>
      <c r="AB608" s="95"/>
      <c r="AC608" s="95"/>
      <c r="AD608" s="17">
        <f t="shared" si="180"/>
        <v>0</v>
      </c>
      <c r="AE608" s="17">
        <f t="shared" si="192"/>
        <v>0</v>
      </c>
      <c r="AF608" s="17">
        <f t="shared" si="192"/>
        <v>0</v>
      </c>
      <c r="AG608" s="17">
        <f t="shared" si="192"/>
        <v>0</v>
      </c>
      <c r="AH608" s="18" t="str">
        <f t="shared" si="182"/>
        <v>0,;!0,;!0,;!0</v>
      </c>
      <c r="AI608" s="18" t="e">
        <f>INDEX([1]Library!$AL:$AL,MATCH(AH608,[1]Library!$AJ:$AJ,0),1)</f>
        <v>#N/A</v>
      </c>
      <c r="AJ608" s="18" t="e">
        <f>TEXT(INDEX([1]Library!$W:$W,MATCH(AH608,[1]Library!$AJ:$AJ,0),1),"")</f>
        <v>#N/A</v>
      </c>
    </row>
    <row r="609" spans="1:36" ht="25.05" customHeight="1" outlineLevel="2">
      <c r="A609" s="376" t="s">
        <v>44</v>
      </c>
      <c r="B609" s="107" t="s">
        <v>44</v>
      </c>
      <c r="C609" s="108" t="s">
        <v>44</v>
      </c>
      <c r="D609" s="109" t="s">
        <v>589</v>
      </c>
      <c r="E609" s="110"/>
      <c r="F609" s="299"/>
      <c r="G609" s="62"/>
      <c r="H609" s="111">
        <v>3</v>
      </c>
      <c r="I609" s="112" t="s">
        <v>140</v>
      </c>
      <c r="J609" s="113">
        <v>44642.857142857138</v>
      </c>
      <c r="K609" s="114">
        <v>133928.57142857142</v>
      </c>
      <c r="L609" s="113">
        <v>1500</v>
      </c>
      <c r="M609" s="114">
        <v>4500</v>
      </c>
      <c r="N609" s="115">
        <v>0</v>
      </c>
      <c r="O609" s="114">
        <v>0</v>
      </c>
      <c r="P609" s="116">
        <v>138428.57142857142</v>
      </c>
      <c r="Q609" s="117">
        <f t="shared" si="189"/>
        <v>3.937975118625687E-4</v>
      </c>
      <c r="R609" s="114">
        <f t="shared" si="190"/>
        <v>11.52312527135533</v>
      </c>
      <c r="S609" s="377">
        <f t="shared" si="191"/>
        <v>449.443413729128</v>
      </c>
      <c r="T609" s="357"/>
      <c r="U609" s="104"/>
      <c r="V609" s="95"/>
      <c r="W609" s="105"/>
      <c r="X609" s="95"/>
      <c r="Y609" s="95"/>
      <c r="Z609" s="95"/>
      <c r="AA609" s="95"/>
      <c r="AB609" s="95"/>
      <c r="AC609" s="95"/>
      <c r="AD609" s="17">
        <f t="shared" si="180"/>
        <v>0</v>
      </c>
      <c r="AE609" s="17">
        <f t="shared" si="192"/>
        <v>0</v>
      </c>
      <c r="AF609" s="17">
        <f t="shared" si="192"/>
        <v>0</v>
      </c>
      <c r="AG609" s="17">
        <f t="shared" si="192"/>
        <v>0</v>
      </c>
      <c r="AH609" s="18" t="str">
        <f t="shared" si="182"/>
        <v>0,;!0,;!0,;!0</v>
      </c>
      <c r="AI609" s="18" t="e">
        <f>INDEX([1]Library!$AL:$AL,MATCH(AH609,[1]Library!$AJ:$AJ,0),1)</f>
        <v>#N/A</v>
      </c>
      <c r="AJ609" s="18" t="e">
        <f>TEXT(INDEX([1]Library!$W:$W,MATCH(AH609,[1]Library!$AJ:$AJ,0),1),"")</f>
        <v>#N/A</v>
      </c>
    </row>
    <row r="610" spans="1:36" ht="25.05" customHeight="1" outlineLevel="2">
      <c r="A610" s="376" t="s">
        <v>44</v>
      </c>
      <c r="B610" s="107" t="s">
        <v>44</v>
      </c>
      <c r="C610" s="108" t="s">
        <v>44</v>
      </c>
      <c r="D610" s="109" t="s">
        <v>590</v>
      </c>
      <c r="E610" s="110"/>
      <c r="F610" s="299"/>
      <c r="G610" s="62"/>
      <c r="H610" s="111">
        <v>24</v>
      </c>
      <c r="I610" s="112" t="s">
        <v>140</v>
      </c>
      <c r="J610" s="113">
        <v>19307.892857142855</v>
      </c>
      <c r="K610" s="114">
        <v>463389.42857142852</v>
      </c>
      <c r="L610" s="113">
        <v>5792.3678571428563</v>
      </c>
      <c r="M610" s="114">
        <v>139016.82857142854</v>
      </c>
      <c r="N610" s="115">
        <v>0</v>
      </c>
      <c r="O610" s="114">
        <v>0</v>
      </c>
      <c r="P610" s="116">
        <v>602406.25714285707</v>
      </c>
      <c r="Q610" s="117">
        <f t="shared" si="189"/>
        <v>1.7137075297761601E-3</v>
      </c>
      <c r="R610" s="114">
        <f t="shared" si="190"/>
        <v>50.145737210668763</v>
      </c>
      <c r="S610" s="377">
        <f t="shared" si="191"/>
        <v>1955.8644712430423</v>
      </c>
      <c r="T610" s="357"/>
      <c r="U610" s="104"/>
      <c r="V610" s="95"/>
      <c r="W610" s="105"/>
      <c r="X610" s="95"/>
      <c r="Y610" s="95"/>
      <c r="Z610" s="95"/>
      <c r="AA610" s="95"/>
      <c r="AB610" s="95"/>
      <c r="AC610" s="95"/>
      <c r="AD610" s="17">
        <f t="shared" si="180"/>
        <v>0</v>
      </c>
      <c r="AE610" s="17">
        <f t="shared" si="192"/>
        <v>0</v>
      </c>
      <c r="AF610" s="17">
        <f t="shared" si="192"/>
        <v>0</v>
      </c>
      <c r="AG610" s="17">
        <f t="shared" si="192"/>
        <v>0</v>
      </c>
      <c r="AH610" s="18" t="str">
        <f t="shared" si="182"/>
        <v>0,;!0,;!0,;!0</v>
      </c>
      <c r="AI610" s="18" t="e">
        <f>INDEX([1]Library!$AL:$AL,MATCH(AH610,[1]Library!$AJ:$AJ,0),1)</f>
        <v>#N/A</v>
      </c>
      <c r="AJ610" s="18" t="e">
        <f>TEXT(INDEX([1]Library!$W:$W,MATCH(AH610,[1]Library!$AJ:$AJ,0),1),"")</f>
        <v>#N/A</v>
      </c>
    </row>
    <row r="611" spans="1:36" ht="25.05" customHeight="1" outlineLevel="1">
      <c r="A611" s="374" t="s">
        <v>44</v>
      </c>
      <c r="B611" s="96" t="s">
        <v>44</v>
      </c>
      <c r="C611" s="97" t="s">
        <v>274</v>
      </c>
      <c r="D611" s="97"/>
      <c r="E611" s="98"/>
      <c r="F611" s="298"/>
      <c r="G611" s="62"/>
      <c r="H611" s="99">
        <v>1</v>
      </c>
      <c r="I611" s="100" t="s">
        <v>35</v>
      </c>
      <c r="J611" s="99">
        <v>297512.92929801054</v>
      </c>
      <c r="K611" s="99">
        <v>297512.92929801054</v>
      </c>
      <c r="L611" s="99">
        <v>44626.939394701578</v>
      </c>
      <c r="M611" s="99">
        <v>44626.939394701578</v>
      </c>
      <c r="N611" s="99">
        <v>0</v>
      </c>
      <c r="O611" s="99">
        <v>0</v>
      </c>
      <c r="P611" s="101">
        <v>342139.8686927121</v>
      </c>
      <c r="Q611" s="102">
        <f t="shared" si="170"/>
        <v>9.7330939422211763E-4</v>
      </c>
      <c r="R611" s="103">
        <f t="shared" si="171"/>
        <v>28.48054073364117</v>
      </c>
      <c r="S611" s="375">
        <f t="shared" si="172"/>
        <v>1110.8437295217925</v>
      </c>
      <c r="T611" s="356"/>
      <c r="U611" s="104"/>
      <c r="V611" s="95"/>
      <c r="W611" s="105"/>
      <c r="X611" s="95"/>
      <c r="Y611" s="95"/>
      <c r="Z611" s="95"/>
      <c r="AA611" s="95"/>
      <c r="AB611" s="95"/>
      <c r="AC611" s="95"/>
      <c r="AD611" s="17">
        <f t="shared" si="180"/>
        <v>0</v>
      </c>
      <c r="AE611" s="17">
        <f t="shared" si="192"/>
        <v>0</v>
      </c>
      <c r="AF611" s="17">
        <f t="shared" si="192"/>
        <v>0</v>
      </c>
      <c r="AG611" s="17">
        <f t="shared" si="192"/>
        <v>0</v>
      </c>
      <c r="AH611" s="18" t="str">
        <f t="shared" si="182"/>
        <v>0,;!0,;!0,;!0</v>
      </c>
      <c r="AI611" s="18" t="e">
        <f>INDEX([1]Library!$AL:$AL,MATCH(AH611,[1]Library!$AJ:$AJ,0),1)</f>
        <v>#N/A</v>
      </c>
      <c r="AJ611" s="18" t="e">
        <f>TEXT(INDEX([1]Library!$W:$W,MATCH(AH611,[1]Library!$AJ:$AJ,0),1),"")</f>
        <v>#N/A</v>
      </c>
    </row>
    <row r="612" spans="1:36" ht="25.05" customHeight="1" outlineLevel="1">
      <c r="A612" s="374" t="s">
        <v>44</v>
      </c>
      <c r="B612" s="96" t="s">
        <v>44</v>
      </c>
      <c r="C612" s="97" t="s">
        <v>275</v>
      </c>
      <c r="D612" s="97"/>
      <c r="E612" s="98"/>
      <c r="F612" s="298"/>
      <c r="G612" s="62"/>
      <c r="H612" s="99">
        <v>1</v>
      </c>
      <c r="I612" s="100" t="s">
        <v>35</v>
      </c>
      <c r="J612" s="99">
        <v>238010.34343840842</v>
      </c>
      <c r="K612" s="99">
        <v>238010.34343840842</v>
      </c>
      <c r="L612" s="99">
        <v>35701.551515761261</v>
      </c>
      <c r="M612" s="99">
        <v>35701.551515761261</v>
      </c>
      <c r="N612" s="99">
        <v>0</v>
      </c>
      <c r="O612" s="99">
        <v>0</v>
      </c>
      <c r="P612" s="101">
        <v>273711.89495416969</v>
      </c>
      <c r="Q612" s="102">
        <f t="shared" si="170"/>
        <v>7.7864751537769412E-4</v>
      </c>
      <c r="R612" s="103">
        <f t="shared" si="171"/>
        <v>22.784432586912938</v>
      </c>
      <c r="S612" s="375">
        <f t="shared" si="172"/>
        <v>888.67498361743412</v>
      </c>
      <c r="T612" s="356"/>
      <c r="U612" s="104"/>
      <c r="V612" s="95"/>
      <c r="W612" s="105"/>
      <c r="X612" s="95"/>
      <c r="Y612" s="95"/>
      <c r="Z612" s="95"/>
      <c r="AA612" s="95"/>
      <c r="AB612" s="95"/>
      <c r="AC612" s="95"/>
      <c r="AD612" s="17">
        <f t="shared" si="180"/>
        <v>0</v>
      </c>
      <c r="AE612" s="17">
        <f t="shared" si="192"/>
        <v>0</v>
      </c>
      <c r="AF612" s="17">
        <f t="shared" si="192"/>
        <v>0</v>
      </c>
      <c r="AG612" s="17">
        <f t="shared" si="192"/>
        <v>0</v>
      </c>
      <c r="AH612" s="18" t="str">
        <f t="shared" si="182"/>
        <v>0,;!0,;!0,;!0</v>
      </c>
      <c r="AI612" s="18" t="e">
        <f>INDEX([1]Library!$AL:$AL,MATCH(AH612,[1]Library!$AJ:$AJ,0),1)</f>
        <v>#N/A</v>
      </c>
      <c r="AJ612" s="18" t="e">
        <f>TEXT(INDEX([1]Library!$W:$W,MATCH(AH612,[1]Library!$AJ:$AJ,0),1),"")</f>
        <v>#N/A</v>
      </c>
    </row>
    <row r="613" spans="1:36" ht="25.05" customHeight="1" outlineLevel="1">
      <c r="A613" s="374" t="s">
        <v>44</v>
      </c>
      <c r="B613" s="96" t="s">
        <v>44</v>
      </c>
      <c r="C613" s="97" t="s">
        <v>276</v>
      </c>
      <c r="D613" s="97"/>
      <c r="E613" s="98"/>
      <c r="F613" s="298"/>
      <c r="G613" s="62"/>
      <c r="H613" s="99">
        <v>1</v>
      </c>
      <c r="I613" s="100" t="s">
        <v>35</v>
      </c>
      <c r="J613" s="99">
        <v>119005.17171920421</v>
      </c>
      <c r="K613" s="99">
        <v>119005.17171920421</v>
      </c>
      <c r="L613" s="99">
        <v>17850.77575788063</v>
      </c>
      <c r="M613" s="99">
        <v>17850.77575788063</v>
      </c>
      <c r="N613" s="99">
        <v>0</v>
      </c>
      <c r="O613" s="99">
        <v>0</v>
      </c>
      <c r="P613" s="101">
        <v>136855.94747708485</v>
      </c>
      <c r="Q613" s="102">
        <f t="shared" si="170"/>
        <v>3.8932375768884706E-4</v>
      </c>
      <c r="R613" s="103">
        <f t="shared" si="171"/>
        <v>11.392216293456469</v>
      </c>
      <c r="S613" s="375">
        <f t="shared" si="172"/>
        <v>444.33749180871706</v>
      </c>
      <c r="T613" s="356"/>
      <c r="U613" s="104"/>
      <c r="V613" s="95"/>
      <c r="W613" s="105"/>
      <c r="X613" s="95"/>
      <c r="Y613" s="95"/>
      <c r="Z613" s="95"/>
      <c r="AA613" s="95"/>
      <c r="AB613" s="95"/>
      <c r="AC613" s="95"/>
      <c r="AD613" s="17">
        <f t="shared" si="180"/>
        <v>0</v>
      </c>
      <c r="AE613" s="17">
        <f t="shared" si="192"/>
        <v>0</v>
      </c>
      <c r="AF613" s="17">
        <f t="shared" si="192"/>
        <v>0</v>
      </c>
      <c r="AG613" s="17">
        <f t="shared" si="192"/>
        <v>0</v>
      </c>
      <c r="AH613" s="18" t="str">
        <f t="shared" si="182"/>
        <v>0,;!0,;!0,;!0</v>
      </c>
      <c r="AI613" s="18" t="e">
        <f>INDEX([1]Library!$AL:$AL,MATCH(AH613,[1]Library!$AJ:$AJ,0),1)</f>
        <v>#N/A</v>
      </c>
      <c r="AJ613" s="18" t="e">
        <f>TEXT(INDEX([1]Library!$W:$W,MATCH(AH613,[1]Library!$AJ:$AJ,0),1),"")</f>
        <v>#N/A</v>
      </c>
    </row>
    <row r="614" spans="1:36" ht="25.05" customHeight="1" outlineLevel="1">
      <c r="A614" s="374" t="s">
        <v>44</v>
      </c>
      <c r="B614" s="96" t="s">
        <v>44</v>
      </c>
      <c r="C614" s="97" t="s">
        <v>277</v>
      </c>
      <c r="D614" s="97"/>
      <c r="E614" s="98"/>
      <c r="F614" s="298"/>
      <c r="G614" s="62"/>
      <c r="H614" s="99">
        <v>1</v>
      </c>
      <c r="I614" s="100" t="s">
        <v>35</v>
      </c>
      <c r="J614" s="99">
        <v>178507.75757880631</v>
      </c>
      <c r="K614" s="99">
        <v>178507.75757880631</v>
      </c>
      <c r="L614" s="99">
        <v>26776.163636820947</v>
      </c>
      <c r="M614" s="99">
        <v>26776.163636820947</v>
      </c>
      <c r="N614" s="99">
        <v>0</v>
      </c>
      <c r="O614" s="99">
        <v>0</v>
      </c>
      <c r="P614" s="101">
        <v>205283.92121562726</v>
      </c>
      <c r="Q614" s="102">
        <f t="shared" si="170"/>
        <v>5.8398563653327062E-4</v>
      </c>
      <c r="R614" s="103">
        <f t="shared" si="171"/>
        <v>17.088324440184703</v>
      </c>
      <c r="S614" s="375">
        <f t="shared" si="172"/>
        <v>666.50623771307551</v>
      </c>
      <c r="T614" s="356"/>
      <c r="U614" s="104"/>
      <c r="V614" s="95"/>
      <c r="W614" s="105"/>
      <c r="X614" s="95"/>
      <c r="Y614" s="95"/>
      <c r="Z614" s="95"/>
      <c r="AA614" s="95"/>
      <c r="AB614" s="95"/>
      <c r="AC614" s="95"/>
      <c r="AD614" s="17">
        <f t="shared" si="180"/>
        <v>0</v>
      </c>
      <c r="AE614" s="17">
        <f t="shared" si="192"/>
        <v>0</v>
      </c>
      <c r="AF614" s="17">
        <f t="shared" si="192"/>
        <v>0</v>
      </c>
      <c r="AG614" s="17">
        <f t="shared" si="192"/>
        <v>0</v>
      </c>
      <c r="AH614" s="18" t="str">
        <f t="shared" si="182"/>
        <v>0,;!0,;!0,;!0</v>
      </c>
      <c r="AI614" s="18" t="e">
        <f>INDEX([1]Library!$AL:$AL,MATCH(AH614,[1]Library!$AJ:$AJ,0),1)</f>
        <v>#N/A</v>
      </c>
      <c r="AJ614" s="18" t="e">
        <f>TEXT(INDEX([1]Library!$W:$W,MATCH(AH614,[1]Library!$AJ:$AJ,0),1),"")</f>
        <v>#N/A</v>
      </c>
    </row>
    <row r="615" spans="1:36" ht="25.05" customHeight="1" outlineLevel="1">
      <c r="A615" s="374" t="s">
        <v>44</v>
      </c>
      <c r="B615" s="96" t="s">
        <v>44</v>
      </c>
      <c r="C615" s="97" t="s">
        <v>278</v>
      </c>
      <c r="D615" s="97"/>
      <c r="E615" s="98"/>
      <c r="F615" s="298"/>
      <c r="G615" s="62"/>
      <c r="H615" s="99">
        <v>1</v>
      </c>
      <c r="I615" s="100" t="s">
        <v>35</v>
      </c>
      <c r="J615" s="99">
        <v>0</v>
      </c>
      <c r="K615" s="99">
        <v>0</v>
      </c>
      <c r="L615" s="99">
        <v>0</v>
      </c>
      <c r="M615" s="99">
        <v>0</v>
      </c>
      <c r="N615" s="99">
        <v>841745.72181235801</v>
      </c>
      <c r="O615" s="99">
        <v>841745.72181235801</v>
      </c>
      <c r="P615" s="101">
        <v>841745.72181235801</v>
      </c>
      <c r="Q615" s="102">
        <f t="shared" si="170"/>
        <v>2.3945733705827447E-3</v>
      </c>
      <c r="R615" s="103">
        <f t="shared" si="171"/>
        <v>70.068926515478339</v>
      </c>
      <c r="S615" s="375">
        <f t="shared" si="172"/>
        <v>2732.9406552349287</v>
      </c>
      <c r="T615" s="356"/>
      <c r="U615" s="104"/>
      <c r="V615" s="95"/>
      <c r="W615" s="105"/>
      <c r="X615" s="95"/>
      <c r="Y615" s="95"/>
      <c r="Z615" s="95"/>
      <c r="AA615" s="95"/>
      <c r="AB615" s="95"/>
      <c r="AC615" s="95"/>
      <c r="AD615" s="17">
        <f t="shared" si="180"/>
        <v>0</v>
      </c>
      <c r="AE615" s="17">
        <f t="shared" si="192"/>
        <v>0</v>
      </c>
      <c r="AF615" s="17">
        <f t="shared" si="192"/>
        <v>0</v>
      </c>
      <c r="AG615" s="17">
        <f t="shared" si="192"/>
        <v>0</v>
      </c>
      <c r="AH615" s="18" t="str">
        <f t="shared" si="182"/>
        <v>0,;!0,;!0,;!0</v>
      </c>
      <c r="AI615" s="18" t="e">
        <f>INDEX([1]Library!$AL:$AL,MATCH(AH615,[1]Library!$AJ:$AJ,0),1)</f>
        <v>#N/A</v>
      </c>
      <c r="AJ615" s="18" t="e">
        <f>TEXT(INDEX([1]Library!$W:$W,MATCH(AH615,[1]Library!$AJ:$AJ,0),1),"")</f>
        <v>#N/A</v>
      </c>
    </row>
    <row r="616" spans="1:36" ht="25.05" customHeight="1">
      <c r="A616" s="372" t="s">
        <v>591</v>
      </c>
      <c r="B616" s="84" t="s">
        <v>592</v>
      </c>
      <c r="C616" s="85"/>
      <c r="D616" s="85"/>
      <c r="E616" s="86"/>
      <c r="F616" s="297"/>
      <c r="G616" s="62"/>
      <c r="H616" s="87">
        <v>1</v>
      </c>
      <c r="I616" s="88" t="s">
        <v>35</v>
      </c>
      <c r="J616" s="89">
        <v>0</v>
      </c>
      <c r="K616" s="90">
        <v>0</v>
      </c>
      <c r="L616" s="89">
        <v>0</v>
      </c>
      <c r="M616" s="90">
        <v>0</v>
      </c>
      <c r="N616" s="89">
        <v>6431785.7199999997</v>
      </c>
      <c r="O616" s="90">
        <v>6431785.7199999997</v>
      </c>
      <c r="P616" s="91">
        <v>6431785.7199999997</v>
      </c>
      <c r="Q616" s="92">
        <f>P616/P$13</f>
        <v>1.8296954069746543E-2</v>
      </c>
      <c r="R616" s="90">
        <f>P616/I$5</f>
        <v>535.39722186844199</v>
      </c>
      <c r="S616" s="373">
        <f>P616/I$7</f>
        <v>20882.42116883117</v>
      </c>
      <c r="T616" s="355"/>
      <c r="U616" s="104"/>
      <c r="V616" s="95"/>
      <c r="W616" s="105"/>
      <c r="X616" s="95"/>
      <c r="Y616" s="95"/>
      <c r="Z616" s="95"/>
      <c r="AA616" s="95"/>
      <c r="AB616" s="95"/>
      <c r="AC616" s="95"/>
      <c r="AD616" s="17">
        <f t="shared" si="180"/>
        <v>0</v>
      </c>
      <c r="AE616" s="17">
        <f t="shared" si="192"/>
        <v>0</v>
      </c>
      <c r="AF616" s="17">
        <f t="shared" si="192"/>
        <v>0</v>
      </c>
      <c r="AG616" s="17">
        <f t="shared" si="192"/>
        <v>0</v>
      </c>
      <c r="AH616" s="18" t="str">
        <f t="shared" si="182"/>
        <v>0,;!0,;!0,;!0</v>
      </c>
      <c r="AI616" s="18" t="e">
        <f>INDEX([1]Library!$AL:$AL,MATCH(AH616,[1]Library!$AJ:$AJ,0),1)</f>
        <v>#N/A</v>
      </c>
      <c r="AJ616" s="18" t="e">
        <f>TEXT(INDEX([1]Library!$W:$W,MATCH(AH616,[1]Library!$AJ:$AJ,0),1),"")</f>
        <v>#N/A</v>
      </c>
    </row>
    <row r="617" spans="1:36" ht="25.05" customHeight="1" outlineLevel="1">
      <c r="A617" s="374" t="s">
        <v>44</v>
      </c>
      <c r="B617" s="96" t="s">
        <v>44</v>
      </c>
      <c r="C617" s="97" t="s">
        <v>593</v>
      </c>
      <c r="D617" s="97"/>
      <c r="E617" s="98"/>
      <c r="F617" s="298"/>
      <c r="G617" s="62"/>
      <c r="H617" s="99">
        <v>1</v>
      </c>
      <c r="I617" s="100" t="s">
        <v>35</v>
      </c>
      <c r="J617" s="99">
        <v>0</v>
      </c>
      <c r="K617" s="99">
        <v>0</v>
      </c>
      <c r="L617" s="99">
        <v>0</v>
      </c>
      <c r="M617" s="99">
        <v>0</v>
      </c>
      <c r="N617" s="99">
        <v>4869285.72</v>
      </c>
      <c r="O617" s="99">
        <v>4869285.72</v>
      </c>
      <c r="P617" s="101">
        <v>4869285.72</v>
      </c>
      <c r="Q617" s="102">
        <f>P617/P$13</f>
        <v>1.3852000214228643E-2</v>
      </c>
      <c r="R617" s="103">
        <f>P617/I$5</f>
        <v>405.33098589790649</v>
      </c>
      <c r="S617" s="375">
        <f>P617/I$7</f>
        <v>15809.369220779219</v>
      </c>
      <c r="T617" s="356"/>
      <c r="U617" s="104"/>
      <c r="V617" s="95"/>
      <c r="W617" s="105"/>
      <c r="X617" s="95"/>
      <c r="Y617" s="95"/>
      <c r="Z617" s="95"/>
      <c r="AA617" s="95"/>
      <c r="AB617" s="95"/>
      <c r="AC617" s="95"/>
      <c r="AD617" s="17">
        <f t="shared" si="180"/>
        <v>0</v>
      </c>
      <c r="AE617" s="17">
        <f t="shared" si="192"/>
        <v>0</v>
      </c>
      <c r="AF617" s="17">
        <f t="shared" si="192"/>
        <v>0</v>
      </c>
      <c r="AG617" s="17">
        <f t="shared" si="192"/>
        <v>0</v>
      </c>
      <c r="AH617" s="18" t="str">
        <f t="shared" si="182"/>
        <v>0,;!0,;!0,;!0</v>
      </c>
      <c r="AI617" s="18" t="e">
        <f>INDEX([1]Library!$AL:$AL,MATCH(AH617,[1]Library!$AJ:$AJ,0),1)</f>
        <v>#N/A</v>
      </c>
      <c r="AJ617" s="18" t="e">
        <f>TEXT(INDEX([1]Library!$W:$W,MATCH(AH617,[1]Library!$AJ:$AJ,0),1),"")</f>
        <v>#N/A</v>
      </c>
    </row>
    <row r="618" spans="1:36" ht="25.05" customHeight="1" outlineLevel="2">
      <c r="A618" s="376" t="s">
        <v>44</v>
      </c>
      <c r="B618" s="107" t="s">
        <v>44</v>
      </c>
      <c r="C618" s="108" t="s">
        <v>44</v>
      </c>
      <c r="D618" s="109" t="s">
        <v>594</v>
      </c>
      <c r="E618" s="110"/>
      <c r="F618" s="299"/>
      <c r="G618" s="62"/>
      <c r="H618" s="111">
        <v>1</v>
      </c>
      <c r="I618" s="112" t="s">
        <v>595</v>
      </c>
      <c r="J618" s="113">
        <v>0</v>
      </c>
      <c r="K618" s="114">
        <v>0</v>
      </c>
      <c r="L618" s="113">
        <v>0</v>
      </c>
      <c r="M618" s="114">
        <v>0</v>
      </c>
      <c r="N618" s="115">
        <v>2434642.86</v>
      </c>
      <c r="O618" s="114">
        <v>2434642.86</v>
      </c>
      <c r="P618" s="116">
        <v>2434642.86</v>
      </c>
      <c r="Q618" s="117">
        <f t="shared" ref="Q618:Q619" si="193">P618/P$13</f>
        <v>6.9260001071143216E-3</v>
      </c>
      <c r="R618" s="114">
        <f t="shared" ref="R618:R619" si="194">P618/I$5</f>
        <v>202.66549294895324</v>
      </c>
      <c r="S618" s="377">
        <f t="shared" ref="S618:S619" si="195">P618/I$7</f>
        <v>7904.6846103896096</v>
      </c>
      <c r="T618" s="357"/>
      <c r="U618" s="104"/>
      <c r="V618" s="95"/>
      <c r="W618" s="105"/>
      <c r="X618" s="95"/>
      <c r="Y618" s="95"/>
      <c r="Z618" s="95"/>
      <c r="AA618" s="95"/>
      <c r="AB618" s="95"/>
      <c r="AC618" s="95"/>
      <c r="AD618" s="17">
        <f t="shared" si="180"/>
        <v>0</v>
      </c>
      <c r="AE618" s="17">
        <f t="shared" si="192"/>
        <v>0</v>
      </c>
      <c r="AF618" s="17">
        <f t="shared" si="192"/>
        <v>0</v>
      </c>
      <c r="AG618" s="17">
        <f t="shared" si="192"/>
        <v>0</v>
      </c>
      <c r="AH618" s="18" t="str">
        <f t="shared" si="182"/>
        <v>0,;!0,;!0,;!0</v>
      </c>
      <c r="AI618" s="18" t="e">
        <f>INDEX([1]Library!$AL:$AL,MATCH(AH618,[1]Library!$AJ:$AJ,0),1)</f>
        <v>#N/A</v>
      </c>
      <c r="AJ618" s="18" t="e">
        <f>TEXT(INDEX([1]Library!$W:$W,MATCH(AH618,[1]Library!$AJ:$AJ,0),1),"")</f>
        <v>#N/A</v>
      </c>
    </row>
    <row r="619" spans="1:36" ht="25.05" customHeight="1" outlineLevel="2">
      <c r="A619" s="376" t="s">
        <v>44</v>
      </c>
      <c r="B619" s="107" t="s">
        <v>44</v>
      </c>
      <c r="C619" s="108" t="s">
        <v>44</v>
      </c>
      <c r="D619" s="109" t="s">
        <v>596</v>
      </c>
      <c r="E619" s="110"/>
      <c r="F619" s="299"/>
      <c r="G619" s="62"/>
      <c r="H619" s="111">
        <v>1</v>
      </c>
      <c r="I619" s="112" t="s">
        <v>595</v>
      </c>
      <c r="J619" s="113">
        <v>0</v>
      </c>
      <c r="K619" s="114">
        <v>0</v>
      </c>
      <c r="L619" s="113">
        <v>0</v>
      </c>
      <c r="M619" s="114">
        <v>0</v>
      </c>
      <c r="N619" s="115">
        <v>2434642.86</v>
      </c>
      <c r="O619" s="114">
        <v>2434642.86</v>
      </c>
      <c r="P619" s="116">
        <v>2434642.86</v>
      </c>
      <c r="Q619" s="117">
        <f t="shared" si="193"/>
        <v>6.9260001071143216E-3</v>
      </c>
      <c r="R619" s="114">
        <f t="shared" si="194"/>
        <v>202.66549294895324</v>
      </c>
      <c r="S619" s="377">
        <f t="shared" si="195"/>
        <v>7904.6846103896096</v>
      </c>
      <c r="T619" s="357"/>
      <c r="U619" s="104"/>
      <c r="V619" s="95"/>
      <c r="W619" s="105"/>
      <c r="X619" s="95"/>
      <c r="Y619" s="95"/>
      <c r="Z619" s="95"/>
      <c r="AA619" s="95"/>
      <c r="AB619" s="95"/>
      <c r="AC619" s="95"/>
      <c r="AD619" s="17">
        <f t="shared" si="180"/>
        <v>0</v>
      </c>
      <c r="AE619" s="17">
        <f t="shared" si="192"/>
        <v>0</v>
      </c>
      <c r="AF619" s="17">
        <f t="shared" si="192"/>
        <v>0</v>
      </c>
      <c r="AG619" s="17">
        <f t="shared" si="192"/>
        <v>0</v>
      </c>
      <c r="AH619" s="18" t="str">
        <f t="shared" si="182"/>
        <v>0,;!0,;!0,;!0</v>
      </c>
      <c r="AI619" s="18" t="e">
        <f>INDEX([1]Library!$AL:$AL,MATCH(AH619,[1]Library!$AJ:$AJ,0),1)</f>
        <v>#N/A</v>
      </c>
      <c r="AJ619" s="18" t="e">
        <f>TEXT(INDEX([1]Library!$W:$W,MATCH(AH619,[1]Library!$AJ:$AJ,0),1),"")</f>
        <v>#N/A</v>
      </c>
    </row>
    <row r="620" spans="1:36" ht="25.05" customHeight="1" outlineLevel="1">
      <c r="A620" s="374" t="s">
        <v>44</v>
      </c>
      <c r="B620" s="96" t="s">
        <v>44</v>
      </c>
      <c r="C620" s="97" t="s">
        <v>597</v>
      </c>
      <c r="D620" s="97"/>
      <c r="E620" s="98"/>
      <c r="F620" s="298"/>
      <c r="G620" s="62"/>
      <c r="H620" s="99">
        <v>1</v>
      </c>
      <c r="I620" s="100" t="s">
        <v>35</v>
      </c>
      <c r="J620" s="99">
        <v>0</v>
      </c>
      <c r="K620" s="99">
        <v>0</v>
      </c>
      <c r="L620" s="99">
        <v>0</v>
      </c>
      <c r="M620" s="99">
        <v>0</v>
      </c>
      <c r="N620" s="99">
        <v>0</v>
      </c>
      <c r="O620" s="99">
        <v>0</v>
      </c>
      <c r="P620" s="101">
        <v>0</v>
      </c>
      <c r="Q620" s="102">
        <f t="shared" si="170"/>
        <v>0</v>
      </c>
      <c r="R620" s="103">
        <f t="shared" si="171"/>
        <v>0</v>
      </c>
      <c r="S620" s="375">
        <f t="shared" si="172"/>
        <v>0</v>
      </c>
      <c r="T620" s="356"/>
      <c r="U620" s="104"/>
      <c r="V620" s="95"/>
      <c r="W620" s="105"/>
      <c r="X620" s="95"/>
      <c r="Y620" s="95"/>
      <c r="Z620" s="95"/>
      <c r="AA620" s="95"/>
      <c r="AB620" s="95"/>
      <c r="AC620" s="95"/>
      <c r="AD620" s="17">
        <f t="shared" si="180"/>
        <v>0</v>
      </c>
      <c r="AE620" s="17">
        <f t="shared" si="192"/>
        <v>0</v>
      </c>
      <c r="AF620" s="17">
        <f t="shared" si="192"/>
        <v>0</v>
      </c>
      <c r="AG620" s="17">
        <f t="shared" si="192"/>
        <v>0</v>
      </c>
      <c r="AH620" s="18" t="str">
        <f t="shared" si="182"/>
        <v>0,;!0,;!0,;!0</v>
      </c>
      <c r="AI620" s="18" t="e">
        <f>INDEX([1]Library!$AL:$AL,MATCH(AH620,[1]Library!$AJ:$AJ,0),1)</f>
        <v>#N/A</v>
      </c>
      <c r="AJ620" s="18" t="e">
        <f>TEXT(INDEX([1]Library!$W:$W,MATCH(AH620,[1]Library!$AJ:$AJ,0),1),"")</f>
        <v>#N/A</v>
      </c>
    </row>
    <row r="621" spans="1:36" ht="25.05" customHeight="1" outlineLevel="1">
      <c r="A621" s="374" t="s">
        <v>44</v>
      </c>
      <c r="B621" s="96" t="s">
        <v>44</v>
      </c>
      <c r="C621" s="97" t="s">
        <v>598</v>
      </c>
      <c r="D621" s="97"/>
      <c r="E621" s="98"/>
      <c r="F621" s="298"/>
      <c r="G621" s="62"/>
      <c r="H621" s="99">
        <v>1</v>
      </c>
      <c r="I621" s="100" t="s">
        <v>35</v>
      </c>
      <c r="J621" s="99">
        <v>0</v>
      </c>
      <c r="K621" s="99">
        <v>0</v>
      </c>
      <c r="L621" s="99">
        <v>0</v>
      </c>
      <c r="M621" s="99">
        <v>0</v>
      </c>
      <c r="N621" s="99">
        <v>1562499.9999999998</v>
      </c>
      <c r="O621" s="99">
        <v>1562499.9999999998</v>
      </c>
      <c r="P621" s="101">
        <v>1562499.9999999998</v>
      </c>
      <c r="Q621" s="102">
        <f t="shared" si="170"/>
        <v>4.4449538555178993E-3</v>
      </c>
      <c r="R621" s="103">
        <f t="shared" si="171"/>
        <v>130.0662359705355</v>
      </c>
      <c r="S621" s="375">
        <f t="shared" si="172"/>
        <v>5073.051948051947</v>
      </c>
      <c r="T621" s="356"/>
      <c r="U621" s="104"/>
      <c r="V621" s="95"/>
      <c r="W621" s="105"/>
      <c r="X621" s="95"/>
      <c r="Y621" s="95"/>
      <c r="Z621" s="95"/>
      <c r="AA621" s="95"/>
      <c r="AB621" s="95"/>
      <c r="AC621" s="95"/>
      <c r="AD621" s="17">
        <f t="shared" si="180"/>
        <v>0</v>
      </c>
      <c r="AE621" s="17">
        <f t="shared" si="192"/>
        <v>0</v>
      </c>
      <c r="AF621" s="17">
        <f t="shared" si="192"/>
        <v>0</v>
      </c>
      <c r="AG621" s="17">
        <f t="shared" si="192"/>
        <v>0</v>
      </c>
      <c r="AH621" s="18" t="str">
        <f t="shared" si="182"/>
        <v>0,;!0,;!0,;!0</v>
      </c>
      <c r="AI621" s="18" t="e">
        <f>INDEX([1]Library!$AL:$AL,MATCH(AH621,[1]Library!$AJ:$AJ,0),1)</f>
        <v>#N/A</v>
      </c>
      <c r="AJ621" s="18" t="e">
        <f>TEXT(INDEX([1]Library!$W:$W,MATCH(AH621,[1]Library!$AJ:$AJ,0),1),"")</f>
        <v>#N/A</v>
      </c>
    </row>
    <row r="622" spans="1:36" ht="25.05" customHeight="1" outlineLevel="2">
      <c r="A622" s="376" t="s">
        <v>44</v>
      </c>
      <c r="B622" s="107" t="s">
        <v>44</v>
      </c>
      <c r="C622" s="108" t="s">
        <v>44</v>
      </c>
      <c r="D622" s="109" t="s">
        <v>599</v>
      </c>
      <c r="E622" s="110"/>
      <c r="F622" s="299"/>
      <c r="G622" s="62"/>
      <c r="H622" s="111">
        <v>1</v>
      </c>
      <c r="I622" s="112" t="s">
        <v>595</v>
      </c>
      <c r="J622" s="113">
        <v>0</v>
      </c>
      <c r="K622" s="114">
        <v>0</v>
      </c>
      <c r="L622" s="113">
        <v>0</v>
      </c>
      <c r="M622" s="114">
        <v>0</v>
      </c>
      <c r="N622" s="115">
        <v>1562499.9999999998</v>
      </c>
      <c r="O622" s="114">
        <v>1562499.9999999998</v>
      </c>
      <c r="P622" s="116">
        <v>1562499.9999999998</v>
      </c>
      <c r="Q622" s="117">
        <f>P622/P$13</f>
        <v>4.4449538555178993E-3</v>
      </c>
      <c r="R622" s="114">
        <f>P622/I$5</f>
        <v>130.0662359705355</v>
      </c>
      <c r="S622" s="377">
        <f>P622/I$7</f>
        <v>5073.051948051947</v>
      </c>
      <c r="T622" s="357"/>
      <c r="U622" s="104"/>
      <c r="V622" s="95"/>
      <c r="W622" s="105"/>
      <c r="X622" s="95"/>
      <c r="Y622" s="95"/>
      <c r="Z622" s="95"/>
      <c r="AA622" s="95"/>
      <c r="AB622" s="95"/>
      <c r="AC622" s="95"/>
      <c r="AD622" s="17">
        <f t="shared" si="180"/>
        <v>0</v>
      </c>
      <c r="AE622" s="17">
        <f t="shared" ref="AE622:AG622" si="196">IF(AA622=" ",IF($X622&gt;=AE$12,AE621,""),AA622)</f>
        <v>0</v>
      </c>
      <c r="AF622" s="17">
        <f t="shared" si="196"/>
        <v>0</v>
      </c>
      <c r="AG622" s="17">
        <f t="shared" si="196"/>
        <v>0</v>
      </c>
      <c r="AH622" s="18" t="str">
        <f t="shared" si="182"/>
        <v>0,;!0,;!0,;!0</v>
      </c>
      <c r="AI622" s="18" t="e">
        <f>INDEX([1]Library!$AL:$AL,MATCH(AH622,[1]Library!$AJ:$AJ,0),1)</f>
        <v>#N/A</v>
      </c>
      <c r="AJ622" s="18" t="e">
        <f>TEXT(INDEX([1]Library!$W:$W,MATCH(AH622,[1]Library!$AJ:$AJ,0),1),"")</f>
        <v>#N/A</v>
      </c>
    </row>
    <row r="623" spans="1:36" ht="25.05" customHeight="1">
      <c r="A623" s="380"/>
      <c r="B623" s="131"/>
      <c r="C623" s="132"/>
      <c r="D623" s="132"/>
      <c r="E623" s="133"/>
      <c r="F623" s="301" t="s">
        <v>600</v>
      </c>
      <c r="G623" s="305"/>
      <c r="H623" s="134"/>
      <c r="I623" s="134"/>
      <c r="J623" s="134"/>
      <c r="K623" s="134"/>
      <c r="L623" s="134"/>
      <c r="M623" s="134"/>
      <c r="N623" s="134"/>
      <c r="O623" s="134"/>
      <c r="P623" s="135">
        <f>P13</f>
        <v>351522209.40614164</v>
      </c>
      <c r="Q623" s="136">
        <f>P623/P$13</f>
        <v>1</v>
      </c>
      <c r="R623" s="137">
        <f t="shared" si="171"/>
        <v>29261.549208002059</v>
      </c>
      <c r="S623" s="381">
        <f t="shared" si="172"/>
        <v>1141305.874695265</v>
      </c>
      <c r="T623" s="135"/>
      <c r="U623" s="138"/>
      <c r="V623" s="139"/>
      <c r="W623" s="140" t="s">
        <v>601</v>
      </c>
      <c r="AD623" s="106">
        <f>IF(X623&lt;&gt;0,IF($X623&gt;=AD$12,#REF!,""),Z623)</f>
        <v>0</v>
      </c>
      <c r="AE623" s="141">
        <f>IF(AA623=" ",IF($X623&gt;=AE$12,#REF!,""),AA623)</f>
        <v>0</v>
      </c>
      <c r="AF623" s="106">
        <f>IF(AB623=" ",IF($X623&gt;=AF$12,#REF!,""),AB623)</f>
        <v>0</v>
      </c>
      <c r="AG623" s="106">
        <f>IF(AC623=" ",IF($X623&gt;=AG$12,#REF!,""),AC623)</f>
        <v>0</v>
      </c>
      <c r="AH623" s="106" t="str">
        <f t="shared" si="182"/>
        <v>0,;!0,;!0,;!0</v>
      </c>
      <c r="AI623" s="106" t="e">
        <f>INDEX([1]Library!$AL:$AL,MATCH(AH623,[1]Library!$AJ:$AJ,0),1)</f>
        <v>#N/A</v>
      </c>
      <c r="AJ623" s="106" t="e">
        <f>TEXT(INDEX([1]Library!$W:$W,MATCH(AH623,[1]Library!$AJ:$AJ,0),1),"")</f>
        <v>#N/A</v>
      </c>
    </row>
    <row r="624" spans="1:36" ht="25.05" customHeight="1">
      <c r="A624" s="382"/>
      <c r="B624" s="142"/>
      <c r="C624" s="143" t="s">
        <v>602</v>
      </c>
      <c r="D624" s="144"/>
      <c r="E624" s="145"/>
      <c r="F624" s="302"/>
      <c r="G624" s="292"/>
      <c r="H624" s="146"/>
      <c r="I624" s="147"/>
      <c r="J624" s="148"/>
      <c r="K624" s="149"/>
      <c r="L624" s="148"/>
      <c r="M624" s="149"/>
      <c r="N624" s="148"/>
      <c r="O624" s="150">
        <v>0.02</v>
      </c>
      <c r="P624" s="151">
        <f>(P623-P14)*O624</f>
        <v>5497331.5432710573</v>
      </c>
      <c r="Q624" s="152"/>
      <c r="R624" s="151">
        <f t="shared" si="171"/>
        <v>457.61102189783139</v>
      </c>
      <c r="S624" s="383">
        <f t="shared" si="172"/>
        <v>17848.479036594341</v>
      </c>
      <c r="T624" s="153"/>
      <c r="U624" s="154"/>
      <c r="V624" s="155"/>
      <c r="W624" s="156"/>
    </row>
    <row r="625" spans="1:31" ht="25.05" customHeight="1">
      <c r="A625" s="382"/>
      <c r="B625" s="142"/>
      <c r="C625" s="143" t="s">
        <v>603</v>
      </c>
      <c r="D625" s="144"/>
      <c r="E625" s="145"/>
      <c r="F625" s="302"/>
      <c r="G625" s="292"/>
      <c r="H625" s="146"/>
      <c r="I625" s="147"/>
      <c r="J625" s="148"/>
      <c r="K625" s="149"/>
      <c r="L625" s="148"/>
      <c r="M625" s="149"/>
      <c r="N625" s="148"/>
      <c r="O625" s="150">
        <v>0</v>
      </c>
      <c r="P625" s="151">
        <f>O625*P$623</f>
        <v>0</v>
      </c>
      <c r="Q625" s="152"/>
      <c r="R625" s="151">
        <f t="shared" ref="R625:R628" si="197">P625/I$5</f>
        <v>0</v>
      </c>
      <c r="S625" s="383">
        <f t="shared" ref="S625:S628" si="198">P625/I$7</f>
        <v>0</v>
      </c>
      <c r="T625" s="153"/>
      <c r="U625" s="154"/>
      <c r="V625" s="155"/>
      <c r="W625" s="156"/>
    </row>
    <row r="626" spans="1:31" ht="25.05" customHeight="1">
      <c r="A626" s="382"/>
      <c r="B626" s="142"/>
      <c r="C626" s="143" t="s">
        <v>604</v>
      </c>
      <c r="D626" s="144"/>
      <c r="E626" s="145"/>
      <c r="F626" s="302"/>
      <c r="G626" s="292"/>
      <c r="H626" s="146"/>
      <c r="I626" s="147"/>
      <c r="J626" s="148"/>
      <c r="K626" s="149"/>
      <c r="L626" s="148"/>
      <c r="M626" s="149"/>
      <c r="N626" s="148"/>
      <c r="O626" s="150">
        <v>0.05</v>
      </c>
      <c r="P626" s="151">
        <f>O626*P$623</f>
        <v>17576110.470307082</v>
      </c>
      <c r="Q626" s="152"/>
      <c r="R626" s="151">
        <f t="shared" si="197"/>
        <v>1463.0774604001031</v>
      </c>
      <c r="S626" s="383">
        <f t="shared" si="198"/>
        <v>57065.293734763254</v>
      </c>
      <c r="T626" s="153"/>
      <c r="U626" s="154"/>
      <c r="V626" s="155"/>
      <c r="W626" s="156"/>
    </row>
    <row r="627" spans="1:31" ht="25.05" customHeight="1">
      <c r="A627" s="382"/>
      <c r="B627" s="142"/>
      <c r="C627" s="143" t="s">
        <v>605</v>
      </c>
      <c r="D627" s="144"/>
      <c r="E627" s="145"/>
      <c r="F627" s="302"/>
      <c r="G627" s="292"/>
      <c r="H627" s="146"/>
      <c r="I627" s="147"/>
      <c r="J627" s="148"/>
      <c r="K627" s="149"/>
      <c r="L627" s="148"/>
      <c r="M627" s="149"/>
      <c r="N627" s="148"/>
      <c r="O627" s="150">
        <v>0.42388317037494383</v>
      </c>
      <c r="P627" s="151">
        <f>O627*P$623</f>
        <v>149004348.58028021</v>
      </c>
      <c r="Q627" s="152"/>
      <c r="R627" s="151">
        <f t="shared" si="197"/>
        <v>12403.47824837034</v>
      </c>
      <c r="S627" s="383">
        <f t="shared" si="198"/>
        <v>483780.3525333773</v>
      </c>
      <c r="T627" s="153"/>
    </row>
    <row r="628" spans="1:31" ht="25.05" customHeight="1">
      <c r="A628" s="380"/>
      <c r="B628" s="131"/>
      <c r="C628" s="71"/>
      <c r="D628" s="71"/>
      <c r="E628" s="158"/>
      <c r="F628" s="301" t="s">
        <v>606</v>
      </c>
      <c r="G628" s="305"/>
      <c r="H628" s="134"/>
      <c r="I628" s="159"/>
      <c r="J628" s="160"/>
      <c r="K628" s="161"/>
      <c r="L628" s="160"/>
      <c r="M628" s="161"/>
      <c r="N628" s="160"/>
      <c r="O628" s="162"/>
      <c r="P628" s="137">
        <f>SUBTOTAL(9,P623:P627)</f>
        <v>523600000</v>
      </c>
      <c r="Q628" s="163"/>
      <c r="R628" s="137">
        <f t="shared" si="197"/>
        <v>43585.715938670335</v>
      </c>
      <c r="S628" s="381">
        <f t="shared" si="198"/>
        <v>1700000</v>
      </c>
      <c r="T628" s="135"/>
    </row>
    <row r="629" spans="1:31" ht="25.05" customHeight="1">
      <c r="A629" s="382"/>
      <c r="B629" s="142"/>
      <c r="C629" s="144" t="s">
        <v>607</v>
      </c>
      <c r="D629" s="144"/>
      <c r="E629" s="145"/>
      <c r="F629" s="302"/>
      <c r="G629" s="292"/>
      <c r="H629" s="146"/>
      <c r="I629" s="147"/>
      <c r="J629" s="148"/>
      <c r="K629" s="149"/>
      <c r="L629" s="148"/>
      <c r="M629" s="149"/>
      <c r="N629" s="148"/>
      <c r="O629" s="150">
        <v>0.12</v>
      </c>
      <c r="P629" s="151">
        <f>$O629*P$628</f>
        <v>62832000</v>
      </c>
      <c r="Q629" s="152"/>
      <c r="R629" s="164"/>
      <c r="S629" s="383"/>
      <c r="T629" s="153"/>
    </row>
    <row r="630" spans="1:31" ht="25.05" customHeight="1">
      <c r="A630" s="384"/>
      <c r="B630" s="385"/>
      <c r="C630" s="386"/>
      <c r="D630" s="386"/>
      <c r="E630" s="387"/>
      <c r="F630" s="388" t="s">
        <v>608</v>
      </c>
      <c r="G630" s="389"/>
      <c r="H630" s="390"/>
      <c r="I630" s="391"/>
      <c r="J630" s="392"/>
      <c r="K630" s="393"/>
      <c r="L630" s="392"/>
      <c r="M630" s="393"/>
      <c r="N630" s="392"/>
      <c r="O630" s="393"/>
      <c r="P630" s="394">
        <f>SUM(P628:P629)</f>
        <v>586432000</v>
      </c>
      <c r="Q630" s="395"/>
      <c r="R630" s="394">
        <f>P630/I$5</f>
        <v>48816.001851310772</v>
      </c>
      <c r="S630" s="396">
        <f>P630/I$7</f>
        <v>1904000</v>
      </c>
      <c r="T630" s="135"/>
    </row>
    <row r="631" spans="1:31" ht="25.05" customHeight="1">
      <c r="A631" s="165"/>
      <c r="B631" s="166"/>
      <c r="C631" s="166"/>
      <c r="D631" s="167"/>
      <c r="E631" s="165"/>
      <c r="F631" s="168"/>
      <c r="G631" s="291"/>
      <c r="H631" s="341"/>
      <c r="I631" s="169"/>
      <c r="J631" s="170"/>
      <c r="K631" s="171"/>
      <c r="L631" s="170"/>
      <c r="M631" s="171"/>
      <c r="N631" s="170"/>
      <c r="O631" s="8"/>
      <c r="P631" s="172"/>
      <c r="Q631" s="173"/>
      <c r="R631" s="171"/>
      <c r="S631" s="174"/>
      <c r="T631" s="174"/>
      <c r="U631" s="175"/>
      <c r="V631" s="165"/>
      <c r="W631" s="176"/>
    </row>
    <row r="632" spans="1:31" ht="25.05" customHeight="1">
      <c r="A632" s="165"/>
      <c r="B632" s="166"/>
      <c r="C632" s="166"/>
      <c r="D632" s="167"/>
      <c r="E632" s="165"/>
      <c r="F632" s="168"/>
      <c r="G632" s="291"/>
      <c r="H632" s="341"/>
      <c r="I632" s="169"/>
      <c r="J632" s="170"/>
      <c r="K632" s="171"/>
      <c r="L632" s="170"/>
      <c r="M632" s="171"/>
      <c r="N632" s="170"/>
      <c r="O632" s="8"/>
      <c r="P632" s="172"/>
      <c r="Q632" s="173"/>
      <c r="R632" s="171"/>
      <c r="S632" s="174"/>
      <c r="T632" s="174"/>
      <c r="U632" s="175"/>
      <c r="V632" s="165"/>
      <c r="W632" s="176"/>
    </row>
    <row r="633" spans="1:31" ht="25.05" customHeight="1">
      <c r="U633" s="138"/>
      <c r="V633" s="139"/>
      <c r="W633" s="140"/>
    </row>
    <row r="634" spans="1:31" s="329" customFormat="1" ht="24.6" customHeight="1">
      <c r="A634" s="317"/>
      <c r="B634" s="318" t="s">
        <v>640</v>
      </c>
      <c r="C634" s="318"/>
      <c r="D634" s="319"/>
      <c r="E634" s="317"/>
      <c r="F634" s="320"/>
      <c r="G634" s="317"/>
      <c r="H634" s="339" t="s">
        <v>641</v>
      </c>
      <c r="I634" s="322"/>
      <c r="J634" s="323"/>
      <c r="K634" s="324"/>
      <c r="L634" s="323"/>
      <c r="M634" s="324"/>
      <c r="N634" s="323"/>
      <c r="O634" s="324"/>
      <c r="P634" s="321"/>
      <c r="Q634" s="325"/>
      <c r="R634" s="324"/>
      <c r="S634" s="321"/>
      <c r="T634" s="321"/>
      <c r="U634" s="326"/>
      <c r="V634" s="327"/>
      <c r="W634" s="328"/>
      <c r="AE634" s="317"/>
    </row>
    <row r="635" spans="1:31" s="329" customFormat="1" ht="25.05" customHeight="1">
      <c r="A635" s="317"/>
      <c r="B635" s="318"/>
      <c r="C635" s="318"/>
      <c r="D635" s="319"/>
      <c r="E635" s="317"/>
      <c r="F635" s="320"/>
      <c r="G635" s="317"/>
      <c r="H635" s="339"/>
      <c r="I635" s="322"/>
      <c r="J635" s="323"/>
      <c r="K635" s="324"/>
      <c r="L635" s="323"/>
      <c r="M635" s="324"/>
      <c r="N635" s="323"/>
      <c r="O635" s="324"/>
      <c r="P635" s="321"/>
      <c r="Q635" s="325"/>
      <c r="R635" s="324"/>
      <c r="S635" s="321"/>
      <c r="T635" s="321"/>
      <c r="U635" s="326"/>
      <c r="V635" s="327"/>
      <c r="W635" s="328"/>
      <c r="AE635" s="317"/>
    </row>
    <row r="636" spans="1:31" s="329" customFormat="1" ht="25.05" customHeight="1">
      <c r="A636" s="317"/>
      <c r="B636" s="318"/>
      <c r="C636" s="318"/>
      <c r="D636" s="319"/>
      <c r="E636" s="317"/>
      <c r="F636" s="320"/>
      <c r="G636" s="317"/>
      <c r="H636" s="339"/>
      <c r="I636" s="322"/>
      <c r="J636" s="323"/>
      <c r="K636" s="324"/>
      <c r="L636" s="323"/>
      <c r="M636" s="324"/>
      <c r="N636" s="323"/>
      <c r="O636" s="324"/>
      <c r="P636" s="321"/>
      <c r="Q636" s="325"/>
      <c r="R636" s="324"/>
      <c r="S636" s="321"/>
      <c r="T636" s="321"/>
      <c r="U636" s="326"/>
      <c r="V636" s="327"/>
      <c r="W636" s="328"/>
      <c r="AE636" s="317"/>
    </row>
    <row r="637" spans="1:31" s="329" customFormat="1" ht="25.05" customHeight="1">
      <c r="A637" s="317"/>
      <c r="B637" s="318"/>
      <c r="C637" s="318"/>
      <c r="D637" s="319"/>
      <c r="E637" s="317"/>
      <c r="F637" s="320"/>
      <c r="G637" s="317"/>
      <c r="H637" s="339"/>
      <c r="I637" s="322"/>
      <c r="J637" s="323"/>
      <c r="K637" s="324"/>
      <c r="L637" s="323"/>
      <c r="M637" s="324"/>
      <c r="N637" s="323"/>
      <c r="O637" s="324"/>
      <c r="P637" s="321"/>
      <c r="Q637" s="325"/>
      <c r="R637" s="324"/>
      <c r="S637" s="321"/>
      <c r="T637" s="321"/>
      <c r="U637" s="326"/>
      <c r="V637" s="327"/>
      <c r="W637" s="328"/>
      <c r="AE637" s="317"/>
    </row>
    <row r="638" spans="1:31" s="338" customFormat="1" ht="25.05" customHeight="1">
      <c r="A638" s="320"/>
      <c r="B638" s="319" t="s">
        <v>638</v>
      </c>
      <c r="C638" s="319"/>
      <c r="D638" s="319"/>
      <c r="E638" s="320"/>
      <c r="F638" s="320"/>
      <c r="G638" s="320"/>
      <c r="H638" s="340" t="s">
        <v>642</v>
      </c>
      <c r="I638" s="331"/>
      <c r="J638" s="332"/>
      <c r="K638" s="333"/>
      <c r="L638" s="332"/>
      <c r="M638" s="333"/>
      <c r="N638" s="332"/>
      <c r="O638" s="333"/>
      <c r="P638" s="330"/>
      <c r="Q638" s="334"/>
      <c r="R638" s="333"/>
      <c r="S638" s="330"/>
      <c r="T638" s="330"/>
      <c r="U638" s="335"/>
      <c r="V638" s="336"/>
      <c r="W638" s="337"/>
      <c r="AE638" s="320"/>
    </row>
    <row r="639" spans="1:31" s="329" customFormat="1" ht="25.05" customHeight="1">
      <c r="A639" s="317"/>
      <c r="B639" s="318" t="s">
        <v>639</v>
      </c>
      <c r="C639" s="318"/>
      <c r="D639" s="319"/>
      <c r="E639" s="317"/>
      <c r="F639" s="320"/>
      <c r="G639" s="317"/>
      <c r="H639" s="339" t="s">
        <v>643</v>
      </c>
      <c r="I639" s="322"/>
      <c r="J639" s="323"/>
      <c r="K639" s="324"/>
      <c r="L639" s="323"/>
      <c r="M639" s="324"/>
      <c r="N639" s="323"/>
      <c r="O639" s="324"/>
      <c r="P639" s="321"/>
      <c r="Q639" s="325"/>
      <c r="R639" s="324"/>
      <c r="S639" s="321"/>
      <c r="T639" s="321"/>
      <c r="U639" s="326"/>
      <c r="V639" s="327"/>
      <c r="W639" s="328"/>
      <c r="AE639" s="317"/>
    </row>
    <row r="640" spans="1:31" s="329" customFormat="1" ht="25.05" customHeight="1">
      <c r="A640" s="317"/>
      <c r="B640" s="318"/>
      <c r="C640" s="318"/>
      <c r="D640" s="319"/>
      <c r="E640" s="317"/>
      <c r="F640" s="320"/>
      <c r="G640" s="317"/>
      <c r="H640" s="321"/>
      <c r="I640" s="322"/>
      <c r="J640" s="323"/>
      <c r="K640" s="324"/>
      <c r="L640" s="323"/>
      <c r="M640" s="324"/>
      <c r="N640" s="323"/>
      <c r="O640" s="324"/>
      <c r="P640" s="321"/>
      <c r="Q640" s="325"/>
      <c r="R640" s="324"/>
      <c r="S640" s="321"/>
      <c r="T640" s="321"/>
      <c r="U640" s="326"/>
      <c r="V640" s="327"/>
      <c r="W640" s="328"/>
      <c r="AE640" s="317"/>
    </row>
    <row r="641" spans="21:23" ht="25.05" customHeight="1">
      <c r="U641" s="138"/>
      <c r="V641" s="139"/>
      <c r="W641" s="140"/>
    </row>
    <row r="642" spans="21:23" ht="25.05" customHeight="1">
      <c r="U642" s="138"/>
      <c r="V642" s="139"/>
      <c r="W642" s="140"/>
    </row>
    <row r="643" spans="21:23" ht="20.100000000000001" customHeight="1">
      <c r="U643" s="138"/>
      <c r="V643" s="139"/>
      <c r="W643" s="140"/>
    </row>
    <row r="644" spans="21:23" ht="20.100000000000001" customHeight="1">
      <c r="U644" s="138"/>
      <c r="V644" s="139"/>
      <c r="W644" s="140"/>
    </row>
    <row r="645" spans="21:23" ht="20.100000000000001" customHeight="1">
      <c r="U645" s="138"/>
      <c r="V645" s="139"/>
      <c r="W645" s="140"/>
    </row>
    <row r="646" spans="21:23" ht="20.100000000000001" customHeight="1">
      <c r="U646" s="138"/>
      <c r="V646" s="139"/>
      <c r="W646" s="140"/>
    </row>
    <row r="647" spans="21:23" ht="20.100000000000001" customHeight="1">
      <c r="U647" s="138"/>
      <c r="V647" s="139"/>
      <c r="W647" s="140"/>
    </row>
    <row r="648" spans="21:23" ht="20.100000000000001" customHeight="1">
      <c r="U648" s="138"/>
      <c r="V648" s="139"/>
      <c r="W648" s="140"/>
    </row>
    <row r="649" spans="21:23" ht="20.100000000000001" customHeight="1">
      <c r="U649" s="138"/>
      <c r="V649" s="139"/>
      <c r="W649" s="140"/>
    </row>
    <row r="650" spans="21:23" ht="20.100000000000001" customHeight="1">
      <c r="U650" s="138"/>
      <c r="V650" s="139"/>
      <c r="W650" s="140"/>
    </row>
    <row r="651" spans="21:23" ht="20.100000000000001" customHeight="1">
      <c r="U651" s="138"/>
      <c r="V651" s="139"/>
      <c r="W651" s="140"/>
    </row>
    <row r="652" spans="21:23" ht="20.100000000000001" customHeight="1">
      <c r="U652" s="138"/>
      <c r="V652" s="139"/>
      <c r="W652" s="140"/>
    </row>
    <row r="653" spans="21:23" ht="20.100000000000001" customHeight="1">
      <c r="U653" s="138"/>
      <c r="V653" s="139"/>
      <c r="W653" s="140"/>
    </row>
    <row r="654" spans="21:23" ht="20.100000000000001" customHeight="1">
      <c r="U654" s="138"/>
      <c r="V654" s="139"/>
      <c r="W654" s="140"/>
    </row>
    <row r="655" spans="21:23" ht="20.100000000000001" customHeight="1">
      <c r="U655" s="138"/>
      <c r="V655" s="139"/>
      <c r="W655" s="140"/>
    </row>
    <row r="656" spans="21:23" ht="20.100000000000001" customHeight="1">
      <c r="U656" s="138"/>
      <c r="V656" s="139"/>
      <c r="W656" s="140"/>
    </row>
    <row r="657" spans="21:23" ht="20.100000000000001" customHeight="1">
      <c r="U657" s="138"/>
      <c r="V657" s="139"/>
      <c r="W657" s="140"/>
    </row>
    <row r="658" spans="21:23" ht="20.100000000000001" customHeight="1">
      <c r="U658" s="138"/>
      <c r="V658" s="139"/>
      <c r="W658" s="140"/>
    </row>
    <row r="659" spans="21:23" ht="20.100000000000001" customHeight="1">
      <c r="U659" s="138"/>
      <c r="V659" s="139"/>
      <c r="W659" s="140"/>
    </row>
    <row r="660" spans="21:23" ht="20.100000000000001" customHeight="1">
      <c r="U660" s="138"/>
      <c r="V660" s="139"/>
      <c r="W660" s="140"/>
    </row>
    <row r="661" spans="21:23" ht="20.100000000000001" customHeight="1">
      <c r="U661" s="138"/>
      <c r="V661" s="139"/>
      <c r="W661" s="140"/>
    </row>
    <row r="662" spans="21:23" ht="20.100000000000001" customHeight="1">
      <c r="U662" s="138"/>
      <c r="V662" s="139"/>
      <c r="W662" s="140"/>
    </row>
    <row r="663" spans="21:23" ht="20.100000000000001" customHeight="1">
      <c r="U663" s="138"/>
      <c r="V663" s="139"/>
      <c r="W663" s="140"/>
    </row>
    <row r="664" spans="21:23" ht="20.100000000000001" customHeight="1">
      <c r="U664" s="138"/>
      <c r="V664" s="139"/>
      <c r="W664" s="140"/>
    </row>
    <row r="665" spans="21:23" ht="20.100000000000001" customHeight="1" collapsed="1">
      <c r="U665" s="138"/>
      <c r="V665" s="139"/>
      <c r="W665" s="140"/>
    </row>
    <row r="666" spans="21:23" ht="20.100000000000001" customHeight="1">
      <c r="U666" s="138"/>
      <c r="V666" s="139"/>
      <c r="W666" s="140"/>
    </row>
    <row r="667" spans="21:23" ht="20.100000000000001" customHeight="1">
      <c r="U667" s="138"/>
      <c r="V667" s="139"/>
      <c r="W667" s="140"/>
    </row>
    <row r="668" spans="21:23" ht="20.100000000000001" customHeight="1">
      <c r="U668" s="138"/>
      <c r="V668" s="139"/>
      <c r="W668" s="140"/>
    </row>
    <row r="669" spans="21:23" ht="20.100000000000001" customHeight="1">
      <c r="U669" s="138"/>
      <c r="V669" s="139"/>
      <c r="W669" s="140"/>
    </row>
    <row r="670" spans="21:23" ht="20.100000000000001" customHeight="1">
      <c r="U670" s="138"/>
      <c r="V670" s="139"/>
      <c r="W670" s="140"/>
    </row>
    <row r="671" spans="21:23" ht="20.100000000000001" customHeight="1">
      <c r="U671" s="138"/>
      <c r="V671" s="139"/>
      <c r="W671" s="140"/>
    </row>
    <row r="672" spans="21:23" ht="20.100000000000001" customHeight="1">
      <c r="U672" s="138"/>
      <c r="V672" s="139"/>
      <c r="W672" s="140"/>
    </row>
    <row r="673" spans="21:23" ht="20.100000000000001" customHeight="1">
      <c r="U673" s="138"/>
      <c r="V673" s="139"/>
      <c r="W673" s="140"/>
    </row>
    <row r="674" spans="21:23" ht="20.100000000000001" customHeight="1">
      <c r="U674" s="138"/>
      <c r="V674" s="139"/>
      <c r="W674" s="140"/>
    </row>
    <row r="675" spans="21:23" ht="20.100000000000001" customHeight="1">
      <c r="U675" s="138"/>
      <c r="V675" s="139"/>
      <c r="W675" s="140"/>
    </row>
    <row r="676" spans="21:23" ht="20.100000000000001" customHeight="1">
      <c r="U676" s="138"/>
      <c r="V676" s="139"/>
      <c r="W676" s="140"/>
    </row>
    <row r="677" spans="21:23" ht="20.100000000000001" customHeight="1">
      <c r="U677" s="138"/>
      <c r="V677" s="139"/>
      <c r="W677" s="140"/>
    </row>
    <row r="678" spans="21:23" ht="20.100000000000001" customHeight="1">
      <c r="U678" s="138"/>
      <c r="V678" s="139"/>
      <c r="W678" s="140"/>
    </row>
    <row r="679" spans="21:23" ht="20.100000000000001" customHeight="1">
      <c r="U679" s="138"/>
      <c r="V679" s="139"/>
      <c r="W679" s="140"/>
    </row>
    <row r="680" spans="21:23" ht="20.100000000000001" customHeight="1">
      <c r="U680" s="138"/>
      <c r="V680" s="139"/>
      <c r="W680" s="140"/>
    </row>
    <row r="681" spans="21:23" ht="20.100000000000001" customHeight="1">
      <c r="U681" s="138"/>
      <c r="V681" s="139"/>
      <c r="W681" s="140"/>
    </row>
    <row r="682" spans="21:23" ht="20.100000000000001" customHeight="1">
      <c r="U682" s="138"/>
      <c r="V682" s="139"/>
      <c r="W682" s="140"/>
    </row>
    <row r="683" spans="21:23" ht="20.100000000000001" customHeight="1">
      <c r="U683" s="138"/>
      <c r="V683" s="139"/>
      <c r="W683" s="140"/>
    </row>
    <row r="684" spans="21:23" ht="20.100000000000001" customHeight="1">
      <c r="U684" s="138"/>
      <c r="V684" s="139"/>
      <c r="W684" s="140"/>
    </row>
    <row r="685" spans="21:23" ht="20.100000000000001" customHeight="1">
      <c r="U685" s="138"/>
      <c r="V685" s="139"/>
      <c r="W685" s="140"/>
    </row>
    <row r="686" spans="21:23" ht="20.100000000000001" customHeight="1">
      <c r="U686" s="138"/>
      <c r="V686" s="139"/>
      <c r="W686" s="140"/>
    </row>
    <row r="687" spans="21:23" ht="20.100000000000001" customHeight="1">
      <c r="U687" s="138"/>
      <c r="V687" s="139"/>
      <c r="W687" s="140"/>
    </row>
    <row r="688" spans="21:23" ht="20.100000000000001" customHeight="1">
      <c r="U688" s="138"/>
      <c r="V688" s="139"/>
      <c r="W688" s="140"/>
    </row>
    <row r="689" spans="21:23" ht="20.100000000000001" customHeight="1">
      <c r="U689" s="138"/>
      <c r="V689" s="139"/>
      <c r="W689" s="140"/>
    </row>
    <row r="690" spans="21:23" ht="20.100000000000001" customHeight="1">
      <c r="U690" s="138"/>
      <c r="V690" s="139"/>
      <c r="W690" s="140"/>
    </row>
    <row r="691" spans="21:23" ht="20.100000000000001" customHeight="1">
      <c r="U691" s="138"/>
      <c r="V691" s="139"/>
      <c r="W691" s="140"/>
    </row>
    <row r="692" spans="21:23" ht="20.100000000000001" customHeight="1">
      <c r="U692" s="138"/>
      <c r="V692" s="139"/>
      <c r="W692" s="140"/>
    </row>
    <row r="693" spans="21:23" ht="20.100000000000001" customHeight="1">
      <c r="U693" s="138"/>
      <c r="V693" s="139"/>
      <c r="W693" s="140"/>
    </row>
    <row r="694" spans="21:23" ht="20.100000000000001" customHeight="1">
      <c r="U694" s="138"/>
      <c r="V694" s="139"/>
      <c r="W694" s="140"/>
    </row>
    <row r="695" spans="21:23" ht="20.100000000000001" customHeight="1">
      <c r="U695" s="138"/>
      <c r="V695" s="139"/>
      <c r="W695" s="140"/>
    </row>
    <row r="696" spans="21:23" ht="20.100000000000001" customHeight="1">
      <c r="U696" s="138"/>
      <c r="V696" s="139"/>
      <c r="W696" s="140"/>
    </row>
    <row r="697" spans="21:23" ht="20.100000000000001" customHeight="1">
      <c r="U697" s="138"/>
      <c r="V697" s="139"/>
      <c r="W697" s="140"/>
    </row>
    <row r="698" spans="21:23" ht="20.100000000000001" customHeight="1">
      <c r="U698" s="138"/>
      <c r="V698" s="139"/>
      <c r="W698" s="140"/>
    </row>
    <row r="699" spans="21:23" ht="20.100000000000001" customHeight="1">
      <c r="U699" s="138"/>
      <c r="V699" s="139"/>
      <c r="W699" s="140"/>
    </row>
    <row r="700" spans="21:23" ht="20.100000000000001" customHeight="1">
      <c r="U700" s="138"/>
      <c r="V700" s="139"/>
      <c r="W700" s="140"/>
    </row>
    <row r="701" spans="21:23" ht="20.100000000000001" customHeight="1">
      <c r="U701" s="138"/>
      <c r="V701" s="139"/>
      <c r="W701" s="140"/>
    </row>
    <row r="702" spans="21:23" ht="20.100000000000001" customHeight="1">
      <c r="U702" s="138"/>
      <c r="V702" s="139"/>
      <c r="W702" s="140"/>
    </row>
    <row r="703" spans="21:23" ht="20.100000000000001" customHeight="1">
      <c r="U703" s="138"/>
      <c r="V703" s="139"/>
      <c r="W703" s="140"/>
    </row>
    <row r="704" spans="21:23" ht="20.100000000000001" customHeight="1">
      <c r="U704" s="138"/>
      <c r="V704" s="139"/>
      <c r="W704" s="140"/>
    </row>
    <row r="705" spans="21:23" ht="20.100000000000001" customHeight="1">
      <c r="U705" s="138"/>
      <c r="V705" s="139"/>
      <c r="W705" s="140"/>
    </row>
    <row r="706" spans="21:23" ht="20.100000000000001" customHeight="1">
      <c r="U706" s="138"/>
      <c r="V706" s="139"/>
      <c r="W706" s="140"/>
    </row>
    <row r="707" spans="21:23" ht="20.100000000000001" customHeight="1">
      <c r="U707" s="138"/>
      <c r="V707" s="139"/>
      <c r="W707" s="140"/>
    </row>
    <row r="708" spans="21:23" ht="20.100000000000001" customHeight="1">
      <c r="U708" s="138"/>
      <c r="V708" s="139"/>
      <c r="W708" s="140"/>
    </row>
    <row r="709" spans="21:23" ht="20.100000000000001" customHeight="1">
      <c r="U709" s="138"/>
      <c r="V709" s="139"/>
      <c r="W709" s="140"/>
    </row>
    <row r="710" spans="21:23" ht="20.100000000000001" customHeight="1">
      <c r="U710" s="138"/>
      <c r="V710" s="139"/>
      <c r="W710" s="140"/>
    </row>
    <row r="711" spans="21:23" ht="20.100000000000001" customHeight="1">
      <c r="U711" s="138"/>
      <c r="V711" s="139"/>
      <c r="W711" s="140"/>
    </row>
    <row r="712" spans="21:23" ht="20.100000000000001" customHeight="1">
      <c r="U712" s="138"/>
      <c r="V712" s="139"/>
      <c r="W712" s="140"/>
    </row>
    <row r="713" spans="21:23" ht="20.100000000000001" customHeight="1">
      <c r="U713" s="138"/>
      <c r="V713" s="139"/>
      <c r="W713" s="140"/>
    </row>
    <row r="714" spans="21:23" ht="20.100000000000001" customHeight="1">
      <c r="U714" s="138"/>
      <c r="V714" s="139"/>
      <c r="W714" s="140"/>
    </row>
    <row r="715" spans="21:23" ht="20.100000000000001" customHeight="1">
      <c r="U715" s="138"/>
      <c r="V715" s="139"/>
      <c r="W715" s="140"/>
    </row>
    <row r="716" spans="21:23" ht="20.100000000000001" customHeight="1">
      <c r="U716" s="138"/>
      <c r="V716" s="139"/>
      <c r="W716" s="140"/>
    </row>
    <row r="717" spans="21:23" ht="20.100000000000001" customHeight="1">
      <c r="U717" s="138"/>
      <c r="V717" s="139"/>
      <c r="W717" s="140"/>
    </row>
    <row r="718" spans="21:23" ht="20.100000000000001" customHeight="1">
      <c r="U718" s="138"/>
      <c r="V718" s="139"/>
      <c r="W718" s="140"/>
    </row>
    <row r="719" spans="21:23" ht="20.100000000000001" customHeight="1">
      <c r="U719" s="138"/>
      <c r="V719" s="139"/>
      <c r="W719" s="140"/>
    </row>
    <row r="720" spans="21:23" ht="20.100000000000001" customHeight="1">
      <c r="U720" s="138"/>
      <c r="V720" s="139"/>
      <c r="W720" s="140"/>
    </row>
    <row r="721" spans="21:23" ht="20.100000000000001" customHeight="1">
      <c r="U721" s="138"/>
      <c r="V721" s="139"/>
      <c r="W721" s="140"/>
    </row>
    <row r="722" spans="21:23" ht="20.100000000000001" customHeight="1">
      <c r="U722" s="138"/>
      <c r="V722" s="139"/>
      <c r="W722" s="140"/>
    </row>
    <row r="723" spans="21:23" ht="20.100000000000001" customHeight="1">
      <c r="U723" s="138"/>
      <c r="V723" s="139"/>
      <c r="W723" s="140"/>
    </row>
    <row r="724" spans="21:23" ht="20.100000000000001" customHeight="1">
      <c r="U724" s="138"/>
      <c r="V724" s="139"/>
      <c r="W724" s="140"/>
    </row>
    <row r="725" spans="21:23" ht="20.100000000000001" customHeight="1">
      <c r="U725" s="138"/>
      <c r="V725" s="139"/>
      <c r="W725" s="140"/>
    </row>
    <row r="726" spans="21:23" ht="20.100000000000001" customHeight="1">
      <c r="U726" s="138"/>
      <c r="V726" s="139"/>
      <c r="W726" s="140"/>
    </row>
    <row r="727" spans="21:23" ht="20.100000000000001" customHeight="1">
      <c r="U727" s="138"/>
      <c r="V727" s="139"/>
      <c r="W727" s="140"/>
    </row>
    <row r="728" spans="21:23" ht="20.100000000000001" customHeight="1">
      <c r="U728" s="138"/>
      <c r="V728" s="139"/>
      <c r="W728" s="140"/>
    </row>
    <row r="729" spans="21:23" ht="20.100000000000001" customHeight="1">
      <c r="U729" s="138"/>
      <c r="V729" s="139"/>
      <c r="W729" s="140"/>
    </row>
    <row r="730" spans="21:23" ht="20.100000000000001" customHeight="1">
      <c r="U730" s="138"/>
      <c r="V730" s="139"/>
      <c r="W730" s="140"/>
    </row>
    <row r="731" spans="21:23" ht="20.100000000000001" customHeight="1">
      <c r="U731" s="138"/>
      <c r="V731" s="139"/>
      <c r="W731" s="140"/>
    </row>
    <row r="732" spans="21:23" ht="20.100000000000001" customHeight="1">
      <c r="U732" s="138"/>
      <c r="V732" s="139"/>
      <c r="W732" s="140"/>
    </row>
    <row r="733" spans="21:23" ht="20.100000000000001" customHeight="1">
      <c r="U733" s="138"/>
      <c r="V733" s="139"/>
      <c r="W733" s="140"/>
    </row>
    <row r="734" spans="21:23" ht="20.100000000000001" customHeight="1" collapsed="1">
      <c r="U734" s="138"/>
      <c r="V734" s="139"/>
      <c r="W734" s="140"/>
    </row>
    <row r="735" spans="21:23" ht="20.100000000000001" customHeight="1">
      <c r="U735" s="138"/>
      <c r="V735" s="139"/>
      <c r="W735" s="140"/>
    </row>
    <row r="736" spans="21:23" ht="20.100000000000001" customHeight="1">
      <c r="U736" s="138"/>
      <c r="V736" s="139"/>
      <c r="W736" s="140"/>
    </row>
    <row r="737" spans="21:23" ht="20.100000000000001" customHeight="1">
      <c r="U737" s="138"/>
      <c r="V737" s="139"/>
      <c r="W737" s="140"/>
    </row>
    <row r="738" spans="21:23" ht="20.100000000000001" customHeight="1">
      <c r="U738" s="138"/>
      <c r="V738" s="139"/>
      <c r="W738" s="140"/>
    </row>
    <row r="739" spans="21:23" ht="20.100000000000001" customHeight="1">
      <c r="U739" s="138"/>
      <c r="V739" s="139"/>
      <c r="W739" s="140"/>
    </row>
    <row r="740" spans="21:23" ht="20.100000000000001" customHeight="1">
      <c r="U740" s="138"/>
      <c r="V740" s="139"/>
      <c r="W740" s="140"/>
    </row>
    <row r="741" spans="21:23" ht="20.100000000000001" customHeight="1">
      <c r="U741" s="138"/>
      <c r="V741" s="139"/>
      <c r="W741" s="140"/>
    </row>
    <row r="742" spans="21:23" ht="20.100000000000001" customHeight="1">
      <c r="U742" s="138"/>
      <c r="V742" s="139"/>
      <c r="W742" s="140"/>
    </row>
    <row r="743" spans="21:23" ht="20.100000000000001" customHeight="1">
      <c r="U743" s="138"/>
      <c r="V743" s="139"/>
      <c r="W743" s="140"/>
    </row>
    <row r="744" spans="21:23" ht="20.100000000000001" customHeight="1">
      <c r="U744" s="138"/>
      <c r="V744" s="139"/>
      <c r="W744" s="140"/>
    </row>
    <row r="745" spans="21:23" ht="20.100000000000001" customHeight="1">
      <c r="U745" s="138"/>
      <c r="V745" s="139"/>
      <c r="W745" s="140"/>
    </row>
    <row r="746" spans="21:23" ht="20.100000000000001" customHeight="1">
      <c r="U746" s="138"/>
      <c r="V746" s="139"/>
      <c r="W746" s="140"/>
    </row>
    <row r="747" spans="21:23" ht="20.100000000000001" customHeight="1">
      <c r="U747" s="138"/>
      <c r="V747" s="139"/>
      <c r="W747" s="140"/>
    </row>
    <row r="748" spans="21:23" ht="20.100000000000001" customHeight="1">
      <c r="U748" s="138"/>
      <c r="V748" s="139"/>
      <c r="W748" s="140"/>
    </row>
    <row r="749" spans="21:23" ht="20.100000000000001" customHeight="1">
      <c r="U749" s="138"/>
      <c r="V749" s="139"/>
      <c r="W749" s="140"/>
    </row>
    <row r="750" spans="21:23" ht="20.100000000000001" customHeight="1">
      <c r="U750" s="138"/>
      <c r="V750" s="139"/>
      <c r="W750" s="140"/>
    </row>
    <row r="751" spans="21:23" ht="20.100000000000001" customHeight="1">
      <c r="U751" s="138"/>
      <c r="V751" s="139"/>
      <c r="W751" s="140"/>
    </row>
    <row r="752" spans="21:23" ht="20.100000000000001" customHeight="1">
      <c r="U752" s="138"/>
      <c r="V752" s="139"/>
      <c r="W752" s="140"/>
    </row>
    <row r="753" spans="21:23" ht="20.100000000000001" customHeight="1">
      <c r="U753" s="138"/>
      <c r="V753" s="139"/>
      <c r="W753" s="140"/>
    </row>
    <row r="754" spans="21:23" ht="20.100000000000001" customHeight="1">
      <c r="U754" s="138"/>
      <c r="V754" s="139"/>
      <c r="W754" s="140"/>
    </row>
    <row r="755" spans="21:23" ht="20.100000000000001" customHeight="1">
      <c r="U755" s="138"/>
      <c r="V755" s="139"/>
      <c r="W755" s="140"/>
    </row>
    <row r="756" spans="21:23" ht="20.100000000000001" customHeight="1">
      <c r="U756" s="138"/>
      <c r="V756" s="139"/>
      <c r="W756" s="140"/>
    </row>
    <row r="757" spans="21:23" ht="20.100000000000001" customHeight="1">
      <c r="U757" s="138"/>
      <c r="V757" s="139"/>
      <c r="W757" s="140"/>
    </row>
    <row r="758" spans="21:23" ht="20.100000000000001" customHeight="1">
      <c r="U758" s="138"/>
      <c r="V758" s="139"/>
      <c r="W758" s="140"/>
    </row>
    <row r="759" spans="21:23" ht="20.100000000000001" customHeight="1">
      <c r="U759" s="138"/>
      <c r="V759" s="139"/>
      <c r="W759" s="140"/>
    </row>
    <row r="760" spans="21:23" ht="20.100000000000001" customHeight="1">
      <c r="U760" s="138"/>
      <c r="V760" s="139"/>
      <c r="W760" s="140"/>
    </row>
    <row r="761" spans="21:23" ht="20.100000000000001" customHeight="1">
      <c r="U761" s="138"/>
      <c r="V761" s="139"/>
      <c r="W761" s="140"/>
    </row>
    <row r="762" spans="21:23" ht="20.100000000000001" customHeight="1">
      <c r="U762" s="138"/>
      <c r="V762" s="139"/>
      <c r="W762" s="140"/>
    </row>
    <row r="763" spans="21:23" ht="20.100000000000001" customHeight="1">
      <c r="U763" s="138"/>
      <c r="V763" s="139"/>
      <c r="W763" s="140"/>
    </row>
    <row r="764" spans="21:23" ht="20.100000000000001" customHeight="1">
      <c r="U764" s="138"/>
      <c r="V764" s="139"/>
      <c r="W764" s="140"/>
    </row>
    <row r="765" spans="21:23" ht="20.100000000000001" customHeight="1">
      <c r="U765" s="138"/>
      <c r="V765" s="139"/>
      <c r="W765" s="140"/>
    </row>
    <row r="766" spans="21:23" ht="20.100000000000001" customHeight="1">
      <c r="U766" s="138"/>
      <c r="V766" s="139"/>
      <c r="W766" s="140"/>
    </row>
    <row r="767" spans="21:23" ht="20.100000000000001" customHeight="1">
      <c r="U767" s="138"/>
      <c r="V767" s="139"/>
      <c r="W767" s="140"/>
    </row>
    <row r="768" spans="21:23" ht="20.100000000000001" customHeight="1">
      <c r="U768" s="138"/>
      <c r="V768" s="139"/>
      <c r="W768" s="140"/>
    </row>
    <row r="769" spans="21:23" ht="20.100000000000001" customHeight="1">
      <c r="U769" s="138"/>
      <c r="V769" s="139"/>
      <c r="W769" s="140"/>
    </row>
    <row r="770" spans="21:23" ht="20.100000000000001" customHeight="1">
      <c r="U770" s="138"/>
      <c r="V770" s="139"/>
      <c r="W770" s="140"/>
    </row>
    <row r="771" spans="21:23" ht="20.100000000000001" customHeight="1">
      <c r="U771" s="138"/>
      <c r="V771" s="139"/>
      <c r="W771" s="140"/>
    </row>
    <row r="772" spans="21:23" ht="20.100000000000001" customHeight="1">
      <c r="U772" s="138"/>
      <c r="V772" s="139"/>
      <c r="W772" s="140"/>
    </row>
    <row r="773" spans="21:23" ht="20.100000000000001" customHeight="1">
      <c r="U773" s="138"/>
      <c r="V773" s="139"/>
      <c r="W773" s="140"/>
    </row>
    <row r="774" spans="21:23" ht="20.100000000000001" customHeight="1">
      <c r="U774" s="138"/>
      <c r="V774" s="139"/>
      <c r="W774" s="140"/>
    </row>
    <row r="775" spans="21:23" ht="20.100000000000001" customHeight="1">
      <c r="U775" s="138"/>
      <c r="V775" s="139"/>
      <c r="W775" s="140"/>
    </row>
    <row r="776" spans="21:23" ht="20.100000000000001" customHeight="1">
      <c r="U776" s="138"/>
      <c r="V776" s="139"/>
      <c r="W776" s="140"/>
    </row>
    <row r="777" spans="21:23" ht="20.100000000000001" customHeight="1">
      <c r="U777" s="138"/>
      <c r="V777" s="139"/>
      <c r="W777" s="140"/>
    </row>
    <row r="778" spans="21:23" ht="20.100000000000001" customHeight="1">
      <c r="U778" s="154"/>
      <c r="V778" s="155"/>
      <c r="W778" s="156"/>
    </row>
    <row r="779" spans="21:23" ht="20.100000000000001" customHeight="1">
      <c r="U779" s="154"/>
      <c r="V779" s="155"/>
      <c r="W779" s="156"/>
    </row>
    <row r="780" spans="21:23" ht="20.100000000000001" customHeight="1">
      <c r="U780" s="154"/>
      <c r="V780" s="155"/>
      <c r="W780" s="156"/>
    </row>
    <row r="785" spans="2:36" ht="20.100000000000001" customHeight="1">
      <c r="U785" s="175"/>
      <c r="V785" s="165"/>
      <c r="W785" s="176"/>
    </row>
    <row r="787" spans="2:36" ht="19.8" customHeight="1"/>
    <row r="788" spans="2:36" ht="20.100000000000001" customHeight="1">
      <c r="U788" s="188"/>
      <c r="V788" s="189"/>
      <c r="W788" s="190"/>
    </row>
    <row r="789" spans="2:36" ht="20.100000000000001" customHeight="1">
      <c r="U789" s="188"/>
      <c r="V789" s="189"/>
      <c r="W789" s="190"/>
    </row>
    <row r="790" spans="2:36" ht="20.100000000000001" customHeight="1">
      <c r="U790" s="191"/>
      <c r="V790" s="192"/>
      <c r="W790" s="193"/>
    </row>
    <row r="793" spans="2:36" s="141" customFormat="1" ht="20.100000000000001" customHeight="1" collapsed="1">
      <c r="B793" s="178"/>
      <c r="C793" s="178"/>
      <c r="D793" s="179"/>
      <c r="F793" s="180"/>
      <c r="H793" s="181"/>
      <c r="I793" s="182"/>
      <c r="J793" s="183"/>
      <c r="K793" s="184"/>
      <c r="L793" s="185"/>
      <c r="M793" s="184"/>
      <c r="N793" s="183"/>
      <c r="O793" s="184"/>
      <c r="P793" s="186"/>
      <c r="Q793" s="187"/>
      <c r="R793" s="177"/>
      <c r="S793" s="181"/>
      <c r="T793" s="181"/>
      <c r="U793" s="157"/>
      <c r="V793" s="106"/>
      <c r="X793" s="106"/>
      <c r="Y793" s="106"/>
      <c r="Z793" s="106"/>
      <c r="AA793" s="106"/>
      <c r="AB793" s="106"/>
      <c r="AC793" s="106"/>
      <c r="AD793" s="106"/>
      <c r="AF793" s="106"/>
      <c r="AG793" s="106"/>
      <c r="AH793" s="106"/>
      <c r="AI793" s="106"/>
      <c r="AJ793" s="106"/>
    </row>
    <row r="1382" spans="2:36" s="141" customFormat="1" ht="20.100000000000001" hidden="1" customHeight="1">
      <c r="B1382" s="178"/>
      <c r="C1382" s="178"/>
      <c r="D1382" s="179"/>
      <c r="F1382" s="180"/>
      <c r="H1382" s="181"/>
      <c r="I1382" s="182"/>
      <c r="J1382" s="183"/>
      <c r="K1382" s="184"/>
      <c r="L1382" s="185"/>
      <c r="M1382" s="184"/>
      <c r="N1382" s="183"/>
      <c r="O1382" s="184"/>
      <c r="P1382" s="186"/>
      <c r="Q1382" s="187"/>
      <c r="R1382" s="177"/>
      <c r="S1382" s="181"/>
      <c r="T1382" s="181"/>
      <c r="U1382" s="157"/>
      <c r="V1382" s="106"/>
      <c r="X1382" s="106"/>
      <c r="Y1382" s="106"/>
      <c r="Z1382" s="106"/>
      <c r="AA1382" s="106"/>
      <c r="AB1382" s="106"/>
      <c r="AC1382" s="106"/>
      <c r="AD1382" s="106"/>
      <c r="AF1382" s="106"/>
      <c r="AG1382" s="106"/>
      <c r="AH1382" s="106"/>
      <c r="AI1382" s="106"/>
      <c r="AJ1382" s="106"/>
    </row>
    <row r="1383" spans="2:36" s="141" customFormat="1" ht="20.100000000000001" hidden="1" customHeight="1">
      <c r="B1383" s="178"/>
      <c r="C1383" s="178"/>
      <c r="D1383" s="179"/>
      <c r="F1383" s="180"/>
      <c r="H1383" s="181"/>
      <c r="I1383" s="182"/>
      <c r="J1383" s="183"/>
      <c r="K1383" s="184"/>
      <c r="L1383" s="185"/>
      <c r="M1383" s="184"/>
      <c r="N1383" s="183"/>
      <c r="O1383" s="184"/>
      <c r="P1383" s="186"/>
      <c r="Q1383" s="187"/>
      <c r="R1383" s="177"/>
      <c r="S1383" s="181"/>
      <c r="T1383" s="181"/>
      <c r="U1383" s="157"/>
      <c r="V1383" s="106"/>
      <c r="X1383" s="106"/>
      <c r="Y1383" s="106"/>
      <c r="Z1383" s="106"/>
      <c r="AA1383" s="106"/>
      <c r="AB1383" s="106"/>
      <c r="AC1383" s="106"/>
      <c r="AD1383" s="106"/>
      <c r="AF1383" s="106"/>
      <c r="AG1383" s="106"/>
      <c r="AH1383" s="106"/>
      <c r="AI1383" s="106"/>
      <c r="AJ1383" s="106"/>
    </row>
    <row r="1384" spans="2:36" s="141" customFormat="1" ht="20.100000000000001" hidden="1" customHeight="1">
      <c r="B1384" s="178"/>
      <c r="C1384" s="178"/>
      <c r="D1384" s="179"/>
      <c r="F1384" s="180"/>
      <c r="H1384" s="181"/>
      <c r="I1384" s="182"/>
      <c r="J1384" s="183"/>
      <c r="K1384" s="184"/>
      <c r="L1384" s="185"/>
      <c r="M1384" s="184"/>
      <c r="N1384" s="183"/>
      <c r="O1384" s="184"/>
      <c r="P1384" s="186"/>
      <c r="Q1384" s="187"/>
      <c r="R1384" s="177"/>
      <c r="S1384" s="181"/>
      <c r="T1384" s="181"/>
      <c r="U1384" s="157"/>
      <c r="V1384" s="106"/>
      <c r="X1384" s="106"/>
      <c r="Y1384" s="106"/>
      <c r="Z1384" s="106"/>
      <c r="AA1384" s="106"/>
      <c r="AB1384" s="106"/>
      <c r="AC1384" s="106"/>
      <c r="AD1384" s="106"/>
      <c r="AF1384" s="106"/>
      <c r="AG1384" s="106"/>
      <c r="AH1384" s="106"/>
      <c r="AI1384" s="106"/>
      <c r="AJ1384" s="106"/>
    </row>
    <row r="1385" spans="2:36" s="141" customFormat="1" ht="20.100000000000001" hidden="1" customHeight="1">
      <c r="B1385" s="178"/>
      <c r="C1385" s="178"/>
      <c r="D1385" s="179"/>
      <c r="F1385" s="180"/>
      <c r="H1385" s="181"/>
      <c r="I1385" s="182"/>
      <c r="J1385" s="183"/>
      <c r="K1385" s="184"/>
      <c r="L1385" s="185"/>
      <c r="M1385" s="184"/>
      <c r="N1385" s="183"/>
      <c r="O1385" s="184"/>
      <c r="P1385" s="186"/>
      <c r="Q1385" s="187"/>
      <c r="R1385" s="177"/>
      <c r="S1385" s="181"/>
      <c r="T1385" s="181"/>
      <c r="U1385" s="157"/>
      <c r="V1385" s="106"/>
      <c r="X1385" s="106"/>
      <c r="Y1385" s="106"/>
      <c r="Z1385" s="106"/>
      <c r="AA1385" s="106"/>
      <c r="AB1385" s="106"/>
      <c r="AC1385" s="106"/>
      <c r="AD1385" s="106"/>
      <c r="AF1385" s="106"/>
      <c r="AG1385" s="106"/>
      <c r="AH1385" s="106"/>
      <c r="AI1385" s="106"/>
      <c r="AJ1385" s="106"/>
    </row>
    <row r="1386" spans="2:36" s="141" customFormat="1" ht="20.100000000000001" hidden="1" customHeight="1">
      <c r="B1386" s="178"/>
      <c r="C1386" s="178"/>
      <c r="D1386" s="179"/>
      <c r="F1386" s="180"/>
      <c r="H1386" s="181"/>
      <c r="I1386" s="182"/>
      <c r="J1386" s="183"/>
      <c r="K1386" s="184"/>
      <c r="L1386" s="185"/>
      <c r="M1386" s="184"/>
      <c r="N1386" s="183"/>
      <c r="O1386" s="184"/>
      <c r="P1386" s="186"/>
      <c r="Q1386" s="187"/>
      <c r="R1386" s="177"/>
      <c r="S1386" s="181"/>
      <c r="T1386" s="181"/>
      <c r="U1386" s="157"/>
      <c r="V1386" s="106"/>
      <c r="X1386" s="106"/>
      <c r="Y1386" s="106"/>
      <c r="Z1386" s="106"/>
      <c r="AA1386" s="106"/>
      <c r="AB1386" s="106"/>
      <c r="AC1386" s="106"/>
      <c r="AD1386" s="106"/>
      <c r="AF1386" s="106"/>
      <c r="AG1386" s="106"/>
      <c r="AH1386" s="106"/>
      <c r="AI1386" s="106"/>
      <c r="AJ1386" s="106"/>
    </row>
    <row r="1387" spans="2:36" s="141" customFormat="1" ht="20.100000000000001" hidden="1" customHeight="1">
      <c r="B1387" s="178"/>
      <c r="C1387" s="178"/>
      <c r="D1387" s="179"/>
      <c r="F1387" s="180"/>
      <c r="H1387" s="181"/>
      <c r="I1387" s="182"/>
      <c r="J1387" s="183"/>
      <c r="K1387" s="184"/>
      <c r="L1387" s="185"/>
      <c r="M1387" s="184"/>
      <c r="N1387" s="183"/>
      <c r="O1387" s="184"/>
      <c r="P1387" s="186"/>
      <c r="Q1387" s="187"/>
      <c r="R1387" s="177"/>
      <c r="S1387" s="181"/>
      <c r="T1387" s="181"/>
      <c r="U1387" s="157"/>
      <c r="V1387" s="106"/>
      <c r="X1387" s="106"/>
      <c r="Y1387" s="106"/>
      <c r="Z1387" s="106"/>
      <c r="AA1387" s="106"/>
      <c r="AB1387" s="106"/>
      <c r="AC1387" s="106"/>
      <c r="AD1387" s="106"/>
      <c r="AF1387" s="106"/>
      <c r="AG1387" s="106"/>
      <c r="AH1387" s="106"/>
      <c r="AI1387" s="106"/>
      <c r="AJ1387" s="106"/>
    </row>
  </sheetData>
  <sheetProtection formatCells="0" formatColumns="0" formatRows="0" insertRows="0" insertHyperlinks="0" deleteRows="0"/>
  <mergeCells count="7">
    <mergeCell ref="E588:F588"/>
    <mergeCell ref="D157:F157"/>
    <mergeCell ref="D158:F158"/>
    <mergeCell ref="D172:F172"/>
    <mergeCell ref="D173:F173"/>
    <mergeCell ref="D257:F257"/>
    <mergeCell ref="D565:F565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39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Button4_Click">
                <anchor moveWithCells="1" sizeWithCells="1">
                  <from>
                    <xdr:col>26</xdr:col>
                    <xdr:colOff>365760</xdr:colOff>
                    <xdr:row>2</xdr:row>
                    <xdr:rowOff>152400</xdr:rowOff>
                  </from>
                  <to>
                    <xdr:col>27</xdr:col>
                    <xdr:colOff>670560</xdr:colOff>
                    <xdr:row>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1]!Button4_Click">
                <anchor moveWithCells="1" sizeWithCells="1">
                  <from>
                    <xdr:col>26</xdr:col>
                    <xdr:colOff>365760</xdr:colOff>
                    <xdr:row>2</xdr:row>
                    <xdr:rowOff>152400</xdr:rowOff>
                  </from>
                  <to>
                    <xdr:col>27</xdr:col>
                    <xdr:colOff>670560</xdr:colOff>
                    <xdr:row>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Button 7">
              <controlPr defaultSize="0" print="0" autoFill="0" autoPict="0">
                <anchor moveWithCells="1" sizeWithCells="1">
                  <from>
                    <xdr:col>26</xdr:col>
                    <xdr:colOff>365760</xdr:colOff>
                    <xdr:row>2</xdr:row>
                    <xdr:rowOff>152400</xdr:rowOff>
                  </from>
                  <to>
                    <xdr:col>27</xdr:col>
                    <xdr:colOff>670560</xdr:colOff>
                    <xdr:row>3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01B5-28C4-458F-B334-F123AB9A2C95}">
  <sheetPr codeName="Sheet5">
    <tabColor rgb="FFFF0000"/>
    <outlinePr summaryBelow="0" summaryRight="0"/>
    <pageSetUpPr fitToPage="1"/>
  </sheetPr>
  <dimension ref="A2:J103"/>
  <sheetViews>
    <sheetView view="pageBreakPreview" zoomScale="60" zoomScaleNormal="70" workbookViewId="0">
      <pane xSplit="5" ySplit="11" topLeftCell="F27" activePane="bottomRight" state="frozen"/>
      <selection activeCell="N640" sqref="N640"/>
      <selection pane="topRight" activeCell="N640" sqref="N640"/>
      <selection pane="bottomLeft" activeCell="N640" sqref="N640"/>
      <selection pane="bottomRight" activeCell="D28" sqref="D28"/>
    </sheetView>
  </sheetViews>
  <sheetFormatPr defaultColWidth="8.6640625" defaultRowHeight="14.4" outlineLevelRow="1" outlineLevelCol="1"/>
  <cols>
    <col min="1" max="1" width="14" style="288" customWidth="1"/>
    <col min="2" max="2" width="5.6640625" style="288" customWidth="1"/>
    <col min="3" max="3" width="9.33203125" style="288" customWidth="1"/>
    <col min="4" max="4" width="77.109375" style="288" customWidth="1"/>
    <col min="5" max="5" width="9.88671875" style="288" customWidth="1"/>
    <col min="6" max="9" width="29.88671875" style="288" customWidth="1" outlineLevel="1"/>
    <col min="10" max="10" width="13.6640625" style="288" customWidth="1" outlineLevel="1"/>
    <col min="11" max="16384" width="8.6640625" style="288"/>
  </cols>
  <sheetData>
    <row r="2" spans="1:10" s="194" customFormat="1" ht="25.35" customHeight="1">
      <c r="F2" s="195"/>
      <c r="G2" s="196"/>
      <c r="H2" s="197"/>
      <c r="I2" s="198"/>
      <c r="J2" s="195"/>
    </row>
    <row r="3" spans="1:10" s="201" customFormat="1" ht="23.4">
      <c r="A3" s="199"/>
      <c r="B3" s="200"/>
      <c r="C3" s="200"/>
      <c r="D3" s="199" t="s">
        <v>609</v>
      </c>
      <c r="E3" s="200"/>
      <c r="F3" s="403"/>
      <c r="G3" s="403"/>
      <c r="H3" s="403"/>
      <c r="I3" s="403"/>
      <c r="J3" s="403"/>
    </row>
    <row r="4" spans="1:10" s="203" customFormat="1" ht="15.6" customHeight="1">
      <c r="A4" s="202"/>
      <c r="B4" s="202"/>
      <c r="C4" s="202"/>
      <c r="D4" s="202"/>
      <c r="E4" s="202"/>
      <c r="F4" s="404"/>
      <c r="G4" s="404"/>
      <c r="H4" s="404"/>
      <c r="I4" s="404"/>
      <c r="J4" s="404"/>
    </row>
    <row r="5" spans="1:10" s="209" customFormat="1" ht="20.100000000000001" customHeight="1" outlineLevel="1">
      <c r="A5" s="204" t="s">
        <v>610</v>
      </c>
      <c r="B5" s="205" t="s">
        <v>611</v>
      </c>
      <c r="C5" s="205" t="s">
        <v>3</v>
      </c>
      <c r="D5" s="205"/>
      <c r="E5" s="205"/>
      <c r="F5" s="206"/>
      <c r="G5" s="207" t="s">
        <v>4</v>
      </c>
      <c r="H5" s="210">
        <v>12013.11</v>
      </c>
      <c r="I5" s="208"/>
      <c r="J5" s="206"/>
    </row>
    <row r="6" spans="1:10" s="209" customFormat="1" ht="20.100000000000001" customHeight="1" outlineLevel="1">
      <c r="A6" s="204" t="s">
        <v>612</v>
      </c>
      <c r="B6" s="205" t="s">
        <v>611</v>
      </c>
      <c r="C6" s="205" t="s">
        <v>8</v>
      </c>
      <c r="D6" s="211"/>
      <c r="E6" s="211"/>
      <c r="F6" s="212"/>
      <c r="G6" s="207" t="s">
        <v>613</v>
      </c>
      <c r="H6" s="210">
        <v>308</v>
      </c>
      <c r="I6" s="208"/>
      <c r="J6" s="212"/>
    </row>
    <row r="7" spans="1:10" s="209" customFormat="1" ht="20.100000000000001" customHeight="1" outlineLevel="1">
      <c r="A7" s="204" t="s">
        <v>614</v>
      </c>
      <c r="B7" s="205" t="s">
        <v>611</v>
      </c>
      <c r="C7" s="205" t="s">
        <v>13</v>
      </c>
      <c r="D7" s="205"/>
      <c r="E7" s="205"/>
      <c r="F7" s="213"/>
      <c r="G7" s="207" t="s">
        <v>615</v>
      </c>
      <c r="H7" s="210">
        <v>5</v>
      </c>
      <c r="I7" s="213"/>
      <c r="J7" s="213"/>
    </row>
    <row r="8" spans="1:10" s="209" customFormat="1" ht="20.100000000000001" customHeight="1" outlineLevel="1">
      <c r="A8" s="205"/>
      <c r="B8" s="205"/>
      <c r="C8" s="205"/>
      <c r="D8" s="205"/>
      <c r="E8" s="205"/>
      <c r="F8" s="214"/>
      <c r="G8" s="207"/>
      <c r="H8" s="214"/>
      <c r="I8" s="214"/>
      <c r="J8" s="214"/>
    </row>
    <row r="9" spans="1:10" s="209" customFormat="1" ht="20.100000000000001" customHeight="1" outlineLevel="1">
      <c r="A9" s="342"/>
      <c r="B9" s="342"/>
      <c r="C9" s="342"/>
      <c r="D9" s="342"/>
      <c r="E9" s="342"/>
      <c r="F9" s="343"/>
      <c r="G9" s="343"/>
      <c r="H9" s="343"/>
      <c r="I9" s="343"/>
      <c r="J9" s="343"/>
    </row>
    <row r="10" spans="1:10" s="222" customFormat="1" ht="43.35" customHeight="1">
      <c r="A10" s="215" t="s">
        <v>616</v>
      </c>
      <c r="B10" s="216"/>
      <c r="C10" s="217"/>
      <c r="D10" s="217" t="s">
        <v>617</v>
      </c>
      <c r="E10" s="217"/>
      <c r="F10" s="218" t="s">
        <v>618</v>
      </c>
      <c r="G10" s="219" t="s">
        <v>622</v>
      </c>
      <c r="H10" s="220" t="s">
        <v>619</v>
      </c>
      <c r="I10" s="219" t="s">
        <v>620</v>
      </c>
      <c r="J10" s="221" t="s">
        <v>621</v>
      </c>
    </row>
    <row r="11" spans="1:10" s="194" customFormat="1" ht="15.6" hidden="1">
      <c r="A11" s="223"/>
      <c r="B11" s="224" t="s">
        <v>623</v>
      </c>
      <c r="C11" s="225"/>
      <c r="D11" s="225"/>
      <c r="E11" s="226"/>
      <c r="F11" s="227"/>
      <c r="J11" s="228"/>
    </row>
    <row r="12" spans="1:10" s="194" customFormat="1" ht="30" customHeight="1">
      <c r="A12" s="229">
        <v>1</v>
      </c>
      <c r="B12" s="230" t="s">
        <v>624</v>
      </c>
      <c r="C12" s="231"/>
      <c r="D12" s="231"/>
      <c r="E12" s="232"/>
      <c r="F12" s="233">
        <f>SUBTOTAL(9,F13:F58)</f>
        <v>351522209.4061417</v>
      </c>
      <c r="G12" s="233">
        <f>SUBTOTAL(9,G13:G58)</f>
        <v>1757611047.0307083</v>
      </c>
      <c r="H12" s="233">
        <f>SUBTOTAL(9,H13:H58)</f>
        <v>29261.549208002045</v>
      </c>
      <c r="I12" s="233">
        <f>SUBTOTAL(9,I13:I58)</f>
        <v>1141305.874695265</v>
      </c>
      <c r="J12" s="234">
        <f>SUBTOTAL(9,J13:J58)</f>
        <v>0.99999999999999956</v>
      </c>
    </row>
    <row r="13" spans="1:10" s="241" customFormat="1" ht="30" customHeight="1">
      <c r="A13" s="235"/>
      <c r="B13" s="230"/>
      <c r="C13" s="236" t="s">
        <v>43</v>
      </c>
      <c r="D13" s="237"/>
      <c r="E13" s="238"/>
      <c r="F13" s="233">
        <f t="shared" ref="F13:I13" si="0">SUBTOTAL(9,F14:F30)</f>
        <v>76655632.242588729</v>
      </c>
      <c r="G13" s="242">
        <f t="shared" si="0"/>
        <v>383278161.21294379</v>
      </c>
      <c r="H13" s="233">
        <f t="shared" si="0"/>
        <v>6380.9981131104878</v>
      </c>
      <c r="I13" s="233">
        <f t="shared" si="0"/>
        <v>248881.92286554788</v>
      </c>
      <c r="J13" s="240">
        <f>SUBTOTAL(9,J14:J30)</f>
        <v>0.21806767877366853</v>
      </c>
    </row>
    <row r="14" spans="1:10" s="194" customFormat="1" ht="30" customHeight="1" outlineLevel="1">
      <c r="A14" s="243"/>
      <c r="B14" s="244"/>
      <c r="C14" s="245"/>
      <c r="D14" s="246" t="s">
        <v>45</v>
      </c>
      <c r="E14" s="232"/>
      <c r="F14" s="247">
        <v>642844.52093930996</v>
      </c>
      <c r="G14" s="248">
        <f>F14*$H$7</f>
        <v>3214222.6046965499</v>
      </c>
      <c r="H14" s="248">
        <f t="shared" ref="H14:H30" si="1">F14/$H$5</f>
        <v>53.511914977829214</v>
      </c>
      <c r="I14" s="248">
        <f t="shared" ref="I14:I30" si="2">F14/$H$6</f>
        <v>2087.1575355172399</v>
      </c>
      <c r="J14" s="249">
        <f t="shared" ref="J14:J30" si="3">F14/$F$59</f>
        <v>1.8287451083825554E-3</v>
      </c>
    </row>
    <row r="15" spans="1:10" s="194" customFormat="1" ht="30" customHeight="1" outlineLevel="1">
      <c r="A15" s="243"/>
      <c r="B15" s="244"/>
      <c r="C15" s="245"/>
      <c r="D15" s="246" t="s">
        <v>46</v>
      </c>
      <c r="E15" s="232"/>
      <c r="F15" s="247">
        <v>8055098.2291289987</v>
      </c>
      <c r="G15" s="248">
        <f t="shared" ref="G15:G30" si="4">F15*$H$7</f>
        <v>40275491.145644993</v>
      </c>
      <c r="H15" s="248">
        <f t="shared" si="1"/>
        <v>670.5256365028705</v>
      </c>
      <c r="I15" s="248">
        <f t="shared" si="2"/>
        <v>26152.916328340903</v>
      </c>
      <c r="J15" s="249">
        <f t="shared" si="3"/>
        <v>2.2914905555291104E-2</v>
      </c>
    </row>
    <row r="16" spans="1:10" s="194" customFormat="1" ht="30" customHeight="1" outlineLevel="1">
      <c r="A16" s="243"/>
      <c r="B16" s="244"/>
      <c r="C16" s="245"/>
      <c r="D16" s="246" t="s">
        <v>47</v>
      </c>
      <c r="E16" s="232"/>
      <c r="F16" s="247">
        <v>2662081.1287500001</v>
      </c>
      <c r="G16" s="248">
        <f t="shared" si="4"/>
        <v>13310405.643750001</v>
      </c>
      <c r="H16" s="248">
        <f t="shared" si="1"/>
        <v>221.59799824941251</v>
      </c>
      <c r="I16" s="248">
        <f t="shared" si="2"/>
        <v>8643.1205478896118</v>
      </c>
      <c r="J16" s="249">
        <f t="shared" si="3"/>
        <v>7.5730097772408033E-3</v>
      </c>
    </row>
    <row r="17" spans="1:10" s="194" customFormat="1" ht="30" customHeight="1" outlineLevel="1">
      <c r="A17" s="243"/>
      <c r="B17" s="244"/>
      <c r="C17" s="245"/>
      <c r="D17" s="246" t="s">
        <v>48</v>
      </c>
      <c r="E17" s="232"/>
      <c r="F17" s="247">
        <v>3078762.3029089803</v>
      </c>
      <c r="G17" s="248">
        <f t="shared" si="4"/>
        <v>15393811.514544901</v>
      </c>
      <c r="H17" s="248">
        <f t="shared" si="1"/>
        <v>256.28353547990321</v>
      </c>
      <c r="I17" s="248">
        <f t="shared" si="2"/>
        <v>9995.9815029512356</v>
      </c>
      <c r="J17" s="249">
        <f t="shared" si="3"/>
        <v>8.7583720758646014E-3</v>
      </c>
    </row>
    <row r="18" spans="1:10" s="194" customFormat="1" ht="30" customHeight="1" outlineLevel="1">
      <c r="A18" s="243"/>
      <c r="B18" s="244"/>
      <c r="C18" s="245"/>
      <c r="D18" s="246" t="s">
        <v>49</v>
      </c>
      <c r="E18" s="232"/>
      <c r="F18" s="247">
        <v>23200000</v>
      </c>
      <c r="G18" s="248">
        <f t="shared" si="4"/>
        <v>116000000</v>
      </c>
      <c r="H18" s="248">
        <f t="shared" si="1"/>
        <v>1931.2234716905114</v>
      </c>
      <c r="I18" s="248">
        <f t="shared" si="2"/>
        <v>75324.675324675321</v>
      </c>
      <c r="J18" s="249">
        <f t="shared" si="3"/>
        <v>6.5998674846729777E-2</v>
      </c>
    </row>
    <row r="19" spans="1:10" s="194" customFormat="1" ht="30" customHeight="1" outlineLevel="1">
      <c r="A19" s="243"/>
      <c r="B19" s="244"/>
      <c r="C19" s="245"/>
      <c r="D19" s="246" t="s">
        <v>50</v>
      </c>
      <c r="E19" s="232"/>
      <c r="F19" s="247">
        <v>4000000</v>
      </c>
      <c r="G19" s="248">
        <f t="shared" si="4"/>
        <v>20000000</v>
      </c>
      <c r="H19" s="248">
        <f t="shared" si="1"/>
        <v>332.96956408457095</v>
      </c>
      <c r="I19" s="248">
        <f t="shared" si="2"/>
        <v>12987.012987012988</v>
      </c>
      <c r="J19" s="249">
        <f t="shared" si="3"/>
        <v>1.1379081870125823E-2</v>
      </c>
    </row>
    <row r="20" spans="1:10" s="194" customFormat="1" ht="30" customHeight="1" outlineLevel="1">
      <c r="A20" s="243"/>
      <c r="B20" s="244"/>
      <c r="C20" s="245"/>
      <c r="D20" s="246" t="s">
        <v>51</v>
      </c>
      <c r="E20" s="232"/>
      <c r="F20" s="247">
        <v>3853488.8</v>
      </c>
      <c r="G20" s="248">
        <f t="shared" si="4"/>
        <v>19267444</v>
      </c>
      <c r="H20" s="248">
        <f t="shared" si="1"/>
        <v>320.77362148519404</v>
      </c>
      <c r="I20" s="248">
        <f t="shared" si="2"/>
        <v>12511.327272727272</v>
      </c>
      <c r="J20" s="249">
        <f t="shared" si="3"/>
        <v>1.0962291135203228E-2</v>
      </c>
    </row>
    <row r="21" spans="1:10" s="194" customFormat="1" ht="30" customHeight="1" outlineLevel="1">
      <c r="A21" s="243"/>
      <c r="B21" s="244"/>
      <c r="C21" s="245"/>
      <c r="D21" s="246" t="s">
        <v>52</v>
      </c>
      <c r="E21" s="232"/>
      <c r="F21" s="247">
        <v>2783857.7239999999</v>
      </c>
      <c r="G21" s="248">
        <f t="shared" si="4"/>
        <v>13919288.619999999</v>
      </c>
      <c r="H21" s="248">
        <f t="shared" si="1"/>
        <v>231.73497320843643</v>
      </c>
      <c r="I21" s="248">
        <f t="shared" si="2"/>
        <v>9038.4991038961034</v>
      </c>
      <c r="J21" s="249">
        <f t="shared" si="3"/>
        <v>7.9194362390445344E-3</v>
      </c>
    </row>
    <row r="22" spans="1:10" s="194" customFormat="1" ht="30" customHeight="1" outlineLevel="1">
      <c r="A22" s="243"/>
      <c r="B22" s="244"/>
      <c r="C22" s="245"/>
      <c r="D22" s="246" t="s">
        <v>53</v>
      </c>
      <c r="E22" s="232"/>
      <c r="F22" s="247">
        <v>800000</v>
      </c>
      <c r="G22" s="248">
        <f t="shared" si="4"/>
        <v>4000000</v>
      </c>
      <c r="H22" s="248">
        <f t="shared" si="1"/>
        <v>66.593912816914184</v>
      </c>
      <c r="I22" s="248">
        <f t="shared" si="2"/>
        <v>2597.4025974025976</v>
      </c>
      <c r="J22" s="249">
        <f t="shared" si="3"/>
        <v>2.2758163740251645E-3</v>
      </c>
    </row>
    <row r="23" spans="1:10" s="194" customFormat="1" ht="30" customHeight="1" outlineLevel="1">
      <c r="A23" s="243"/>
      <c r="B23" s="244"/>
      <c r="C23" s="245"/>
      <c r="D23" s="246" t="s">
        <v>54</v>
      </c>
      <c r="E23" s="232"/>
      <c r="F23" s="247">
        <v>14000000</v>
      </c>
      <c r="G23" s="248">
        <f t="shared" si="4"/>
        <v>70000000</v>
      </c>
      <c r="H23" s="248">
        <f t="shared" si="1"/>
        <v>1165.3934742959982</v>
      </c>
      <c r="I23" s="248">
        <f t="shared" si="2"/>
        <v>45454.545454545456</v>
      </c>
      <c r="J23" s="249">
        <f t="shared" si="3"/>
        <v>3.9826786545440383E-2</v>
      </c>
    </row>
    <row r="24" spans="1:10" s="194" customFormat="1" ht="30" customHeight="1" outlineLevel="1">
      <c r="A24" s="243"/>
      <c r="B24" s="244"/>
      <c r="C24" s="245"/>
      <c r="D24" s="246" t="s">
        <v>55</v>
      </c>
      <c r="E24" s="232"/>
      <c r="F24" s="247">
        <v>3247281.5542857</v>
      </c>
      <c r="G24" s="248">
        <f t="shared" si="4"/>
        <v>16236407.771428499</v>
      </c>
      <c r="H24" s="248">
        <f t="shared" si="1"/>
        <v>270.31148089759438</v>
      </c>
      <c r="I24" s="248">
        <f t="shared" si="2"/>
        <v>10543.121929499026</v>
      </c>
      <c r="J24" s="249">
        <f t="shared" si="3"/>
        <v>9.2377706653916022E-3</v>
      </c>
    </row>
    <row r="25" spans="1:10" s="194" customFormat="1" ht="30" customHeight="1" outlineLevel="1">
      <c r="A25" s="243"/>
      <c r="B25" s="244"/>
      <c r="C25" s="245"/>
      <c r="D25" s="246" t="s">
        <v>56</v>
      </c>
      <c r="E25" s="232"/>
      <c r="F25" s="247">
        <v>2800000.0000000005</v>
      </c>
      <c r="G25" s="248">
        <f t="shared" si="4"/>
        <v>14000000.000000002</v>
      </c>
      <c r="H25" s="248">
        <f t="shared" si="1"/>
        <v>233.07869485919969</v>
      </c>
      <c r="I25" s="248">
        <f t="shared" si="2"/>
        <v>9090.9090909090919</v>
      </c>
      <c r="J25" s="249">
        <f t="shared" si="3"/>
        <v>7.9653573090880773E-3</v>
      </c>
    </row>
    <row r="26" spans="1:10" s="194" customFormat="1" ht="30" customHeight="1" outlineLevel="1">
      <c r="A26" s="243"/>
      <c r="B26" s="244"/>
      <c r="C26" s="245"/>
      <c r="D26" s="246" t="s">
        <v>57</v>
      </c>
      <c r="E26" s="232"/>
      <c r="F26" s="247">
        <v>4262041.1614285801</v>
      </c>
      <c r="G26" s="248">
        <f t="shared" si="4"/>
        <v>21310205.807142898</v>
      </c>
      <c r="H26" s="248">
        <f t="shared" si="1"/>
        <v>354.78249690784315</v>
      </c>
      <c r="I26" s="248">
        <f t="shared" si="2"/>
        <v>13837.79597866422</v>
      </c>
      <c r="J26" s="249">
        <f t="shared" si="3"/>
        <v>1.2124528827435491E-2</v>
      </c>
    </row>
    <row r="27" spans="1:10" s="194" customFormat="1" ht="30" customHeight="1" outlineLevel="1">
      <c r="A27" s="243"/>
      <c r="B27" s="244"/>
      <c r="C27" s="245"/>
      <c r="D27" s="246" t="s">
        <v>58</v>
      </c>
      <c r="E27" s="232"/>
      <c r="F27" s="247">
        <v>1959999.9469178081</v>
      </c>
      <c r="G27" s="248">
        <f t="shared" si="4"/>
        <v>9799999.7345890403</v>
      </c>
      <c r="H27" s="248">
        <f t="shared" si="1"/>
        <v>163.15508198275117</v>
      </c>
      <c r="I27" s="248">
        <f t="shared" si="2"/>
        <v>6363.6361912915845</v>
      </c>
      <c r="J27" s="249">
        <f t="shared" si="3"/>
        <v>5.5757499653550013E-3</v>
      </c>
    </row>
    <row r="28" spans="1:10" s="194" customFormat="1" ht="30" customHeight="1" outlineLevel="1">
      <c r="A28" s="243"/>
      <c r="B28" s="244"/>
      <c r="C28" s="245"/>
      <c r="D28" s="246" t="s">
        <v>59</v>
      </c>
      <c r="E28" s="232"/>
      <c r="F28" s="247">
        <v>469183.54089603201</v>
      </c>
      <c r="G28" s="248">
        <f t="shared" si="4"/>
        <v>2345917.70448016</v>
      </c>
      <c r="H28" s="248">
        <f t="shared" si="1"/>
        <v>39.055959771951805</v>
      </c>
      <c r="I28" s="248">
        <f t="shared" si="2"/>
        <v>1523.3231847273767</v>
      </c>
      <c r="J28" s="249">
        <f t="shared" si="3"/>
        <v>1.3347194809928689E-3</v>
      </c>
    </row>
    <row r="29" spans="1:10" s="194" customFormat="1" ht="30" customHeight="1" outlineLevel="1">
      <c r="A29" s="243"/>
      <c r="B29" s="244"/>
      <c r="C29" s="245"/>
      <c r="D29" s="246" t="s">
        <v>60</v>
      </c>
      <c r="E29" s="232"/>
      <c r="F29" s="247">
        <v>0</v>
      </c>
      <c r="G29" s="248">
        <f t="shared" si="4"/>
        <v>0</v>
      </c>
      <c r="H29" s="248">
        <f t="shared" si="1"/>
        <v>0</v>
      </c>
      <c r="I29" s="248">
        <f t="shared" si="2"/>
        <v>0</v>
      </c>
      <c r="J29" s="249">
        <f t="shared" si="3"/>
        <v>0</v>
      </c>
    </row>
    <row r="30" spans="1:10" s="194" customFormat="1" ht="30" customHeight="1" outlineLevel="1">
      <c r="A30" s="243"/>
      <c r="B30" s="244"/>
      <c r="C30" s="245"/>
      <c r="D30" s="246" t="s">
        <v>61</v>
      </c>
      <c r="E30" s="232"/>
      <c r="F30" s="247">
        <v>840993.33333333395</v>
      </c>
      <c r="G30" s="248">
        <f t="shared" si="4"/>
        <v>4204966.6666666698</v>
      </c>
      <c r="H30" s="248">
        <f t="shared" si="1"/>
        <v>70.00629589950762</v>
      </c>
      <c r="I30" s="248">
        <f t="shared" si="2"/>
        <v>2730.4978354978375</v>
      </c>
      <c r="J30" s="249">
        <f t="shared" si="3"/>
        <v>2.3924329980575059E-3</v>
      </c>
    </row>
    <row r="31" spans="1:10" s="241" customFormat="1" ht="30" customHeight="1">
      <c r="A31" s="250"/>
      <c r="B31" s="230"/>
      <c r="C31" s="236" t="s">
        <v>625</v>
      </c>
      <c r="D31" s="237"/>
      <c r="E31" s="238"/>
      <c r="F31" s="239">
        <f>SUBTOTAL(9,F32:F36)</f>
        <v>107810566.89808419</v>
      </c>
      <c r="G31" s="239">
        <f>SUBTOTAL(9,G32:G36)</f>
        <v>539052834.49042106</v>
      </c>
      <c r="H31" s="239">
        <f>SUBTOTAL(9,H32:H36)</f>
        <v>8974.409365941392</v>
      </c>
      <c r="I31" s="239">
        <f>SUBTOTAL(9,I32:I36)</f>
        <v>350034.30811066297</v>
      </c>
      <c r="J31" s="240">
        <f>SUBTOTAL(9,J32:J36)</f>
        <v>0.30669631679949427</v>
      </c>
    </row>
    <row r="32" spans="1:10" s="194" customFormat="1" ht="30" customHeight="1" outlineLevel="1">
      <c r="A32" s="251"/>
      <c r="B32" s="244"/>
      <c r="C32" s="245"/>
      <c r="D32" s="246" t="s">
        <v>64</v>
      </c>
      <c r="E32" s="232"/>
      <c r="F32" s="247">
        <v>6166102.2874338664</v>
      </c>
      <c r="G32" s="248">
        <f>F32*$H$7</f>
        <v>30830511.437169332</v>
      </c>
      <c r="H32" s="248">
        <f>F32/$H$5</f>
        <v>513.28109768693253</v>
      </c>
      <c r="I32" s="248">
        <f>F32/$H$6</f>
        <v>20019.812621538527</v>
      </c>
      <c r="J32" s="249">
        <f>F32/$F$59</f>
        <v>1.754114568707002E-2</v>
      </c>
    </row>
    <row r="33" spans="1:10" s="194" customFormat="1" ht="30" customHeight="1" outlineLevel="1">
      <c r="A33" s="251"/>
      <c r="B33" s="244"/>
      <c r="C33" s="245"/>
      <c r="D33" s="246" t="s">
        <v>73</v>
      </c>
      <c r="E33" s="232"/>
      <c r="F33" s="247">
        <v>40850777.631370112</v>
      </c>
      <c r="G33" s="248">
        <f>F33*$H$7</f>
        <v>204253888.15685058</v>
      </c>
      <c r="H33" s="248">
        <f>F33/$H$5</f>
        <v>3400.5164051082616</v>
      </c>
      <c r="I33" s="248">
        <f>F33/$H$6</f>
        <v>132632.39490704582</v>
      </c>
      <c r="J33" s="249">
        <f>F33/$F$59</f>
        <v>0.11621108578141628</v>
      </c>
    </row>
    <row r="34" spans="1:10" s="194" customFormat="1" ht="30" customHeight="1" outlineLevel="1">
      <c r="A34" s="251"/>
      <c r="B34" s="244"/>
      <c r="C34" s="245"/>
      <c r="D34" s="246" t="s">
        <v>93</v>
      </c>
      <c r="E34" s="232"/>
      <c r="F34" s="247">
        <v>25948723.421464287</v>
      </c>
      <c r="G34" s="248">
        <f>F34*$H$7</f>
        <v>129743617.10732144</v>
      </c>
      <c r="H34" s="248">
        <f>F34/$H$5</f>
        <v>2160.0337815490147</v>
      </c>
      <c r="I34" s="248">
        <f>F34/$H$6</f>
        <v>84249.102017741185</v>
      </c>
      <c r="J34" s="249">
        <f>F34/$F$59</f>
        <v>7.3818162059523393E-2</v>
      </c>
    </row>
    <row r="35" spans="1:10" s="194" customFormat="1" ht="30" customHeight="1" outlineLevel="1">
      <c r="A35" s="251"/>
      <c r="B35" s="244"/>
      <c r="C35" s="245"/>
      <c r="D35" s="246" t="s">
        <v>95</v>
      </c>
      <c r="E35" s="232"/>
      <c r="F35" s="247">
        <v>34844963.557815939</v>
      </c>
      <c r="G35" s="248">
        <f>F35*$H$7</f>
        <v>174224817.7890797</v>
      </c>
      <c r="H35" s="248">
        <f>F35/$H$5</f>
        <v>2900.5780815971834</v>
      </c>
      <c r="I35" s="248">
        <f>F35/$H$6</f>
        <v>113132.99856433747</v>
      </c>
      <c r="J35" s="249">
        <f>F35/$F$59</f>
        <v>9.9125923271484589E-2</v>
      </c>
    </row>
    <row r="36" spans="1:10" s="194" customFormat="1" ht="30" customHeight="1" outlineLevel="1">
      <c r="A36" s="251"/>
      <c r="B36" s="244"/>
      <c r="C36" s="245"/>
      <c r="D36" s="246" t="s">
        <v>626</v>
      </c>
      <c r="E36" s="232"/>
      <c r="F36" s="247">
        <v>0</v>
      </c>
      <c r="G36" s="248">
        <f>F36*$H$7</f>
        <v>0</v>
      </c>
      <c r="H36" s="248">
        <f>F36/$H$5</f>
        <v>0</v>
      </c>
      <c r="I36" s="248">
        <f>F36/$H$6</f>
        <v>0</v>
      </c>
      <c r="J36" s="249">
        <f>F36/$F$59</f>
        <v>0</v>
      </c>
    </row>
    <row r="37" spans="1:10" s="241" customFormat="1" ht="30" customHeight="1">
      <c r="A37" s="250"/>
      <c r="B37" s="230"/>
      <c r="C37" s="236" t="s">
        <v>627</v>
      </c>
      <c r="D37" s="237"/>
      <c r="E37" s="238"/>
      <c r="F37" s="233">
        <f>SUBTOTAL(9,F38:F50)</f>
        <v>92864105.018494725</v>
      </c>
      <c r="G37" s="239">
        <f>SUBTOTAL(9,G38:G50)</f>
        <v>464320525.09247369</v>
      </c>
      <c r="H37" s="239">
        <f>SUBTOTAL(9,H38:H50)</f>
        <v>7730.2301417780018</v>
      </c>
      <c r="I37" s="239">
        <f>SUBTOTAL(9,I38:I50)</f>
        <v>301506.83447563229</v>
      </c>
      <c r="J37" s="240">
        <f>SUBTOTAL(9,J38:J50)</f>
        <v>0.26417706345035352</v>
      </c>
    </row>
    <row r="38" spans="1:10" s="194" customFormat="1" ht="30" customHeight="1" outlineLevel="1">
      <c r="A38" s="251"/>
      <c r="B38" s="244"/>
      <c r="C38" s="245"/>
      <c r="D38" s="246" t="s">
        <v>115</v>
      </c>
      <c r="E38" s="232"/>
      <c r="F38" s="252">
        <v>39844829.267907612</v>
      </c>
      <c r="G38" s="253">
        <f t="shared" ref="G38:G50" si="5">F38*$H$7</f>
        <v>199224146.33953807</v>
      </c>
      <c r="H38" s="253">
        <f t="shared" ref="H38:H50" si="6">F38/$H$5</f>
        <v>3316.7788580898377</v>
      </c>
      <c r="I38" s="253">
        <f t="shared" ref="I38:I50" si="7">F38/$H$6</f>
        <v>129366.32879190783</v>
      </c>
      <c r="J38" s="254">
        <f t="shared" ref="J38:J50" si="8">F38/$F$59</f>
        <v>0.11334939358517657</v>
      </c>
    </row>
    <row r="39" spans="1:10" s="194" customFormat="1" ht="30" customHeight="1" outlineLevel="1">
      <c r="A39" s="251"/>
      <c r="B39" s="244"/>
      <c r="C39" s="245"/>
      <c r="D39" s="246" t="s">
        <v>628</v>
      </c>
      <c r="E39" s="232"/>
      <c r="F39" s="247">
        <v>0</v>
      </c>
      <c r="G39" s="248">
        <f t="shared" si="5"/>
        <v>0</v>
      </c>
      <c r="H39" s="248">
        <f t="shared" si="6"/>
        <v>0</v>
      </c>
      <c r="I39" s="248">
        <f t="shared" si="7"/>
        <v>0</v>
      </c>
      <c r="J39" s="249">
        <f t="shared" si="8"/>
        <v>0</v>
      </c>
    </row>
    <row r="40" spans="1:10" s="194" customFormat="1" ht="30" customHeight="1" outlineLevel="1">
      <c r="A40" s="251"/>
      <c r="B40" s="244"/>
      <c r="C40" s="245"/>
      <c r="D40" s="246" t="s">
        <v>141</v>
      </c>
      <c r="E40" s="232"/>
      <c r="F40" s="252">
        <v>3502550.0164285712</v>
      </c>
      <c r="G40" s="253">
        <f t="shared" si="5"/>
        <v>17512750.082142856</v>
      </c>
      <c r="H40" s="253">
        <f t="shared" si="6"/>
        <v>291.56063803865703</v>
      </c>
      <c r="I40" s="253">
        <f t="shared" si="7"/>
        <v>11371.915637755101</v>
      </c>
      <c r="J40" s="254">
        <f t="shared" si="8"/>
        <v>9.9639508477878148E-3</v>
      </c>
    </row>
    <row r="41" spans="1:10" s="194" customFormat="1" ht="30" customHeight="1" outlineLevel="1">
      <c r="A41" s="251"/>
      <c r="B41" s="244"/>
      <c r="C41" s="245"/>
      <c r="D41" s="246" t="s">
        <v>146</v>
      </c>
      <c r="E41" s="232"/>
      <c r="F41" s="247">
        <v>0</v>
      </c>
      <c r="G41" s="248">
        <f t="shared" si="5"/>
        <v>0</v>
      </c>
      <c r="H41" s="248">
        <f t="shared" si="6"/>
        <v>0</v>
      </c>
      <c r="I41" s="248">
        <f t="shared" si="7"/>
        <v>0</v>
      </c>
      <c r="J41" s="249">
        <f t="shared" si="8"/>
        <v>0</v>
      </c>
    </row>
    <row r="42" spans="1:10" s="194" customFormat="1" ht="30" customHeight="1" outlineLevel="1">
      <c r="A42" s="251"/>
      <c r="B42" s="244"/>
      <c r="C42" s="245"/>
      <c r="D42" s="246" t="s">
        <v>148</v>
      </c>
      <c r="E42" s="232"/>
      <c r="F42" s="247">
        <v>2380816.8143749996</v>
      </c>
      <c r="G42" s="248">
        <f t="shared" si="5"/>
        <v>11904084.071874999</v>
      </c>
      <c r="H42" s="248">
        <f t="shared" si="6"/>
        <v>198.18488421191512</v>
      </c>
      <c r="I42" s="248">
        <f t="shared" si="7"/>
        <v>7729.9247219967519</v>
      </c>
      <c r="J42" s="249">
        <f t="shared" si="8"/>
        <v>6.7728773621363184E-3</v>
      </c>
    </row>
    <row r="43" spans="1:10" s="194" customFormat="1" ht="30" customHeight="1" outlineLevel="1">
      <c r="A43" s="251"/>
      <c r="B43" s="244"/>
      <c r="C43" s="245"/>
      <c r="D43" s="246" t="s">
        <v>157</v>
      </c>
      <c r="E43" s="232"/>
      <c r="F43" s="247">
        <v>9829856.2499999981</v>
      </c>
      <c r="G43" s="248">
        <f t="shared" si="5"/>
        <v>49149281.249999993</v>
      </c>
      <c r="H43" s="248">
        <f t="shared" si="6"/>
        <v>818.26073764412365</v>
      </c>
      <c r="I43" s="248">
        <f t="shared" si="7"/>
        <v>31915.117694805187</v>
      </c>
      <c r="J43" s="249">
        <f t="shared" si="8"/>
        <v>2.7963684760079498E-2</v>
      </c>
    </row>
    <row r="44" spans="1:10" s="194" customFormat="1" ht="30" customHeight="1" outlineLevel="1">
      <c r="A44" s="251"/>
      <c r="B44" s="244"/>
      <c r="C44" s="245"/>
      <c r="D44" s="246" t="s">
        <v>168</v>
      </c>
      <c r="E44" s="232"/>
      <c r="F44" s="247">
        <v>3845068.0357142859</v>
      </c>
      <c r="G44" s="248">
        <f t="shared" si="5"/>
        <v>19225340.178571429</v>
      </c>
      <c r="H44" s="248">
        <f t="shared" si="6"/>
        <v>320.0726569318258</v>
      </c>
      <c r="I44" s="248">
        <f t="shared" si="7"/>
        <v>12483.987128942486</v>
      </c>
      <c r="J44" s="249">
        <f t="shared" si="8"/>
        <v>1.0938335993649186E-2</v>
      </c>
    </row>
    <row r="45" spans="1:10" s="194" customFormat="1" ht="30" customHeight="1" outlineLevel="1">
      <c r="A45" s="251"/>
      <c r="B45" s="244"/>
      <c r="C45" s="245"/>
      <c r="D45" s="246" t="s">
        <v>182</v>
      </c>
      <c r="E45" s="232"/>
      <c r="F45" s="247">
        <v>6047449.7928571431</v>
      </c>
      <c r="G45" s="248">
        <f t="shared" si="5"/>
        <v>30237248.964285716</v>
      </c>
      <c r="H45" s="248">
        <f t="shared" si="6"/>
        <v>503.4041803377429</v>
      </c>
      <c r="I45" s="248">
        <f t="shared" si="7"/>
        <v>19634.577249536178</v>
      </c>
      <c r="J45" s="249">
        <f t="shared" si="8"/>
        <v>1.7203606574599219E-2</v>
      </c>
    </row>
    <row r="46" spans="1:10" s="194" customFormat="1" ht="30" customHeight="1" outlineLevel="1">
      <c r="A46" s="251"/>
      <c r="B46" s="244"/>
      <c r="C46" s="245"/>
      <c r="D46" s="246" t="s">
        <v>192</v>
      </c>
      <c r="E46" s="232"/>
      <c r="F46" s="252">
        <v>11887263.702678571</v>
      </c>
      <c r="G46" s="253">
        <f t="shared" si="5"/>
        <v>59436318.513392851</v>
      </c>
      <c r="H46" s="253">
        <f t="shared" si="6"/>
        <v>989.52425330980657</v>
      </c>
      <c r="I46" s="253">
        <f t="shared" si="7"/>
        <v>38595.012021683673</v>
      </c>
      <c r="J46" s="254">
        <f t="shared" si="8"/>
        <v>3.3816536721138622E-2</v>
      </c>
    </row>
    <row r="47" spans="1:10" s="194" customFormat="1" ht="30" customHeight="1" outlineLevel="1">
      <c r="A47" s="251"/>
      <c r="B47" s="244"/>
      <c r="C47" s="245"/>
      <c r="D47" s="246" t="s">
        <v>197</v>
      </c>
      <c r="E47" s="232"/>
      <c r="F47" s="247">
        <v>10242215.521484379</v>
      </c>
      <c r="G47" s="248">
        <f t="shared" si="5"/>
        <v>51211077.60742189</v>
      </c>
      <c r="H47" s="248">
        <f t="shared" si="6"/>
        <v>852.58650936222</v>
      </c>
      <c r="I47" s="248">
        <f t="shared" si="7"/>
        <v>33253.946498325902</v>
      </c>
      <c r="J47" s="249">
        <f t="shared" si="8"/>
        <v>2.9136752237611047E-2</v>
      </c>
    </row>
    <row r="48" spans="1:10" s="194" customFormat="1" ht="30" customHeight="1" outlineLevel="1">
      <c r="A48" s="251"/>
      <c r="B48" s="244"/>
      <c r="C48" s="245"/>
      <c r="D48" s="246" t="s">
        <v>201</v>
      </c>
      <c r="E48" s="232"/>
      <c r="F48" s="247">
        <v>1374999.9999999986</v>
      </c>
      <c r="G48" s="248">
        <f t="shared" si="5"/>
        <v>6874999.9999999925</v>
      </c>
      <c r="H48" s="248">
        <f t="shared" si="6"/>
        <v>114.45828765407114</v>
      </c>
      <c r="I48" s="248">
        <f t="shared" si="7"/>
        <v>4464.2857142857101</v>
      </c>
      <c r="J48" s="249">
        <f t="shared" si="8"/>
        <v>3.9115593928557473E-3</v>
      </c>
    </row>
    <row r="49" spans="1:10" s="194" customFormat="1" ht="30" customHeight="1" outlineLevel="1">
      <c r="A49" s="251"/>
      <c r="B49" s="244"/>
      <c r="C49" s="245"/>
      <c r="D49" s="246" t="s">
        <v>203</v>
      </c>
      <c r="E49" s="232"/>
      <c r="F49" s="247">
        <v>231757.37704918045</v>
      </c>
      <c r="G49" s="248">
        <f t="shared" si="5"/>
        <v>1158786.8852459022</v>
      </c>
      <c r="H49" s="248">
        <f t="shared" si="6"/>
        <v>19.292038202362289</v>
      </c>
      <c r="I49" s="248">
        <f t="shared" si="7"/>
        <v>752.45901639344299</v>
      </c>
      <c r="J49" s="249">
        <f t="shared" si="8"/>
        <v>6.5929654186206094E-4</v>
      </c>
    </row>
    <row r="50" spans="1:10" s="194" customFormat="1" ht="30" customHeight="1" outlineLevel="1">
      <c r="A50" s="251"/>
      <c r="B50" s="244"/>
      <c r="C50" s="245"/>
      <c r="D50" s="246" t="s">
        <v>205</v>
      </c>
      <c r="E50" s="232"/>
      <c r="F50" s="247">
        <v>3677298.2399999998</v>
      </c>
      <c r="G50" s="248">
        <f t="shared" si="5"/>
        <v>18386491.199999999</v>
      </c>
      <c r="H50" s="248">
        <f t="shared" si="6"/>
        <v>306.10709799543997</v>
      </c>
      <c r="I50" s="248">
        <f t="shared" si="7"/>
        <v>11939.279999999999</v>
      </c>
      <c r="J50" s="249">
        <f t="shared" si="8"/>
        <v>1.0461069433457398E-2</v>
      </c>
    </row>
    <row r="51" spans="1:10" s="241" customFormat="1" ht="30" customHeight="1">
      <c r="A51" s="250"/>
      <c r="B51" s="230"/>
      <c r="C51" s="236" t="s">
        <v>629</v>
      </c>
      <c r="D51" s="237"/>
      <c r="E51" s="238"/>
      <c r="F51" s="233">
        <f>SUBTOTAL(9,F52:F57)</f>
        <v>74191905.246973932</v>
      </c>
      <c r="G51" s="239">
        <f>SUBTOTAL(9,G52:G57)</f>
        <v>370959526.23486972</v>
      </c>
      <c r="H51" s="239">
        <f>SUBTOTAL(9,H52:H57)</f>
        <v>6175.911587172176</v>
      </c>
      <c r="I51" s="239">
        <f>SUBTOTAL(9,I52:I57)</f>
        <v>240882.80924342186</v>
      </c>
      <c r="J51" s="240">
        <f>SUBTOTAL(9,J52:J57)</f>
        <v>0.21105894097648351</v>
      </c>
    </row>
    <row r="52" spans="1:10" s="194" customFormat="1" ht="30" customHeight="1" outlineLevel="1">
      <c r="A52" s="251"/>
      <c r="B52" s="244"/>
      <c r="C52" s="245"/>
      <c r="D52" s="246" t="s">
        <v>630</v>
      </c>
      <c r="E52" s="232"/>
      <c r="F52" s="247">
        <v>5659009.403457351</v>
      </c>
      <c r="G52" s="248">
        <f t="shared" ref="G52:G57" si="9">F52*$H$7</f>
        <v>28295047.017286755</v>
      </c>
      <c r="H52" s="248">
        <f t="shared" ref="H52:H57" si="10">F52/$H$5</f>
        <v>471.06947355492048</v>
      </c>
      <c r="I52" s="248">
        <f t="shared" ref="I52:I57" si="11">F52/$H$6</f>
        <v>18373.40715408231</v>
      </c>
      <c r="J52" s="249">
        <f t="shared" ref="J52:J57" si="12">F52/$F$59</f>
        <v>1.6098582826438272E-2</v>
      </c>
    </row>
    <row r="53" spans="1:10" s="194" customFormat="1" ht="30" customHeight="1" outlineLevel="1">
      <c r="A53" s="251"/>
      <c r="B53" s="244"/>
      <c r="C53" s="245"/>
      <c r="D53" s="246" t="s">
        <v>631</v>
      </c>
      <c r="E53" s="232"/>
      <c r="F53" s="247">
        <v>23582675.310098484</v>
      </c>
      <c r="G53" s="248">
        <f t="shared" si="9"/>
        <v>117913376.55049242</v>
      </c>
      <c r="H53" s="248">
        <f t="shared" si="10"/>
        <v>1963.0782794878664</v>
      </c>
      <c r="I53" s="248">
        <f t="shared" si="11"/>
        <v>76567.127630189891</v>
      </c>
      <c r="J53" s="249">
        <f t="shared" si="12"/>
        <v>6.7087298267551387E-2</v>
      </c>
    </row>
    <row r="54" spans="1:10" s="194" customFormat="1" ht="30" customHeight="1" outlineLevel="1">
      <c r="A54" s="251"/>
      <c r="B54" s="244"/>
      <c r="C54" s="245"/>
      <c r="D54" s="246" t="s">
        <v>632</v>
      </c>
      <c r="E54" s="232"/>
      <c r="F54" s="247">
        <v>6417759.568719794</v>
      </c>
      <c r="G54" s="248">
        <f t="shared" si="9"/>
        <v>32088797.843598969</v>
      </c>
      <c r="H54" s="248">
        <f t="shared" si="10"/>
        <v>534.22965149905338</v>
      </c>
      <c r="I54" s="248">
        <f t="shared" si="11"/>
        <v>20836.881716622709</v>
      </c>
      <c r="J54" s="249">
        <f t="shared" si="12"/>
        <v>1.8257052888811482E-2</v>
      </c>
    </row>
    <row r="55" spans="1:10" s="194" customFormat="1" ht="30" customHeight="1" outlineLevel="1">
      <c r="A55" s="251"/>
      <c r="B55" s="244"/>
      <c r="C55" s="245"/>
      <c r="D55" s="246" t="s">
        <v>633</v>
      </c>
      <c r="E55" s="232"/>
      <c r="F55" s="247">
        <v>22786293.733333796</v>
      </c>
      <c r="G55" s="248">
        <f t="shared" si="9"/>
        <v>113931468.66666898</v>
      </c>
      <c r="H55" s="248">
        <f t="shared" si="10"/>
        <v>1896.7855728727861</v>
      </c>
      <c r="I55" s="248">
        <f t="shared" si="11"/>
        <v>73981.473160174661</v>
      </c>
      <c r="J55" s="249">
        <f t="shared" si="12"/>
        <v>6.4821775477085064E-2</v>
      </c>
    </row>
    <row r="56" spans="1:10" s="194" customFormat="1" ht="30" customHeight="1" outlineLevel="1">
      <c r="A56" s="251"/>
      <c r="B56" s="244"/>
      <c r="C56" s="245"/>
      <c r="D56" s="246" t="s">
        <v>634</v>
      </c>
      <c r="E56" s="232"/>
      <c r="F56" s="247">
        <v>9314381.5113645084</v>
      </c>
      <c r="G56" s="248">
        <f t="shared" si="9"/>
        <v>46571907.556822538</v>
      </c>
      <c r="H56" s="248">
        <f t="shared" si="10"/>
        <v>775.35138788910683</v>
      </c>
      <c r="I56" s="248">
        <f t="shared" si="11"/>
        <v>30241.498413521131</v>
      </c>
      <c r="J56" s="249">
        <f t="shared" si="12"/>
        <v>2.6497277446850761E-2</v>
      </c>
    </row>
    <row r="57" spans="1:10" s="194" customFormat="1" ht="30" customHeight="1" outlineLevel="1">
      <c r="A57" s="251"/>
      <c r="B57" s="244"/>
      <c r="C57" s="245"/>
      <c r="D57" s="246" t="s">
        <v>635</v>
      </c>
      <c r="E57" s="232"/>
      <c r="F57" s="247">
        <v>6431785.7199999997</v>
      </c>
      <c r="G57" s="248">
        <f t="shared" si="9"/>
        <v>32158928.599999998</v>
      </c>
      <c r="H57" s="248">
        <f t="shared" si="10"/>
        <v>535.39722186844199</v>
      </c>
      <c r="I57" s="248">
        <f t="shared" si="11"/>
        <v>20882.42116883117</v>
      </c>
      <c r="J57" s="249">
        <f t="shared" si="12"/>
        <v>1.8296954069746539E-2</v>
      </c>
    </row>
    <row r="58" spans="1:10" s="241" customFormat="1" ht="30" customHeight="1">
      <c r="A58" s="250"/>
      <c r="B58" s="255"/>
      <c r="C58" s="256" t="s">
        <v>636</v>
      </c>
      <c r="D58" s="257"/>
      <c r="E58" s="238"/>
      <c r="F58" s="258" t="s">
        <v>637</v>
      </c>
      <c r="G58" s="258" t="s">
        <v>637</v>
      </c>
      <c r="H58" s="258" t="s">
        <v>637</v>
      </c>
      <c r="I58" s="258" t="s">
        <v>637</v>
      </c>
      <c r="J58" s="240">
        <v>0</v>
      </c>
    </row>
    <row r="59" spans="1:10" s="194" customFormat="1" ht="30" customHeight="1">
      <c r="A59" s="259"/>
      <c r="B59" s="406" t="s">
        <v>600</v>
      </c>
      <c r="C59" s="406"/>
      <c r="D59" s="406"/>
      <c r="E59" s="406"/>
      <c r="F59" s="260">
        <f>SUBTOTAL(9,F13:F58)</f>
        <v>351522209.4061417</v>
      </c>
      <c r="G59" s="260">
        <f>SUBTOTAL(9,G13:G58)</f>
        <v>1757611047.0307083</v>
      </c>
      <c r="H59" s="261">
        <f>SUBTOTAL(9,H13:H58)</f>
        <v>29261.549208002045</v>
      </c>
      <c r="I59" s="261">
        <f>SUBTOTAL(9,I13:I58)</f>
        <v>1141305.874695265</v>
      </c>
      <c r="J59" s="262">
        <f>SUBTOTAL(9,J13:J58)</f>
        <v>0.99999999999999956</v>
      </c>
    </row>
    <row r="60" spans="1:10" s="194" customFormat="1" ht="30" customHeight="1">
      <c r="A60" s="263"/>
      <c r="B60" s="264"/>
      <c r="C60" s="265" t="s">
        <v>602</v>
      </c>
      <c r="D60" s="266"/>
      <c r="E60" s="344">
        <v>0.02</v>
      </c>
      <c r="F60" s="268">
        <f>$E$60*(F59-F13)</f>
        <v>5497331.5432710601</v>
      </c>
      <c r="G60" s="268">
        <f>$E$60*(G59-G13)</f>
        <v>27486657.71635529</v>
      </c>
      <c r="H60" s="268">
        <f>$E$60*(H59-H13)</f>
        <v>457.61102189783117</v>
      </c>
      <c r="I60" s="268">
        <f>$E$60*(I59-I13)</f>
        <v>17848.479036594341</v>
      </c>
      <c r="J60" s="269"/>
    </row>
    <row r="61" spans="1:10" s="194" customFormat="1" ht="30" customHeight="1">
      <c r="A61" s="263"/>
      <c r="B61" s="264"/>
      <c r="C61" s="265" t="s">
        <v>603</v>
      </c>
      <c r="D61" s="266"/>
      <c r="E61" s="344"/>
      <c r="F61" s="268"/>
      <c r="G61" s="268"/>
      <c r="H61" s="268"/>
      <c r="I61" s="268"/>
      <c r="J61" s="269"/>
    </row>
    <row r="62" spans="1:10" s="194" customFormat="1" ht="30" customHeight="1">
      <c r="A62" s="263"/>
      <c r="B62" s="264"/>
      <c r="C62" s="265" t="s">
        <v>604</v>
      </c>
      <c r="D62" s="266"/>
      <c r="E62" s="344">
        <v>0.05</v>
      </c>
      <c r="F62" s="268">
        <f>F59*$E$62</f>
        <v>17576110.470307086</v>
      </c>
      <c r="G62" s="268">
        <f>G59*$E$62</f>
        <v>87880552.351535425</v>
      </c>
      <c r="H62" s="268">
        <f>H59*$E$62</f>
        <v>1463.0774604001024</v>
      </c>
      <c r="I62" s="268">
        <f>I59*$E$62</f>
        <v>57065.293734763254</v>
      </c>
      <c r="J62" s="269"/>
    </row>
    <row r="63" spans="1:10" s="194" customFormat="1" ht="30" customHeight="1">
      <c r="A63" s="263"/>
      <c r="B63" s="264"/>
      <c r="C63" s="265" t="s">
        <v>605</v>
      </c>
      <c r="D63" s="266"/>
      <c r="E63" s="344">
        <v>0.42388317037494383</v>
      </c>
      <c r="F63" s="268">
        <f>F59*$E$63</f>
        <v>149004348.58028024</v>
      </c>
      <c r="G63" s="268">
        <f>G59*$E$63</f>
        <v>745021742.90140116</v>
      </c>
      <c r="H63" s="268">
        <f>H59*$E$63</f>
        <v>12403.478248370333</v>
      </c>
      <c r="I63" s="268">
        <f>I59*$E$63</f>
        <v>483780.3525333773</v>
      </c>
      <c r="J63" s="269"/>
    </row>
    <row r="64" spans="1:10" s="194" customFormat="1" ht="30" customHeight="1">
      <c r="A64" s="259"/>
      <c r="B64" s="406" t="s">
        <v>606</v>
      </c>
      <c r="C64" s="406"/>
      <c r="D64" s="406"/>
      <c r="E64" s="406"/>
      <c r="F64" s="270">
        <f>F59+F60+F61+F62+F63</f>
        <v>523600000.00000012</v>
      </c>
      <c r="G64" s="271">
        <f>G59+G60+G61+G62+G63</f>
        <v>2618000000</v>
      </c>
      <c r="H64" s="271">
        <f>H59+H60+H61+H62+H63</f>
        <v>43585.715938670313</v>
      </c>
      <c r="I64" s="271">
        <f>I59+I60+I61+I62+I63</f>
        <v>1699999.9999999998</v>
      </c>
      <c r="J64" s="272"/>
    </row>
    <row r="65" spans="1:10" s="194" customFormat="1" ht="30" customHeight="1">
      <c r="A65" s="263"/>
      <c r="B65" s="264"/>
      <c r="C65" s="265" t="s">
        <v>607</v>
      </c>
      <c r="D65" s="266"/>
      <c r="E65" s="267"/>
      <c r="F65" s="268"/>
      <c r="G65" s="268"/>
      <c r="H65" s="268"/>
      <c r="I65" s="268"/>
      <c r="J65" s="269"/>
    </row>
    <row r="66" spans="1:10" s="194" customFormat="1" ht="35.25" customHeight="1">
      <c r="A66" s="273"/>
      <c r="B66" s="405" t="s">
        <v>608</v>
      </c>
      <c r="C66" s="405"/>
      <c r="D66" s="405"/>
      <c r="E66" s="405"/>
      <c r="F66" s="274">
        <f>F64+F65</f>
        <v>523600000.00000012</v>
      </c>
      <c r="G66" s="275">
        <f>G64+G65</f>
        <v>2618000000</v>
      </c>
      <c r="H66" s="275">
        <f>H64+H65</f>
        <v>43585.715938670313</v>
      </c>
      <c r="I66" s="275">
        <f>I64+I65</f>
        <v>1699999.9999999998</v>
      </c>
      <c r="J66" s="276"/>
    </row>
    <row r="67" spans="1:10" s="194" customFormat="1" ht="25.35" customHeight="1">
      <c r="A67" s="277"/>
      <c r="B67" s="278"/>
      <c r="C67" s="278"/>
      <c r="D67" s="278"/>
      <c r="E67" s="278"/>
      <c r="F67" s="279"/>
      <c r="G67" s="280"/>
      <c r="H67" s="281"/>
      <c r="I67" s="282"/>
      <c r="J67" s="281"/>
    </row>
    <row r="68" spans="1:10" s="194" customFormat="1" ht="30" customHeight="1">
      <c r="E68" s="198"/>
      <c r="F68" s="283"/>
      <c r="G68" s="279"/>
      <c r="H68" s="279"/>
    </row>
    <row r="69" spans="1:10" s="286" customFormat="1" ht="30" customHeight="1">
      <c r="A69" s="284"/>
      <c r="B69" s="285"/>
      <c r="D69" s="284"/>
      <c r="G69" s="287"/>
    </row>
    <row r="70" spans="1:10" ht="30" customHeight="1">
      <c r="B70" s="318" t="s">
        <v>640</v>
      </c>
      <c r="C70" s="346"/>
      <c r="D70" s="347"/>
      <c r="F70" s="318" t="s">
        <v>641</v>
      </c>
      <c r="G70" s="347"/>
    </row>
    <row r="71" spans="1:10" ht="30" customHeight="1">
      <c r="B71" s="345"/>
      <c r="D71" s="348"/>
      <c r="F71" s="345"/>
      <c r="G71" s="349"/>
    </row>
    <row r="72" spans="1:10" ht="30" customHeight="1">
      <c r="B72" s="350"/>
      <c r="E72" s="350"/>
      <c r="F72" s="350"/>
    </row>
    <row r="73" spans="1:10" ht="30" customHeight="1">
      <c r="B73" s="351"/>
      <c r="E73" s="351"/>
      <c r="F73" s="351"/>
      <c r="G73" s="349"/>
    </row>
    <row r="74" spans="1:10" s="353" customFormat="1" ht="30" customHeight="1">
      <c r="B74" s="319" t="s">
        <v>638</v>
      </c>
      <c r="F74" s="319" t="s">
        <v>642</v>
      </c>
    </row>
    <row r="75" spans="1:10" ht="30" customHeight="1">
      <c r="B75" s="318" t="s">
        <v>639</v>
      </c>
      <c r="E75" s="352"/>
      <c r="F75" s="318" t="s">
        <v>643</v>
      </c>
    </row>
    <row r="76" spans="1:10" ht="30" customHeight="1"/>
    <row r="77" spans="1:10" ht="30" customHeight="1"/>
    <row r="78" spans="1:10" ht="30" customHeight="1"/>
    <row r="79" spans="1:10" ht="30" customHeight="1"/>
    <row r="80" spans="1:1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</sheetData>
  <mergeCells count="5">
    <mergeCell ref="F3:J3"/>
    <mergeCell ref="F4:J4"/>
    <mergeCell ref="B66:E66"/>
    <mergeCell ref="B59:E59"/>
    <mergeCell ref="B64:E64"/>
  </mergeCells>
  <printOptions horizontalCentered="1"/>
  <pageMargins left="0.70866141732283472" right="0.70866141732283472" top="0.55118110236220474" bottom="0.31496062992125984" header="0.31496062992125984" footer="0.31496062992125984"/>
  <pageSetup paperSize="9" scale="35" orientation="portrait" r:id="rId1"/>
  <ignoredErrors>
    <ignoredError sqref="F5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BCB Breakdown</vt:lpstr>
      <vt:lpstr>Bid Summary</vt:lpstr>
      <vt:lpstr>'Bid Summary'!Print_Area</vt:lpstr>
      <vt:lpstr>'BCB Breakdown'!Print_Titles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Rotoni, Janesa Ann</dc:creator>
  <cp:lastModifiedBy>Goles, Mark Anthony</cp:lastModifiedBy>
  <cp:lastPrinted>2026-09-22T06:46:10Z</cp:lastPrinted>
  <dcterms:created xsi:type="dcterms:W3CDTF">2026-09-22T06:07:03Z</dcterms:created>
  <dcterms:modified xsi:type="dcterms:W3CDTF">2026-10-05T05:25:07Z</dcterms:modified>
</cp:coreProperties>
</file>