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mgoles\Downloads\"/>
    </mc:Choice>
  </mc:AlternateContent>
  <xr:revisionPtr revIDLastSave="0" documentId="13_ncr:1_{CAD0944B-7C28-435A-B3B2-E8EF77115F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B Breakdown" sheetId="1" r:id="rId1"/>
    <sheet name="Bid Summary" sheetId="3" r:id="rId2"/>
  </sheets>
  <externalReferences>
    <externalReference r:id="rId3"/>
    <externalReference r:id="rId4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#N/A</definedName>
    <definedName name="\p">#N/A</definedName>
    <definedName name="\q">#N/A</definedName>
    <definedName name="\s">#REF!</definedName>
    <definedName name="\t">#N/A</definedName>
    <definedName name="\u">#N/A</definedName>
    <definedName name="\w">#N/A</definedName>
    <definedName name="\x">#REF!</definedName>
    <definedName name="\y">#N/A</definedName>
    <definedName name="\z">#REF!</definedName>
    <definedName name="_">#REF!</definedName>
    <definedName name="_____RCP1050">#REF!</definedName>
    <definedName name="_____RCP1200">#REF!</definedName>
    <definedName name="_____RCP450">#REF!</definedName>
    <definedName name="_____RCP525">#REF!</definedName>
    <definedName name="_____RCP750">#REF!</definedName>
    <definedName name="_____RCP900">#REF!</definedName>
    <definedName name="____MK2">#REF!</definedName>
    <definedName name="____RCP600">#REF!</definedName>
    <definedName name="____RS4">#REF!</definedName>
    <definedName name="____RS5">#REF!</definedName>
    <definedName name="____RS6">#REF!</definedName>
    <definedName name="___MK2">#REF!</definedName>
    <definedName name="___mu2">#REF!</definedName>
    <definedName name="___mu3">#REF!</definedName>
    <definedName name="___MU4">#REF!</definedName>
    <definedName name="___No1">#REF!</definedName>
    <definedName name="___No2">#REF!</definedName>
    <definedName name="___No3">#REF!</definedName>
    <definedName name="___PSI5">#REF!</definedName>
    <definedName name="___RCP1050">#REF!</definedName>
    <definedName name="___RCP1200">#REF!</definedName>
    <definedName name="___RCP450">#REF!</definedName>
    <definedName name="___RCP525">#REF!</definedName>
    <definedName name="___RCP600">#REF!</definedName>
    <definedName name="___RCP750">#REF!</definedName>
    <definedName name="___RCP900">#REF!</definedName>
    <definedName name="___rmc3000">#REF!</definedName>
    <definedName name="___rmc5000">#REF!</definedName>
    <definedName name="___rmc6000">#REF!</definedName>
    <definedName name="___rmc8000">#REF!</definedName>
    <definedName name="__B19000">#REF!</definedName>
    <definedName name="__B19999">#REF!</definedName>
    <definedName name="__B20000">#REF!</definedName>
    <definedName name="__BDR1">#N/A</definedName>
    <definedName name="__BDR2">#N/A</definedName>
    <definedName name="__e20000">#REF!</definedName>
    <definedName name="__e99991">#REF!</definedName>
    <definedName name="__MK2">#REF!</definedName>
    <definedName name="__mu2">#REF!</definedName>
    <definedName name="__mu3">#REF!</definedName>
    <definedName name="__MU4">#REF!</definedName>
    <definedName name="__No1">#REF!</definedName>
    <definedName name="__No2">#REF!</definedName>
    <definedName name="__No3">#REF!</definedName>
    <definedName name="__PL22">#REF!</definedName>
    <definedName name="__PSI5">#REF!</definedName>
    <definedName name="__RCP1050">#REF!</definedName>
    <definedName name="__RCP1200">#REF!</definedName>
    <definedName name="__RCP450">#REF!</definedName>
    <definedName name="__RCP525">#REF!</definedName>
    <definedName name="__RCP600">#REF!</definedName>
    <definedName name="__RCP750">#REF!</definedName>
    <definedName name="__RCP900">#REF!</definedName>
    <definedName name="__rmc3000">#REF!</definedName>
    <definedName name="__rmc5000">#REF!</definedName>
    <definedName name="__rmc6000">#REF!</definedName>
    <definedName name="__rmc8000">#REF!</definedName>
    <definedName name="__RUN1">#N/A</definedName>
    <definedName name="__WIN2">#REF!</definedName>
    <definedName name="__WIN22">#REF!</definedName>
    <definedName name="_0405">#REF!</definedName>
    <definedName name="_05_Feb_12">#REF!,#REF!,#REF!,#REF!,#REF!,#REF!,#REF!</definedName>
    <definedName name="_11">#N/A</definedName>
    <definedName name="_111">#REF!</definedName>
    <definedName name="_15Excel_BuiltIn_Print_Area_2_1">#REF!</definedName>
    <definedName name="_22">#N/A</definedName>
    <definedName name="_4">#REF!</definedName>
    <definedName name="_5_Digit_CSI">#REF!</definedName>
    <definedName name="_7">#REF!</definedName>
    <definedName name="_B19000">#REF!</definedName>
    <definedName name="_B19999">#REF!</definedName>
    <definedName name="_B20000">#REF!</definedName>
    <definedName name="_BDR1">#N/A</definedName>
    <definedName name="_BDR2">#N/A</definedName>
    <definedName name="_cfa1">#REF!</definedName>
    <definedName name="_Cub01">#REF!</definedName>
    <definedName name="_d2" localSheetId="1" hidden="1">{#N/A,#N/A,FALSE,"mgtsum.XLS";#N/A,#N/A,FALSE,"CAPONE";#N/A,#N/A,FALSE,"CAPTWO";#N/A,#N/A,FALSE,"CAPTHREE"}</definedName>
    <definedName name="_d2" hidden="1">{#N/A,#N/A,FALSE,"mgtsum.XLS";#N/A,#N/A,FALSE,"CAPONE";#N/A,#N/A,FALSE,"CAPTWO";#N/A,#N/A,FALSE,"CAPTHREE"}</definedName>
    <definedName name="_DAT0001">#REF!</definedName>
    <definedName name="_DAT3">#REF!</definedName>
    <definedName name="_DAT4">#REF!</definedName>
    <definedName name="_DAT5">#REF!</definedName>
    <definedName name="_e20000">#REF!</definedName>
    <definedName name="_e99991">#REF!</definedName>
    <definedName name="_Fab01">#REF!</definedName>
    <definedName name="_Fab03">#REF!</definedName>
    <definedName name="_Fab04">#REF!</definedName>
    <definedName name="_Fab05">#REF!</definedName>
    <definedName name="_Fab06">#REF!</definedName>
    <definedName name="_Fill" hidden="1">#REF!</definedName>
    <definedName name="_Fill2" hidden="1">#REF!</definedName>
    <definedName name="_GFA2">#REF!</definedName>
    <definedName name="_Key1" hidden="1">#REF!</definedName>
    <definedName name="_Key2" hidden="1">#REF!</definedName>
    <definedName name="_LV5">#REF!</definedName>
    <definedName name="_LV7">#REF!</definedName>
    <definedName name="_MK2">#REF!</definedName>
    <definedName name="_mu2">#REF!</definedName>
    <definedName name="_mu3">#REF!</definedName>
    <definedName name="_MU4">#REF!</definedName>
    <definedName name="_NE4">#REF!</definedName>
    <definedName name="_No" hidden="1">#REF!</definedName>
    <definedName name="_No1">#REF!</definedName>
    <definedName name="_No2">#REF!</definedName>
    <definedName name="_No3">#REF!</definedName>
    <definedName name="_Order1" hidden="1">255</definedName>
    <definedName name="_Order2" hidden="1">255</definedName>
    <definedName name="_PL22">#REF!</definedName>
    <definedName name="_RCP1050">#REF!</definedName>
    <definedName name="_RCP1051">#REF!</definedName>
    <definedName name="_RCP1200">#REF!</definedName>
    <definedName name="_RCP450">#REF!</definedName>
    <definedName name="_RCP525">#REF!</definedName>
    <definedName name="_RCP600">#REF!</definedName>
    <definedName name="_RCP750">#REF!</definedName>
    <definedName name="_RCP900">#REF!</definedName>
    <definedName name="_Regression_Int" hidden="1">1</definedName>
    <definedName name="_RUN1">#N/A</definedName>
    <definedName name="_SEA1">#N/A</definedName>
    <definedName name="_SF2">#REF!</definedName>
    <definedName name="_SF4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IN2">#REF!</definedName>
    <definedName name="_WIN22">#REF!</definedName>
    <definedName name="A">#REF!</definedName>
    <definedName name="aaa">#REF!</definedName>
    <definedName name="AAAAAAAAAAAAAAAAAAAA" localSheetId="1" hidden="1">{#N/A,#N/A,FALSE,"mgtsum.XLS";#N/A,#N/A,FALSE,"CAPONE";#N/A,#N/A,FALSE,"CAPTWO";#N/A,#N/A,FALSE,"CAPTHREE"}</definedName>
    <definedName name="AAAAAAAAAAAAAAAAAAAA" hidden="1">{#N/A,#N/A,FALSE,"mgtsum.XLS";#N/A,#N/A,FALSE,"CAPONE";#N/A,#N/A,FALSE,"CAPTWO";#N/A,#N/A,FALSE,"CAPTHREE"}</definedName>
    <definedName name="aakdf" localSheetId="1" hidden="1">{#N/A,#N/A,FALSE,"mgtsum.XLS";#N/A,#N/A,FALSE,"CAPONE";#N/A,#N/A,FALSE,"CAPTWO";#N/A,#N/A,FALSE,"CAPTHREE"}</definedName>
    <definedName name="aakdf" hidden="1">{#N/A,#N/A,FALSE,"mgtsum.XLS";#N/A,#N/A,FALSE,"CAPONE";#N/A,#N/A,FALSE,"CAPTWO";#N/A,#N/A,FALSE,"CAPTHREE"}</definedName>
    <definedName name="abcdefg" localSheetId="1" hidden="1">{#N/A,#N/A,FALSE,"mgtsum.XLS";#N/A,#N/A,FALSE,"CAPONE";#N/A,#N/A,FALSE,"CAPTWO";#N/A,#N/A,FALSE,"CAPTHREE"}</definedName>
    <definedName name="abcdefg" hidden="1">{#N/A,#N/A,FALSE,"mgtsum.XLS";#N/A,#N/A,FALSE,"CAPONE";#N/A,#N/A,FALSE,"CAPTWO";#N/A,#N/A,FALSE,"CAPTHREE"}</definedName>
    <definedName name="abcxyz" localSheetId="1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ccessDatabase" hidden="1">"C:\WINDOWS\Desktop\Byron's Dox\POchecklist.mdb"</definedName>
    <definedName name="ACCNT_30">#N/A</definedName>
    <definedName name="ACCNT_41">#N/A</definedName>
    <definedName name="ACCNT_41.1">#N/A</definedName>
    <definedName name="ACCNT_42">#N/A</definedName>
    <definedName name="ACCNT_43">#N/A</definedName>
    <definedName name="ACCNT_44">#N/A</definedName>
    <definedName name="ACCNT_45">#N/A</definedName>
    <definedName name="ACCNT_46">#N/A</definedName>
    <definedName name="ACCNT_47">#N/A</definedName>
    <definedName name="ACCNT_47.1">#N/A</definedName>
    <definedName name="ACCNT_47.3">#N/A</definedName>
    <definedName name="ACCNT_47.4">#N/A</definedName>
    <definedName name="ACCNT_47.8">#N/A</definedName>
    <definedName name="ACCNT_48">#N/A</definedName>
    <definedName name="ACCNT_48.5">#N/A</definedName>
    <definedName name="ACCNT_48.9">#N/A</definedName>
    <definedName name="ACCNT_49">#N/A</definedName>
    <definedName name="ACCNT_51.1">#N/A</definedName>
    <definedName name="ACCNT_51.2">#N/A</definedName>
    <definedName name="ACCNT_51.4">#N/A</definedName>
    <definedName name="ACCNT_51.5">#N/A</definedName>
    <definedName name="ACCNT_51.6">#N/A</definedName>
    <definedName name="ACCNT_51.7">#N/A</definedName>
    <definedName name="ACCNT_51.8">#N/A</definedName>
    <definedName name="ACCNT_53">#N/A</definedName>
    <definedName name="ACCNT_54">#N/A</definedName>
    <definedName name="ACCNT_54.09">#N/A</definedName>
    <definedName name="ACCNT_54.1">#N/A</definedName>
    <definedName name="ACCNT_54.11">#N/A</definedName>
    <definedName name="ACCNT_54.12">#N/A</definedName>
    <definedName name="ACCNT_54.13">#N/A</definedName>
    <definedName name="ACCNT_54.14">#N/A</definedName>
    <definedName name="ACCNT_54.15">#N/A</definedName>
    <definedName name="ACCNT_54.19">#N/A</definedName>
    <definedName name="ACCNT_54.9">#N/A</definedName>
    <definedName name="ACCNT_55">#N/A</definedName>
    <definedName name="ACCNT_55.1">#N/A</definedName>
    <definedName name="ACCNT_55.2">#N/A</definedName>
    <definedName name="ACCNT_55.3">#N/A</definedName>
    <definedName name="ACCNT_55.4">#N/A</definedName>
    <definedName name="ACCNT_55.5">#N/A</definedName>
    <definedName name="ACCNT_55.9">#N/A</definedName>
    <definedName name="ACCNT_57">#N/A</definedName>
    <definedName name="ACCNT_58">#N/A</definedName>
    <definedName name="ACCNT_58.1">#N/A</definedName>
    <definedName name="ACCNT_58.7">#N/A</definedName>
    <definedName name="ACCNT_59">#N/A</definedName>
    <definedName name="ACCNT_59.1">#N/A</definedName>
    <definedName name="ACTUAL">#REF!</definedName>
    <definedName name="ACTUAL4">#REF!</definedName>
    <definedName name="ADDALL">#REF!</definedName>
    <definedName name="ADDROW">#N/A</definedName>
    <definedName name="ADDROW1">#N/A</definedName>
    <definedName name="ADDROW10">#N/A</definedName>
    <definedName name="ADDROW2">#N/A</definedName>
    <definedName name="ADDROW3">#N/A</definedName>
    <definedName name="ADDROW4">#N/A</definedName>
    <definedName name="ADDROW5">#N/A</definedName>
    <definedName name="ADDROW6">#N/A</definedName>
    <definedName name="ADDROW7">#N/A</definedName>
    <definedName name="ADDROW8">#N/A</definedName>
    <definedName name="ADDROW9">#N/A</definedName>
    <definedName name="adh">#REF!</definedName>
    <definedName name="ADOPCOMMON">#REF!</definedName>
    <definedName name="ADOPFRP">#REF!</definedName>
    <definedName name="ADOPOFFPLOT">#REF!</definedName>
    <definedName name="ADOPOFFSITE">#REF!</definedName>
    <definedName name="ADOPPROCESS">#REF!</definedName>
    <definedName name="ADOPUTILITY">#REF!</definedName>
    <definedName name="AEQ" hidden="1">#REF!</definedName>
    <definedName name="AF">#REF!</definedName>
    <definedName name="AggregateBaseCourse">#REF!</definedName>
    <definedName name="ALL">#REF!</definedName>
    <definedName name="alter">#REF!</definedName>
    <definedName name="AnalysisType">#REF!</definedName>
    <definedName name="anscount" hidden="1">1</definedName>
    <definedName name="ar">#REF!</definedName>
    <definedName name="AREA3">#REF!</definedName>
    <definedName name="as">#REF!</definedName>
    <definedName name="AsphalticBaseCourse">#REF!</definedName>
    <definedName name="asrfsdgfasdg">#REF!</definedName>
    <definedName name="Asset_Classification">#REF!</definedName>
    <definedName name="Aug_1648">#REF!</definedName>
    <definedName name="Aug_1666">#REF!</definedName>
    <definedName name="Autofilter_Tab">#REF!</definedName>
    <definedName name="b_rod">#REF!</definedName>
    <definedName name="BARE_COST">#REF!</definedName>
    <definedName name="BASE_COURSE">#REF!</definedName>
    <definedName name="basecourse">#REF!</definedName>
    <definedName name="BaseD">#REF!</definedName>
    <definedName name="BaseDate">#REF!</definedName>
    <definedName name="BaseDay">#REF!</definedName>
    <definedName name="BaseM">#REF!</definedName>
    <definedName name="BasementArchiSum">#REF!</definedName>
    <definedName name="BaseMonth">#REF!</definedName>
    <definedName name="BB">#REF!</definedName>
    <definedName name="BDR">#N/A</definedName>
    <definedName name="BEL">#REF!</definedName>
    <definedName name="Bitumen">#REF!</definedName>
    <definedName name="blk">#REF!</definedName>
    <definedName name="BM">#REF!</definedName>
    <definedName name="BMM">#N/A</definedName>
    <definedName name="BMP">#REF!</definedName>
    <definedName name="BMTO">#N/A</definedName>
    <definedName name="bnkhse">#REF!</definedName>
    <definedName name="bol">#REF!</definedName>
    <definedName name="boml">#REF!</definedName>
    <definedName name="BOP">#N/A</definedName>
    <definedName name="BOP40_HRS">#N/A</definedName>
    <definedName name="BOP40_LAB">#N/A</definedName>
    <definedName name="BOP40_MAT">#N/A</definedName>
    <definedName name="BOP40_PROD">#N/A</definedName>
    <definedName name="BOP40_S_C">#N/A</definedName>
    <definedName name="BOP40_SC">#N/A</definedName>
    <definedName name="BOP40_TOT">#N/A</definedName>
    <definedName name="BOPLAB">#N/A</definedName>
    <definedName name="BOPMAT">#N/A</definedName>
    <definedName name="BOQ">#REF!</definedName>
    <definedName name="BOQDate">#REF!</definedName>
    <definedName name="botl">#REF!</definedName>
    <definedName name="botn">#REF!</definedName>
    <definedName name="BP_COST">#REF!</definedName>
    <definedName name="BR">#REF!</definedName>
    <definedName name="BRIDGE">#REF!</definedName>
    <definedName name="Bridge01">#REF!</definedName>
    <definedName name="BS">#REF!</definedName>
    <definedName name="bua">#REF!</definedName>
    <definedName name="budget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udge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UDGET_ACTUAL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Titles">#REF!</definedName>
    <definedName name="BuiltIn_Print_Titles___0">NA()</definedName>
    <definedName name="BuiltIn_Print_Titles___0___0">#REF!</definedName>
    <definedName name="BuiltIn_Print_Titles___0___0___0">#REF!</definedName>
    <definedName name="BuiltIn_Print_Titles___0___0___0___0">NA()</definedName>
    <definedName name="Button_1">"pgpi_BOM_List"</definedName>
    <definedName name="BWIC">#REF!</definedName>
    <definedName name="C_">#REF!</definedName>
    <definedName name="CABLE">#REF!</definedName>
    <definedName name="CAN">#REF!</definedName>
    <definedName name="Candy">#REF!</definedName>
    <definedName name="categorylabel">#REF!</definedName>
    <definedName name="CatEyes">#REF!</definedName>
    <definedName name="CCTV">#REF!</definedName>
    <definedName name="cdcdc">#REF!</definedName>
    <definedName name="cefnotes">#REF!</definedName>
    <definedName name="cem">#REF!</definedName>
    <definedName name="cem_bag">#REF!</definedName>
    <definedName name="CFA_TOTAL">#REF!</definedName>
    <definedName name="chb_100">#REF!</definedName>
    <definedName name="chb_150">#REF!</definedName>
    <definedName name="CIM">#REF!</definedName>
    <definedName name="CIR">#REF!</definedName>
    <definedName name="CIRA">#REF!</definedName>
    <definedName name="clear">#REF!</definedName>
    <definedName name="ClearingAndGrubbing">#REF!</definedName>
    <definedName name="CODE_AFGIS">#N/A</definedName>
    <definedName name="CODE_B">#N/A</definedName>
    <definedName name="CODE_E">#N/A</definedName>
    <definedName name="CODE_F">#N/A</definedName>
    <definedName name="CODE_P">#N/A</definedName>
    <definedName name="CODE_Q">#N/A</definedName>
    <definedName name="CODE_S">#N/A</definedName>
    <definedName name="Col">1.6</definedName>
    <definedName name="Comp.Rate">50</definedName>
    <definedName name="Comp_Rate">50</definedName>
    <definedName name="Composite">#REF!</definedName>
    <definedName name="ConcBridge">#REF!</definedName>
    <definedName name="ConcCub">#REF!</definedName>
    <definedName name="ConcFab">#REF!</definedName>
    <definedName name="ConcOrd.3000psi">#REF!</definedName>
    <definedName name="concrete">#REF!</definedName>
    <definedName name="ConcreteClassA">#REF!</definedName>
    <definedName name="ConcSumBridge">#REF!</definedName>
    <definedName name="ConcSumCub">#REF!</definedName>
    <definedName name="ConcSumFab">#REF!</definedName>
    <definedName name="ConcTemp">#REF!</definedName>
    <definedName name="Conduit_Acc_Tab">#REF!</definedName>
    <definedName name="Conduit_Tab">#REF!</definedName>
    <definedName name="Consol1260_6000">#REF!</definedName>
    <definedName name="Consol856_10000">#REF!</definedName>
    <definedName name="Consol856_11300">#REF!</definedName>
    <definedName name="Consol856_1500">#REF!</definedName>
    <definedName name="Consol856_2500">#REF!</definedName>
    <definedName name="Consol856_5400">#REF!</definedName>
    <definedName name="Consol856_8000">#REF!</definedName>
    <definedName name="Consol858_3000">#REF!</definedName>
    <definedName name="Consol858_8000">#REF!</definedName>
    <definedName name="Consol860_3000">#REF!</definedName>
    <definedName name="Consol860_8000">#REF!</definedName>
    <definedName name="content" localSheetId="1" hidden="1">{#N/A,#N/A,FALSE,"mgtsum.XLS";#N/A,#N/A,FALSE,"CAPONE";#N/A,#N/A,FALSE,"CAPTWO";#N/A,#N/A,FALSE,"CAPTHREE"}</definedName>
    <definedName name="content" hidden="1">{#N/A,#N/A,FALSE,"mgtsum.XLS";#N/A,#N/A,FALSE,"CAPONE";#N/A,#N/A,FALSE,"CAPTWO";#N/A,#N/A,FALSE,"CAPTHREE"}</definedName>
    <definedName name="CONTINGENCY">#REF!</definedName>
    <definedName name="contractionjt">#REF!</definedName>
    <definedName name="CONTROL">#REF!</definedName>
    <definedName name="copper">#REF!</definedName>
    <definedName name="COSTCOMP">#N/A</definedName>
    <definedName name="COSTCOMP1">#N/A</definedName>
    <definedName name="COSTCOMP2">#N/A</definedName>
    <definedName name="COUNT">#N/A</definedName>
    <definedName name="Cover">0.28</definedName>
    <definedName name="CP_history">#REF!</definedName>
    <definedName name="cpr">#REF!</definedName>
    <definedName name="CR">40</definedName>
    <definedName name="CRC">#REF!</definedName>
    <definedName name="csDesignMode">1</definedName>
    <definedName name="CSIL_BOP">#N/A</definedName>
    <definedName name="CSIL_YD">#N/A</definedName>
    <definedName name="ctrcost">#REF!</definedName>
    <definedName name="CUB">#REF!</definedName>
    <definedName name="CumulativeFinancialProgress">#REF!</definedName>
    <definedName name="CumulativePercentCompletion">#REF!</definedName>
    <definedName name="CurveA">#REF!</definedName>
    <definedName name="cut">#REF!</definedName>
    <definedName name="CVL_FAC">#N/A</definedName>
    <definedName name="cvscc">#REF!</definedName>
    <definedName name="cyA">#REF!</definedName>
    <definedName name="cyB">#REF!</definedName>
    <definedName name="cyC">#REF!</definedName>
    <definedName name="cyD">#REF!</definedName>
    <definedName name="cyE">#REF!</definedName>
    <definedName name="cyF">#REF!</definedName>
    <definedName name="cyG">#REF!</definedName>
    <definedName name="cyH">#REF!</definedName>
    <definedName name="cyI">#REF!</definedName>
    <definedName name="cyJ">#REF!</definedName>
    <definedName name="cyK">#REF!</definedName>
    <definedName name="cyL">#REF!</definedName>
    <definedName name="cyM">#REF!</definedName>
    <definedName name="cyN">#REF!</definedName>
    <definedName name="cyO">#REF!</definedName>
    <definedName name="cyP">#REF!</definedName>
    <definedName name="cyQ">#REF!</definedName>
    <definedName name="cyR">#REF!</definedName>
    <definedName name="cyS">#REF!</definedName>
    <definedName name="cyT">#REF!</definedName>
    <definedName name="cyU">#REF!</definedName>
    <definedName name="cyV">#REF!</definedName>
    <definedName name="cyW">#REF!</definedName>
    <definedName name="cyX">#REF!</definedName>
    <definedName name="cyY">#REF!</definedName>
    <definedName name="cyZ">#REF!</definedName>
    <definedName name="D_1">#REF!</definedName>
    <definedName name="D_10">#REF!</definedName>
    <definedName name="D_2">#REF!</definedName>
    <definedName name="D_3">#REF!</definedName>
    <definedName name="D_4">#REF!</definedName>
    <definedName name="dad">#REF!</definedName>
    <definedName name="DATA">#REF!</definedName>
    <definedName name="Data_1">#REF!</definedName>
    <definedName name="DATA1">#N/A</definedName>
    <definedName name="DATA2">#N/A</definedName>
    <definedName name="DATA3">#N/A</definedName>
    <definedName name="DATA4">#N/A</definedName>
    <definedName name="DATA5">#N/A</definedName>
    <definedName name="DATA6">#N/A</definedName>
    <definedName name="DATAFILL">#N/A</definedName>
    <definedName name="Dataset">#REF!</definedName>
    <definedName name="DatasetD">#REF!</definedName>
    <definedName name="datem">#REF!</definedName>
    <definedName name="dc">#REF!</definedName>
    <definedName name="DCF">#REF!</definedName>
    <definedName name="DDCOMPARISON" hidden="1">#REF!</definedName>
    <definedName name="DDT_PRELIMS">#REF!</definedName>
    <definedName name="Decoration">#REF!</definedName>
    <definedName name="DEL">#REF!</definedName>
    <definedName name="DELIVERED__Kgs.">#REF!</definedName>
    <definedName name="delperweek">#REF!</definedName>
    <definedName name="DELTA">#REF!</definedName>
    <definedName name="DEMO">#REF!</definedName>
    <definedName name="Demolition">#REF!</definedName>
    <definedName name="DETAIL_COMP">#N/A</definedName>
    <definedName name="DFSDFSDFSD">#REF!</definedName>
    <definedName name="diesl">#REF!</definedName>
    <definedName name="DIRHRS">#N/A</definedName>
    <definedName name="DISPOSAL">#REF!</definedName>
    <definedName name="dist">#REF!</definedName>
    <definedName name="divider">#REF!</definedName>
    <definedName name="DONE1">#N/A</definedName>
    <definedName name="DONE2">#N/A</definedName>
    <definedName name="door">#REF!</definedName>
    <definedName name="Doors">#REF!</definedName>
    <definedName name="dp">#REF!</definedName>
    <definedName name="drop4">#REF!</definedName>
    <definedName name="drs">#REF!</definedName>
    <definedName name="DST">#REF!</definedName>
    <definedName name="DSUM">#N/A</definedName>
    <definedName name="Dugtong">#REF!</definedName>
    <definedName name="dw_Flexable">#REF!</definedName>
    <definedName name="dw_FRP">#REF!</definedName>
    <definedName name="dw_Galv">#REF!</definedName>
    <definedName name="dw_Galv_Equipment">#REF!</definedName>
    <definedName name="dw_PSP">#REF!</definedName>
    <definedName name="dw_Rate_per_Kg">#REF!</definedName>
    <definedName name="dw_Rate_per_m2">#REF!</definedName>
    <definedName name="dw_SS">#REF!</definedName>
    <definedName name="dw_SS_Polished">#REF!</definedName>
    <definedName name="dw_SS304L_Purged">#REF!</definedName>
    <definedName name="e_coat">#REF!</definedName>
    <definedName name="E2_CFA">#REF!</definedName>
    <definedName name="EIGHT">#REF!</definedName>
    <definedName name="EIGHTEEN">#REF!</definedName>
    <definedName name="EL">#REF!</definedName>
    <definedName name="Electrical" localSheetId="1" hidden="1">{#N/A,#N/A,FALSE,"mgtsum.XLS";#N/A,#N/A,FALSE,"CAPONE";#N/A,#N/A,FALSE,"CAPTWO";#N/A,#N/A,FALSE,"CAPTHREE"}</definedName>
    <definedName name="Electrical" hidden="1">{#N/A,#N/A,FALSE,"mgtsum.XLS";#N/A,#N/A,FALSE,"CAPONE";#N/A,#N/A,FALSE,"CAPTWO";#N/A,#N/A,FALSE,"CAPTHREE"}</definedName>
    <definedName name="Electrical_CE_SOR">#REF!</definedName>
    <definedName name="ELEVEN">#REF!</definedName>
    <definedName name="EMB_FILLING">#REF!</definedName>
    <definedName name="Emb108a">#REF!</definedName>
    <definedName name="Emb108c">#REF!</definedName>
    <definedName name="Energy">#REF!</definedName>
    <definedName name="EqpmtCost" localSheetId="1" hidden="1">{#N/A,#N/A,FALSE,"Summary"}</definedName>
    <definedName name="EqpmtCost" hidden="1">{#N/A,#N/A,FALSE,"Summary"}</definedName>
    <definedName name="eqpmtds">#REF!</definedName>
    <definedName name="eqpmtss">#REF!</definedName>
    <definedName name="Eqpt">15%</definedName>
    <definedName name="Eqpt_Misc">25%</definedName>
    <definedName name="EqptFac">1</definedName>
    <definedName name="equip">#REF!</definedName>
    <definedName name="equipdim">#REF!</definedName>
    <definedName name="equipsds">#REF!</definedName>
    <definedName name="equipsewer">#REF!</definedName>
    <definedName name="Equipt_Devices_Etc">#REF!</definedName>
    <definedName name="Equipt_Plant_HP">#REF!</definedName>
    <definedName name="ES">#REF!</definedName>
    <definedName name="esca">#REF!</definedName>
    <definedName name="Escalation">#REF!</definedName>
    <definedName name="escalator">#REF!</definedName>
    <definedName name="est_print">#REF!</definedName>
    <definedName name="est_title">#REF!</definedName>
    <definedName name="ewqeqweqwe">#REF!</definedName>
    <definedName name="excav">#REF!</definedName>
    <definedName name="Excavation">#REF!</definedName>
    <definedName name="Excel_BuiltIn_Print_Area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3">#REF!</definedName>
    <definedName name="Excel_BuiltIn_Print_Titles_2">#REF!</definedName>
    <definedName name="Excel_BuiltIn_Print_Titles_2_1">#REF!</definedName>
    <definedName name="Excel_BuiltIn_Print_Titles_3">#REF!</definedName>
    <definedName name="Excel_BuiltIn_Print_Titles_4">#REF!</definedName>
    <definedName name="EXCIR">#REF!</definedName>
    <definedName name="F">#REF!</definedName>
    <definedName name="f_hardener">#REF!</definedName>
    <definedName name="fa" localSheetId="1" hidden="1">{#N/A,#N/A,FALSE,"Summary"}</definedName>
    <definedName name="fa" hidden="1">{#N/A,#N/A,FALSE,"Summary"}</definedName>
    <definedName name="FAB">#REF!</definedName>
    <definedName name="Fab_Process">#REF!</definedName>
    <definedName name="fab_shop">#REF!</definedName>
    <definedName name="FABRICATION">#REF!</definedName>
    <definedName name="FAC">#N/A</definedName>
    <definedName name="fax" localSheetId="1" hidden="1">{#N/A,#N/A,FALSE,"Summary"}</definedName>
    <definedName name="fax" hidden="1">{#N/A,#N/A,FALSE,"Summary"}</definedName>
    <definedName name="FDDS">#REF!,#REF!,#REF!,#REF!,#REF!,#REF!,#REF!</definedName>
    <definedName name="fdhdfghdhdfhhgjgjk">#REF!,#REF!,#REF!,#REF!,#REF!,#REF!,#REF!</definedName>
    <definedName name="fdhdhhdfhhdsfhdf">#REF!,#REF!,#REF!,#REF!,#REF!,#REF!,#REF!</definedName>
    <definedName name="february">#REF!</definedName>
    <definedName name="FF" localSheetId="1" hidden="1">{#N/A,#N/A,TRUE,"Str.";#N/A,#N/A,TRUE,"Steel &amp; Roof";#N/A,#N/A,TRUE,"Arc.";#N/A,#N/A,TRUE,"Preliminary";#N/A,#N/A,TRUE,"Sum_Prelim"}</definedName>
    <definedName name="FF" hidden="1">{#N/A,#N/A,TRUE,"Str.";#N/A,#N/A,TRUE,"Steel &amp; Roof";#N/A,#N/A,TRUE,"Arc.";#N/A,#N/A,TRUE,"Preliminary";#N/A,#N/A,TRUE,"Sum_Prelim"}</definedName>
    <definedName name="fghg">#REF!</definedName>
    <definedName name="FIFTEEN">#REF!</definedName>
    <definedName name="fill">#REF!</definedName>
    <definedName name="FINANCIAL">#REF!</definedName>
    <definedName name="Finishes">#REF!</definedName>
    <definedName name="Firealarm_Tab">#REF!</definedName>
    <definedName name="Firesealing">#REF!</definedName>
    <definedName name="flbd">#REF!</definedName>
    <definedName name="flds">#REF!</definedName>
    <definedName name="fler">#REF!</definedName>
    <definedName name="flp">#REF!</definedName>
    <definedName name="flrrow">#REF!</definedName>
    <definedName name="flsw">#REF!</definedName>
    <definedName name="flws">#REF!</definedName>
    <definedName name="fmark">#REF!</definedName>
    <definedName name="foot">#REF!</definedName>
    <definedName name="form_others">#REF!</definedName>
    <definedName name="FORMULA1">#N/A</definedName>
    <definedName name="FOURTEEN">#REF!</definedName>
    <definedName name="FOURTY">#REF!</definedName>
    <definedName name="FOURTY_ONE">#REF!</definedName>
    <definedName name="FOURTYONE">#REF!</definedName>
    <definedName name="FPROT4">#REF!</definedName>
    <definedName name="fr">100%</definedName>
    <definedName name="fsd" localSheetId="1" hidden="1">{#N/A,#N/A,FALSE,"mgtsum.XLS";#N/A,#N/A,FALSE,"CAPONE";#N/A,#N/A,FALSE,"CAPTWO";#N/A,#N/A,FALSE,"CAPTHREE"}</definedName>
    <definedName name="fsd" hidden="1">{#N/A,#N/A,FALSE,"mgtsum.XLS";#N/A,#N/A,FALSE,"CAPONE";#N/A,#N/A,FALSE,"CAPTWO";#N/A,#N/A,FALSE,"CAPTHREE"}</definedName>
    <definedName name="Fxx_P858_PROJECT___SUMMARY___M">#REF!</definedName>
    <definedName name="G">#REF!</definedName>
    <definedName name="Gas">#N/A</definedName>
    <definedName name="GEN_EXC">#REF!</definedName>
    <definedName name="GF_CFA">#REF!</definedName>
    <definedName name="GF_GFA">#REF!</definedName>
    <definedName name="gfa">#REF!</definedName>
    <definedName name="gfareno">#REF!</definedName>
    <definedName name="GFGFGFG" localSheetId="1" hidden="1">{#N/A,#N/A,FALSE,"mgtsum.XLS";#N/A,#N/A,FALSE,"CAPONE";#N/A,#N/A,FALSE,"CAPTWO";#N/A,#N/A,FALSE,"CAPTHREE"}</definedName>
    <definedName name="GFGFGFG" hidden="1">{#N/A,#N/A,FALSE,"mgtsum.XLS";#N/A,#N/A,FALSE,"CAPONE";#N/A,#N/A,FALSE,"CAPTWO";#N/A,#N/A,FALSE,"CAPTHREE"}</definedName>
    <definedName name="GHG">#REF!</definedName>
    <definedName name="Grounding_Tab">#REF!</definedName>
    <definedName name="GroutedRiprap">#REF!</definedName>
    <definedName name="grt">#REF!</definedName>
    <definedName name="GS">#REF!</definedName>
    <definedName name="GSD">#REF!</definedName>
    <definedName name="gsf">#REF!</definedName>
    <definedName name="GSFADD">#REF!</definedName>
    <definedName name="gsfBr">#REF!</definedName>
    <definedName name="gsfCub">#REF!</definedName>
    <definedName name="gsfFAB">#REF!</definedName>
    <definedName name="gsfFabGenl">#REF!</definedName>
    <definedName name="gsfFabManu">#REF!</definedName>
    <definedName name="gsfFabProcess">#REF!</definedName>
    <definedName name="GTG40_HRS">#N/A</definedName>
    <definedName name="GTG40_LAB">#N/A</definedName>
    <definedName name="GTG40_MAT">#N/A</definedName>
    <definedName name="GTG40_S_C">#N/A</definedName>
    <definedName name="GTG40_TOT">#N/A</definedName>
    <definedName name="gwbwalls">#REF!</definedName>
    <definedName name="h">#REF!</definedName>
    <definedName name="HALLWAY">#REF!</definedName>
    <definedName name="Hardware" localSheetId="1" hidden="1">{#N/A,#N/A,TRUE,"Str.";#N/A,#N/A,TRUE,"Steel &amp; Roof";#N/A,#N/A,TRUE,"Arc.";#N/A,#N/A,TRUE,"Preliminary";#N/A,#N/A,TRUE,"Sum_Prelim"}</definedName>
    <definedName name="Hardware" hidden="1">{#N/A,#N/A,TRUE,"Str.";#N/A,#N/A,TRUE,"Steel &amp; Roof";#N/A,#N/A,TRUE,"Arc.";#N/A,#N/A,TRUE,"Preliminary";#N/A,#N/A,TRUE,"Sum_Prelim"}</definedName>
    <definedName name="haul">#REF!</definedName>
    <definedName name="HeadWall">#REF!</definedName>
    <definedName name="helpceffact">#REF!</definedName>
    <definedName name="helpcefsummary">#REF!</definedName>
    <definedName name="helpfactsheet">#REF!</definedName>
    <definedName name="helpparta">#REF!</definedName>
    <definedName name="HG">#REF!</definedName>
    <definedName name="HIMEL">#REF!</definedName>
    <definedName name="hlbd">#REF!</definedName>
    <definedName name="hlp">#REF!</definedName>
    <definedName name="HN">#REF!</definedName>
    <definedName name="HNH">#REF!</definedName>
    <definedName name="hpercent">#REF!</definedName>
    <definedName name="hpercent1">#REF!</definedName>
    <definedName name="HRSG30_HRS">#N/A</definedName>
    <definedName name="HRSG30_LAB">#N/A</definedName>
    <definedName name="HRSG30_MAT">#N/A</definedName>
    <definedName name="HRSG30_S_C">#N/A</definedName>
    <definedName name="HRSG30_TOT">#N/A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Count" hidden="1">1</definedName>
    <definedName name="im">#REF!</definedName>
    <definedName name="IMPORT">#REF!</definedName>
    <definedName name="Infrastructure">#REF!</definedName>
    <definedName name="INNNNNNN">#REF!</definedName>
    <definedName name="insroof">#REF!</definedName>
    <definedName name="iNST_SC">#REF!</definedName>
    <definedName name="INSTALL_LINE">#N/A</definedName>
    <definedName name="Insulation_Acoustic">#REF!</definedName>
    <definedName name="Insulation_Ductwork">#REF!</definedName>
    <definedName name="Insulation_Pipework">#REF!</definedName>
    <definedName name="insunderslab">#REF!</definedName>
    <definedName name="Int">#REF!</definedName>
    <definedName name="Intel_Est">#REF!</definedName>
    <definedName name="Intel_Est2">#REF!</definedName>
    <definedName name="Intel_Masterformat">#REF!</definedName>
    <definedName name="IntelEst">#REF!</definedName>
    <definedName name="IntelJ">#REF!</definedName>
    <definedName name="Interest">#REF!</definedName>
    <definedName name="InterestAppraised">#REF!</definedName>
    <definedName name="INTRER">#REF!</definedName>
    <definedName name="INTT">#REF!</definedName>
    <definedName name="IPCs">#REF!</definedName>
    <definedName name="ISOL">#REF!</definedName>
    <definedName name="isolator">#REF!</definedName>
    <definedName name="ITEM4_EXCV">#REF!</definedName>
    <definedName name="ivu">#REF!</definedName>
    <definedName name="ivy">#REF!</definedName>
    <definedName name="j">#REF!</definedName>
    <definedName name="Jem">#REF!</definedName>
    <definedName name="Jemco">#REF!</definedName>
    <definedName name="jen">#REF!</definedName>
    <definedName name="jf">#REF!</definedName>
    <definedName name="JJJ" localSheetId="1" hidden="1">{#N/A,#N/A,FALSE,"mgtsum.XLS";#N/A,#N/A,FALSE,"CAPONE";#N/A,#N/A,FALSE,"CAPTWO";#N/A,#N/A,FALSE,"CAPTHREE"}</definedName>
    <definedName name="JJJ" hidden="1">{#N/A,#N/A,FALSE,"mgtsum.XLS";#N/A,#N/A,FALSE,"CAPONE";#N/A,#N/A,FALSE,"CAPTWO";#N/A,#N/A,FALSE,"CAPTHREE"}</definedName>
    <definedName name="jm">#REF!</definedName>
    <definedName name="JOAN">#REF!</definedName>
    <definedName name="JobID">#REF!</definedName>
    <definedName name="Joinery">#REF!</definedName>
    <definedName name="JPY">#REF!</definedName>
    <definedName name="K">#REF!</definedName>
    <definedName name="KA">#REF!</definedName>
    <definedName name="kbg">#N/A</definedName>
    <definedName name="kj">#REF!</definedName>
    <definedName name="KLICK">#REF!</definedName>
    <definedName name="KurFarki">#REF!</definedName>
    <definedName name="KW">#N/A</definedName>
    <definedName name="KW_MULT">#N/A</definedName>
    <definedName name="L">#REF!</definedName>
    <definedName name="L.Prot_Tab">#REF!</definedName>
    <definedName name="LAB">#REF!</definedName>
    <definedName name="Lab_Misc">30%</definedName>
    <definedName name="LabFac">1</definedName>
    <definedName name="Landscaping">#REF!</definedName>
    <definedName name="LAUNV">#REF!</definedName>
    <definedName name="Layout">#REF!</definedName>
    <definedName name="LC">#REF!</definedName>
    <definedName name="LD">#REF!</definedName>
    <definedName name="LeanConcrete">#REF!</definedName>
    <definedName name="lef">#REF!</definedName>
    <definedName name="lel">#REF!</definedName>
    <definedName name="less_eq">#REF!</definedName>
    <definedName name="lfT">#REF!</definedName>
    <definedName name="Lighting_Tab">#REF!</definedName>
    <definedName name="LINE1">#N/A</definedName>
    <definedName name="LINE3">#N/A</definedName>
    <definedName name="LINE5">#N/A</definedName>
    <definedName name="LINE6">#N/A</definedName>
    <definedName name="LINE7">#N/A</definedName>
    <definedName name="LINE8">#N/A</definedName>
    <definedName name="LINE9">#N/A</definedName>
    <definedName name="Link">#REF!</definedName>
    <definedName name="Link1">#REF!</definedName>
    <definedName name="Link2">#REF!</definedName>
    <definedName name="Lipat">#REF!</definedName>
    <definedName name="lk" localSheetId="1" hidden="1">{#N/A,#N/A,FALSE,"mgtsum.XLS";#N/A,#N/A,FALSE,"CAPONE";#N/A,#N/A,FALSE,"CAPTWO";#N/A,#N/A,FALSE,"CAPTHREE"}</definedName>
    <definedName name="lk" hidden="1">{#N/A,#N/A,FALSE,"mgtsum.XLS";#N/A,#N/A,FALSE,"CAPONE";#N/A,#N/A,FALSE,"CAPTWO";#N/A,#N/A,FALSE,"CAPTHREE"}</definedName>
    <definedName name="ll">#REF!</definedName>
    <definedName name="LLD">#REF!</definedName>
    <definedName name="LLG">#REF!</definedName>
    <definedName name="lll">#REF!</definedName>
    <definedName name="LM">#N/A</definedName>
    <definedName name="Location">#REF!</definedName>
    <definedName name="M_3">#N/A</definedName>
    <definedName name="m_acid">#REF!</definedName>
    <definedName name="m_up">#REF!</definedName>
    <definedName name="M2_CFA">#REF!</definedName>
    <definedName name="MA">#REF!</definedName>
    <definedName name="macid">#REF!</definedName>
    <definedName name="MACRO_LST">#N/A</definedName>
    <definedName name="MACROS">#N/A</definedName>
    <definedName name="Maguey">#REF!</definedName>
    <definedName name="march">#REF!</definedName>
    <definedName name="markf">#REF!</definedName>
    <definedName name="MARKL">#REF!</definedName>
    <definedName name="MARKP">#REF!</definedName>
    <definedName name="Masonry">#REF!</definedName>
    <definedName name="MaterialToBeCrushed">#REF!</definedName>
    <definedName name="MaterialToBeScreened">#REF!</definedName>
    <definedName name="MatFac">1</definedName>
    <definedName name="matl">#REF!</definedName>
    <definedName name="matlsdim">#REF!</definedName>
    <definedName name="matlssds">#REF!</definedName>
    <definedName name="matlssewer">#REF!</definedName>
    <definedName name="MC_">#REF!</definedName>
    <definedName name="MCB">#REF!</definedName>
    <definedName name="MD">#REF!</definedName>
    <definedName name="mdc">#REF!</definedName>
    <definedName name="MECH">#REF!</definedName>
    <definedName name="MECH_PROD">#N/A</definedName>
    <definedName name="MECH30_HRS">#N/A</definedName>
    <definedName name="MECH30_LAB">#N/A</definedName>
    <definedName name="MECH30_MAT">#N/A</definedName>
    <definedName name="MECH30_PROD">#N/A</definedName>
    <definedName name="MECH30_S_C">#N/A</definedName>
    <definedName name="MECH30_SC">#N/A</definedName>
    <definedName name="MECH30_TOT">#N/A</definedName>
    <definedName name="MechCleanRm">#REF!</definedName>
    <definedName name="Mechlabrate">#REF!</definedName>
    <definedName name="MENU">#N/A</definedName>
    <definedName name="MENU10">#N/A</definedName>
    <definedName name="MENU11">#N/A</definedName>
    <definedName name="MENU12">#N/A</definedName>
    <definedName name="MENU13">#N/A</definedName>
    <definedName name="MENU14">#N/A</definedName>
    <definedName name="MENU15">#N/A</definedName>
    <definedName name="MENU16">#N/A</definedName>
    <definedName name="MENU2">#N/A</definedName>
    <definedName name="MENU3">#N/A</definedName>
    <definedName name="MENU4">#N/A</definedName>
    <definedName name="MENU5">#N/A</definedName>
    <definedName name="MENU6">#N/A</definedName>
    <definedName name="MENU7">#N/A</definedName>
    <definedName name="MENU8">#N/A</definedName>
    <definedName name="MENU9">#N/A</definedName>
    <definedName name="MEPFT3">#REF!</definedName>
    <definedName name="MEPFT4">#REF!</definedName>
    <definedName name="Metalwork">#REF!</definedName>
    <definedName name="mg">#REF!</definedName>
    <definedName name="mha">#REF!</definedName>
    <definedName name="MHR">#REF!</definedName>
    <definedName name="MhrFac">1</definedName>
    <definedName name="mhs">#REF!</definedName>
    <definedName name="mhsealant">#REF!</definedName>
    <definedName name="Million">1000000</definedName>
    <definedName name="MIN">#REF!</definedName>
    <definedName name="min_wag">#REF!</definedName>
    <definedName name="MISC">#REF!</definedName>
    <definedName name="misc_BWIC">#REF!</definedName>
    <definedName name="misc_FRP_Enclosures">#REF!</definedName>
    <definedName name="misc_Hot_taps">#REF!</definedName>
    <definedName name="misc_Labels">#REF!</definedName>
    <definedName name="misc_Painting">#REF!</definedName>
    <definedName name="MISC_SP">#REF!</definedName>
    <definedName name="MiscFac">1</definedName>
    <definedName name="MisFac">1</definedName>
    <definedName name="MK">#REF!</definedName>
    <definedName name="ML">#REF!</definedName>
    <definedName name="mm">#REF!</definedName>
    <definedName name="mmm">#N/A</definedName>
    <definedName name="MontlyPercentCompletion">#REF!</definedName>
    <definedName name="Move">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u_gmp">#REF!</definedName>
    <definedName name="mu_mdc">#REF!</definedName>
    <definedName name="mu_slex">#REF!</definedName>
    <definedName name="mule">#REF!</definedName>
    <definedName name="Multiplier">#REF!</definedName>
    <definedName name="Multiplier1">#REF!</definedName>
    <definedName name="mum">#REF!</definedName>
    <definedName name="mus">#REF!</definedName>
    <definedName name="N">#REF!</definedName>
    <definedName name="name1">#REF!</definedName>
    <definedName name="name2">#REF!</definedName>
    <definedName name="name3">#REF!</definedName>
    <definedName name="NAMES">#N/A</definedName>
    <definedName name="new">#REF!</definedName>
    <definedName name="NEWROW1">#N/A</definedName>
    <definedName name="NEWROW3">#N/A</definedName>
    <definedName name="NEWROW4">#N/A</definedName>
    <definedName name="NGC">#REF!</definedName>
    <definedName name="NH">#REF!</definedName>
    <definedName name="NHN">#REF!</definedName>
    <definedName name="NINE">#REF!</definedName>
    <definedName name="NINETEEN">#REF!</definedName>
    <definedName name="NM">#REF!</definedName>
    <definedName name="No0">#REF!</definedName>
    <definedName name="noc">#REF!</definedName>
    <definedName name="note">#N/A</definedName>
    <definedName name="notes">#N/A</definedName>
    <definedName name="O">#N/A</definedName>
    <definedName name="ODia">#N/A</definedName>
    <definedName name="OFF">#N/A</definedName>
    <definedName name="OFFPLOT">#REF!</definedName>
    <definedName name="OFFSITE">#REF!</definedName>
    <definedName name="OFFSITE_51">#N/A</definedName>
    <definedName name="ok">#REF!</definedName>
    <definedName name="onframing">#REF!</definedName>
    <definedName name="onfurring">#REF!</definedName>
    <definedName name="opc">#REF!</definedName>
    <definedName name="Operator">#REF!</definedName>
    <definedName name="PACE">#REF!</definedName>
    <definedName name="Panel_Tab">#REF!</definedName>
    <definedName name="PAR_CIVIL">#N/A</definedName>
    <definedName name="PAR_ELECT">#N/A</definedName>
    <definedName name="PAR_MECH">#N/A</definedName>
    <definedName name="Partitions">#REF!</definedName>
    <definedName name="PavementMarking">#REF!</definedName>
    <definedName name="PAY">#N/A</definedName>
    <definedName name="PAYCRIT">#N/A</definedName>
    <definedName name="PAYITEM">#N/A</definedName>
    <definedName name="pencil_1">#REF!</definedName>
    <definedName name="Peninsula">#REF!</definedName>
    <definedName name="PERCENT">#REF!</definedName>
    <definedName name="PERCENTAGE_DELIVERED">#REF!</definedName>
    <definedName name="ph5a">#REF!</definedName>
    <definedName name="ph5b">#REF!</definedName>
    <definedName name="piles">20</definedName>
    <definedName name="piles1">#REF!</definedName>
    <definedName name="piles2">#REF!</definedName>
    <definedName name="piles3">#REF!</definedName>
    <definedName name="piles4">#REF!</definedName>
    <definedName name="piles5">#REF!</definedName>
    <definedName name="piles6">#REF!</definedName>
    <definedName name="PIPE_SLEEVE">#REF!</definedName>
    <definedName name="PIPE50_PROD">#N/A</definedName>
    <definedName name="PIPE51_QTY">#N/A</definedName>
    <definedName name="PipeCulverts">#REF!</definedName>
    <definedName name="PLABOUR">#REF!</definedName>
    <definedName name="PMaIL">#REF!</definedName>
    <definedName name="PMI">#REF!</definedName>
    <definedName name="PMT">#REF!</definedName>
    <definedName name="PPH_MULT">#N/A</definedName>
    <definedName name="PPMV">#REF!</definedName>
    <definedName name="PREVIOUS">#N/A</definedName>
    <definedName name="PrimeCoat">#REF!</definedName>
    <definedName name="_xlnm.Print_Area" localSheetId="0">'BCB Breakdown'!$A$1:$U$684</definedName>
    <definedName name="_xlnm.Print_Area" localSheetId="1">'Bid Summary'!$A$1:$J$74</definedName>
    <definedName name="_xlnm.Print_Area">#REF!</definedName>
    <definedName name="Print_Area_et">#REF!</definedName>
    <definedName name="PRINT_AREA_MI">#N/A</definedName>
    <definedName name="PRINT_LST">#N/A</definedName>
    <definedName name="_xlnm.Print_Titles" localSheetId="0">'BCB Breakdown'!$1:$12</definedName>
    <definedName name="_xlnm.Print_Titles" localSheetId="1">'Bid Summary'!$1:$10</definedName>
    <definedName name="_xlnm.Print_Titles">#N/A</definedName>
    <definedName name="PRINT_TITLES_MI">#N/A</definedName>
    <definedName name="PRLINK">#REF!</definedName>
    <definedName name="PROCESS">#REF!</definedName>
    <definedName name="proj_dur">#REF!</definedName>
    <definedName name="PROPOSED_CONTINENTAL_TEMIC_EXTENSION_BLDG.">#REF!</definedName>
    <definedName name="PropStat">#REF!</definedName>
    <definedName name="PT">#REF!</definedName>
    <definedName name="PUB_FileID" hidden="1">"L10003649.xls"</definedName>
    <definedName name="PUB_UserID" hidden="1">"MAYERX"</definedName>
    <definedName name="put" localSheetId="1" hidden="1">{#N/A,#N/A,TRUE,"Equipment installation bm"}</definedName>
    <definedName name="put" hidden="1">{#N/A,#N/A,TRUE,"Equipment installation bm"}</definedName>
    <definedName name="pw_ABS">#REF!</definedName>
    <definedName name="pw_Carbon_Steel">#REF!</definedName>
    <definedName name="pw_CPVC">#REF!</definedName>
    <definedName name="pw_Cu_IS238">#REF!</definedName>
    <definedName name="pw_Cu_Table_X">#REF!</definedName>
    <definedName name="pw_Cu_Valves">#REF!</definedName>
    <definedName name="pw_HDPE">#REF!</definedName>
    <definedName name="pw_Mild_Steel">#REF!</definedName>
    <definedName name="pw_PE_PE_Twin_Wall">#REF!</definedName>
    <definedName name="pw_PFA">#REF!</definedName>
    <definedName name="pw_PVC_Schd_80">#REF!</definedName>
    <definedName name="pw_PVDF">#REF!</definedName>
    <definedName name="pw_Sprinklers">#REF!</definedName>
    <definedName name="pw_SS_HP">#REF!</definedName>
    <definedName name="pw_SS_Mech">#REF!</definedName>
    <definedName name="PWHT">#REF!</definedName>
    <definedName name="q">#REF!</definedName>
    <definedName name="Q3_00">#REF!</definedName>
    <definedName name="Q4_00">#REF!</definedName>
    <definedName name="QtyFac">1</definedName>
    <definedName name="qualification2">#REF!</definedName>
    <definedName name="quantity">#REF!</definedName>
    <definedName name="QWE">#REF!</definedName>
    <definedName name="RANGE_NAME">#N/A</definedName>
    <definedName name="RANGE_NAMES">#N/A</definedName>
    <definedName name="Rate">#REF!</definedName>
    <definedName name="RC_">#REF!</definedName>
    <definedName name="RCD">#REF!</definedName>
    <definedName name="RDFSDFSDFSDFSDFDS">#REF!</definedName>
    <definedName name="reb_40actual">#REF!</definedName>
    <definedName name="reb_60actual">#REF!</definedName>
    <definedName name="rebar_rate">#REF!</definedName>
    <definedName name="rebars">#REF!</definedName>
    <definedName name="RED">#REF!</definedName>
    <definedName name="redo" localSheetId="1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o1" localSheetId="1" hidden="1">{#N/A,#N/A,FALSE,"ACQ_GRAPHS";#N/A,#N/A,FALSE,"T_1 GRAPHS";#N/A,#N/A,FALSE,"T_2 GRAPHS";#N/A,#N/A,FALSE,"COMB_GRAPHS"}</definedName>
    <definedName name="redo1" hidden="1">{#N/A,#N/A,FALSE,"ACQ_GRAPHS";#N/A,#N/A,FALSE,"T_1 GRAPHS";#N/A,#N/A,FALSE,"T_2 GRAPHS";#N/A,#N/A,FALSE,"COMB_GRAPHS"}</definedName>
    <definedName name="Redondo">#REF!</definedName>
    <definedName name="Regional" localSheetId="1" hidden="1">{#N/A,#N/A,FALSE,"mgtsum.XLS";#N/A,#N/A,FALSE,"CAPONE";#N/A,#N/A,FALSE,"CAPTWO";#N/A,#N/A,FALSE,"CAPTHREE"}</definedName>
    <definedName name="Regional" hidden="1">{#N/A,#N/A,FALSE,"mgtsum.XLS";#N/A,#N/A,FALSE,"CAPONE";#N/A,#N/A,FALSE,"CAPTWO";#N/A,#N/A,FALSE,"CAPTHREE"}</definedName>
    <definedName name="regional1" localSheetId="1" hidden="1">{#N/A,#N/A,FALSE,"mgtsum.XLS";#N/A,#N/A,FALSE,"CAPONE";#N/A,#N/A,FALSE,"CAPTWO";#N/A,#N/A,FALSE,"CAPTHREE"}</definedName>
    <definedName name="regional1" hidden="1">{#N/A,#N/A,FALSE,"mgtsum.XLS";#N/A,#N/A,FALSE,"CAPONE";#N/A,#N/A,FALSE,"CAPTWO";#N/A,#N/A,FALSE,"CAPTHREE"}</definedName>
    <definedName name="ReinforcementSteel">#REF!</definedName>
    <definedName name="rel">#REF!</definedName>
    <definedName name="Reno">#REF!</definedName>
    <definedName name="Replace">#REF!</definedName>
    <definedName name="RESOURCES">#REF!</definedName>
    <definedName name="retain">#REF!</definedName>
    <definedName name="reuse" localSheetId="1" hidden="1">{#N/A,#N/A,FALSE,"mgtsum.XLS";#N/A,#N/A,FALSE,"CAPONE";#N/A,#N/A,FALSE,"CAPTWO";#N/A,#N/A,FALSE,"CAPTHREE"}</definedName>
    <definedName name="reuse" hidden="1">{#N/A,#N/A,FALSE,"mgtsum.XLS";#N/A,#N/A,FALSE,"CAPONE";#N/A,#N/A,FALSE,"CAPTWO";#N/A,#N/A,FALSE,"CAPTHREE"}</definedName>
    <definedName name="Rev">#REF!</definedName>
    <definedName name="RHRH" localSheetId="1" hidden="1">{#N/A,#N/A,FALSE,"mgtsum.XLS";#N/A,#N/A,FALSE,"CAPONE";#N/A,#N/A,FALSE,"CAPTWO";#N/A,#N/A,FALSE,"CAPTHREE"}</definedName>
    <definedName name="RHRH" hidden="1">{#N/A,#N/A,FALSE,"mgtsum.XLS";#N/A,#N/A,FALSE,"CAPONE";#N/A,#N/A,FALSE,"CAPTWO";#N/A,#N/A,FALSE,"CAPTHREE"}</definedName>
    <definedName name="RHRHRHR" localSheetId="1" hidden="1">{#N/A,#N/A,FALSE,"mgtsum.XLS";#N/A,#N/A,FALSE,"CAPONE";#N/A,#N/A,FALSE,"CAPTWO";#N/A,#N/A,FALSE,"CAPTHREE"}</definedName>
    <definedName name="RHRHRHR" hidden="1">{#N/A,#N/A,FALSE,"mgtsum.XLS";#N/A,#N/A,FALSE,"CAPONE";#N/A,#N/A,FALSE,"CAPTWO";#N/A,#N/A,FALSE,"CAPTHREE"}</definedName>
    <definedName name="rig">#REF!</definedName>
    <definedName name="rlp">#REF!</definedName>
    <definedName name="RMC">#N/A</definedName>
    <definedName name="RMC_1T">#REF!</definedName>
    <definedName name="RMC_3T">#REF!</definedName>
    <definedName name="RMC_5T">#REF!</definedName>
    <definedName name="RMC_6T">#REF!</definedName>
    <definedName name="RMC_8T">#REF!</definedName>
    <definedName name="rngCEArchitect">#REF!</definedName>
    <definedName name="rngCEClient">#REF!</definedName>
    <definedName name="rngCEDate">#REF!</definedName>
    <definedName name="rngCEHeader">#REF!</definedName>
    <definedName name="rngCEHeader1">#REF!</definedName>
    <definedName name="rngCEJobNum">#REF!</definedName>
    <definedName name="rngCELocation">#REF!</definedName>
    <definedName name="rngCEProjectName">#REF!</definedName>
    <definedName name="ro">#REF!</definedName>
    <definedName name="robot">#REF!</definedName>
    <definedName name="ROCK_EXC">#REF!</definedName>
    <definedName name="Roofing_Cladding">#REF!</definedName>
    <definedName name="rosid">#REF!</definedName>
    <definedName name="rrrrr">#REF!</definedName>
    <definedName name="RT">#REF!</definedName>
    <definedName name="RUN">#N/A</definedName>
    <definedName name="sand_p">#REF!</definedName>
    <definedName name="sand_t">#REF!</definedName>
    <definedName name="sanitary">#REF!</definedName>
    <definedName name="SASAW" localSheetId="1" hidden="1">{#N/A,#N/A,FALSE,"mgtsum.XLS";#N/A,#N/A,FALSE,"CAPONE";#N/A,#N/A,FALSE,"CAPTWO";#N/A,#N/A,FALSE,"CAPTHREE"}</definedName>
    <definedName name="SASAW" hidden="1">{#N/A,#N/A,FALSE,"mgtsum.XLS";#N/A,#N/A,FALSE,"CAPONE";#N/A,#N/A,FALSE,"CAPTWO";#N/A,#N/A,FALSE,"CAPTHREE"}</definedName>
    <definedName name="SBBC">#REF!</definedName>
    <definedName name="SC_ADJUST">#N/A</definedName>
    <definedName name="SCA">#REF!</definedName>
    <definedName name="Schedule">#REF!</definedName>
    <definedName name="scrap" hidden="1">#REF!</definedName>
    <definedName name="scraps" hidden="1">#REF!</definedName>
    <definedName name="SCURVE" hidden="1">#REF!</definedName>
    <definedName name="sd" localSheetId="1" hidden="1">{"msc sw feat summary",#N/A,FALSE,"MSC SW Features v. 1.1."}</definedName>
    <definedName name="sd" hidden="1">{"msc sw feat summary",#N/A,FALSE,"MSC SW Features v. 1.1."}</definedName>
    <definedName name="Sdate">#REF!</definedName>
    <definedName name="sdf" localSheetId="1" hidden="1">{#N/A,#N/A,FALSE,"mgtsum.XLS";#N/A,#N/A,FALSE,"CAPONE";#N/A,#N/A,FALSE,"CAPTWO";#N/A,#N/A,FALSE,"CAPTHREE"}</definedName>
    <definedName name="sdf" hidden="1">{#N/A,#N/A,FALSE,"mgtsum.XLS";#N/A,#N/A,FALSE,"CAPONE";#N/A,#N/A,FALSE,"CAPTWO";#N/A,#N/A,FALSE,"CAPTHREE"}</definedName>
    <definedName name="sdfas" localSheetId="1" hidden="1">{"msc sw feat summary",#N/A,FALSE,"MSC SW Features v. 1.1."}</definedName>
    <definedName name="sdfas" hidden="1">{"msc sw feat summary",#N/A,FALSE,"MSC SW Features v. 1.1."}</definedName>
    <definedName name="sealant">#REF!</definedName>
    <definedName name="sectionc">#REF!</definedName>
    <definedName name="sectiond">#REF!</definedName>
    <definedName name="sectionfg">#REF!</definedName>
    <definedName name="Segment4">#REF!</definedName>
    <definedName name="Segment5">#REF!</definedName>
    <definedName name="Select">#REF!</definedName>
    <definedName name="Select_from_list">#REF!</definedName>
    <definedName name="SELLING">#REF!</definedName>
    <definedName name="SENTA_CFA">#REF!</definedName>
    <definedName name="Serendra" hidden="1">#REF!</definedName>
    <definedName name="Services">#REF!</definedName>
    <definedName name="SEVEN">#REF!</definedName>
    <definedName name="SEVENTEEN">#REF!</definedName>
    <definedName name="sewer">#REF!</definedName>
    <definedName name="SEX">#REF!</definedName>
    <definedName name="sf">#REF!</definedName>
    <definedName name="sfA">#REF!</definedName>
    <definedName name="sfB">#REF!</definedName>
    <definedName name="sfBrGenl">#REF!</definedName>
    <definedName name="sfBrLab">#REF!</definedName>
    <definedName name="sfBrManu">#REF!</definedName>
    <definedName name="sfBrUnass">#REF!</definedName>
    <definedName name="sfC">#REF!</definedName>
    <definedName name="sfCubGenl">#REF!</definedName>
    <definedName name="sfCubManu">#REF!</definedName>
    <definedName name="sfD">#REF!</definedName>
    <definedName name="sfE">#REF!</definedName>
    <definedName name="sfEAST">#REF!</definedName>
    <definedName name="sfF">#REF!</definedName>
    <definedName name="sfFab">#REF!</definedName>
    <definedName name="sfG">#REF!</definedName>
    <definedName name="sfH">#REF!</definedName>
    <definedName name="sfI">#REF!</definedName>
    <definedName name="sfJ">#REF!</definedName>
    <definedName name="sfK">#REF!</definedName>
    <definedName name="sfL">#REF!</definedName>
    <definedName name="sfLITHO">#REF!</definedName>
    <definedName name="sfM">#REF!</definedName>
    <definedName name="sfN">#REF!</definedName>
    <definedName name="sfNONLITHO">#REF!</definedName>
    <definedName name="sfO">#REF!</definedName>
    <definedName name="sfP">#REF!</definedName>
    <definedName name="sfQ">#REF!</definedName>
    <definedName name="sfR">#REF!</definedName>
    <definedName name="sfS">#REF!</definedName>
    <definedName name="sfW">#REF!</definedName>
    <definedName name="sfWEST">#REF!</definedName>
    <definedName name="sfX">#REF!</definedName>
    <definedName name="sfY">#REF!</definedName>
    <definedName name="sfZ">#REF!</definedName>
    <definedName name="sg">#REF!</definedName>
    <definedName name="shit">#REF!</definedName>
    <definedName name="ShoulderEmb.">#REF!</definedName>
    <definedName name="ShoulderSubbase">#REF!</definedName>
    <definedName name="sit_off">#REF!</definedName>
    <definedName name="Site">#REF!</definedName>
    <definedName name="SITE_SUMMARY">#REF!</definedName>
    <definedName name="siteequip">#REF!</definedName>
    <definedName name="SIXTEEN">#REF!</definedName>
    <definedName name="SIXYRS_OF_PROJ">#REF!</definedName>
    <definedName name="sl1_print">#REF!</definedName>
    <definedName name="sl1_title">#REF!</definedName>
    <definedName name="sl2_print">#REF!</definedName>
    <definedName name="sl2_title">#REF!</definedName>
    <definedName name="Slab">0.14</definedName>
    <definedName name="Slicer_PROJECT_TO_DATE">#N/A</definedName>
    <definedName name="SM">#N/A</definedName>
    <definedName name="SO">#REF!</definedName>
    <definedName name="SozlesmeRsYenParitesi">#REF!</definedName>
    <definedName name="SozlesmeYenUSDParitesi">#REF!</definedName>
    <definedName name="spbd">#REF!</definedName>
    <definedName name="spds">#REF!</definedName>
    <definedName name="sper">#REF!</definedName>
    <definedName name="Splice">1.12</definedName>
    <definedName name="sppl">#REF!</definedName>
    <definedName name="sprrow">#REF!</definedName>
    <definedName name="spsw">#REF!</definedName>
    <definedName name="sptc">#REF!</definedName>
    <definedName name="spws">#REF!</definedName>
    <definedName name="sqfb.1">#REF!</definedName>
    <definedName name="sqfta">#REF!</definedName>
    <definedName name="sqfta.1">#REF!</definedName>
    <definedName name="sqfta.2">#REF!</definedName>
    <definedName name="sqfta.3">#REF!</definedName>
    <definedName name="sqfta.4">#REF!</definedName>
    <definedName name="sqfta_b">#REF!</definedName>
    <definedName name="sqftaa">#REF!</definedName>
    <definedName name="sqftb">#REF!</definedName>
    <definedName name="sqftb.2">#REF!</definedName>
    <definedName name="SRC">#REF!</definedName>
    <definedName name="SRTPAY">#N/A</definedName>
    <definedName name="STAFFHRS">#N/A</definedName>
    <definedName name="STAFFING">#N/A</definedName>
    <definedName name="START1">#N/A</definedName>
    <definedName name="START2">#N/A</definedName>
    <definedName name="START3">#N/A</definedName>
    <definedName name="START4">#N/A</definedName>
    <definedName name="START5">#N/A</definedName>
    <definedName name="STARTING">#N/A</definedName>
    <definedName name="Startpack" localSheetId="1" hidden="1">{#N/A,#N/A,FALSE,"Summary"}</definedName>
    <definedName name="Startpack" hidden="1">{#N/A,#N/A,FALSE,"Summary"}</definedName>
    <definedName name="Steelwork_Supports">#REF!</definedName>
    <definedName name="STELTS">#REF!</definedName>
    <definedName name="STG40_HRS">#N/A</definedName>
    <definedName name="STG40_LAB">#N/A</definedName>
    <definedName name="STG40_MAT">#N/A</definedName>
    <definedName name="STG40_S_C">#N/A</definedName>
    <definedName name="STG40_SC">#N/A</definedName>
    <definedName name="STG40_TOT">#N/A</definedName>
    <definedName name="StrID">#REF!</definedName>
    <definedName name="StrucB">#REF!</definedName>
    <definedName name="StructBEB">#REF!</definedName>
    <definedName name="STRUCTCHART" localSheetId="1" hidden="1">{#N/A,#N/A,TRUE,"Equipment installation bm"}</definedName>
    <definedName name="STRUCTCHART" hidden="1">{#N/A,#N/A,TRUE,"Equipment installation bm"}</definedName>
    <definedName name="Structural_Steel">#REF!</definedName>
    <definedName name="STUB_OUT">#REF!</definedName>
    <definedName name="SUB_BASE">#REF!</definedName>
    <definedName name="SUB_BASE_COURSE">#REF!</definedName>
    <definedName name="SUBBASE">#REF!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VAT">1.12</definedName>
    <definedName name="subconws">#REF!</definedName>
    <definedName name="subconwt">#REF!</definedName>
    <definedName name="subfab">#REF!</definedName>
    <definedName name="SubFac">1</definedName>
    <definedName name="Subject">#REF!</definedName>
    <definedName name="SUBTOTALS">#N/A</definedName>
    <definedName name="SUM_DATA">#N/A</definedName>
    <definedName name="SUMMARY">#REF!</definedName>
    <definedName name="SUMMARY2">#N/A</definedName>
    <definedName name="Sundries">#REF!</definedName>
    <definedName name="SUPPORT">#REF!</definedName>
    <definedName name="SVGL_MS2_DUV_STEPPER_Reuse">#REF!</definedName>
    <definedName name="SWA">#REF!</definedName>
    <definedName name="SYS">#N/A</definedName>
    <definedName name="Table_2">#REF!</definedName>
    <definedName name="TackCoat">#REF!</definedName>
    <definedName name="TAKEOFF">#N/A</definedName>
    <definedName name="TASKS">#REF!</definedName>
    <definedName name="TC">#REF!</definedName>
    <definedName name="tcf">#REF!</definedName>
    <definedName name="tcs">#REF!</definedName>
    <definedName name="tcv">#REF!</definedName>
    <definedName name="tdc">#REF!</definedName>
    <definedName name="Tel_Tab">#REF!</definedName>
    <definedName name="Teleh" localSheetId="1" hidden="1">{#N/A,#N/A,FALSE,"Summary"}</definedName>
    <definedName name="Teleh" hidden="1">{#N/A,#N/A,FALSE,"Summary"}</definedName>
    <definedName name="TEMPACIL">#REF!</definedName>
    <definedName name="template">#REF!</definedName>
    <definedName name="TEN">#REF!</definedName>
    <definedName name="Term">#REF!</definedName>
    <definedName name="TerminalCap">#REF!</definedName>
    <definedName name="test">#REF!</definedName>
    <definedName name="TEST0">#REF!</definedName>
    <definedName name="TESTHKEY">#REF!</definedName>
    <definedName name="TESTKEYS">#REF!</definedName>
    <definedName name="TESTVKEY">#REF!</definedName>
    <definedName name="ThirdFloorArchiSum">#REF!</definedName>
    <definedName name="THIRTY">#REF!</definedName>
    <definedName name="THIRTY_EIGHT">#REF!</definedName>
    <definedName name="THIRTY_FIVE">#REF!</definedName>
    <definedName name="THIRTY_FOUR">#REF!</definedName>
    <definedName name="THIRTY_NINE">#REF!</definedName>
    <definedName name="THIRTY_ONE">#REF!</definedName>
    <definedName name="THIRTY_SEVEN">#REF!</definedName>
    <definedName name="THIRTY_SIX">#REF!</definedName>
    <definedName name="THIRTY_THREE">#REF!</definedName>
    <definedName name="THIRTY_TWO">#REF!</definedName>
    <definedName name="THIRTYEIGHT">#REF!</definedName>
    <definedName name="THIRTYFIVE">#REF!</definedName>
    <definedName name="THIRTYFOUR">#REF!</definedName>
    <definedName name="THIRTYNINE">#REF!</definedName>
    <definedName name="THIRTYONE">#REF!</definedName>
    <definedName name="THIRTYSEVEN">#REF!</definedName>
    <definedName name="THIRTYSIX">#REF!</definedName>
    <definedName name="THIRTYTHREE">#REF!</definedName>
    <definedName name="THIRTYTWO">#REF!</definedName>
    <definedName name="threecubicles">#REF!</definedName>
    <definedName name="tie_wire">#REF!</definedName>
    <definedName name="TIME">#N/A</definedName>
    <definedName name="TIME1">#N/A</definedName>
    <definedName name="Title1">#REF!</definedName>
    <definedName name="Title2">#REF!</definedName>
    <definedName name="titles">#REF!,#REF!,#REF!,#REF!,#REF!,#REF!</definedName>
    <definedName name="TOK" hidden="1">#REF!</definedName>
    <definedName name="tol">#REF!</definedName>
    <definedName name="TOOL_DESCRIPTION">#REF!</definedName>
    <definedName name="topl">#REF!</definedName>
    <definedName name="topn">#REF!</definedName>
    <definedName name="TOTAL_NO._OF_BLDGS.">#REF!</definedName>
    <definedName name="TOTAL_QUANTITY_PER_P.O_NO.">#REF!</definedName>
    <definedName name="TOTBUDHR">#REF!</definedName>
    <definedName name="TOTESTTC">#REF!</definedName>
    <definedName name="TOTSPENT">#REF!</definedName>
    <definedName name="Tower1">#REF!</definedName>
    <definedName name="TPT_QTR">#REF!</definedName>
    <definedName name="TR">#REF!</definedName>
    <definedName name="TrafficSings">#REF!</definedName>
    <definedName name="TransactionCosts">#REF!</definedName>
    <definedName name="Transport">#REF!</definedName>
    <definedName name="TROTS_CFA1">#REF!</definedName>
    <definedName name="Turk">#REF!</definedName>
    <definedName name="TWELVE">#REF!</definedName>
    <definedName name="TWENTY">#REF!</definedName>
    <definedName name="TWENTY_EIGHT">#REF!</definedName>
    <definedName name="TWENTY_FIVE">#REF!</definedName>
    <definedName name="TWENTY_FOUR">#REF!</definedName>
    <definedName name="TWENTY_NINE">#REF!</definedName>
    <definedName name="TWENTY_ONE">#REF!</definedName>
    <definedName name="TWENTY_SEVEN">#REF!</definedName>
    <definedName name="TWENTY_SIX">#REF!</definedName>
    <definedName name="TWENTY_THREE">#REF!</definedName>
    <definedName name="TWENTY_TWO">#REF!</definedName>
    <definedName name="TWENTYEIGHT">#REF!</definedName>
    <definedName name="TWENTYFIVE">#REF!</definedName>
    <definedName name="TWENTYFOUR">#REF!</definedName>
    <definedName name="TWENTYNINE">#REF!</definedName>
    <definedName name="TWENTYONE">#REF!</definedName>
    <definedName name="TWENTYSEVEN">#REF!</definedName>
    <definedName name="TWENTYSIX">#REF!</definedName>
    <definedName name="TWENTYTHREE">#REF!</definedName>
    <definedName name="TWENTYTWO">#REF!</definedName>
    <definedName name="type">#REF!</definedName>
    <definedName name="U_G">#N/A</definedName>
    <definedName name="UA">#REF!</definedName>
    <definedName name="UG">#REF!</definedName>
    <definedName name="UIO">#REF!</definedName>
    <definedName name="UNITS">#REF!</definedName>
    <definedName name="USD">1</definedName>
    <definedName name="USDRs">#REF!</definedName>
    <definedName name="USDYen">#REF!</definedName>
    <definedName name="UTILH">#REF!</definedName>
    <definedName name="UTILITY">#REF!</definedName>
    <definedName name="UTILV">#REF!</definedName>
    <definedName name="UTR_QTR">#REF!</definedName>
    <definedName name="V">#REF!</definedName>
    <definedName name="vat">#REF!</definedName>
    <definedName name="vdbdbdb">#REF!</definedName>
    <definedName name="VIEW">#N/A</definedName>
    <definedName name="w" hidden="1">#REF!</definedName>
    <definedName name="WA">#REF!</definedName>
    <definedName name="wall_adj">#REF!</definedName>
    <definedName name="wallmounted">#REF!</definedName>
    <definedName name="wallpaint">#REF!</definedName>
    <definedName name="waste">1.1</definedName>
    <definedName name="wdssubcon">#REF!</definedName>
    <definedName name="WearingCourse">#REF!</definedName>
    <definedName name="wedafaseghr">#REF!</definedName>
    <definedName name="WEEKUPD">#REF!</definedName>
    <definedName name="Windows_Doors">#REF!</definedName>
    <definedName name="wire_mesh">#REF!</definedName>
    <definedName name="Wire_Tab">#REF!</definedName>
    <definedName name="WiringDevice_Tab">#REF!</definedName>
    <definedName name="Workweek">#REF!</definedName>
    <definedName name="wrhse">#REF!</definedName>
    <definedName name="wrn.ALL.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pt1." localSheetId="1" hidden="1">{#N/A,#N/A,FALSE,"Summary"}</definedName>
    <definedName name="wrn.apt1." hidden="1">{#N/A,#N/A,FALSE,"Summary"}</definedName>
    <definedName name="wrn.apt2" localSheetId="1" hidden="1">{#N/A,#N/A,FALSE,"Summary"}</definedName>
    <definedName name="wrn.apt2" hidden="1">{#N/A,#N/A,FALSE,"Summary"}</definedName>
    <definedName name="wrn.BILLS._.OF._.QUANTITY." localSheetId="1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Detail." localSheetId="1" hidden="1">{"Detail",#N/A,FALSE,"Assump";"Detail",#N/A,FALSE,"Muni";"Detail",#N/A,FALSE,"Proj";"Detail",#N/A,FALSE,"Calc";"Present",#N/A,FALSE,"Cover"}</definedName>
    <definedName name="wrn.Detail." hidden="1">{"Detail",#N/A,FALSE,"Assump";"Detail",#N/A,FALSE,"Muni";"Detail",#N/A,FALSE,"Proj";"Detail",#N/A,FALSE,"Calc";"Present",#N/A,FALSE,"Cover"}</definedName>
    <definedName name="wrn.ED." localSheetId="1" hidden="1">{#N/A,#N/A,TRUE,"Equipment installation bm"}</definedName>
    <definedName name="wrn.ED." hidden="1">{#N/A,#N/A,TRUE,"Equipment installation bm"}</definedName>
    <definedName name="wrn.GRAPHS." localSheetId="1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msc._.sw._.feat._.summary." localSheetId="1" hidden="1">{"msc sw feat summary",#N/A,FALSE,"MSC SW Features v. 1.1."}</definedName>
    <definedName name="wrn.msc._.sw._.feat._.summary." hidden="1">{"msc sw feat summary",#N/A,FALSE,"MSC SW Features v. 1.1."}</definedName>
    <definedName name="wrn.P854._.ADDENDUM." localSheetId="1" hidden="1">{#N/A,#N/A,FALSE,"mgtsum.XLS";#N/A,#N/A,FALSE,"CAPONE";#N/A,#N/A,FALSE,"CAPTWO";#N/A,#N/A,FALSE,"CAPTHREE"}</definedName>
    <definedName name="wrn.P854._.ADDENDUM." hidden="1">{#N/A,#N/A,FALSE,"mgtsum.XLS";#N/A,#N/A,FALSE,"CAPONE";#N/A,#N/A,FALSE,"CAPTWO";#N/A,#N/A,FALSE,"CAPTHREE"}</definedName>
    <definedName name="wrn.p854._.addendum2" localSheetId="1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localSheetId="1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lstatement." localSheetId="1" hidden="1">{#N/A,#N/A,FALSE,"Profit &amp; Loss statement"}</definedName>
    <definedName name="wrn.plstatement." hidden="1">{#N/A,#N/A,FALSE,"Profit &amp; Loss statement"}</definedName>
    <definedName name="wrn.Present." localSheetId="1" hidden="1">{"Present",#N/A,FALSE,"Assump";"Present",#N/A,FALSE,"Calc";"Present",#N/A,FALSE,"Cover"}</definedName>
    <definedName name="wrn.Present." hidden="1">{"Present",#N/A,FALSE,"Assump";"Present",#N/A,FALSE,"Calc";"Present",#N/A,FALSE,"Cover"}</definedName>
    <definedName name="wrn.Present.2" localSheetId="1" hidden="1">{"Present",#N/A,FALSE,"Assump";"Present",#N/A,FALSE,"Calc";"Present",#N/A,FALSE,"Cover"}</definedName>
    <definedName name="wrn.Present.2" hidden="1">{"Present",#N/A,FALSE,"Assump";"Present",#N/A,FALSE,"Calc";"Present",#N/A,FALSE,"Cover"}</definedName>
    <definedName name="wrn.Print." localSheetId="1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X">#REF!</definedName>
    <definedName name="xcvbnmk" localSheetId="1" hidden="1">{#N/A,#N/A,FALSE,"mgtsum.XLS";#N/A,#N/A,FALSE,"CAPONE";#N/A,#N/A,FALSE,"CAPTWO";#N/A,#N/A,FALSE,"CAPTHREE"}</definedName>
    <definedName name="xcvbnmk" hidden="1">{#N/A,#N/A,FALSE,"mgtsum.XLS";#N/A,#N/A,FALSE,"CAPONE";#N/A,#N/A,FALSE,"CAPTWO";#N/A,#N/A,FALSE,"CAPTHREE"}</definedName>
    <definedName name="xx">#REF!</definedName>
    <definedName name="YARD">#N/A</definedName>
    <definedName name="YARDLAB">#N/A</definedName>
    <definedName name="YARDMAT">#N/A</definedName>
    <definedName name="YearsToStabilizeFX">#REF!</definedName>
    <definedName name="YEN">#REF!</definedName>
    <definedName name="YES">#N/A</definedName>
    <definedName name="Z">#REF!</definedName>
    <definedName name="Z_64A5637C_AF69_4C06_8364_D9E7DE494AD2_.wvu.Cols">#REF!</definedName>
    <definedName name="Z_64A5637C_AF69_4C06_8364_D9E7DE494AD2_.wvu.PrintArea">#REF!</definedName>
    <definedName name="Z_64A5637C_AF69_4C06_8364_D9E7DE494AD2_.wvu.PrintTitles">#REF!</definedName>
    <definedName name="Z_64A5637C_AF69_4C06_8364_D9E7DE494AD2_.wvu.PrintTitles_1">#REF!</definedName>
    <definedName name="z_general">#REF!</definedName>
    <definedName name="ZERO">#N/A</definedName>
    <definedName name="ㅁ">#N/A</definedName>
    <definedName name="비교표2" hidden="1">#REF!</definedName>
    <definedName name="실행검토" hidden="1">#REF!</definedName>
    <definedName name="실행예상액" hidden="1">#REF!</definedName>
    <definedName name="총괄표0" hidden="1">#REF!</definedName>
    <definedName name="표지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3" l="1"/>
  <c r="H66" i="3"/>
  <c r="G66" i="3"/>
  <c r="F66" i="3"/>
  <c r="I65" i="3"/>
  <c r="H65" i="3"/>
  <c r="G65" i="3"/>
  <c r="F65" i="3"/>
  <c r="I64" i="3"/>
  <c r="H64" i="3"/>
  <c r="G64" i="3"/>
  <c r="F64" i="3"/>
  <c r="I63" i="3"/>
  <c r="H63" i="3"/>
  <c r="G63" i="3"/>
  <c r="F63" i="3"/>
  <c r="I62" i="3"/>
  <c r="H62" i="3"/>
  <c r="G62" i="3"/>
  <c r="F62" i="3"/>
  <c r="I60" i="3"/>
  <c r="H60" i="3"/>
  <c r="G60" i="3"/>
  <c r="F60" i="3"/>
  <c r="J59" i="3"/>
  <c r="I59" i="3"/>
  <c r="H59" i="3"/>
  <c r="G59" i="3"/>
  <c r="F59" i="3"/>
  <c r="J58" i="3"/>
  <c r="I58" i="3"/>
  <c r="H58" i="3"/>
  <c r="G58" i="3"/>
  <c r="F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F51" i="3"/>
  <c r="J50" i="3"/>
  <c r="I50" i="3"/>
  <c r="H50" i="3"/>
  <c r="G50" i="3"/>
  <c r="J49" i="3"/>
  <c r="I49" i="3"/>
  <c r="H49" i="3"/>
  <c r="G49" i="3"/>
  <c r="J48" i="3"/>
  <c r="I48" i="3"/>
  <c r="H48" i="3"/>
  <c r="G48" i="3"/>
  <c r="J47" i="3"/>
  <c r="I47" i="3"/>
  <c r="H47" i="3"/>
  <c r="G47" i="3"/>
  <c r="J46" i="3"/>
  <c r="I46" i="3"/>
  <c r="H46" i="3"/>
  <c r="G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H38" i="3"/>
  <c r="G38" i="3"/>
  <c r="J37" i="3"/>
  <c r="I37" i="3"/>
  <c r="H37" i="3"/>
  <c r="G37" i="3"/>
  <c r="F37" i="3"/>
  <c r="J36" i="3"/>
  <c r="I36" i="3"/>
  <c r="H36" i="3"/>
  <c r="G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F30" i="3"/>
  <c r="J29" i="3"/>
  <c r="I29" i="3"/>
  <c r="H29" i="3"/>
  <c r="G29" i="3"/>
  <c r="F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F11" i="3"/>
  <c r="I6" i="3"/>
  <c r="I5" i="3"/>
  <c r="S676" i="1"/>
  <c r="R676" i="1"/>
  <c r="P676" i="1"/>
  <c r="P675" i="1"/>
  <c r="S674" i="1"/>
  <c r="R674" i="1"/>
  <c r="P674" i="1"/>
  <c r="S673" i="1"/>
  <c r="R673" i="1"/>
  <c r="P673" i="1"/>
  <c r="S672" i="1"/>
  <c r="R672" i="1"/>
  <c r="P672" i="1"/>
  <c r="S671" i="1"/>
  <c r="R671" i="1"/>
  <c r="P671" i="1"/>
  <c r="S670" i="1"/>
  <c r="R670" i="1"/>
  <c r="P670" i="1"/>
  <c r="AJ669" i="1"/>
  <c r="AI669" i="1"/>
  <c r="AH669" i="1"/>
  <c r="AG669" i="1"/>
  <c r="AF669" i="1"/>
  <c r="AE669" i="1"/>
  <c r="AD669" i="1"/>
  <c r="S669" i="1"/>
  <c r="R669" i="1"/>
  <c r="Q669" i="1"/>
  <c r="P669" i="1"/>
  <c r="AJ668" i="1"/>
  <c r="AI668" i="1"/>
  <c r="AH668" i="1"/>
  <c r="AG668" i="1"/>
  <c r="AF668" i="1"/>
  <c r="AE668" i="1"/>
  <c r="AD668" i="1"/>
  <c r="S668" i="1"/>
  <c r="R668" i="1"/>
  <c r="Q668" i="1"/>
  <c r="AJ667" i="1"/>
  <c r="AI667" i="1"/>
  <c r="AH667" i="1"/>
  <c r="AG667" i="1"/>
  <c r="AF667" i="1"/>
  <c r="AE667" i="1"/>
  <c r="AD667" i="1"/>
  <c r="S667" i="1"/>
  <c r="R667" i="1"/>
  <c r="Q667" i="1"/>
  <c r="AJ666" i="1"/>
  <c r="AI666" i="1"/>
  <c r="AH666" i="1"/>
  <c r="AG666" i="1"/>
  <c r="AF666" i="1"/>
  <c r="AE666" i="1"/>
  <c r="AD666" i="1"/>
  <c r="S666" i="1"/>
  <c r="R666" i="1"/>
  <c r="Q666" i="1"/>
  <c r="AJ665" i="1"/>
  <c r="AI665" i="1"/>
  <c r="AH665" i="1"/>
  <c r="AG665" i="1"/>
  <c r="AF665" i="1"/>
  <c r="AE665" i="1"/>
  <c r="AD665" i="1"/>
  <c r="S665" i="1"/>
  <c r="R665" i="1"/>
  <c r="Q665" i="1"/>
  <c r="AJ664" i="1"/>
  <c r="AI664" i="1"/>
  <c r="AH664" i="1"/>
  <c r="AG664" i="1"/>
  <c r="AF664" i="1"/>
  <c r="AE664" i="1"/>
  <c r="AD664" i="1"/>
  <c r="S664" i="1"/>
  <c r="R664" i="1"/>
  <c r="Q664" i="1"/>
  <c r="AJ663" i="1"/>
  <c r="AI663" i="1"/>
  <c r="AH663" i="1"/>
  <c r="AG663" i="1"/>
  <c r="AF663" i="1"/>
  <c r="AE663" i="1"/>
  <c r="AD663" i="1"/>
  <c r="S663" i="1"/>
  <c r="R663" i="1"/>
  <c r="Q663" i="1"/>
  <c r="AJ662" i="1"/>
  <c r="AI662" i="1"/>
  <c r="AH662" i="1"/>
  <c r="AG662" i="1"/>
  <c r="AF662" i="1"/>
  <c r="AE662" i="1"/>
  <c r="AD662" i="1"/>
  <c r="S662" i="1"/>
  <c r="R662" i="1"/>
  <c r="Q662" i="1"/>
  <c r="AJ661" i="1"/>
  <c r="AI661" i="1"/>
  <c r="AH661" i="1"/>
  <c r="AG661" i="1"/>
  <c r="AF661" i="1"/>
  <c r="AE661" i="1"/>
  <c r="AD661" i="1"/>
  <c r="S661" i="1"/>
  <c r="R661" i="1"/>
  <c r="Q661" i="1"/>
  <c r="AJ660" i="1"/>
  <c r="AI660" i="1"/>
  <c r="AH660" i="1"/>
  <c r="AG660" i="1"/>
  <c r="AF660" i="1"/>
  <c r="AE660" i="1"/>
  <c r="AD660" i="1"/>
  <c r="S660" i="1"/>
  <c r="R660" i="1"/>
  <c r="Q660" i="1"/>
  <c r="AJ659" i="1"/>
  <c r="AI659" i="1"/>
  <c r="AH659" i="1"/>
  <c r="AG659" i="1"/>
  <c r="AF659" i="1"/>
  <c r="AE659" i="1"/>
  <c r="AD659" i="1"/>
  <c r="S659" i="1"/>
  <c r="R659" i="1"/>
  <c r="Q659" i="1"/>
  <c r="AJ658" i="1"/>
  <c r="AI658" i="1"/>
  <c r="AH658" i="1"/>
  <c r="AG658" i="1"/>
  <c r="AF658" i="1"/>
  <c r="AE658" i="1"/>
  <c r="AD658" i="1"/>
  <c r="S658" i="1"/>
  <c r="R658" i="1"/>
  <c r="Q658" i="1"/>
  <c r="AJ657" i="1"/>
  <c r="AI657" i="1"/>
  <c r="AH657" i="1"/>
  <c r="AG657" i="1"/>
  <c r="AF657" i="1"/>
  <c r="AE657" i="1"/>
  <c r="AD657" i="1"/>
  <c r="S657" i="1"/>
  <c r="R657" i="1"/>
  <c r="Q657" i="1"/>
  <c r="AJ656" i="1"/>
  <c r="AI656" i="1"/>
  <c r="AH656" i="1"/>
  <c r="AG656" i="1"/>
  <c r="AF656" i="1"/>
  <c r="AE656" i="1"/>
  <c r="AD656" i="1"/>
  <c r="S656" i="1"/>
  <c r="R656" i="1"/>
  <c r="Q656" i="1"/>
  <c r="AJ655" i="1"/>
  <c r="AI655" i="1"/>
  <c r="AH655" i="1"/>
  <c r="AG655" i="1"/>
  <c r="AF655" i="1"/>
  <c r="AE655" i="1"/>
  <c r="AD655" i="1"/>
  <c r="S655" i="1"/>
  <c r="R655" i="1"/>
  <c r="Q655" i="1"/>
  <c r="AJ654" i="1"/>
  <c r="AI654" i="1"/>
  <c r="AH654" i="1"/>
  <c r="AG654" i="1"/>
  <c r="AF654" i="1"/>
  <c r="AE654" i="1"/>
  <c r="AD654" i="1"/>
  <c r="S654" i="1"/>
  <c r="R654" i="1"/>
  <c r="Q654" i="1"/>
  <c r="AJ653" i="1"/>
  <c r="AI653" i="1"/>
  <c r="AH653" i="1"/>
  <c r="AG653" i="1"/>
  <c r="AF653" i="1"/>
  <c r="AE653" i="1"/>
  <c r="AD653" i="1"/>
  <c r="S653" i="1"/>
  <c r="R653" i="1"/>
  <c r="Q653" i="1"/>
  <c r="AJ652" i="1"/>
  <c r="AI652" i="1"/>
  <c r="AH652" i="1"/>
  <c r="AG652" i="1"/>
  <c r="AF652" i="1"/>
  <c r="AE652" i="1"/>
  <c r="AD652" i="1"/>
  <c r="S652" i="1"/>
  <c r="R652" i="1"/>
  <c r="Q652" i="1"/>
  <c r="AJ651" i="1"/>
  <c r="AI651" i="1"/>
  <c r="AH651" i="1"/>
  <c r="AG651" i="1"/>
  <c r="AF651" i="1"/>
  <c r="AE651" i="1"/>
  <c r="AD651" i="1"/>
  <c r="S651" i="1"/>
  <c r="R651" i="1"/>
  <c r="Q651" i="1"/>
  <c r="AJ650" i="1"/>
  <c r="AI650" i="1"/>
  <c r="AH650" i="1"/>
  <c r="AG650" i="1"/>
  <c r="AF650" i="1"/>
  <c r="AE650" i="1"/>
  <c r="AD650" i="1"/>
  <c r="S650" i="1"/>
  <c r="R650" i="1"/>
  <c r="Q650" i="1"/>
  <c r="AJ649" i="1"/>
  <c r="AI649" i="1"/>
  <c r="AH649" i="1"/>
  <c r="AG649" i="1"/>
  <c r="AF649" i="1"/>
  <c r="AE649" i="1"/>
  <c r="AD649" i="1"/>
  <c r="S649" i="1"/>
  <c r="R649" i="1"/>
  <c r="Q649" i="1"/>
  <c r="AJ648" i="1"/>
  <c r="AI648" i="1"/>
  <c r="AH648" i="1"/>
  <c r="AG648" i="1"/>
  <c r="AF648" i="1"/>
  <c r="AE648" i="1"/>
  <c r="AD648" i="1"/>
  <c r="S648" i="1"/>
  <c r="R648" i="1"/>
  <c r="Q648" i="1"/>
  <c r="AJ647" i="1"/>
  <c r="AI647" i="1"/>
  <c r="AH647" i="1"/>
  <c r="AG647" i="1"/>
  <c r="AF647" i="1"/>
  <c r="AE647" i="1"/>
  <c r="AD647" i="1"/>
  <c r="S647" i="1"/>
  <c r="R647" i="1"/>
  <c r="Q647" i="1"/>
  <c r="AJ646" i="1"/>
  <c r="AI646" i="1"/>
  <c r="AH646" i="1"/>
  <c r="AG646" i="1"/>
  <c r="AF646" i="1"/>
  <c r="AE646" i="1"/>
  <c r="AD646" i="1"/>
  <c r="S646" i="1"/>
  <c r="R646" i="1"/>
  <c r="Q646" i="1"/>
  <c r="AJ645" i="1"/>
  <c r="AI645" i="1"/>
  <c r="AH645" i="1"/>
  <c r="AG645" i="1"/>
  <c r="AF645" i="1"/>
  <c r="AE645" i="1"/>
  <c r="AD645" i="1"/>
  <c r="S645" i="1"/>
  <c r="R645" i="1"/>
  <c r="Q645" i="1"/>
  <c r="AJ644" i="1"/>
  <c r="AI644" i="1"/>
  <c r="AH644" i="1"/>
  <c r="AG644" i="1"/>
  <c r="AF644" i="1"/>
  <c r="AE644" i="1"/>
  <c r="AD644" i="1"/>
  <c r="S644" i="1"/>
  <c r="R644" i="1"/>
  <c r="Q644" i="1"/>
  <c r="AJ643" i="1"/>
  <c r="AI643" i="1"/>
  <c r="AH643" i="1"/>
  <c r="AG643" i="1"/>
  <c r="AF643" i="1"/>
  <c r="AE643" i="1"/>
  <c r="AD643" i="1"/>
  <c r="S643" i="1"/>
  <c r="R643" i="1"/>
  <c r="Q643" i="1"/>
  <c r="AJ642" i="1"/>
  <c r="AI642" i="1"/>
  <c r="AH642" i="1"/>
  <c r="AG642" i="1"/>
  <c r="AF642" i="1"/>
  <c r="AE642" i="1"/>
  <c r="AD642" i="1"/>
  <c r="S642" i="1"/>
  <c r="R642" i="1"/>
  <c r="Q642" i="1"/>
  <c r="AJ641" i="1"/>
  <c r="AI641" i="1"/>
  <c r="AH641" i="1"/>
  <c r="AG641" i="1"/>
  <c r="AF641" i="1"/>
  <c r="AE641" i="1"/>
  <c r="AD641" i="1"/>
  <c r="S641" i="1"/>
  <c r="R641" i="1"/>
  <c r="Q641" i="1"/>
  <c r="AJ640" i="1"/>
  <c r="AI640" i="1"/>
  <c r="AH640" i="1"/>
  <c r="AG640" i="1"/>
  <c r="AF640" i="1"/>
  <c r="AE640" i="1"/>
  <c r="AD640" i="1"/>
  <c r="S640" i="1"/>
  <c r="R640" i="1"/>
  <c r="Q640" i="1"/>
  <c r="AJ639" i="1"/>
  <c r="AI639" i="1"/>
  <c r="AH639" i="1"/>
  <c r="AG639" i="1"/>
  <c r="AF639" i="1"/>
  <c r="AE639" i="1"/>
  <c r="AD639" i="1"/>
  <c r="S639" i="1"/>
  <c r="R639" i="1"/>
  <c r="Q639" i="1"/>
  <c r="AJ638" i="1"/>
  <c r="AI638" i="1"/>
  <c r="AH638" i="1"/>
  <c r="AG638" i="1"/>
  <c r="AF638" i="1"/>
  <c r="AE638" i="1"/>
  <c r="AD638" i="1"/>
  <c r="S638" i="1"/>
  <c r="R638" i="1"/>
  <c r="Q638" i="1"/>
  <c r="AJ637" i="1"/>
  <c r="AI637" i="1"/>
  <c r="AH637" i="1"/>
  <c r="AG637" i="1"/>
  <c r="AF637" i="1"/>
  <c r="AE637" i="1"/>
  <c r="AD637" i="1"/>
  <c r="S637" i="1"/>
  <c r="R637" i="1"/>
  <c r="Q637" i="1"/>
  <c r="AJ636" i="1"/>
  <c r="AI636" i="1"/>
  <c r="AH636" i="1"/>
  <c r="AG636" i="1"/>
  <c r="AF636" i="1"/>
  <c r="AE636" i="1"/>
  <c r="AD636" i="1"/>
  <c r="S636" i="1"/>
  <c r="R636" i="1"/>
  <c r="Q636" i="1"/>
  <c r="AJ635" i="1"/>
  <c r="AI635" i="1"/>
  <c r="AH635" i="1"/>
  <c r="AG635" i="1"/>
  <c r="AF635" i="1"/>
  <c r="AE635" i="1"/>
  <c r="AD635" i="1"/>
  <c r="S635" i="1"/>
  <c r="R635" i="1"/>
  <c r="Q635" i="1"/>
  <c r="AJ634" i="1"/>
  <c r="AI634" i="1"/>
  <c r="AH634" i="1"/>
  <c r="AG634" i="1"/>
  <c r="AF634" i="1"/>
  <c r="AE634" i="1"/>
  <c r="AD634" i="1"/>
  <c r="S634" i="1"/>
  <c r="R634" i="1"/>
  <c r="Q634" i="1"/>
  <c r="AJ633" i="1"/>
  <c r="AI633" i="1"/>
  <c r="AH633" i="1"/>
  <c r="AG633" i="1"/>
  <c r="AF633" i="1"/>
  <c r="AE633" i="1"/>
  <c r="AD633" i="1"/>
  <c r="S633" i="1"/>
  <c r="R633" i="1"/>
  <c r="Q633" i="1"/>
  <c r="AJ632" i="1"/>
  <c r="AI632" i="1"/>
  <c r="AH632" i="1"/>
  <c r="AG632" i="1"/>
  <c r="AF632" i="1"/>
  <c r="AE632" i="1"/>
  <c r="AD632" i="1"/>
  <c r="S632" i="1"/>
  <c r="R632" i="1"/>
  <c r="Q632" i="1"/>
  <c r="AJ631" i="1"/>
  <c r="AI631" i="1"/>
  <c r="AH631" i="1"/>
  <c r="AG631" i="1"/>
  <c r="AF631" i="1"/>
  <c r="AE631" i="1"/>
  <c r="AD631" i="1"/>
  <c r="S631" i="1"/>
  <c r="R631" i="1"/>
  <c r="Q631" i="1"/>
  <c r="AJ630" i="1"/>
  <c r="AI630" i="1"/>
  <c r="AH630" i="1"/>
  <c r="AG630" i="1"/>
  <c r="AF630" i="1"/>
  <c r="AE630" i="1"/>
  <c r="AD630" i="1"/>
  <c r="S630" i="1"/>
  <c r="R630" i="1"/>
  <c r="Q630" i="1"/>
  <c r="AJ629" i="1"/>
  <c r="AI629" i="1"/>
  <c r="AH629" i="1"/>
  <c r="AG629" i="1"/>
  <c r="AF629" i="1"/>
  <c r="AE629" i="1"/>
  <c r="AD629" i="1"/>
  <c r="S629" i="1"/>
  <c r="R629" i="1"/>
  <c r="Q629" i="1"/>
  <c r="AJ628" i="1"/>
  <c r="AI628" i="1"/>
  <c r="AH628" i="1"/>
  <c r="AG628" i="1"/>
  <c r="AF628" i="1"/>
  <c r="AE628" i="1"/>
  <c r="AD628" i="1"/>
  <c r="S628" i="1"/>
  <c r="R628" i="1"/>
  <c r="Q628" i="1"/>
  <c r="AJ627" i="1"/>
  <c r="AI627" i="1"/>
  <c r="AH627" i="1"/>
  <c r="AG627" i="1"/>
  <c r="AF627" i="1"/>
  <c r="AE627" i="1"/>
  <c r="AD627" i="1"/>
  <c r="S627" i="1"/>
  <c r="R627" i="1"/>
  <c r="Q627" i="1"/>
  <c r="AJ626" i="1"/>
  <c r="AI626" i="1"/>
  <c r="AH626" i="1"/>
  <c r="AG626" i="1"/>
  <c r="AF626" i="1"/>
  <c r="AE626" i="1"/>
  <c r="AD626" i="1"/>
  <c r="S626" i="1"/>
  <c r="R626" i="1"/>
  <c r="Q626" i="1"/>
  <c r="AJ625" i="1"/>
  <c r="AI625" i="1"/>
  <c r="AH625" i="1"/>
  <c r="AG625" i="1"/>
  <c r="AF625" i="1"/>
  <c r="AE625" i="1"/>
  <c r="AD625" i="1"/>
  <c r="S625" i="1"/>
  <c r="R625" i="1"/>
  <c r="Q625" i="1"/>
  <c r="AJ624" i="1"/>
  <c r="AI624" i="1"/>
  <c r="AH624" i="1"/>
  <c r="AG624" i="1"/>
  <c r="AF624" i="1"/>
  <c r="AE624" i="1"/>
  <c r="AD624" i="1"/>
  <c r="S624" i="1"/>
  <c r="R624" i="1"/>
  <c r="Q624" i="1"/>
  <c r="AJ623" i="1"/>
  <c r="AI623" i="1"/>
  <c r="AH623" i="1"/>
  <c r="AG623" i="1"/>
  <c r="AF623" i="1"/>
  <c r="AE623" i="1"/>
  <c r="AD623" i="1"/>
  <c r="S623" i="1"/>
  <c r="R623" i="1"/>
  <c r="Q623" i="1"/>
  <c r="AJ622" i="1"/>
  <c r="AI622" i="1"/>
  <c r="AH622" i="1"/>
  <c r="AG622" i="1"/>
  <c r="AF622" i="1"/>
  <c r="AE622" i="1"/>
  <c r="AD622" i="1"/>
  <c r="S622" i="1"/>
  <c r="R622" i="1"/>
  <c r="Q622" i="1"/>
  <c r="AJ621" i="1"/>
  <c r="AI621" i="1"/>
  <c r="AH621" i="1"/>
  <c r="AG621" i="1"/>
  <c r="AF621" i="1"/>
  <c r="AE621" i="1"/>
  <c r="AD621" i="1"/>
  <c r="S621" i="1"/>
  <c r="R621" i="1"/>
  <c r="Q621" i="1"/>
  <c r="AJ620" i="1"/>
  <c r="AI620" i="1"/>
  <c r="AH620" i="1"/>
  <c r="AG620" i="1"/>
  <c r="AF620" i="1"/>
  <c r="AE620" i="1"/>
  <c r="AD620" i="1"/>
  <c r="S620" i="1"/>
  <c r="R620" i="1"/>
  <c r="Q620" i="1"/>
  <c r="AJ619" i="1"/>
  <c r="AI619" i="1"/>
  <c r="AH619" i="1"/>
  <c r="AG619" i="1"/>
  <c r="AF619" i="1"/>
  <c r="AE619" i="1"/>
  <c r="AD619" i="1"/>
  <c r="S619" i="1"/>
  <c r="R619" i="1"/>
  <c r="Q619" i="1"/>
  <c r="AJ618" i="1"/>
  <c r="AI618" i="1"/>
  <c r="AH618" i="1"/>
  <c r="AG618" i="1"/>
  <c r="AF618" i="1"/>
  <c r="AE618" i="1"/>
  <c r="AD618" i="1"/>
  <c r="S618" i="1"/>
  <c r="R618" i="1"/>
  <c r="Q618" i="1"/>
  <c r="AJ617" i="1"/>
  <c r="AI617" i="1"/>
  <c r="AH617" i="1"/>
  <c r="AG617" i="1"/>
  <c r="AF617" i="1"/>
  <c r="AE617" i="1"/>
  <c r="AD617" i="1"/>
  <c r="S617" i="1"/>
  <c r="R617" i="1"/>
  <c r="Q617" i="1"/>
  <c r="AJ616" i="1"/>
  <c r="AI616" i="1"/>
  <c r="AH616" i="1"/>
  <c r="AG616" i="1"/>
  <c r="AF616" i="1"/>
  <c r="AE616" i="1"/>
  <c r="AD616" i="1"/>
  <c r="S616" i="1"/>
  <c r="R616" i="1"/>
  <c r="Q616" i="1"/>
  <c r="AJ615" i="1"/>
  <c r="AI615" i="1"/>
  <c r="AH615" i="1"/>
  <c r="AG615" i="1"/>
  <c r="AF615" i="1"/>
  <c r="AE615" i="1"/>
  <c r="AD615" i="1"/>
  <c r="S615" i="1"/>
  <c r="R615" i="1"/>
  <c r="Q615" i="1"/>
  <c r="AJ614" i="1"/>
  <c r="AI614" i="1"/>
  <c r="AH614" i="1"/>
  <c r="AG614" i="1"/>
  <c r="AF614" i="1"/>
  <c r="AE614" i="1"/>
  <c r="AD614" i="1"/>
  <c r="S614" i="1"/>
  <c r="R614" i="1"/>
  <c r="Q614" i="1"/>
  <c r="AJ613" i="1"/>
  <c r="AI613" i="1"/>
  <c r="AH613" i="1"/>
  <c r="AG613" i="1"/>
  <c r="AF613" i="1"/>
  <c r="AE613" i="1"/>
  <c r="AD613" i="1"/>
  <c r="S613" i="1"/>
  <c r="R613" i="1"/>
  <c r="Q613" i="1"/>
  <c r="AJ612" i="1"/>
  <c r="AI612" i="1"/>
  <c r="AH612" i="1"/>
  <c r="AG612" i="1"/>
  <c r="AF612" i="1"/>
  <c r="AE612" i="1"/>
  <c r="AD612" i="1"/>
  <c r="S612" i="1"/>
  <c r="R612" i="1"/>
  <c r="Q612" i="1"/>
  <c r="AJ611" i="1"/>
  <c r="AI611" i="1"/>
  <c r="AH611" i="1"/>
  <c r="AG611" i="1"/>
  <c r="AF611" i="1"/>
  <c r="AE611" i="1"/>
  <c r="AD611" i="1"/>
  <c r="S611" i="1"/>
  <c r="R611" i="1"/>
  <c r="Q611" i="1"/>
  <c r="AJ610" i="1"/>
  <c r="AI610" i="1"/>
  <c r="AH610" i="1"/>
  <c r="AG610" i="1"/>
  <c r="AF610" i="1"/>
  <c r="AE610" i="1"/>
  <c r="AD610" i="1"/>
  <c r="S610" i="1"/>
  <c r="R610" i="1"/>
  <c r="Q610" i="1"/>
  <c r="AJ609" i="1"/>
  <c r="AI609" i="1"/>
  <c r="AH609" i="1"/>
  <c r="AG609" i="1"/>
  <c r="AF609" i="1"/>
  <c r="AE609" i="1"/>
  <c r="AD609" i="1"/>
  <c r="S609" i="1"/>
  <c r="R609" i="1"/>
  <c r="Q609" i="1"/>
  <c r="AJ608" i="1"/>
  <c r="AI608" i="1"/>
  <c r="AH608" i="1"/>
  <c r="AG608" i="1"/>
  <c r="AF608" i="1"/>
  <c r="AE608" i="1"/>
  <c r="AD608" i="1"/>
  <c r="S608" i="1"/>
  <c r="R608" i="1"/>
  <c r="Q608" i="1"/>
  <c r="AJ607" i="1"/>
  <c r="AI607" i="1"/>
  <c r="AH607" i="1"/>
  <c r="AG607" i="1"/>
  <c r="AF607" i="1"/>
  <c r="AE607" i="1"/>
  <c r="AD607" i="1"/>
  <c r="S607" i="1"/>
  <c r="R607" i="1"/>
  <c r="Q607" i="1"/>
  <c r="AJ606" i="1"/>
  <c r="AI606" i="1"/>
  <c r="AH606" i="1"/>
  <c r="AG606" i="1"/>
  <c r="AF606" i="1"/>
  <c r="AE606" i="1"/>
  <c r="AD606" i="1"/>
  <c r="S606" i="1"/>
  <c r="R606" i="1"/>
  <c r="Q606" i="1"/>
  <c r="AJ605" i="1"/>
  <c r="AI605" i="1"/>
  <c r="AH605" i="1"/>
  <c r="AG605" i="1"/>
  <c r="AF605" i="1"/>
  <c r="AE605" i="1"/>
  <c r="AD605" i="1"/>
  <c r="S605" i="1"/>
  <c r="R605" i="1"/>
  <c r="Q605" i="1"/>
  <c r="AJ604" i="1"/>
  <c r="AI604" i="1"/>
  <c r="AH604" i="1"/>
  <c r="AG604" i="1"/>
  <c r="AF604" i="1"/>
  <c r="AE604" i="1"/>
  <c r="AD604" i="1"/>
  <c r="S604" i="1"/>
  <c r="R604" i="1"/>
  <c r="Q604" i="1"/>
  <c r="AJ603" i="1"/>
  <c r="AI603" i="1"/>
  <c r="AH603" i="1"/>
  <c r="AG603" i="1"/>
  <c r="AF603" i="1"/>
  <c r="AE603" i="1"/>
  <c r="AD603" i="1"/>
  <c r="S603" i="1"/>
  <c r="R603" i="1"/>
  <c r="Q603" i="1"/>
  <c r="AJ602" i="1"/>
  <c r="AI602" i="1"/>
  <c r="AH602" i="1"/>
  <c r="AG602" i="1"/>
  <c r="AF602" i="1"/>
  <c r="AE602" i="1"/>
  <c r="AD602" i="1"/>
  <c r="S602" i="1"/>
  <c r="R602" i="1"/>
  <c r="Q602" i="1"/>
  <c r="AJ601" i="1"/>
  <c r="AI601" i="1"/>
  <c r="AH601" i="1"/>
  <c r="AG601" i="1"/>
  <c r="AF601" i="1"/>
  <c r="AE601" i="1"/>
  <c r="AD601" i="1"/>
  <c r="S601" i="1"/>
  <c r="R601" i="1"/>
  <c r="Q601" i="1"/>
  <c r="AJ600" i="1"/>
  <c r="AI600" i="1"/>
  <c r="AH600" i="1"/>
  <c r="AG600" i="1"/>
  <c r="AF600" i="1"/>
  <c r="AE600" i="1"/>
  <c r="AD600" i="1"/>
  <c r="S600" i="1"/>
  <c r="R600" i="1"/>
  <c r="Q600" i="1"/>
  <c r="AJ599" i="1"/>
  <c r="AI599" i="1"/>
  <c r="AH599" i="1"/>
  <c r="AG599" i="1"/>
  <c r="AF599" i="1"/>
  <c r="AE599" i="1"/>
  <c r="AD599" i="1"/>
  <c r="S599" i="1"/>
  <c r="R599" i="1"/>
  <c r="Q599" i="1"/>
  <c r="AJ598" i="1"/>
  <c r="AI598" i="1"/>
  <c r="AH598" i="1"/>
  <c r="AG598" i="1"/>
  <c r="AF598" i="1"/>
  <c r="AE598" i="1"/>
  <c r="AD598" i="1"/>
  <c r="S598" i="1"/>
  <c r="R598" i="1"/>
  <c r="Q598" i="1"/>
  <c r="AJ597" i="1"/>
  <c r="AI597" i="1"/>
  <c r="AH597" i="1"/>
  <c r="AG597" i="1"/>
  <c r="AF597" i="1"/>
  <c r="AE597" i="1"/>
  <c r="AD597" i="1"/>
  <c r="S597" i="1"/>
  <c r="R597" i="1"/>
  <c r="Q597" i="1"/>
  <c r="AJ596" i="1"/>
  <c r="AI596" i="1"/>
  <c r="AH596" i="1"/>
  <c r="AG596" i="1"/>
  <c r="AF596" i="1"/>
  <c r="AE596" i="1"/>
  <c r="AD596" i="1"/>
  <c r="S596" i="1"/>
  <c r="R596" i="1"/>
  <c r="Q596" i="1"/>
  <c r="AJ595" i="1"/>
  <c r="AI595" i="1"/>
  <c r="AH595" i="1"/>
  <c r="AG595" i="1"/>
  <c r="AF595" i="1"/>
  <c r="AE595" i="1"/>
  <c r="AD595" i="1"/>
  <c r="S595" i="1"/>
  <c r="R595" i="1"/>
  <c r="Q595" i="1"/>
  <c r="AJ594" i="1"/>
  <c r="AI594" i="1"/>
  <c r="AH594" i="1"/>
  <c r="AG594" i="1"/>
  <c r="AF594" i="1"/>
  <c r="AE594" i="1"/>
  <c r="AD594" i="1"/>
  <c r="S594" i="1"/>
  <c r="R594" i="1"/>
  <c r="Q594" i="1"/>
  <c r="AJ593" i="1"/>
  <c r="AI593" i="1"/>
  <c r="AH593" i="1"/>
  <c r="AG593" i="1"/>
  <c r="AF593" i="1"/>
  <c r="AE593" i="1"/>
  <c r="AD593" i="1"/>
  <c r="S593" i="1"/>
  <c r="R593" i="1"/>
  <c r="Q593" i="1"/>
  <c r="AJ592" i="1"/>
  <c r="AI592" i="1"/>
  <c r="AH592" i="1"/>
  <c r="AG592" i="1"/>
  <c r="AF592" i="1"/>
  <c r="AE592" i="1"/>
  <c r="AD592" i="1"/>
  <c r="S592" i="1"/>
  <c r="R592" i="1"/>
  <c r="Q592" i="1"/>
  <c r="AJ591" i="1"/>
  <c r="AI591" i="1"/>
  <c r="AH591" i="1"/>
  <c r="AG591" i="1"/>
  <c r="AF591" i="1"/>
  <c r="AE591" i="1"/>
  <c r="AD591" i="1"/>
  <c r="S591" i="1"/>
  <c r="R591" i="1"/>
  <c r="Q591" i="1"/>
  <c r="AJ590" i="1"/>
  <c r="AI590" i="1"/>
  <c r="AH590" i="1"/>
  <c r="AG590" i="1"/>
  <c r="AF590" i="1"/>
  <c r="AE590" i="1"/>
  <c r="AD590" i="1"/>
  <c r="S590" i="1"/>
  <c r="R590" i="1"/>
  <c r="Q590" i="1"/>
  <c r="AJ589" i="1"/>
  <c r="AI589" i="1"/>
  <c r="AH589" i="1"/>
  <c r="AG589" i="1"/>
  <c r="AF589" i="1"/>
  <c r="AE589" i="1"/>
  <c r="AD589" i="1"/>
  <c r="S589" i="1"/>
  <c r="R589" i="1"/>
  <c r="Q589" i="1"/>
  <c r="AJ588" i="1"/>
  <c r="AI588" i="1"/>
  <c r="AH588" i="1"/>
  <c r="AG588" i="1"/>
  <c r="AF588" i="1"/>
  <c r="AE588" i="1"/>
  <c r="AD588" i="1"/>
  <c r="S588" i="1"/>
  <c r="R588" i="1"/>
  <c r="Q588" i="1"/>
  <c r="AJ587" i="1"/>
  <c r="AI587" i="1"/>
  <c r="AH587" i="1"/>
  <c r="AG587" i="1"/>
  <c r="AF587" i="1"/>
  <c r="AE587" i="1"/>
  <c r="AD587" i="1"/>
  <c r="S587" i="1"/>
  <c r="R587" i="1"/>
  <c r="Q587" i="1"/>
  <c r="AJ586" i="1"/>
  <c r="AI586" i="1"/>
  <c r="AH586" i="1"/>
  <c r="AG586" i="1"/>
  <c r="AF586" i="1"/>
  <c r="AE586" i="1"/>
  <c r="AD586" i="1"/>
  <c r="S586" i="1"/>
  <c r="R586" i="1"/>
  <c r="Q586" i="1"/>
  <c r="AJ585" i="1"/>
  <c r="AI585" i="1"/>
  <c r="AH585" i="1"/>
  <c r="AG585" i="1"/>
  <c r="AF585" i="1"/>
  <c r="AE585" i="1"/>
  <c r="AD585" i="1"/>
  <c r="S585" i="1"/>
  <c r="R585" i="1"/>
  <c r="Q585" i="1"/>
  <c r="AJ584" i="1"/>
  <c r="AI584" i="1"/>
  <c r="AH584" i="1"/>
  <c r="AG584" i="1"/>
  <c r="AF584" i="1"/>
  <c r="AE584" i="1"/>
  <c r="AD584" i="1"/>
  <c r="S584" i="1"/>
  <c r="R584" i="1"/>
  <c r="Q584" i="1"/>
  <c r="AJ583" i="1"/>
  <c r="AI583" i="1"/>
  <c r="AH583" i="1"/>
  <c r="AG583" i="1"/>
  <c r="AF583" i="1"/>
  <c r="AE583" i="1"/>
  <c r="AD583" i="1"/>
  <c r="S583" i="1"/>
  <c r="R583" i="1"/>
  <c r="Q583" i="1"/>
  <c r="AJ582" i="1"/>
  <c r="AI582" i="1"/>
  <c r="AH582" i="1"/>
  <c r="AG582" i="1"/>
  <c r="AF582" i="1"/>
  <c r="AE582" i="1"/>
  <c r="AD582" i="1"/>
  <c r="S582" i="1"/>
  <c r="R582" i="1"/>
  <c r="Q582" i="1"/>
  <c r="AJ581" i="1"/>
  <c r="AI581" i="1"/>
  <c r="AH581" i="1"/>
  <c r="AG581" i="1"/>
  <c r="AF581" i="1"/>
  <c r="AE581" i="1"/>
  <c r="AD581" i="1"/>
  <c r="S581" i="1"/>
  <c r="R581" i="1"/>
  <c r="Q581" i="1"/>
  <c r="AJ580" i="1"/>
  <c r="AI580" i="1"/>
  <c r="AH580" i="1"/>
  <c r="AG580" i="1"/>
  <c r="AF580" i="1"/>
  <c r="AE580" i="1"/>
  <c r="AD580" i="1"/>
  <c r="S580" i="1"/>
  <c r="R580" i="1"/>
  <c r="Q580" i="1"/>
  <c r="AJ579" i="1"/>
  <c r="AI579" i="1"/>
  <c r="AH579" i="1"/>
  <c r="AG579" i="1"/>
  <c r="AF579" i="1"/>
  <c r="AE579" i="1"/>
  <c r="AD579" i="1"/>
  <c r="S579" i="1"/>
  <c r="R579" i="1"/>
  <c r="Q579" i="1"/>
  <c r="AJ578" i="1"/>
  <c r="AI578" i="1"/>
  <c r="AH578" i="1"/>
  <c r="AG578" i="1"/>
  <c r="AF578" i="1"/>
  <c r="AE578" i="1"/>
  <c r="AD578" i="1"/>
  <c r="S578" i="1"/>
  <c r="R578" i="1"/>
  <c r="Q578" i="1"/>
  <c r="AJ577" i="1"/>
  <c r="AI577" i="1"/>
  <c r="AH577" i="1"/>
  <c r="AG577" i="1"/>
  <c r="AF577" i="1"/>
  <c r="AE577" i="1"/>
  <c r="AD577" i="1"/>
  <c r="S577" i="1"/>
  <c r="R577" i="1"/>
  <c r="Q577" i="1"/>
  <c r="AJ576" i="1"/>
  <c r="AI576" i="1"/>
  <c r="AH576" i="1"/>
  <c r="AG576" i="1"/>
  <c r="AF576" i="1"/>
  <c r="AE576" i="1"/>
  <c r="AD576" i="1"/>
  <c r="S576" i="1"/>
  <c r="R576" i="1"/>
  <c r="Q576" i="1"/>
  <c r="AJ575" i="1"/>
  <c r="AI575" i="1"/>
  <c r="AH575" i="1"/>
  <c r="AG575" i="1"/>
  <c r="AF575" i="1"/>
  <c r="AE575" i="1"/>
  <c r="AD575" i="1"/>
  <c r="S575" i="1"/>
  <c r="R575" i="1"/>
  <c r="Q575" i="1"/>
  <c r="AJ574" i="1"/>
  <c r="AI574" i="1"/>
  <c r="AH574" i="1"/>
  <c r="AG574" i="1"/>
  <c r="AF574" i="1"/>
  <c r="AE574" i="1"/>
  <c r="AD574" i="1"/>
  <c r="S574" i="1"/>
  <c r="R574" i="1"/>
  <c r="Q574" i="1"/>
  <c r="AJ573" i="1"/>
  <c r="AI573" i="1"/>
  <c r="AH573" i="1"/>
  <c r="AG573" i="1"/>
  <c r="AF573" i="1"/>
  <c r="AE573" i="1"/>
  <c r="AD573" i="1"/>
  <c r="S573" i="1"/>
  <c r="R573" i="1"/>
  <c r="Q573" i="1"/>
  <c r="AJ572" i="1"/>
  <c r="AI572" i="1"/>
  <c r="AH572" i="1"/>
  <c r="AG572" i="1"/>
  <c r="AF572" i="1"/>
  <c r="AE572" i="1"/>
  <c r="AD572" i="1"/>
  <c r="S572" i="1"/>
  <c r="R572" i="1"/>
  <c r="Q572" i="1"/>
  <c r="AJ571" i="1"/>
  <c r="AI571" i="1"/>
  <c r="AH571" i="1"/>
  <c r="AG571" i="1"/>
  <c r="AF571" i="1"/>
  <c r="AE571" i="1"/>
  <c r="AD571" i="1"/>
  <c r="S571" i="1"/>
  <c r="R571" i="1"/>
  <c r="Q571" i="1"/>
  <c r="AJ570" i="1"/>
  <c r="AI570" i="1"/>
  <c r="AH570" i="1"/>
  <c r="AG570" i="1"/>
  <c r="AF570" i="1"/>
  <c r="AE570" i="1"/>
  <c r="AD570" i="1"/>
  <c r="S570" i="1"/>
  <c r="R570" i="1"/>
  <c r="Q570" i="1"/>
  <c r="AJ569" i="1"/>
  <c r="AI569" i="1"/>
  <c r="AH569" i="1"/>
  <c r="AG569" i="1"/>
  <c r="AF569" i="1"/>
  <c r="AE569" i="1"/>
  <c r="AD569" i="1"/>
  <c r="S569" i="1"/>
  <c r="R569" i="1"/>
  <c r="Q569" i="1"/>
  <c r="AJ568" i="1"/>
  <c r="AI568" i="1"/>
  <c r="AH568" i="1"/>
  <c r="AG568" i="1"/>
  <c r="AF568" i="1"/>
  <c r="AE568" i="1"/>
  <c r="AD568" i="1"/>
  <c r="S568" i="1"/>
  <c r="R568" i="1"/>
  <c r="Q568" i="1"/>
  <c r="AJ567" i="1"/>
  <c r="AI567" i="1"/>
  <c r="AH567" i="1"/>
  <c r="AG567" i="1"/>
  <c r="AF567" i="1"/>
  <c r="AE567" i="1"/>
  <c r="AD567" i="1"/>
  <c r="S567" i="1"/>
  <c r="R567" i="1"/>
  <c r="Q567" i="1"/>
  <c r="AJ566" i="1"/>
  <c r="AI566" i="1"/>
  <c r="AH566" i="1"/>
  <c r="AG566" i="1"/>
  <c r="AF566" i="1"/>
  <c r="AE566" i="1"/>
  <c r="AD566" i="1"/>
  <c r="S566" i="1"/>
  <c r="R566" i="1"/>
  <c r="Q566" i="1"/>
  <c r="AJ565" i="1"/>
  <c r="AI565" i="1"/>
  <c r="AH565" i="1"/>
  <c r="AG565" i="1"/>
  <c r="AF565" i="1"/>
  <c r="AE565" i="1"/>
  <c r="AD565" i="1"/>
  <c r="S565" i="1"/>
  <c r="R565" i="1"/>
  <c r="Q565" i="1"/>
  <c r="AJ564" i="1"/>
  <c r="AI564" i="1"/>
  <c r="AH564" i="1"/>
  <c r="AG564" i="1"/>
  <c r="AF564" i="1"/>
  <c r="AE564" i="1"/>
  <c r="AD564" i="1"/>
  <c r="S564" i="1"/>
  <c r="R564" i="1"/>
  <c r="Q564" i="1"/>
  <c r="AJ563" i="1"/>
  <c r="AI563" i="1"/>
  <c r="AH563" i="1"/>
  <c r="AG563" i="1"/>
  <c r="AF563" i="1"/>
  <c r="AE563" i="1"/>
  <c r="AD563" i="1"/>
  <c r="S563" i="1"/>
  <c r="R563" i="1"/>
  <c r="Q563" i="1"/>
  <c r="AJ562" i="1"/>
  <c r="AI562" i="1"/>
  <c r="AH562" i="1"/>
  <c r="AG562" i="1"/>
  <c r="AF562" i="1"/>
  <c r="AE562" i="1"/>
  <c r="AD562" i="1"/>
  <c r="S562" i="1"/>
  <c r="R562" i="1"/>
  <c r="Q562" i="1"/>
  <c r="AJ561" i="1"/>
  <c r="AI561" i="1"/>
  <c r="AH561" i="1"/>
  <c r="AG561" i="1"/>
  <c r="AF561" i="1"/>
  <c r="AE561" i="1"/>
  <c r="AD561" i="1"/>
  <c r="S561" i="1"/>
  <c r="R561" i="1"/>
  <c r="Q561" i="1"/>
  <c r="AJ560" i="1"/>
  <c r="AI560" i="1"/>
  <c r="AH560" i="1"/>
  <c r="AG560" i="1"/>
  <c r="AF560" i="1"/>
  <c r="AE560" i="1"/>
  <c r="AD560" i="1"/>
  <c r="S560" i="1"/>
  <c r="R560" i="1"/>
  <c r="Q560" i="1"/>
  <c r="AJ559" i="1"/>
  <c r="AI559" i="1"/>
  <c r="AH559" i="1"/>
  <c r="AG559" i="1"/>
  <c r="AF559" i="1"/>
  <c r="AE559" i="1"/>
  <c r="AD559" i="1"/>
  <c r="S559" i="1"/>
  <c r="R559" i="1"/>
  <c r="Q559" i="1"/>
  <c r="AJ558" i="1"/>
  <c r="AI558" i="1"/>
  <c r="AH558" i="1"/>
  <c r="AG558" i="1"/>
  <c r="AF558" i="1"/>
  <c r="AE558" i="1"/>
  <c r="AD558" i="1"/>
  <c r="S558" i="1"/>
  <c r="R558" i="1"/>
  <c r="Q558" i="1"/>
  <c r="AJ557" i="1"/>
  <c r="AI557" i="1"/>
  <c r="AH557" i="1"/>
  <c r="AG557" i="1"/>
  <c r="AF557" i="1"/>
  <c r="AE557" i="1"/>
  <c r="AD557" i="1"/>
  <c r="S557" i="1"/>
  <c r="R557" i="1"/>
  <c r="Q557" i="1"/>
  <c r="AJ556" i="1"/>
  <c r="AI556" i="1"/>
  <c r="AH556" i="1"/>
  <c r="AG556" i="1"/>
  <c r="AF556" i="1"/>
  <c r="AE556" i="1"/>
  <c r="AD556" i="1"/>
  <c r="S556" i="1"/>
  <c r="R556" i="1"/>
  <c r="Q556" i="1"/>
  <c r="AJ555" i="1"/>
  <c r="AI555" i="1"/>
  <c r="AH555" i="1"/>
  <c r="AG555" i="1"/>
  <c r="AF555" i="1"/>
  <c r="AE555" i="1"/>
  <c r="AD555" i="1"/>
  <c r="S555" i="1"/>
  <c r="R555" i="1"/>
  <c r="Q555" i="1"/>
  <c r="AJ554" i="1"/>
  <c r="AI554" i="1"/>
  <c r="AH554" i="1"/>
  <c r="AG554" i="1"/>
  <c r="AF554" i="1"/>
  <c r="AE554" i="1"/>
  <c r="AD554" i="1"/>
  <c r="S554" i="1"/>
  <c r="R554" i="1"/>
  <c r="Q554" i="1"/>
  <c r="AJ553" i="1"/>
  <c r="AI553" i="1"/>
  <c r="AH553" i="1"/>
  <c r="AG553" i="1"/>
  <c r="AF553" i="1"/>
  <c r="AE553" i="1"/>
  <c r="AD553" i="1"/>
  <c r="S553" i="1"/>
  <c r="R553" i="1"/>
  <c r="Q553" i="1"/>
  <c r="AJ552" i="1"/>
  <c r="AI552" i="1"/>
  <c r="AH552" i="1"/>
  <c r="AG552" i="1"/>
  <c r="AF552" i="1"/>
  <c r="AE552" i="1"/>
  <c r="AD552" i="1"/>
  <c r="S552" i="1"/>
  <c r="R552" i="1"/>
  <c r="Q552" i="1"/>
  <c r="AJ551" i="1"/>
  <c r="AI551" i="1"/>
  <c r="AH551" i="1"/>
  <c r="AG551" i="1"/>
  <c r="AF551" i="1"/>
  <c r="AE551" i="1"/>
  <c r="AD551" i="1"/>
  <c r="S551" i="1"/>
  <c r="R551" i="1"/>
  <c r="Q551" i="1"/>
  <c r="AJ550" i="1"/>
  <c r="AI550" i="1"/>
  <c r="AH550" i="1"/>
  <c r="AG550" i="1"/>
  <c r="AF550" i="1"/>
  <c r="AE550" i="1"/>
  <c r="AD550" i="1"/>
  <c r="S550" i="1"/>
  <c r="R550" i="1"/>
  <c r="Q550" i="1"/>
  <c r="AJ549" i="1"/>
  <c r="AI549" i="1"/>
  <c r="AH549" i="1"/>
  <c r="AG549" i="1"/>
  <c r="AF549" i="1"/>
  <c r="AE549" i="1"/>
  <c r="AD549" i="1"/>
  <c r="S549" i="1"/>
  <c r="R549" i="1"/>
  <c r="Q549" i="1"/>
  <c r="AJ548" i="1"/>
  <c r="AI548" i="1"/>
  <c r="AH548" i="1"/>
  <c r="AG548" i="1"/>
  <c r="AF548" i="1"/>
  <c r="AE548" i="1"/>
  <c r="AD548" i="1"/>
  <c r="S548" i="1"/>
  <c r="R548" i="1"/>
  <c r="Q548" i="1"/>
  <c r="AJ547" i="1"/>
  <c r="AI547" i="1"/>
  <c r="AH547" i="1"/>
  <c r="AG547" i="1"/>
  <c r="AF547" i="1"/>
  <c r="AE547" i="1"/>
  <c r="AD547" i="1"/>
  <c r="S547" i="1"/>
  <c r="R547" i="1"/>
  <c r="Q547" i="1"/>
  <c r="AJ546" i="1"/>
  <c r="AI546" i="1"/>
  <c r="AH546" i="1"/>
  <c r="AG546" i="1"/>
  <c r="AF546" i="1"/>
  <c r="AE546" i="1"/>
  <c r="AD546" i="1"/>
  <c r="S546" i="1"/>
  <c r="R546" i="1"/>
  <c r="Q546" i="1"/>
  <c r="AJ545" i="1"/>
  <c r="AI545" i="1"/>
  <c r="AH545" i="1"/>
  <c r="AG545" i="1"/>
  <c r="AF545" i="1"/>
  <c r="AE545" i="1"/>
  <c r="AD545" i="1"/>
  <c r="S545" i="1"/>
  <c r="R545" i="1"/>
  <c r="Q545" i="1"/>
  <c r="AJ544" i="1"/>
  <c r="AI544" i="1"/>
  <c r="AH544" i="1"/>
  <c r="AG544" i="1"/>
  <c r="AF544" i="1"/>
  <c r="AE544" i="1"/>
  <c r="AD544" i="1"/>
  <c r="S544" i="1"/>
  <c r="R544" i="1"/>
  <c r="Q544" i="1"/>
  <c r="AJ543" i="1"/>
  <c r="AI543" i="1"/>
  <c r="AH543" i="1"/>
  <c r="AG543" i="1"/>
  <c r="AF543" i="1"/>
  <c r="AE543" i="1"/>
  <c r="AD543" i="1"/>
  <c r="S543" i="1"/>
  <c r="R543" i="1"/>
  <c r="Q543" i="1"/>
  <c r="AJ542" i="1"/>
  <c r="AI542" i="1"/>
  <c r="AH542" i="1"/>
  <c r="AG542" i="1"/>
  <c r="AF542" i="1"/>
  <c r="AE542" i="1"/>
  <c r="AD542" i="1"/>
  <c r="S542" i="1"/>
  <c r="R542" i="1"/>
  <c r="Q542" i="1"/>
  <c r="AJ541" i="1"/>
  <c r="AI541" i="1"/>
  <c r="AH541" i="1"/>
  <c r="AG541" i="1"/>
  <c r="AF541" i="1"/>
  <c r="AE541" i="1"/>
  <c r="AD541" i="1"/>
  <c r="S541" i="1"/>
  <c r="R541" i="1"/>
  <c r="Q541" i="1"/>
  <c r="AJ540" i="1"/>
  <c r="AI540" i="1"/>
  <c r="AH540" i="1"/>
  <c r="AG540" i="1"/>
  <c r="AF540" i="1"/>
  <c r="AE540" i="1"/>
  <c r="AD540" i="1"/>
  <c r="S540" i="1"/>
  <c r="R540" i="1"/>
  <c r="Q540" i="1"/>
  <c r="AJ539" i="1"/>
  <c r="AI539" i="1"/>
  <c r="AH539" i="1"/>
  <c r="AG539" i="1"/>
  <c r="AF539" i="1"/>
  <c r="AE539" i="1"/>
  <c r="AD539" i="1"/>
  <c r="S539" i="1"/>
  <c r="R539" i="1"/>
  <c r="Q539" i="1"/>
  <c r="AJ538" i="1"/>
  <c r="AI538" i="1"/>
  <c r="AH538" i="1"/>
  <c r="AG538" i="1"/>
  <c r="AF538" i="1"/>
  <c r="AE538" i="1"/>
  <c r="AD538" i="1"/>
  <c r="S538" i="1"/>
  <c r="R538" i="1"/>
  <c r="Q538" i="1"/>
  <c r="AJ537" i="1"/>
  <c r="AI537" i="1"/>
  <c r="AH537" i="1"/>
  <c r="AG537" i="1"/>
  <c r="AF537" i="1"/>
  <c r="AE537" i="1"/>
  <c r="AD537" i="1"/>
  <c r="S537" i="1"/>
  <c r="R537" i="1"/>
  <c r="Q537" i="1"/>
  <c r="AJ536" i="1"/>
  <c r="AI536" i="1"/>
  <c r="AH536" i="1"/>
  <c r="AG536" i="1"/>
  <c r="AF536" i="1"/>
  <c r="AE536" i="1"/>
  <c r="AD536" i="1"/>
  <c r="S536" i="1"/>
  <c r="R536" i="1"/>
  <c r="Q536" i="1"/>
  <c r="AJ535" i="1"/>
  <c r="AI535" i="1"/>
  <c r="AH535" i="1"/>
  <c r="AG535" i="1"/>
  <c r="AF535" i="1"/>
  <c r="AE535" i="1"/>
  <c r="AD535" i="1"/>
  <c r="S535" i="1"/>
  <c r="R535" i="1"/>
  <c r="Q535" i="1"/>
  <c r="AJ534" i="1"/>
  <c r="AI534" i="1"/>
  <c r="AH534" i="1"/>
  <c r="AG534" i="1"/>
  <c r="AF534" i="1"/>
  <c r="AE534" i="1"/>
  <c r="AD534" i="1"/>
  <c r="S534" i="1"/>
  <c r="R534" i="1"/>
  <c r="Q534" i="1"/>
  <c r="AJ533" i="1"/>
  <c r="AI533" i="1"/>
  <c r="AH533" i="1"/>
  <c r="AG533" i="1"/>
  <c r="AF533" i="1"/>
  <c r="AE533" i="1"/>
  <c r="AD533" i="1"/>
  <c r="S533" i="1"/>
  <c r="R533" i="1"/>
  <c r="Q533" i="1"/>
  <c r="AJ532" i="1"/>
  <c r="AI532" i="1"/>
  <c r="AH532" i="1"/>
  <c r="AG532" i="1"/>
  <c r="AF532" i="1"/>
  <c r="AE532" i="1"/>
  <c r="AD532" i="1"/>
  <c r="S532" i="1"/>
  <c r="R532" i="1"/>
  <c r="Q532" i="1"/>
  <c r="AJ531" i="1"/>
  <c r="AI531" i="1"/>
  <c r="AH531" i="1"/>
  <c r="AG531" i="1"/>
  <c r="AF531" i="1"/>
  <c r="AE531" i="1"/>
  <c r="AD531" i="1"/>
  <c r="S531" i="1"/>
  <c r="R531" i="1"/>
  <c r="Q531" i="1"/>
  <c r="AJ530" i="1"/>
  <c r="AI530" i="1"/>
  <c r="AH530" i="1"/>
  <c r="AG530" i="1"/>
  <c r="AF530" i="1"/>
  <c r="AE530" i="1"/>
  <c r="AD530" i="1"/>
  <c r="S530" i="1"/>
  <c r="R530" i="1"/>
  <c r="Q530" i="1"/>
  <c r="AJ529" i="1"/>
  <c r="AI529" i="1"/>
  <c r="AH529" i="1"/>
  <c r="AG529" i="1"/>
  <c r="AF529" i="1"/>
  <c r="AE529" i="1"/>
  <c r="AD529" i="1"/>
  <c r="S529" i="1"/>
  <c r="R529" i="1"/>
  <c r="Q529" i="1"/>
  <c r="AJ528" i="1"/>
  <c r="AI528" i="1"/>
  <c r="AH528" i="1"/>
  <c r="AG528" i="1"/>
  <c r="AF528" i="1"/>
  <c r="AE528" i="1"/>
  <c r="AD528" i="1"/>
  <c r="S528" i="1"/>
  <c r="R528" i="1"/>
  <c r="Q528" i="1"/>
  <c r="AJ527" i="1"/>
  <c r="AI527" i="1"/>
  <c r="AH527" i="1"/>
  <c r="AG527" i="1"/>
  <c r="AF527" i="1"/>
  <c r="AE527" i="1"/>
  <c r="AD527" i="1"/>
  <c r="S527" i="1"/>
  <c r="R527" i="1"/>
  <c r="Q527" i="1"/>
  <c r="AJ526" i="1"/>
  <c r="AI526" i="1"/>
  <c r="AH526" i="1"/>
  <c r="AG526" i="1"/>
  <c r="AF526" i="1"/>
  <c r="AE526" i="1"/>
  <c r="AD526" i="1"/>
  <c r="S526" i="1"/>
  <c r="R526" i="1"/>
  <c r="Q526" i="1"/>
  <c r="AJ525" i="1"/>
  <c r="AI525" i="1"/>
  <c r="AH525" i="1"/>
  <c r="AG525" i="1"/>
  <c r="AF525" i="1"/>
  <c r="AE525" i="1"/>
  <c r="AD525" i="1"/>
  <c r="S525" i="1"/>
  <c r="R525" i="1"/>
  <c r="Q525" i="1"/>
  <c r="AJ524" i="1"/>
  <c r="AI524" i="1"/>
  <c r="AH524" i="1"/>
  <c r="AG524" i="1"/>
  <c r="AF524" i="1"/>
  <c r="AE524" i="1"/>
  <c r="AD524" i="1"/>
  <c r="S524" i="1"/>
  <c r="R524" i="1"/>
  <c r="Q524" i="1"/>
  <c r="AJ523" i="1"/>
  <c r="AI523" i="1"/>
  <c r="AH523" i="1"/>
  <c r="AG523" i="1"/>
  <c r="AF523" i="1"/>
  <c r="AE523" i="1"/>
  <c r="AD523" i="1"/>
  <c r="S523" i="1"/>
  <c r="R523" i="1"/>
  <c r="Q523" i="1"/>
  <c r="AJ522" i="1"/>
  <c r="AI522" i="1"/>
  <c r="AH522" i="1"/>
  <c r="AG522" i="1"/>
  <c r="AF522" i="1"/>
  <c r="AE522" i="1"/>
  <c r="AD522" i="1"/>
  <c r="S522" i="1"/>
  <c r="R522" i="1"/>
  <c r="Q522" i="1"/>
  <c r="AJ521" i="1"/>
  <c r="AI521" i="1"/>
  <c r="AH521" i="1"/>
  <c r="AG521" i="1"/>
  <c r="AF521" i="1"/>
  <c r="AE521" i="1"/>
  <c r="AD521" i="1"/>
  <c r="S521" i="1"/>
  <c r="R521" i="1"/>
  <c r="Q521" i="1"/>
  <c r="AJ520" i="1"/>
  <c r="AI520" i="1"/>
  <c r="AH520" i="1"/>
  <c r="AG520" i="1"/>
  <c r="AF520" i="1"/>
  <c r="AE520" i="1"/>
  <c r="AD520" i="1"/>
  <c r="S520" i="1"/>
  <c r="R520" i="1"/>
  <c r="Q520" i="1"/>
  <c r="AJ519" i="1"/>
  <c r="AI519" i="1"/>
  <c r="AH519" i="1"/>
  <c r="AG519" i="1"/>
  <c r="AF519" i="1"/>
  <c r="AE519" i="1"/>
  <c r="AD519" i="1"/>
  <c r="S519" i="1"/>
  <c r="R519" i="1"/>
  <c r="Q519" i="1"/>
  <c r="AJ518" i="1"/>
  <c r="AI518" i="1"/>
  <c r="AH518" i="1"/>
  <c r="AG518" i="1"/>
  <c r="AF518" i="1"/>
  <c r="AE518" i="1"/>
  <c r="AD518" i="1"/>
  <c r="S518" i="1"/>
  <c r="R518" i="1"/>
  <c r="Q518" i="1"/>
  <c r="AJ517" i="1"/>
  <c r="AI517" i="1"/>
  <c r="AH517" i="1"/>
  <c r="AG517" i="1"/>
  <c r="AF517" i="1"/>
  <c r="AE517" i="1"/>
  <c r="AD517" i="1"/>
  <c r="S517" i="1"/>
  <c r="R517" i="1"/>
  <c r="Q517" i="1"/>
  <c r="AJ516" i="1"/>
  <c r="AI516" i="1"/>
  <c r="AH516" i="1"/>
  <c r="AG516" i="1"/>
  <c r="AF516" i="1"/>
  <c r="AE516" i="1"/>
  <c r="AD516" i="1"/>
  <c r="S516" i="1"/>
  <c r="R516" i="1"/>
  <c r="Q516" i="1"/>
  <c r="AJ515" i="1"/>
  <c r="AI515" i="1"/>
  <c r="AH515" i="1"/>
  <c r="AG515" i="1"/>
  <c r="AF515" i="1"/>
  <c r="AE515" i="1"/>
  <c r="AD515" i="1"/>
  <c r="S515" i="1"/>
  <c r="R515" i="1"/>
  <c r="Q515" i="1"/>
  <c r="AJ514" i="1"/>
  <c r="AI514" i="1"/>
  <c r="AH514" i="1"/>
  <c r="AG514" i="1"/>
  <c r="AF514" i="1"/>
  <c r="AE514" i="1"/>
  <c r="AD514" i="1"/>
  <c r="S514" i="1"/>
  <c r="R514" i="1"/>
  <c r="Q514" i="1"/>
  <c r="AJ513" i="1"/>
  <c r="AI513" i="1"/>
  <c r="AH513" i="1"/>
  <c r="AG513" i="1"/>
  <c r="AF513" i="1"/>
  <c r="AE513" i="1"/>
  <c r="AD513" i="1"/>
  <c r="S513" i="1"/>
  <c r="R513" i="1"/>
  <c r="Q513" i="1"/>
  <c r="AJ512" i="1"/>
  <c r="AI512" i="1"/>
  <c r="AH512" i="1"/>
  <c r="AG512" i="1"/>
  <c r="AF512" i="1"/>
  <c r="AE512" i="1"/>
  <c r="AD512" i="1"/>
  <c r="S512" i="1"/>
  <c r="R512" i="1"/>
  <c r="Q512" i="1"/>
  <c r="AJ511" i="1"/>
  <c r="AI511" i="1"/>
  <c r="AH511" i="1"/>
  <c r="AG511" i="1"/>
  <c r="AF511" i="1"/>
  <c r="AE511" i="1"/>
  <c r="AD511" i="1"/>
  <c r="S511" i="1"/>
  <c r="R511" i="1"/>
  <c r="Q511" i="1"/>
  <c r="AJ510" i="1"/>
  <c r="AI510" i="1"/>
  <c r="AH510" i="1"/>
  <c r="AG510" i="1"/>
  <c r="AF510" i="1"/>
  <c r="AE510" i="1"/>
  <c r="AD510" i="1"/>
  <c r="S510" i="1"/>
  <c r="R510" i="1"/>
  <c r="Q510" i="1"/>
  <c r="AJ509" i="1"/>
  <c r="AI509" i="1"/>
  <c r="AH509" i="1"/>
  <c r="AG509" i="1"/>
  <c r="AF509" i="1"/>
  <c r="AE509" i="1"/>
  <c r="AD509" i="1"/>
  <c r="S509" i="1"/>
  <c r="R509" i="1"/>
  <c r="Q509" i="1"/>
  <c r="AJ508" i="1"/>
  <c r="AI508" i="1"/>
  <c r="AH508" i="1"/>
  <c r="AG508" i="1"/>
  <c r="AF508" i="1"/>
  <c r="AE508" i="1"/>
  <c r="AD508" i="1"/>
  <c r="S508" i="1"/>
  <c r="R508" i="1"/>
  <c r="Q508" i="1"/>
  <c r="AJ507" i="1"/>
  <c r="AI507" i="1"/>
  <c r="AH507" i="1"/>
  <c r="AG507" i="1"/>
  <c r="AF507" i="1"/>
  <c r="AE507" i="1"/>
  <c r="AD507" i="1"/>
  <c r="S507" i="1"/>
  <c r="R507" i="1"/>
  <c r="Q507" i="1"/>
  <c r="AJ506" i="1"/>
  <c r="AI506" i="1"/>
  <c r="AH506" i="1"/>
  <c r="AG506" i="1"/>
  <c r="AF506" i="1"/>
  <c r="AE506" i="1"/>
  <c r="AD506" i="1"/>
  <c r="S506" i="1"/>
  <c r="R506" i="1"/>
  <c r="Q506" i="1"/>
  <c r="AJ505" i="1"/>
  <c r="AI505" i="1"/>
  <c r="AH505" i="1"/>
  <c r="AG505" i="1"/>
  <c r="AF505" i="1"/>
  <c r="AE505" i="1"/>
  <c r="AD505" i="1"/>
  <c r="S505" i="1"/>
  <c r="R505" i="1"/>
  <c r="Q505" i="1"/>
  <c r="AJ504" i="1"/>
  <c r="AI504" i="1"/>
  <c r="AH504" i="1"/>
  <c r="AG504" i="1"/>
  <c r="AF504" i="1"/>
  <c r="AE504" i="1"/>
  <c r="AD504" i="1"/>
  <c r="S504" i="1"/>
  <c r="R504" i="1"/>
  <c r="Q504" i="1"/>
  <c r="AJ503" i="1"/>
  <c r="AI503" i="1"/>
  <c r="AH503" i="1"/>
  <c r="AG503" i="1"/>
  <c r="AF503" i="1"/>
  <c r="AE503" i="1"/>
  <c r="AD503" i="1"/>
  <c r="S503" i="1"/>
  <c r="R503" i="1"/>
  <c r="Q503" i="1"/>
  <c r="AJ502" i="1"/>
  <c r="AI502" i="1"/>
  <c r="AH502" i="1"/>
  <c r="AG502" i="1"/>
  <c r="AF502" i="1"/>
  <c r="AE502" i="1"/>
  <c r="AD502" i="1"/>
  <c r="S502" i="1"/>
  <c r="R502" i="1"/>
  <c r="Q502" i="1"/>
  <c r="AJ501" i="1"/>
  <c r="AI501" i="1"/>
  <c r="AH501" i="1"/>
  <c r="AG501" i="1"/>
  <c r="AF501" i="1"/>
  <c r="AE501" i="1"/>
  <c r="AD501" i="1"/>
  <c r="S501" i="1"/>
  <c r="R501" i="1"/>
  <c r="Q501" i="1"/>
  <c r="AJ500" i="1"/>
  <c r="AI500" i="1"/>
  <c r="AH500" i="1"/>
  <c r="AG500" i="1"/>
  <c r="AF500" i="1"/>
  <c r="AE500" i="1"/>
  <c r="AD500" i="1"/>
  <c r="S500" i="1"/>
  <c r="R500" i="1"/>
  <c r="Q500" i="1"/>
  <c r="AJ499" i="1"/>
  <c r="AI499" i="1"/>
  <c r="AH499" i="1"/>
  <c r="AG499" i="1"/>
  <c r="AF499" i="1"/>
  <c r="AE499" i="1"/>
  <c r="AD499" i="1"/>
  <c r="S499" i="1"/>
  <c r="R499" i="1"/>
  <c r="Q499" i="1"/>
  <c r="AJ498" i="1"/>
  <c r="AI498" i="1"/>
  <c r="AH498" i="1"/>
  <c r="AG498" i="1"/>
  <c r="AF498" i="1"/>
  <c r="AE498" i="1"/>
  <c r="AD498" i="1"/>
  <c r="S498" i="1"/>
  <c r="R498" i="1"/>
  <c r="Q498" i="1"/>
  <c r="AJ497" i="1"/>
  <c r="AI497" i="1"/>
  <c r="AH497" i="1"/>
  <c r="AG497" i="1"/>
  <c r="AF497" i="1"/>
  <c r="AE497" i="1"/>
  <c r="AD497" i="1"/>
  <c r="S497" i="1"/>
  <c r="R497" i="1"/>
  <c r="Q497" i="1"/>
  <c r="AJ496" i="1"/>
  <c r="AI496" i="1"/>
  <c r="AH496" i="1"/>
  <c r="AG496" i="1"/>
  <c r="AF496" i="1"/>
  <c r="AE496" i="1"/>
  <c r="AD496" i="1"/>
  <c r="S496" i="1"/>
  <c r="R496" i="1"/>
  <c r="Q496" i="1"/>
  <c r="AJ495" i="1"/>
  <c r="AI495" i="1"/>
  <c r="AH495" i="1"/>
  <c r="AG495" i="1"/>
  <c r="AF495" i="1"/>
  <c r="AE495" i="1"/>
  <c r="AD495" i="1"/>
  <c r="S495" i="1"/>
  <c r="R495" i="1"/>
  <c r="Q495" i="1"/>
  <c r="AJ494" i="1"/>
  <c r="AI494" i="1"/>
  <c r="AH494" i="1"/>
  <c r="AG494" i="1"/>
  <c r="AF494" i="1"/>
  <c r="AE494" i="1"/>
  <c r="AD494" i="1"/>
  <c r="S494" i="1"/>
  <c r="R494" i="1"/>
  <c r="Q494" i="1"/>
  <c r="AJ493" i="1"/>
  <c r="AI493" i="1"/>
  <c r="AH493" i="1"/>
  <c r="AG493" i="1"/>
  <c r="AF493" i="1"/>
  <c r="AE493" i="1"/>
  <c r="AD493" i="1"/>
  <c r="S493" i="1"/>
  <c r="R493" i="1"/>
  <c r="Q493" i="1"/>
  <c r="AJ492" i="1"/>
  <c r="AI492" i="1"/>
  <c r="AH492" i="1"/>
  <c r="AG492" i="1"/>
  <c r="AF492" i="1"/>
  <c r="AE492" i="1"/>
  <c r="AD492" i="1"/>
  <c r="S492" i="1"/>
  <c r="R492" i="1"/>
  <c r="Q492" i="1"/>
  <c r="AJ491" i="1"/>
  <c r="AI491" i="1"/>
  <c r="AH491" i="1"/>
  <c r="AG491" i="1"/>
  <c r="AF491" i="1"/>
  <c r="AE491" i="1"/>
  <c r="AD491" i="1"/>
  <c r="S491" i="1"/>
  <c r="R491" i="1"/>
  <c r="Q491" i="1"/>
  <c r="AJ490" i="1"/>
  <c r="AI490" i="1"/>
  <c r="AH490" i="1"/>
  <c r="AG490" i="1"/>
  <c r="AF490" i="1"/>
  <c r="AE490" i="1"/>
  <c r="AD490" i="1"/>
  <c r="S490" i="1"/>
  <c r="R490" i="1"/>
  <c r="Q490" i="1"/>
  <c r="AJ489" i="1"/>
  <c r="AI489" i="1"/>
  <c r="AH489" i="1"/>
  <c r="AG489" i="1"/>
  <c r="AF489" i="1"/>
  <c r="AE489" i="1"/>
  <c r="AD489" i="1"/>
  <c r="S489" i="1"/>
  <c r="R489" i="1"/>
  <c r="Q489" i="1"/>
  <c r="AJ488" i="1"/>
  <c r="AI488" i="1"/>
  <c r="AH488" i="1"/>
  <c r="AG488" i="1"/>
  <c r="AF488" i="1"/>
  <c r="AE488" i="1"/>
  <c r="AD488" i="1"/>
  <c r="S488" i="1"/>
  <c r="R488" i="1"/>
  <c r="Q488" i="1"/>
  <c r="AJ487" i="1"/>
  <c r="AI487" i="1"/>
  <c r="AH487" i="1"/>
  <c r="AG487" i="1"/>
  <c r="AF487" i="1"/>
  <c r="AE487" i="1"/>
  <c r="AD487" i="1"/>
  <c r="S487" i="1"/>
  <c r="R487" i="1"/>
  <c r="Q487" i="1"/>
  <c r="AJ486" i="1"/>
  <c r="AI486" i="1"/>
  <c r="AH486" i="1"/>
  <c r="AG486" i="1"/>
  <c r="AF486" i="1"/>
  <c r="AE486" i="1"/>
  <c r="AD486" i="1"/>
  <c r="S486" i="1"/>
  <c r="R486" i="1"/>
  <c r="Q486" i="1"/>
  <c r="AJ485" i="1"/>
  <c r="AI485" i="1"/>
  <c r="AH485" i="1"/>
  <c r="AG485" i="1"/>
  <c r="AF485" i="1"/>
  <c r="AE485" i="1"/>
  <c r="AD485" i="1"/>
  <c r="S485" i="1"/>
  <c r="R485" i="1"/>
  <c r="Q485" i="1"/>
  <c r="AJ484" i="1"/>
  <c r="AI484" i="1"/>
  <c r="AH484" i="1"/>
  <c r="AG484" i="1"/>
  <c r="AF484" i="1"/>
  <c r="AE484" i="1"/>
  <c r="AD484" i="1"/>
  <c r="S484" i="1"/>
  <c r="R484" i="1"/>
  <c r="Q484" i="1"/>
  <c r="AJ483" i="1"/>
  <c r="AI483" i="1"/>
  <c r="AH483" i="1"/>
  <c r="AG483" i="1"/>
  <c r="AF483" i="1"/>
  <c r="AE483" i="1"/>
  <c r="AD483" i="1"/>
  <c r="S483" i="1"/>
  <c r="R483" i="1"/>
  <c r="Q483" i="1"/>
  <c r="AJ482" i="1"/>
  <c r="AI482" i="1"/>
  <c r="AH482" i="1"/>
  <c r="AG482" i="1"/>
  <c r="AF482" i="1"/>
  <c r="AE482" i="1"/>
  <c r="AD482" i="1"/>
  <c r="S482" i="1"/>
  <c r="R482" i="1"/>
  <c r="Q482" i="1"/>
  <c r="AJ481" i="1"/>
  <c r="AI481" i="1"/>
  <c r="AH481" i="1"/>
  <c r="AG481" i="1"/>
  <c r="AF481" i="1"/>
  <c r="AE481" i="1"/>
  <c r="AD481" i="1"/>
  <c r="S481" i="1"/>
  <c r="R481" i="1"/>
  <c r="Q481" i="1"/>
  <c r="AJ480" i="1"/>
  <c r="AI480" i="1"/>
  <c r="AH480" i="1"/>
  <c r="AG480" i="1"/>
  <c r="AF480" i="1"/>
  <c r="AE480" i="1"/>
  <c r="AD480" i="1"/>
  <c r="S480" i="1"/>
  <c r="R480" i="1"/>
  <c r="Q480" i="1"/>
  <c r="AJ479" i="1"/>
  <c r="AI479" i="1"/>
  <c r="AH479" i="1"/>
  <c r="AG479" i="1"/>
  <c r="AF479" i="1"/>
  <c r="AE479" i="1"/>
  <c r="AD479" i="1"/>
  <c r="S479" i="1"/>
  <c r="R479" i="1"/>
  <c r="Q479" i="1"/>
  <c r="AJ478" i="1"/>
  <c r="AI478" i="1"/>
  <c r="AH478" i="1"/>
  <c r="AG478" i="1"/>
  <c r="AF478" i="1"/>
  <c r="AE478" i="1"/>
  <c r="AD478" i="1"/>
  <c r="S478" i="1"/>
  <c r="R478" i="1"/>
  <c r="Q478" i="1"/>
  <c r="AJ477" i="1"/>
  <c r="AI477" i="1"/>
  <c r="AH477" i="1"/>
  <c r="AG477" i="1"/>
  <c r="AF477" i="1"/>
  <c r="AE477" i="1"/>
  <c r="AD477" i="1"/>
  <c r="S477" i="1"/>
  <c r="R477" i="1"/>
  <c r="Q477" i="1"/>
  <c r="AJ476" i="1"/>
  <c r="AI476" i="1"/>
  <c r="AH476" i="1"/>
  <c r="AG476" i="1"/>
  <c r="AF476" i="1"/>
  <c r="AE476" i="1"/>
  <c r="AD476" i="1"/>
  <c r="S476" i="1"/>
  <c r="R476" i="1"/>
  <c r="Q476" i="1"/>
  <c r="AJ475" i="1"/>
  <c r="AI475" i="1"/>
  <c r="AH475" i="1"/>
  <c r="AG475" i="1"/>
  <c r="AF475" i="1"/>
  <c r="AE475" i="1"/>
  <c r="AD475" i="1"/>
  <c r="S475" i="1"/>
  <c r="R475" i="1"/>
  <c r="Q475" i="1"/>
  <c r="AJ474" i="1"/>
  <c r="AI474" i="1"/>
  <c r="AH474" i="1"/>
  <c r="AG474" i="1"/>
  <c r="AF474" i="1"/>
  <c r="AE474" i="1"/>
  <c r="AD474" i="1"/>
  <c r="S474" i="1"/>
  <c r="R474" i="1"/>
  <c r="Q474" i="1"/>
  <c r="AJ473" i="1"/>
  <c r="AI473" i="1"/>
  <c r="AH473" i="1"/>
  <c r="AG473" i="1"/>
  <c r="AF473" i="1"/>
  <c r="AE473" i="1"/>
  <c r="AD473" i="1"/>
  <c r="S473" i="1"/>
  <c r="R473" i="1"/>
  <c r="Q473" i="1"/>
  <c r="AJ472" i="1"/>
  <c r="AI472" i="1"/>
  <c r="AH472" i="1"/>
  <c r="AG472" i="1"/>
  <c r="AF472" i="1"/>
  <c r="AE472" i="1"/>
  <c r="AD472" i="1"/>
  <c r="S472" i="1"/>
  <c r="R472" i="1"/>
  <c r="Q472" i="1"/>
  <c r="AJ471" i="1"/>
  <c r="AI471" i="1"/>
  <c r="AH471" i="1"/>
  <c r="AG471" i="1"/>
  <c r="AF471" i="1"/>
  <c r="AE471" i="1"/>
  <c r="AD471" i="1"/>
  <c r="S471" i="1"/>
  <c r="R471" i="1"/>
  <c r="Q471" i="1"/>
  <c r="AJ470" i="1"/>
  <c r="AI470" i="1"/>
  <c r="AH470" i="1"/>
  <c r="AG470" i="1"/>
  <c r="AF470" i="1"/>
  <c r="AE470" i="1"/>
  <c r="AD470" i="1"/>
  <c r="S470" i="1"/>
  <c r="R470" i="1"/>
  <c r="Q470" i="1"/>
  <c r="AJ469" i="1"/>
  <c r="AI469" i="1"/>
  <c r="AH469" i="1"/>
  <c r="AG469" i="1"/>
  <c r="AF469" i="1"/>
  <c r="AE469" i="1"/>
  <c r="AD469" i="1"/>
  <c r="S469" i="1"/>
  <c r="R469" i="1"/>
  <c r="Q469" i="1"/>
  <c r="AJ468" i="1"/>
  <c r="AI468" i="1"/>
  <c r="AH468" i="1"/>
  <c r="AG468" i="1"/>
  <c r="AF468" i="1"/>
  <c r="AE468" i="1"/>
  <c r="AD468" i="1"/>
  <c r="S468" i="1"/>
  <c r="R468" i="1"/>
  <c r="Q468" i="1"/>
  <c r="AJ467" i="1"/>
  <c r="AI467" i="1"/>
  <c r="AH467" i="1"/>
  <c r="AG467" i="1"/>
  <c r="AF467" i="1"/>
  <c r="AE467" i="1"/>
  <c r="AD467" i="1"/>
  <c r="S467" i="1"/>
  <c r="R467" i="1"/>
  <c r="Q467" i="1"/>
  <c r="AJ466" i="1"/>
  <c r="AI466" i="1"/>
  <c r="AH466" i="1"/>
  <c r="AG466" i="1"/>
  <c r="AF466" i="1"/>
  <c r="AE466" i="1"/>
  <c r="AD466" i="1"/>
  <c r="S466" i="1"/>
  <c r="R466" i="1"/>
  <c r="Q466" i="1"/>
  <c r="AJ465" i="1"/>
  <c r="AI465" i="1"/>
  <c r="AH465" i="1"/>
  <c r="AG465" i="1"/>
  <c r="AF465" i="1"/>
  <c r="AE465" i="1"/>
  <c r="AD465" i="1"/>
  <c r="S465" i="1"/>
  <c r="R465" i="1"/>
  <c r="Q465" i="1"/>
  <c r="AJ464" i="1"/>
  <c r="AI464" i="1"/>
  <c r="AH464" i="1"/>
  <c r="AG464" i="1"/>
  <c r="AF464" i="1"/>
  <c r="AE464" i="1"/>
  <c r="AD464" i="1"/>
  <c r="S464" i="1"/>
  <c r="R464" i="1"/>
  <c r="Q464" i="1"/>
  <c r="AJ463" i="1"/>
  <c r="AI463" i="1"/>
  <c r="AH463" i="1"/>
  <c r="AG463" i="1"/>
  <c r="AF463" i="1"/>
  <c r="AE463" i="1"/>
  <c r="AD463" i="1"/>
  <c r="S463" i="1"/>
  <c r="R463" i="1"/>
  <c r="Q463" i="1"/>
  <c r="AJ462" i="1"/>
  <c r="AI462" i="1"/>
  <c r="AH462" i="1"/>
  <c r="AG462" i="1"/>
  <c r="AF462" i="1"/>
  <c r="AE462" i="1"/>
  <c r="AD462" i="1"/>
  <c r="S462" i="1"/>
  <c r="R462" i="1"/>
  <c r="Q462" i="1"/>
  <c r="AJ461" i="1"/>
  <c r="AI461" i="1"/>
  <c r="AH461" i="1"/>
  <c r="AG461" i="1"/>
  <c r="AF461" i="1"/>
  <c r="AE461" i="1"/>
  <c r="AD461" i="1"/>
  <c r="S461" i="1"/>
  <c r="R461" i="1"/>
  <c r="Q461" i="1"/>
  <c r="AJ460" i="1"/>
  <c r="AI460" i="1"/>
  <c r="AH460" i="1"/>
  <c r="AG460" i="1"/>
  <c r="AF460" i="1"/>
  <c r="AE460" i="1"/>
  <c r="AD460" i="1"/>
  <c r="S460" i="1"/>
  <c r="R460" i="1"/>
  <c r="Q460" i="1"/>
  <c r="AJ459" i="1"/>
  <c r="AI459" i="1"/>
  <c r="AH459" i="1"/>
  <c r="AG459" i="1"/>
  <c r="AF459" i="1"/>
  <c r="AE459" i="1"/>
  <c r="AD459" i="1"/>
  <c r="S459" i="1"/>
  <c r="R459" i="1"/>
  <c r="Q459" i="1"/>
  <c r="AJ458" i="1"/>
  <c r="AI458" i="1"/>
  <c r="AH458" i="1"/>
  <c r="AG458" i="1"/>
  <c r="AF458" i="1"/>
  <c r="AE458" i="1"/>
  <c r="AD458" i="1"/>
  <c r="S458" i="1"/>
  <c r="R458" i="1"/>
  <c r="Q458" i="1"/>
  <c r="AJ457" i="1"/>
  <c r="AI457" i="1"/>
  <c r="AH457" i="1"/>
  <c r="AG457" i="1"/>
  <c r="AF457" i="1"/>
  <c r="AE457" i="1"/>
  <c r="AD457" i="1"/>
  <c r="S457" i="1"/>
  <c r="R457" i="1"/>
  <c r="Q457" i="1"/>
  <c r="AJ456" i="1"/>
  <c r="AI456" i="1"/>
  <c r="AH456" i="1"/>
  <c r="AG456" i="1"/>
  <c r="AF456" i="1"/>
  <c r="AE456" i="1"/>
  <c r="AD456" i="1"/>
  <c r="S456" i="1"/>
  <c r="R456" i="1"/>
  <c r="Q456" i="1"/>
  <c r="AJ455" i="1"/>
  <c r="AI455" i="1"/>
  <c r="AH455" i="1"/>
  <c r="AG455" i="1"/>
  <c r="AF455" i="1"/>
  <c r="AE455" i="1"/>
  <c r="AD455" i="1"/>
  <c r="S455" i="1"/>
  <c r="R455" i="1"/>
  <c r="Q455" i="1"/>
  <c r="AJ454" i="1"/>
  <c r="AI454" i="1"/>
  <c r="AH454" i="1"/>
  <c r="AG454" i="1"/>
  <c r="AF454" i="1"/>
  <c r="AE454" i="1"/>
  <c r="AD454" i="1"/>
  <c r="S454" i="1"/>
  <c r="R454" i="1"/>
  <c r="Q454" i="1"/>
  <c r="AJ453" i="1"/>
  <c r="AI453" i="1"/>
  <c r="AH453" i="1"/>
  <c r="AG453" i="1"/>
  <c r="AF453" i="1"/>
  <c r="AE453" i="1"/>
  <c r="AD453" i="1"/>
  <c r="S453" i="1"/>
  <c r="R453" i="1"/>
  <c r="Q453" i="1"/>
  <c r="AJ452" i="1"/>
  <c r="AI452" i="1"/>
  <c r="AH452" i="1"/>
  <c r="AG452" i="1"/>
  <c r="AF452" i="1"/>
  <c r="AE452" i="1"/>
  <c r="AD452" i="1"/>
  <c r="S452" i="1"/>
  <c r="R452" i="1"/>
  <c r="Q452" i="1"/>
  <c r="AJ451" i="1"/>
  <c r="AI451" i="1"/>
  <c r="AH451" i="1"/>
  <c r="AG451" i="1"/>
  <c r="AF451" i="1"/>
  <c r="AE451" i="1"/>
  <c r="AD451" i="1"/>
  <c r="S451" i="1"/>
  <c r="R451" i="1"/>
  <c r="Q451" i="1"/>
  <c r="AJ450" i="1"/>
  <c r="AI450" i="1"/>
  <c r="AH450" i="1"/>
  <c r="AG450" i="1"/>
  <c r="AF450" i="1"/>
  <c r="AE450" i="1"/>
  <c r="AD450" i="1"/>
  <c r="S450" i="1"/>
  <c r="R450" i="1"/>
  <c r="Q450" i="1"/>
  <c r="AJ449" i="1"/>
  <c r="AI449" i="1"/>
  <c r="AH449" i="1"/>
  <c r="AG449" i="1"/>
  <c r="AF449" i="1"/>
  <c r="AE449" i="1"/>
  <c r="AD449" i="1"/>
  <c r="S449" i="1"/>
  <c r="R449" i="1"/>
  <c r="Q449" i="1"/>
  <c r="AJ448" i="1"/>
  <c r="AI448" i="1"/>
  <c r="AH448" i="1"/>
  <c r="AG448" i="1"/>
  <c r="AF448" i="1"/>
  <c r="AE448" i="1"/>
  <c r="AD448" i="1"/>
  <c r="S448" i="1"/>
  <c r="R448" i="1"/>
  <c r="Q448" i="1"/>
  <c r="AJ447" i="1"/>
  <c r="AI447" i="1"/>
  <c r="AH447" i="1"/>
  <c r="AG447" i="1"/>
  <c r="AF447" i="1"/>
  <c r="AE447" i="1"/>
  <c r="AD447" i="1"/>
  <c r="S447" i="1"/>
  <c r="R447" i="1"/>
  <c r="Q447" i="1"/>
  <c r="AJ446" i="1"/>
  <c r="AI446" i="1"/>
  <c r="AH446" i="1"/>
  <c r="AG446" i="1"/>
  <c r="AF446" i="1"/>
  <c r="AE446" i="1"/>
  <c r="AD446" i="1"/>
  <c r="S446" i="1"/>
  <c r="R446" i="1"/>
  <c r="Q446" i="1"/>
  <c r="AJ445" i="1"/>
  <c r="AI445" i="1"/>
  <c r="AH445" i="1"/>
  <c r="AG445" i="1"/>
  <c r="AF445" i="1"/>
  <c r="AE445" i="1"/>
  <c r="AD445" i="1"/>
  <c r="S445" i="1"/>
  <c r="R445" i="1"/>
  <c r="Q445" i="1"/>
  <c r="AJ444" i="1"/>
  <c r="AI444" i="1"/>
  <c r="AH444" i="1"/>
  <c r="AG444" i="1"/>
  <c r="AF444" i="1"/>
  <c r="AE444" i="1"/>
  <c r="AD444" i="1"/>
  <c r="S444" i="1"/>
  <c r="R444" i="1"/>
  <c r="Q444" i="1"/>
  <c r="AJ443" i="1"/>
  <c r="AI443" i="1"/>
  <c r="AH443" i="1"/>
  <c r="AG443" i="1"/>
  <c r="AF443" i="1"/>
  <c r="AE443" i="1"/>
  <c r="AD443" i="1"/>
  <c r="S443" i="1"/>
  <c r="R443" i="1"/>
  <c r="Q443" i="1"/>
  <c r="AJ442" i="1"/>
  <c r="AI442" i="1"/>
  <c r="AH442" i="1"/>
  <c r="AG442" i="1"/>
  <c r="AF442" i="1"/>
  <c r="AE442" i="1"/>
  <c r="AD442" i="1"/>
  <c r="S442" i="1"/>
  <c r="R442" i="1"/>
  <c r="Q442" i="1"/>
  <c r="AJ441" i="1"/>
  <c r="AI441" i="1"/>
  <c r="AH441" i="1"/>
  <c r="AG441" i="1"/>
  <c r="AF441" i="1"/>
  <c r="AE441" i="1"/>
  <c r="AD441" i="1"/>
  <c r="S441" i="1"/>
  <c r="R441" i="1"/>
  <c r="Q441" i="1"/>
  <c r="AJ440" i="1"/>
  <c r="AI440" i="1"/>
  <c r="AH440" i="1"/>
  <c r="AG440" i="1"/>
  <c r="AF440" i="1"/>
  <c r="AE440" i="1"/>
  <c r="AD440" i="1"/>
  <c r="S440" i="1"/>
  <c r="R440" i="1"/>
  <c r="Q440" i="1"/>
  <c r="AJ439" i="1"/>
  <c r="AI439" i="1"/>
  <c r="AH439" i="1"/>
  <c r="AG439" i="1"/>
  <c r="AF439" i="1"/>
  <c r="AE439" i="1"/>
  <c r="AD439" i="1"/>
  <c r="S439" i="1"/>
  <c r="R439" i="1"/>
  <c r="Q439" i="1"/>
  <c r="AJ438" i="1"/>
  <c r="AI438" i="1"/>
  <c r="AH438" i="1"/>
  <c r="AG438" i="1"/>
  <c r="AF438" i="1"/>
  <c r="AE438" i="1"/>
  <c r="AD438" i="1"/>
  <c r="S438" i="1"/>
  <c r="R438" i="1"/>
  <c r="Q438" i="1"/>
  <c r="AJ437" i="1"/>
  <c r="AI437" i="1"/>
  <c r="AH437" i="1"/>
  <c r="AG437" i="1"/>
  <c r="AF437" i="1"/>
  <c r="AE437" i="1"/>
  <c r="AD437" i="1"/>
  <c r="S437" i="1"/>
  <c r="R437" i="1"/>
  <c r="Q437" i="1"/>
  <c r="AJ436" i="1"/>
  <c r="AI436" i="1"/>
  <c r="AH436" i="1"/>
  <c r="AG436" i="1"/>
  <c r="AF436" i="1"/>
  <c r="AE436" i="1"/>
  <c r="AD436" i="1"/>
  <c r="S436" i="1"/>
  <c r="R436" i="1"/>
  <c r="Q436" i="1"/>
  <c r="AJ435" i="1"/>
  <c r="AI435" i="1"/>
  <c r="AH435" i="1"/>
  <c r="AG435" i="1"/>
  <c r="AF435" i="1"/>
  <c r="AE435" i="1"/>
  <c r="AD435" i="1"/>
  <c r="S435" i="1"/>
  <c r="R435" i="1"/>
  <c r="Q435" i="1"/>
  <c r="AJ434" i="1"/>
  <c r="AI434" i="1"/>
  <c r="AH434" i="1"/>
  <c r="AG434" i="1"/>
  <c r="AF434" i="1"/>
  <c r="AE434" i="1"/>
  <c r="AD434" i="1"/>
  <c r="S434" i="1"/>
  <c r="R434" i="1"/>
  <c r="Q434" i="1"/>
  <c r="AJ433" i="1"/>
  <c r="AI433" i="1"/>
  <c r="AH433" i="1"/>
  <c r="AG433" i="1"/>
  <c r="AF433" i="1"/>
  <c r="AE433" i="1"/>
  <c r="AD433" i="1"/>
  <c r="S433" i="1"/>
  <c r="R433" i="1"/>
  <c r="Q433" i="1"/>
  <c r="AJ432" i="1"/>
  <c r="AI432" i="1"/>
  <c r="AH432" i="1"/>
  <c r="AG432" i="1"/>
  <c r="AF432" i="1"/>
  <c r="AE432" i="1"/>
  <c r="AD432" i="1"/>
  <c r="S432" i="1"/>
  <c r="R432" i="1"/>
  <c r="Q432" i="1"/>
  <c r="AJ431" i="1"/>
  <c r="AI431" i="1"/>
  <c r="AH431" i="1"/>
  <c r="AG431" i="1"/>
  <c r="AF431" i="1"/>
  <c r="AE431" i="1"/>
  <c r="AD431" i="1"/>
  <c r="S431" i="1"/>
  <c r="R431" i="1"/>
  <c r="Q431" i="1"/>
  <c r="AJ430" i="1"/>
  <c r="AI430" i="1"/>
  <c r="AH430" i="1"/>
  <c r="AG430" i="1"/>
  <c r="AF430" i="1"/>
  <c r="AE430" i="1"/>
  <c r="AD430" i="1"/>
  <c r="S430" i="1"/>
  <c r="R430" i="1"/>
  <c r="Q430" i="1"/>
  <c r="AJ429" i="1"/>
  <c r="AI429" i="1"/>
  <c r="AH429" i="1"/>
  <c r="AG429" i="1"/>
  <c r="AF429" i="1"/>
  <c r="AE429" i="1"/>
  <c r="AD429" i="1"/>
  <c r="S429" i="1"/>
  <c r="R429" i="1"/>
  <c r="Q429" i="1"/>
  <c r="AJ428" i="1"/>
  <c r="AI428" i="1"/>
  <c r="AH428" i="1"/>
  <c r="AG428" i="1"/>
  <c r="AF428" i="1"/>
  <c r="AE428" i="1"/>
  <c r="AD428" i="1"/>
  <c r="S428" i="1"/>
  <c r="R428" i="1"/>
  <c r="Q428" i="1"/>
  <c r="AJ427" i="1"/>
  <c r="AI427" i="1"/>
  <c r="AH427" i="1"/>
  <c r="AG427" i="1"/>
  <c r="AF427" i="1"/>
  <c r="AE427" i="1"/>
  <c r="AD427" i="1"/>
  <c r="S427" i="1"/>
  <c r="R427" i="1"/>
  <c r="Q427" i="1"/>
  <c r="AJ426" i="1"/>
  <c r="AI426" i="1"/>
  <c r="AH426" i="1"/>
  <c r="AG426" i="1"/>
  <c r="AF426" i="1"/>
  <c r="AE426" i="1"/>
  <c r="AD426" i="1"/>
  <c r="S426" i="1"/>
  <c r="R426" i="1"/>
  <c r="Q426" i="1"/>
  <c r="AJ425" i="1"/>
  <c r="AI425" i="1"/>
  <c r="AH425" i="1"/>
  <c r="AG425" i="1"/>
  <c r="AF425" i="1"/>
  <c r="AE425" i="1"/>
  <c r="AD425" i="1"/>
  <c r="S425" i="1"/>
  <c r="R425" i="1"/>
  <c r="Q425" i="1"/>
  <c r="AJ424" i="1"/>
  <c r="AI424" i="1"/>
  <c r="AH424" i="1"/>
  <c r="AG424" i="1"/>
  <c r="AF424" i="1"/>
  <c r="AE424" i="1"/>
  <c r="AD424" i="1"/>
  <c r="S424" i="1"/>
  <c r="R424" i="1"/>
  <c r="Q424" i="1"/>
  <c r="AJ423" i="1"/>
  <c r="AI423" i="1"/>
  <c r="AH423" i="1"/>
  <c r="AG423" i="1"/>
  <c r="AF423" i="1"/>
  <c r="AE423" i="1"/>
  <c r="AD423" i="1"/>
  <c r="S423" i="1"/>
  <c r="R423" i="1"/>
  <c r="Q423" i="1"/>
  <c r="AJ422" i="1"/>
  <c r="AI422" i="1"/>
  <c r="AH422" i="1"/>
  <c r="AG422" i="1"/>
  <c r="AF422" i="1"/>
  <c r="AE422" i="1"/>
  <c r="AD422" i="1"/>
  <c r="S422" i="1"/>
  <c r="R422" i="1"/>
  <c r="Q422" i="1"/>
  <c r="AJ421" i="1"/>
  <c r="AI421" i="1"/>
  <c r="AH421" i="1"/>
  <c r="AG421" i="1"/>
  <c r="AF421" i="1"/>
  <c r="AE421" i="1"/>
  <c r="AD421" i="1"/>
  <c r="S421" i="1"/>
  <c r="R421" i="1"/>
  <c r="Q421" i="1"/>
  <c r="AJ420" i="1"/>
  <c r="AI420" i="1"/>
  <c r="AH420" i="1"/>
  <c r="AG420" i="1"/>
  <c r="AF420" i="1"/>
  <c r="AE420" i="1"/>
  <c r="AD420" i="1"/>
  <c r="S420" i="1"/>
  <c r="R420" i="1"/>
  <c r="Q420" i="1"/>
  <c r="AJ419" i="1"/>
  <c r="AI419" i="1"/>
  <c r="AH419" i="1"/>
  <c r="AG419" i="1"/>
  <c r="AF419" i="1"/>
  <c r="AE419" i="1"/>
  <c r="AD419" i="1"/>
  <c r="S419" i="1"/>
  <c r="R419" i="1"/>
  <c r="Q419" i="1"/>
  <c r="AJ418" i="1"/>
  <c r="AI418" i="1"/>
  <c r="AH418" i="1"/>
  <c r="AG418" i="1"/>
  <c r="AF418" i="1"/>
  <c r="AE418" i="1"/>
  <c r="AD418" i="1"/>
  <c r="S418" i="1"/>
  <c r="R418" i="1"/>
  <c r="Q418" i="1"/>
  <c r="AJ417" i="1"/>
  <c r="AI417" i="1"/>
  <c r="AH417" i="1"/>
  <c r="AG417" i="1"/>
  <c r="AF417" i="1"/>
  <c r="AE417" i="1"/>
  <c r="AD417" i="1"/>
  <c r="S417" i="1"/>
  <c r="R417" i="1"/>
  <c r="Q417" i="1"/>
  <c r="AJ416" i="1"/>
  <c r="AI416" i="1"/>
  <c r="AH416" i="1"/>
  <c r="AG416" i="1"/>
  <c r="AF416" i="1"/>
  <c r="AE416" i="1"/>
  <c r="AD416" i="1"/>
  <c r="S416" i="1"/>
  <c r="R416" i="1"/>
  <c r="Q416" i="1"/>
  <c r="AJ415" i="1"/>
  <c r="AI415" i="1"/>
  <c r="AH415" i="1"/>
  <c r="AG415" i="1"/>
  <c r="AF415" i="1"/>
  <c r="AE415" i="1"/>
  <c r="AD415" i="1"/>
  <c r="S415" i="1"/>
  <c r="R415" i="1"/>
  <c r="Q415" i="1"/>
  <c r="AJ414" i="1"/>
  <c r="AI414" i="1"/>
  <c r="AH414" i="1"/>
  <c r="AG414" i="1"/>
  <c r="AF414" i="1"/>
  <c r="AE414" i="1"/>
  <c r="AD414" i="1"/>
  <c r="S414" i="1"/>
  <c r="R414" i="1"/>
  <c r="Q414" i="1"/>
  <c r="AJ413" i="1"/>
  <c r="AI413" i="1"/>
  <c r="AH413" i="1"/>
  <c r="AG413" i="1"/>
  <c r="AF413" i="1"/>
  <c r="AE413" i="1"/>
  <c r="AD413" i="1"/>
  <c r="S413" i="1"/>
  <c r="R413" i="1"/>
  <c r="Q413" i="1"/>
  <c r="AJ412" i="1"/>
  <c r="AI412" i="1"/>
  <c r="AH412" i="1"/>
  <c r="AG412" i="1"/>
  <c r="AF412" i="1"/>
  <c r="AE412" i="1"/>
  <c r="AD412" i="1"/>
  <c r="S412" i="1"/>
  <c r="R412" i="1"/>
  <c r="Q412" i="1"/>
  <c r="AJ411" i="1"/>
  <c r="AI411" i="1"/>
  <c r="AH411" i="1"/>
  <c r="AG411" i="1"/>
  <c r="AF411" i="1"/>
  <c r="AE411" i="1"/>
  <c r="AD411" i="1"/>
  <c r="S411" i="1"/>
  <c r="R411" i="1"/>
  <c r="Q411" i="1"/>
  <c r="AJ410" i="1"/>
  <c r="AI410" i="1"/>
  <c r="AH410" i="1"/>
  <c r="AG410" i="1"/>
  <c r="AF410" i="1"/>
  <c r="AE410" i="1"/>
  <c r="AD410" i="1"/>
  <c r="S410" i="1"/>
  <c r="R410" i="1"/>
  <c r="Q410" i="1"/>
  <c r="AJ409" i="1"/>
  <c r="AI409" i="1"/>
  <c r="AH409" i="1"/>
  <c r="AG409" i="1"/>
  <c r="AF409" i="1"/>
  <c r="AE409" i="1"/>
  <c r="AD409" i="1"/>
  <c r="S409" i="1"/>
  <c r="R409" i="1"/>
  <c r="Q409" i="1"/>
  <c r="AJ408" i="1"/>
  <c r="AI408" i="1"/>
  <c r="AH408" i="1"/>
  <c r="AG408" i="1"/>
  <c r="AF408" i="1"/>
  <c r="AE408" i="1"/>
  <c r="AD408" i="1"/>
  <c r="S408" i="1"/>
  <c r="R408" i="1"/>
  <c r="Q408" i="1"/>
  <c r="AJ407" i="1"/>
  <c r="AI407" i="1"/>
  <c r="AH407" i="1"/>
  <c r="AG407" i="1"/>
  <c r="AF407" i="1"/>
  <c r="AE407" i="1"/>
  <c r="AD407" i="1"/>
  <c r="S407" i="1"/>
  <c r="R407" i="1"/>
  <c r="Q407" i="1"/>
  <c r="AJ406" i="1"/>
  <c r="AI406" i="1"/>
  <c r="AH406" i="1"/>
  <c r="AG406" i="1"/>
  <c r="AF406" i="1"/>
  <c r="AE406" i="1"/>
  <c r="AD406" i="1"/>
  <c r="S406" i="1"/>
  <c r="R406" i="1"/>
  <c r="Q406" i="1"/>
  <c r="AJ405" i="1"/>
  <c r="AI405" i="1"/>
  <c r="AH405" i="1"/>
  <c r="AG405" i="1"/>
  <c r="AF405" i="1"/>
  <c r="AE405" i="1"/>
  <c r="AD405" i="1"/>
  <c r="S405" i="1"/>
  <c r="R405" i="1"/>
  <c r="Q405" i="1"/>
  <c r="AJ404" i="1"/>
  <c r="AI404" i="1"/>
  <c r="AH404" i="1"/>
  <c r="AG404" i="1"/>
  <c r="AF404" i="1"/>
  <c r="AE404" i="1"/>
  <c r="AD404" i="1"/>
  <c r="S404" i="1"/>
  <c r="R404" i="1"/>
  <c r="Q404" i="1"/>
  <c r="AJ403" i="1"/>
  <c r="AI403" i="1"/>
  <c r="AH403" i="1"/>
  <c r="AG403" i="1"/>
  <c r="AF403" i="1"/>
  <c r="AE403" i="1"/>
  <c r="AD403" i="1"/>
  <c r="S403" i="1"/>
  <c r="R403" i="1"/>
  <c r="Q403" i="1"/>
  <c r="AJ402" i="1"/>
  <c r="AI402" i="1"/>
  <c r="AH402" i="1"/>
  <c r="AG402" i="1"/>
  <c r="AF402" i="1"/>
  <c r="AE402" i="1"/>
  <c r="AD402" i="1"/>
  <c r="S402" i="1"/>
  <c r="R402" i="1"/>
  <c r="Q402" i="1"/>
  <c r="AJ401" i="1"/>
  <c r="AI401" i="1"/>
  <c r="AH401" i="1"/>
  <c r="AG401" i="1"/>
  <c r="AF401" i="1"/>
  <c r="AE401" i="1"/>
  <c r="AD401" i="1"/>
  <c r="S401" i="1"/>
  <c r="R401" i="1"/>
  <c r="Q401" i="1"/>
  <c r="AJ400" i="1"/>
  <c r="AI400" i="1"/>
  <c r="AH400" i="1"/>
  <c r="AG400" i="1"/>
  <c r="AF400" i="1"/>
  <c r="AE400" i="1"/>
  <c r="AD400" i="1"/>
  <c r="S400" i="1"/>
  <c r="R400" i="1"/>
  <c r="Q400" i="1"/>
  <c r="AJ399" i="1"/>
  <c r="AI399" i="1"/>
  <c r="AH399" i="1"/>
  <c r="AG399" i="1"/>
  <c r="AF399" i="1"/>
  <c r="AE399" i="1"/>
  <c r="AD399" i="1"/>
  <c r="S399" i="1"/>
  <c r="R399" i="1"/>
  <c r="Q399" i="1"/>
  <c r="AJ398" i="1"/>
  <c r="AI398" i="1"/>
  <c r="AH398" i="1"/>
  <c r="AG398" i="1"/>
  <c r="AF398" i="1"/>
  <c r="AE398" i="1"/>
  <c r="AD398" i="1"/>
  <c r="S398" i="1"/>
  <c r="R398" i="1"/>
  <c r="Q398" i="1"/>
  <c r="AJ397" i="1"/>
  <c r="AI397" i="1"/>
  <c r="AH397" i="1"/>
  <c r="AG397" i="1"/>
  <c r="AF397" i="1"/>
  <c r="AE397" i="1"/>
  <c r="AD397" i="1"/>
  <c r="S397" i="1"/>
  <c r="R397" i="1"/>
  <c r="Q397" i="1"/>
  <c r="AJ396" i="1"/>
  <c r="AI396" i="1"/>
  <c r="AH396" i="1"/>
  <c r="AG396" i="1"/>
  <c r="AF396" i="1"/>
  <c r="AE396" i="1"/>
  <c r="AD396" i="1"/>
  <c r="S396" i="1"/>
  <c r="R396" i="1"/>
  <c r="Q396" i="1"/>
  <c r="AJ395" i="1"/>
  <c r="AI395" i="1"/>
  <c r="AH395" i="1"/>
  <c r="AG395" i="1"/>
  <c r="AF395" i="1"/>
  <c r="AE395" i="1"/>
  <c r="AD395" i="1"/>
  <c r="S395" i="1"/>
  <c r="R395" i="1"/>
  <c r="Q395" i="1"/>
  <c r="AJ394" i="1"/>
  <c r="AI394" i="1"/>
  <c r="AH394" i="1"/>
  <c r="AG394" i="1"/>
  <c r="AF394" i="1"/>
  <c r="AE394" i="1"/>
  <c r="AD394" i="1"/>
  <c r="S394" i="1"/>
  <c r="R394" i="1"/>
  <c r="Q394" i="1"/>
  <c r="AJ393" i="1"/>
  <c r="AI393" i="1"/>
  <c r="AH393" i="1"/>
  <c r="AG393" i="1"/>
  <c r="AF393" i="1"/>
  <c r="AE393" i="1"/>
  <c r="AD393" i="1"/>
  <c r="S393" i="1"/>
  <c r="R393" i="1"/>
  <c r="Q393" i="1"/>
  <c r="AJ392" i="1"/>
  <c r="AI392" i="1"/>
  <c r="AH392" i="1"/>
  <c r="AG392" i="1"/>
  <c r="AF392" i="1"/>
  <c r="AE392" i="1"/>
  <c r="AD392" i="1"/>
  <c r="S392" i="1"/>
  <c r="R392" i="1"/>
  <c r="Q392" i="1"/>
  <c r="AJ391" i="1"/>
  <c r="AI391" i="1"/>
  <c r="AH391" i="1"/>
  <c r="AG391" i="1"/>
  <c r="AF391" i="1"/>
  <c r="AE391" i="1"/>
  <c r="AD391" i="1"/>
  <c r="S391" i="1"/>
  <c r="R391" i="1"/>
  <c r="Q391" i="1"/>
  <c r="AJ390" i="1"/>
  <c r="AI390" i="1"/>
  <c r="AH390" i="1"/>
  <c r="AG390" i="1"/>
  <c r="AF390" i="1"/>
  <c r="AE390" i="1"/>
  <c r="AD390" i="1"/>
  <c r="S390" i="1"/>
  <c r="R390" i="1"/>
  <c r="Q390" i="1"/>
  <c r="AJ389" i="1"/>
  <c r="AI389" i="1"/>
  <c r="AH389" i="1"/>
  <c r="AG389" i="1"/>
  <c r="AF389" i="1"/>
  <c r="AE389" i="1"/>
  <c r="AD389" i="1"/>
  <c r="S389" i="1"/>
  <c r="R389" i="1"/>
  <c r="Q389" i="1"/>
  <c r="AJ388" i="1"/>
  <c r="AI388" i="1"/>
  <c r="AH388" i="1"/>
  <c r="AG388" i="1"/>
  <c r="AF388" i="1"/>
  <c r="AE388" i="1"/>
  <c r="AD388" i="1"/>
  <c r="S388" i="1"/>
  <c r="R388" i="1"/>
  <c r="Q388" i="1"/>
  <c r="AJ387" i="1"/>
  <c r="AI387" i="1"/>
  <c r="AH387" i="1"/>
  <c r="AG387" i="1"/>
  <c r="AF387" i="1"/>
  <c r="AE387" i="1"/>
  <c r="AD387" i="1"/>
  <c r="S387" i="1"/>
  <c r="R387" i="1"/>
  <c r="Q387" i="1"/>
  <c r="AJ386" i="1"/>
  <c r="AI386" i="1"/>
  <c r="AH386" i="1"/>
  <c r="AG386" i="1"/>
  <c r="AF386" i="1"/>
  <c r="AE386" i="1"/>
  <c r="AD386" i="1"/>
  <c r="S386" i="1"/>
  <c r="R386" i="1"/>
  <c r="Q386" i="1"/>
  <c r="AJ385" i="1"/>
  <c r="AI385" i="1"/>
  <c r="AH385" i="1"/>
  <c r="AG385" i="1"/>
  <c r="AF385" i="1"/>
  <c r="AE385" i="1"/>
  <c r="AD385" i="1"/>
  <c r="S385" i="1"/>
  <c r="R385" i="1"/>
  <c r="Q385" i="1"/>
  <c r="AJ384" i="1"/>
  <c r="AI384" i="1"/>
  <c r="AH384" i="1"/>
  <c r="AG384" i="1"/>
  <c r="AF384" i="1"/>
  <c r="AE384" i="1"/>
  <c r="AD384" i="1"/>
  <c r="S384" i="1"/>
  <c r="R384" i="1"/>
  <c r="Q384" i="1"/>
  <c r="AJ383" i="1"/>
  <c r="AI383" i="1"/>
  <c r="AH383" i="1"/>
  <c r="AG383" i="1"/>
  <c r="AF383" i="1"/>
  <c r="AE383" i="1"/>
  <c r="AD383" i="1"/>
  <c r="S383" i="1"/>
  <c r="R383" i="1"/>
  <c r="Q383" i="1"/>
  <c r="AJ382" i="1"/>
  <c r="AI382" i="1"/>
  <c r="AH382" i="1"/>
  <c r="AG382" i="1"/>
  <c r="AF382" i="1"/>
  <c r="AE382" i="1"/>
  <c r="AD382" i="1"/>
  <c r="S382" i="1"/>
  <c r="R382" i="1"/>
  <c r="Q382" i="1"/>
  <c r="AJ381" i="1"/>
  <c r="AI381" i="1"/>
  <c r="AH381" i="1"/>
  <c r="AG381" i="1"/>
  <c r="AF381" i="1"/>
  <c r="AE381" i="1"/>
  <c r="AD381" i="1"/>
  <c r="S381" i="1"/>
  <c r="R381" i="1"/>
  <c r="Q381" i="1"/>
  <c r="AJ380" i="1"/>
  <c r="AI380" i="1"/>
  <c r="AH380" i="1"/>
  <c r="AG380" i="1"/>
  <c r="AF380" i="1"/>
  <c r="AE380" i="1"/>
  <c r="AD380" i="1"/>
  <c r="S380" i="1"/>
  <c r="R380" i="1"/>
  <c r="Q380" i="1"/>
  <c r="AJ379" i="1"/>
  <c r="AI379" i="1"/>
  <c r="AH379" i="1"/>
  <c r="AG379" i="1"/>
  <c r="AF379" i="1"/>
  <c r="AE379" i="1"/>
  <c r="AD379" i="1"/>
  <c r="S379" i="1"/>
  <c r="R379" i="1"/>
  <c r="Q379" i="1"/>
  <c r="AJ378" i="1"/>
  <c r="AI378" i="1"/>
  <c r="AH378" i="1"/>
  <c r="AG378" i="1"/>
  <c r="AF378" i="1"/>
  <c r="AE378" i="1"/>
  <c r="AD378" i="1"/>
  <c r="S378" i="1"/>
  <c r="R378" i="1"/>
  <c r="Q378" i="1"/>
  <c r="AJ377" i="1"/>
  <c r="AI377" i="1"/>
  <c r="AH377" i="1"/>
  <c r="AG377" i="1"/>
  <c r="AF377" i="1"/>
  <c r="AE377" i="1"/>
  <c r="AD377" i="1"/>
  <c r="S377" i="1"/>
  <c r="R377" i="1"/>
  <c r="Q377" i="1"/>
  <c r="AJ376" i="1"/>
  <c r="AI376" i="1"/>
  <c r="AH376" i="1"/>
  <c r="AG376" i="1"/>
  <c r="AF376" i="1"/>
  <c r="AE376" i="1"/>
  <c r="AD376" i="1"/>
  <c r="S376" i="1"/>
  <c r="R376" i="1"/>
  <c r="Q376" i="1"/>
  <c r="AJ375" i="1"/>
  <c r="AI375" i="1"/>
  <c r="AH375" i="1"/>
  <c r="AG375" i="1"/>
  <c r="AF375" i="1"/>
  <c r="AE375" i="1"/>
  <c r="AD375" i="1"/>
  <c r="S375" i="1"/>
  <c r="R375" i="1"/>
  <c r="Q375" i="1"/>
  <c r="AJ374" i="1"/>
  <c r="AI374" i="1"/>
  <c r="AH374" i="1"/>
  <c r="AG374" i="1"/>
  <c r="AF374" i="1"/>
  <c r="AE374" i="1"/>
  <c r="AD374" i="1"/>
  <c r="S374" i="1"/>
  <c r="R374" i="1"/>
  <c r="Q374" i="1"/>
  <c r="AJ373" i="1"/>
  <c r="AI373" i="1"/>
  <c r="AH373" i="1"/>
  <c r="AG373" i="1"/>
  <c r="AF373" i="1"/>
  <c r="AE373" i="1"/>
  <c r="AD373" i="1"/>
  <c r="S373" i="1"/>
  <c r="R373" i="1"/>
  <c r="Q373" i="1"/>
  <c r="AJ372" i="1"/>
  <c r="AI372" i="1"/>
  <c r="AH372" i="1"/>
  <c r="AG372" i="1"/>
  <c r="AF372" i="1"/>
  <c r="AE372" i="1"/>
  <c r="AD372" i="1"/>
  <c r="S372" i="1"/>
  <c r="R372" i="1"/>
  <c r="Q372" i="1"/>
  <c r="AJ371" i="1"/>
  <c r="AI371" i="1"/>
  <c r="AH371" i="1"/>
  <c r="AG371" i="1"/>
  <c r="AF371" i="1"/>
  <c r="AE371" i="1"/>
  <c r="AD371" i="1"/>
  <c r="S371" i="1"/>
  <c r="R371" i="1"/>
  <c r="Q371" i="1"/>
  <c r="AJ370" i="1"/>
  <c r="AI370" i="1"/>
  <c r="AH370" i="1"/>
  <c r="AG370" i="1"/>
  <c r="AF370" i="1"/>
  <c r="AE370" i="1"/>
  <c r="AD370" i="1"/>
  <c r="S370" i="1"/>
  <c r="R370" i="1"/>
  <c r="Q370" i="1"/>
  <c r="AJ369" i="1"/>
  <c r="AI369" i="1"/>
  <c r="AH369" i="1"/>
  <c r="AG369" i="1"/>
  <c r="AF369" i="1"/>
  <c r="AE369" i="1"/>
  <c r="AD369" i="1"/>
  <c r="S369" i="1"/>
  <c r="R369" i="1"/>
  <c r="Q369" i="1"/>
  <c r="AJ368" i="1"/>
  <c r="AI368" i="1"/>
  <c r="AH368" i="1"/>
  <c r="AG368" i="1"/>
  <c r="AF368" i="1"/>
  <c r="AE368" i="1"/>
  <c r="AD368" i="1"/>
  <c r="S368" i="1"/>
  <c r="R368" i="1"/>
  <c r="Q368" i="1"/>
  <c r="AJ367" i="1"/>
  <c r="AI367" i="1"/>
  <c r="AH367" i="1"/>
  <c r="AG367" i="1"/>
  <c r="AF367" i="1"/>
  <c r="AE367" i="1"/>
  <c r="AD367" i="1"/>
  <c r="S367" i="1"/>
  <c r="R367" i="1"/>
  <c r="Q367" i="1"/>
  <c r="AJ366" i="1"/>
  <c r="AI366" i="1"/>
  <c r="AH366" i="1"/>
  <c r="AG366" i="1"/>
  <c r="AF366" i="1"/>
  <c r="AE366" i="1"/>
  <c r="AD366" i="1"/>
  <c r="S366" i="1"/>
  <c r="R366" i="1"/>
  <c r="Q366" i="1"/>
  <c r="AJ365" i="1"/>
  <c r="AI365" i="1"/>
  <c r="AH365" i="1"/>
  <c r="AG365" i="1"/>
  <c r="AF365" i="1"/>
  <c r="AE365" i="1"/>
  <c r="AD365" i="1"/>
  <c r="S365" i="1"/>
  <c r="R365" i="1"/>
  <c r="Q365" i="1"/>
  <c r="AJ364" i="1"/>
  <c r="AI364" i="1"/>
  <c r="AH364" i="1"/>
  <c r="AG364" i="1"/>
  <c r="AF364" i="1"/>
  <c r="AE364" i="1"/>
  <c r="AD364" i="1"/>
  <c r="S364" i="1"/>
  <c r="R364" i="1"/>
  <c r="Q364" i="1"/>
  <c r="AJ363" i="1"/>
  <c r="AI363" i="1"/>
  <c r="AH363" i="1"/>
  <c r="AG363" i="1"/>
  <c r="AF363" i="1"/>
  <c r="AE363" i="1"/>
  <c r="AD363" i="1"/>
  <c r="S363" i="1"/>
  <c r="R363" i="1"/>
  <c r="Q363" i="1"/>
  <c r="AJ362" i="1"/>
  <c r="AI362" i="1"/>
  <c r="AH362" i="1"/>
  <c r="AG362" i="1"/>
  <c r="AF362" i="1"/>
  <c r="AE362" i="1"/>
  <c r="AD362" i="1"/>
  <c r="S362" i="1"/>
  <c r="R362" i="1"/>
  <c r="Q362" i="1"/>
  <c r="AJ361" i="1"/>
  <c r="AI361" i="1"/>
  <c r="AH361" i="1"/>
  <c r="AG361" i="1"/>
  <c r="AF361" i="1"/>
  <c r="AE361" i="1"/>
  <c r="AD361" i="1"/>
  <c r="S361" i="1"/>
  <c r="R361" i="1"/>
  <c r="Q361" i="1"/>
  <c r="AJ360" i="1"/>
  <c r="AI360" i="1"/>
  <c r="AH360" i="1"/>
  <c r="AG360" i="1"/>
  <c r="AF360" i="1"/>
  <c r="AE360" i="1"/>
  <c r="AD360" i="1"/>
  <c r="S360" i="1"/>
  <c r="R360" i="1"/>
  <c r="Q360" i="1"/>
  <c r="AJ359" i="1"/>
  <c r="AI359" i="1"/>
  <c r="AH359" i="1"/>
  <c r="AG359" i="1"/>
  <c r="AF359" i="1"/>
  <c r="AE359" i="1"/>
  <c r="AD359" i="1"/>
  <c r="S359" i="1"/>
  <c r="R359" i="1"/>
  <c r="Q359" i="1"/>
  <c r="AJ358" i="1"/>
  <c r="AI358" i="1"/>
  <c r="AH358" i="1"/>
  <c r="AG358" i="1"/>
  <c r="AF358" i="1"/>
  <c r="AE358" i="1"/>
  <c r="AD358" i="1"/>
  <c r="S358" i="1"/>
  <c r="R358" i="1"/>
  <c r="Q358" i="1"/>
  <c r="AJ357" i="1"/>
  <c r="AI357" i="1"/>
  <c r="AH357" i="1"/>
  <c r="AG357" i="1"/>
  <c r="AF357" i="1"/>
  <c r="AE357" i="1"/>
  <c r="AD357" i="1"/>
  <c r="S357" i="1"/>
  <c r="R357" i="1"/>
  <c r="Q357" i="1"/>
  <c r="AJ356" i="1"/>
  <c r="AI356" i="1"/>
  <c r="AH356" i="1"/>
  <c r="AG356" i="1"/>
  <c r="AF356" i="1"/>
  <c r="AE356" i="1"/>
  <c r="AD356" i="1"/>
  <c r="S356" i="1"/>
  <c r="R356" i="1"/>
  <c r="Q356" i="1"/>
  <c r="AJ355" i="1"/>
  <c r="AI355" i="1"/>
  <c r="AH355" i="1"/>
  <c r="AG355" i="1"/>
  <c r="AF355" i="1"/>
  <c r="AE355" i="1"/>
  <c r="AD355" i="1"/>
  <c r="S355" i="1"/>
  <c r="R355" i="1"/>
  <c r="Q355" i="1"/>
  <c r="AJ354" i="1"/>
  <c r="AI354" i="1"/>
  <c r="AH354" i="1"/>
  <c r="AG354" i="1"/>
  <c r="AF354" i="1"/>
  <c r="AE354" i="1"/>
  <c r="AD354" i="1"/>
  <c r="S354" i="1"/>
  <c r="R354" i="1"/>
  <c r="Q354" i="1"/>
  <c r="AJ353" i="1"/>
  <c r="AI353" i="1"/>
  <c r="AH353" i="1"/>
  <c r="AG353" i="1"/>
  <c r="AF353" i="1"/>
  <c r="AE353" i="1"/>
  <c r="AD353" i="1"/>
  <c r="S353" i="1"/>
  <c r="R353" i="1"/>
  <c r="Q353" i="1"/>
  <c r="AJ352" i="1"/>
  <c r="AI352" i="1"/>
  <c r="AH352" i="1"/>
  <c r="AG352" i="1"/>
  <c r="AF352" i="1"/>
  <c r="AE352" i="1"/>
  <c r="AD352" i="1"/>
  <c r="S352" i="1"/>
  <c r="R352" i="1"/>
  <c r="Q352" i="1"/>
  <c r="AJ351" i="1"/>
  <c r="AI351" i="1"/>
  <c r="AH351" i="1"/>
  <c r="AG351" i="1"/>
  <c r="AF351" i="1"/>
  <c r="AE351" i="1"/>
  <c r="AD351" i="1"/>
  <c r="S351" i="1"/>
  <c r="R351" i="1"/>
  <c r="Q351" i="1"/>
  <c r="AJ350" i="1"/>
  <c r="AI350" i="1"/>
  <c r="AH350" i="1"/>
  <c r="AG350" i="1"/>
  <c r="AF350" i="1"/>
  <c r="AE350" i="1"/>
  <c r="AD350" i="1"/>
  <c r="S350" i="1"/>
  <c r="R350" i="1"/>
  <c r="Q350" i="1"/>
  <c r="AJ349" i="1"/>
  <c r="AI349" i="1"/>
  <c r="AH349" i="1"/>
  <c r="AG349" i="1"/>
  <c r="AF349" i="1"/>
  <c r="AE349" i="1"/>
  <c r="AD349" i="1"/>
  <c r="S349" i="1"/>
  <c r="R349" i="1"/>
  <c r="Q349" i="1"/>
  <c r="AJ348" i="1"/>
  <c r="AI348" i="1"/>
  <c r="AH348" i="1"/>
  <c r="AG348" i="1"/>
  <c r="AF348" i="1"/>
  <c r="AE348" i="1"/>
  <c r="AD348" i="1"/>
  <c r="S348" i="1"/>
  <c r="R348" i="1"/>
  <c r="Q348" i="1"/>
  <c r="AJ347" i="1"/>
  <c r="AI347" i="1"/>
  <c r="AH347" i="1"/>
  <c r="AG347" i="1"/>
  <c r="AF347" i="1"/>
  <c r="AE347" i="1"/>
  <c r="AD347" i="1"/>
  <c r="S347" i="1"/>
  <c r="R347" i="1"/>
  <c r="Q347" i="1"/>
  <c r="AJ346" i="1"/>
  <c r="AI346" i="1"/>
  <c r="AH346" i="1"/>
  <c r="AG346" i="1"/>
  <c r="AF346" i="1"/>
  <c r="AE346" i="1"/>
  <c r="AD346" i="1"/>
  <c r="S346" i="1"/>
  <c r="R346" i="1"/>
  <c r="Q346" i="1"/>
  <c r="AJ345" i="1"/>
  <c r="AI345" i="1"/>
  <c r="AH345" i="1"/>
  <c r="AG345" i="1"/>
  <c r="AF345" i="1"/>
  <c r="AE345" i="1"/>
  <c r="AD345" i="1"/>
  <c r="S345" i="1"/>
  <c r="R345" i="1"/>
  <c r="Q345" i="1"/>
  <c r="AJ344" i="1"/>
  <c r="AI344" i="1"/>
  <c r="AH344" i="1"/>
  <c r="AG344" i="1"/>
  <c r="AF344" i="1"/>
  <c r="AE344" i="1"/>
  <c r="AD344" i="1"/>
  <c r="S344" i="1"/>
  <c r="R344" i="1"/>
  <c r="Q344" i="1"/>
  <c r="AJ343" i="1"/>
  <c r="AI343" i="1"/>
  <c r="AH343" i="1"/>
  <c r="AG343" i="1"/>
  <c r="AF343" i="1"/>
  <c r="AE343" i="1"/>
  <c r="AD343" i="1"/>
  <c r="S343" i="1"/>
  <c r="R343" i="1"/>
  <c r="Q343" i="1"/>
  <c r="AJ342" i="1"/>
  <c r="AI342" i="1"/>
  <c r="AH342" i="1"/>
  <c r="AG342" i="1"/>
  <c r="AF342" i="1"/>
  <c r="AE342" i="1"/>
  <c r="AD342" i="1"/>
  <c r="S342" i="1"/>
  <c r="R342" i="1"/>
  <c r="Q342" i="1"/>
  <c r="AJ341" i="1"/>
  <c r="AI341" i="1"/>
  <c r="AH341" i="1"/>
  <c r="AG341" i="1"/>
  <c r="AF341" i="1"/>
  <c r="AE341" i="1"/>
  <c r="AD341" i="1"/>
  <c r="S341" i="1"/>
  <c r="R341" i="1"/>
  <c r="Q341" i="1"/>
  <c r="AJ340" i="1"/>
  <c r="AI340" i="1"/>
  <c r="AH340" i="1"/>
  <c r="AG340" i="1"/>
  <c r="AF340" i="1"/>
  <c r="AE340" i="1"/>
  <c r="AD340" i="1"/>
  <c r="S340" i="1"/>
  <c r="R340" i="1"/>
  <c r="Q340" i="1"/>
  <c r="AJ339" i="1"/>
  <c r="AI339" i="1"/>
  <c r="AH339" i="1"/>
  <c r="AG339" i="1"/>
  <c r="AF339" i="1"/>
  <c r="AE339" i="1"/>
  <c r="AD339" i="1"/>
  <c r="S339" i="1"/>
  <c r="R339" i="1"/>
  <c r="Q339" i="1"/>
  <c r="AJ338" i="1"/>
  <c r="AI338" i="1"/>
  <c r="AH338" i="1"/>
  <c r="AG338" i="1"/>
  <c r="AF338" i="1"/>
  <c r="AE338" i="1"/>
  <c r="AD338" i="1"/>
  <c r="S338" i="1"/>
  <c r="R338" i="1"/>
  <c r="Q338" i="1"/>
  <c r="AJ337" i="1"/>
  <c r="AI337" i="1"/>
  <c r="AH337" i="1"/>
  <c r="AG337" i="1"/>
  <c r="AF337" i="1"/>
  <c r="AE337" i="1"/>
  <c r="AD337" i="1"/>
  <c r="S337" i="1"/>
  <c r="R337" i="1"/>
  <c r="Q337" i="1"/>
  <c r="AJ336" i="1"/>
  <c r="AI336" i="1"/>
  <c r="AH336" i="1"/>
  <c r="AG336" i="1"/>
  <c r="AF336" i="1"/>
  <c r="AE336" i="1"/>
  <c r="AD336" i="1"/>
  <c r="S336" i="1"/>
  <c r="R336" i="1"/>
  <c r="Q336" i="1"/>
  <c r="AJ335" i="1"/>
  <c r="AI335" i="1"/>
  <c r="AH335" i="1"/>
  <c r="AG335" i="1"/>
  <c r="AF335" i="1"/>
  <c r="AE335" i="1"/>
  <c r="AD335" i="1"/>
  <c r="S335" i="1"/>
  <c r="R335" i="1"/>
  <c r="Q335" i="1"/>
  <c r="AJ334" i="1"/>
  <c r="AI334" i="1"/>
  <c r="AH334" i="1"/>
  <c r="AG334" i="1"/>
  <c r="AF334" i="1"/>
  <c r="AE334" i="1"/>
  <c r="AD334" i="1"/>
  <c r="S334" i="1"/>
  <c r="R334" i="1"/>
  <c r="Q334" i="1"/>
  <c r="AJ333" i="1"/>
  <c r="AI333" i="1"/>
  <c r="AH333" i="1"/>
  <c r="AG333" i="1"/>
  <c r="AF333" i="1"/>
  <c r="AE333" i="1"/>
  <c r="AD333" i="1"/>
  <c r="S333" i="1"/>
  <c r="R333" i="1"/>
  <c r="Q333" i="1"/>
  <c r="AJ332" i="1"/>
  <c r="AI332" i="1"/>
  <c r="AH332" i="1"/>
  <c r="AG332" i="1"/>
  <c r="AF332" i="1"/>
  <c r="AE332" i="1"/>
  <c r="AD332" i="1"/>
  <c r="S332" i="1"/>
  <c r="R332" i="1"/>
  <c r="Q332" i="1"/>
  <c r="AJ331" i="1"/>
  <c r="AI331" i="1"/>
  <c r="AH331" i="1"/>
  <c r="AG331" i="1"/>
  <c r="AF331" i="1"/>
  <c r="AE331" i="1"/>
  <c r="AD331" i="1"/>
  <c r="S331" i="1"/>
  <c r="R331" i="1"/>
  <c r="Q331" i="1"/>
  <c r="AJ330" i="1"/>
  <c r="AI330" i="1"/>
  <c r="AH330" i="1"/>
  <c r="AG330" i="1"/>
  <c r="AF330" i="1"/>
  <c r="AE330" i="1"/>
  <c r="AD330" i="1"/>
  <c r="S330" i="1"/>
  <c r="R330" i="1"/>
  <c r="Q330" i="1"/>
  <c r="AJ329" i="1"/>
  <c r="AI329" i="1"/>
  <c r="AH329" i="1"/>
  <c r="AG329" i="1"/>
  <c r="AF329" i="1"/>
  <c r="AE329" i="1"/>
  <c r="AD329" i="1"/>
  <c r="S329" i="1"/>
  <c r="R329" i="1"/>
  <c r="Q329" i="1"/>
  <c r="AJ328" i="1"/>
  <c r="AI328" i="1"/>
  <c r="AH328" i="1"/>
  <c r="AG328" i="1"/>
  <c r="AF328" i="1"/>
  <c r="AE328" i="1"/>
  <c r="AD328" i="1"/>
  <c r="S328" i="1"/>
  <c r="R328" i="1"/>
  <c r="Q328" i="1"/>
  <c r="AJ327" i="1"/>
  <c r="AI327" i="1"/>
  <c r="AH327" i="1"/>
  <c r="AG327" i="1"/>
  <c r="AF327" i="1"/>
  <c r="AE327" i="1"/>
  <c r="AD327" i="1"/>
  <c r="S327" i="1"/>
  <c r="R327" i="1"/>
  <c r="Q327" i="1"/>
  <c r="AJ326" i="1"/>
  <c r="AI326" i="1"/>
  <c r="AH326" i="1"/>
  <c r="AG326" i="1"/>
  <c r="AF326" i="1"/>
  <c r="AE326" i="1"/>
  <c r="AD326" i="1"/>
  <c r="S326" i="1"/>
  <c r="R326" i="1"/>
  <c r="Q326" i="1"/>
  <c r="AJ325" i="1"/>
  <c r="AI325" i="1"/>
  <c r="AH325" i="1"/>
  <c r="AG325" i="1"/>
  <c r="AF325" i="1"/>
  <c r="AE325" i="1"/>
  <c r="AD325" i="1"/>
  <c r="S325" i="1"/>
  <c r="R325" i="1"/>
  <c r="Q325" i="1"/>
  <c r="AJ324" i="1"/>
  <c r="AI324" i="1"/>
  <c r="AH324" i="1"/>
  <c r="AG324" i="1"/>
  <c r="AF324" i="1"/>
  <c r="AE324" i="1"/>
  <c r="AD324" i="1"/>
  <c r="S324" i="1"/>
  <c r="R324" i="1"/>
  <c r="Q324" i="1"/>
  <c r="AJ323" i="1"/>
  <c r="AI323" i="1"/>
  <c r="AH323" i="1"/>
  <c r="AG323" i="1"/>
  <c r="AF323" i="1"/>
  <c r="AE323" i="1"/>
  <c r="AD323" i="1"/>
  <c r="S323" i="1"/>
  <c r="R323" i="1"/>
  <c r="Q323" i="1"/>
  <c r="AJ322" i="1"/>
  <c r="AI322" i="1"/>
  <c r="AH322" i="1"/>
  <c r="AG322" i="1"/>
  <c r="AF322" i="1"/>
  <c r="AE322" i="1"/>
  <c r="AD322" i="1"/>
  <c r="S322" i="1"/>
  <c r="R322" i="1"/>
  <c r="Q322" i="1"/>
  <c r="AJ321" i="1"/>
  <c r="AI321" i="1"/>
  <c r="AH321" i="1"/>
  <c r="AG321" i="1"/>
  <c r="AF321" i="1"/>
  <c r="AE321" i="1"/>
  <c r="AD321" i="1"/>
  <c r="S321" i="1"/>
  <c r="R321" i="1"/>
  <c r="Q321" i="1"/>
  <c r="AJ320" i="1"/>
  <c r="AI320" i="1"/>
  <c r="AH320" i="1"/>
  <c r="AG320" i="1"/>
  <c r="AF320" i="1"/>
  <c r="AE320" i="1"/>
  <c r="AD320" i="1"/>
  <c r="S320" i="1"/>
  <c r="R320" i="1"/>
  <c r="Q320" i="1"/>
  <c r="AJ319" i="1"/>
  <c r="AI319" i="1"/>
  <c r="AH319" i="1"/>
  <c r="AG319" i="1"/>
  <c r="AF319" i="1"/>
  <c r="AE319" i="1"/>
  <c r="AD319" i="1"/>
  <c r="S319" i="1"/>
  <c r="R319" i="1"/>
  <c r="Q319" i="1"/>
  <c r="AJ318" i="1"/>
  <c r="AI318" i="1"/>
  <c r="AH318" i="1"/>
  <c r="AG318" i="1"/>
  <c r="AF318" i="1"/>
  <c r="AE318" i="1"/>
  <c r="AD318" i="1"/>
  <c r="AJ317" i="1"/>
  <c r="AI317" i="1"/>
  <c r="AH317" i="1"/>
  <c r="AG317" i="1"/>
  <c r="AF317" i="1"/>
  <c r="AE317" i="1"/>
  <c r="AD317" i="1"/>
  <c r="S317" i="1"/>
  <c r="R317" i="1"/>
  <c r="Q317" i="1"/>
  <c r="AJ316" i="1"/>
  <c r="AI316" i="1"/>
  <c r="AH316" i="1"/>
  <c r="AG316" i="1"/>
  <c r="AF316" i="1"/>
  <c r="AE316" i="1"/>
  <c r="AD316" i="1"/>
  <c r="S316" i="1"/>
  <c r="R316" i="1"/>
  <c r="Q316" i="1"/>
  <c r="AJ315" i="1"/>
  <c r="AI315" i="1"/>
  <c r="AH315" i="1"/>
  <c r="AG315" i="1"/>
  <c r="AF315" i="1"/>
  <c r="AE315" i="1"/>
  <c r="AD315" i="1"/>
  <c r="S315" i="1"/>
  <c r="R315" i="1"/>
  <c r="Q315" i="1"/>
  <c r="AJ314" i="1"/>
  <c r="AI314" i="1"/>
  <c r="AH314" i="1"/>
  <c r="AG314" i="1"/>
  <c r="AF314" i="1"/>
  <c r="AE314" i="1"/>
  <c r="AD314" i="1"/>
  <c r="S314" i="1"/>
  <c r="R314" i="1"/>
  <c r="Q314" i="1"/>
  <c r="AJ313" i="1"/>
  <c r="AI313" i="1"/>
  <c r="AH313" i="1"/>
  <c r="AG313" i="1"/>
  <c r="AF313" i="1"/>
  <c r="AE313" i="1"/>
  <c r="AD313" i="1"/>
  <c r="S313" i="1"/>
  <c r="R313" i="1"/>
  <c r="Q313" i="1"/>
  <c r="AJ312" i="1"/>
  <c r="AI312" i="1"/>
  <c r="AH312" i="1"/>
  <c r="AG312" i="1"/>
  <c r="AF312" i="1"/>
  <c r="AE312" i="1"/>
  <c r="AD312" i="1"/>
  <c r="S312" i="1"/>
  <c r="R312" i="1"/>
  <c r="Q312" i="1"/>
  <c r="AJ311" i="1"/>
  <c r="AI311" i="1"/>
  <c r="AH311" i="1"/>
  <c r="AG311" i="1"/>
  <c r="AF311" i="1"/>
  <c r="AE311" i="1"/>
  <c r="AD311" i="1"/>
  <c r="S311" i="1"/>
  <c r="R311" i="1"/>
  <c r="Q311" i="1"/>
  <c r="AJ310" i="1"/>
  <c r="AI310" i="1"/>
  <c r="AH310" i="1"/>
  <c r="AG310" i="1"/>
  <c r="AF310" i="1"/>
  <c r="AE310" i="1"/>
  <c r="AD310" i="1"/>
  <c r="S310" i="1"/>
  <c r="R310" i="1"/>
  <c r="Q310" i="1"/>
  <c r="AJ309" i="1"/>
  <c r="AI309" i="1"/>
  <c r="AH309" i="1"/>
  <c r="AG309" i="1"/>
  <c r="AF309" i="1"/>
  <c r="AE309" i="1"/>
  <c r="AD309" i="1"/>
  <c r="S309" i="1"/>
  <c r="R309" i="1"/>
  <c r="Q309" i="1"/>
  <c r="AJ308" i="1"/>
  <c r="AI308" i="1"/>
  <c r="AH308" i="1"/>
  <c r="AG308" i="1"/>
  <c r="AF308" i="1"/>
  <c r="AE308" i="1"/>
  <c r="AD308" i="1"/>
  <c r="S308" i="1"/>
  <c r="R308" i="1"/>
  <c r="Q308" i="1"/>
  <c r="AJ307" i="1"/>
  <c r="AI307" i="1"/>
  <c r="AH307" i="1"/>
  <c r="AG307" i="1"/>
  <c r="AF307" i="1"/>
  <c r="AE307" i="1"/>
  <c r="AD307" i="1"/>
  <c r="S307" i="1"/>
  <c r="R307" i="1"/>
  <c r="Q307" i="1"/>
  <c r="AJ306" i="1"/>
  <c r="AI306" i="1"/>
  <c r="AH306" i="1"/>
  <c r="AG306" i="1"/>
  <c r="AF306" i="1"/>
  <c r="AE306" i="1"/>
  <c r="AD306" i="1"/>
  <c r="S306" i="1"/>
  <c r="R306" i="1"/>
  <c r="Q306" i="1"/>
  <c r="AJ305" i="1"/>
  <c r="AI305" i="1"/>
  <c r="AH305" i="1"/>
  <c r="AG305" i="1"/>
  <c r="AF305" i="1"/>
  <c r="AE305" i="1"/>
  <c r="AD305" i="1"/>
  <c r="S305" i="1"/>
  <c r="R305" i="1"/>
  <c r="Q305" i="1"/>
  <c r="AJ304" i="1"/>
  <c r="AI304" i="1"/>
  <c r="AH304" i="1"/>
  <c r="AG304" i="1"/>
  <c r="AF304" i="1"/>
  <c r="AE304" i="1"/>
  <c r="AD304" i="1"/>
  <c r="S304" i="1"/>
  <c r="R304" i="1"/>
  <c r="Q304" i="1"/>
  <c r="AJ303" i="1"/>
  <c r="AI303" i="1"/>
  <c r="AH303" i="1"/>
  <c r="AG303" i="1"/>
  <c r="AF303" i="1"/>
  <c r="AE303" i="1"/>
  <c r="AD303" i="1"/>
  <c r="S303" i="1"/>
  <c r="R303" i="1"/>
  <c r="Q303" i="1"/>
  <c r="AJ302" i="1"/>
  <c r="AI302" i="1"/>
  <c r="AH302" i="1"/>
  <c r="AG302" i="1"/>
  <c r="AF302" i="1"/>
  <c r="AE302" i="1"/>
  <c r="AD302" i="1"/>
  <c r="S302" i="1"/>
  <c r="R302" i="1"/>
  <c r="Q302" i="1"/>
  <c r="AJ301" i="1"/>
  <c r="AI301" i="1"/>
  <c r="AH301" i="1"/>
  <c r="AG301" i="1"/>
  <c r="AF301" i="1"/>
  <c r="AE301" i="1"/>
  <c r="AD301" i="1"/>
  <c r="S301" i="1"/>
  <c r="R301" i="1"/>
  <c r="Q301" i="1"/>
  <c r="AJ300" i="1"/>
  <c r="AI300" i="1"/>
  <c r="AH300" i="1"/>
  <c r="AG300" i="1"/>
  <c r="AF300" i="1"/>
  <c r="AE300" i="1"/>
  <c r="AD300" i="1"/>
  <c r="S300" i="1"/>
  <c r="R300" i="1"/>
  <c r="Q300" i="1"/>
  <c r="AJ299" i="1"/>
  <c r="AI299" i="1"/>
  <c r="AH299" i="1"/>
  <c r="AG299" i="1"/>
  <c r="AF299" i="1"/>
  <c r="AE299" i="1"/>
  <c r="AD299" i="1"/>
  <c r="S299" i="1"/>
  <c r="R299" i="1"/>
  <c r="Q299" i="1"/>
  <c r="AJ298" i="1"/>
  <c r="AI298" i="1"/>
  <c r="AH298" i="1"/>
  <c r="AG298" i="1"/>
  <c r="AF298" i="1"/>
  <c r="AE298" i="1"/>
  <c r="AD298" i="1"/>
  <c r="S298" i="1"/>
  <c r="R298" i="1"/>
  <c r="Q298" i="1"/>
  <c r="AJ297" i="1"/>
  <c r="AI297" i="1"/>
  <c r="AH297" i="1"/>
  <c r="AG297" i="1"/>
  <c r="AF297" i="1"/>
  <c r="AE297" i="1"/>
  <c r="AD297" i="1"/>
  <c r="S297" i="1"/>
  <c r="R297" i="1"/>
  <c r="Q297" i="1"/>
  <c r="AJ296" i="1"/>
  <c r="AI296" i="1"/>
  <c r="AH296" i="1"/>
  <c r="AG296" i="1"/>
  <c r="AF296" i="1"/>
  <c r="AE296" i="1"/>
  <c r="AD296" i="1"/>
  <c r="S296" i="1"/>
  <c r="R296" i="1"/>
  <c r="Q296" i="1"/>
  <c r="AJ295" i="1"/>
  <c r="AI295" i="1"/>
  <c r="AH295" i="1"/>
  <c r="AG295" i="1"/>
  <c r="AF295" i="1"/>
  <c r="AE295" i="1"/>
  <c r="AD295" i="1"/>
  <c r="S295" i="1"/>
  <c r="R295" i="1"/>
  <c r="Q295" i="1"/>
  <c r="AJ294" i="1"/>
  <c r="AI294" i="1"/>
  <c r="AH294" i="1"/>
  <c r="AG294" i="1"/>
  <c r="AF294" i="1"/>
  <c r="AE294" i="1"/>
  <c r="AD294" i="1"/>
  <c r="S294" i="1"/>
  <c r="R294" i="1"/>
  <c r="Q294" i="1"/>
  <c r="AJ293" i="1"/>
  <c r="AI293" i="1"/>
  <c r="AH293" i="1"/>
  <c r="AG293" i="1"/>
  <c r="AF293" i="1"/>
  <c r="AE293" i="1"/>
  <c r="AD293" i="1"/>
  <c r="S293" i="1"/>
  <c r="R293" i="1"/>
  <c r="Q293" i="1"/>
  <c r="AJ292" i="1"/>
  <c r="AI292" i="1"/>
  <c r="AH292" i="1"/>
  <c r="AG292" i="1"/>
  <c r="AF292" i="1"/>
  <c r="AE292" i="1"/>
  <c r="AD292" i="1"/>
  <c r="S292" i="1"/>
  <c r="R292" i="1"/>
  <c r="Q292" i="1"/>
  <c r="AJ291" i="1"/>
  <c r="AI291" i="1"/>
  <c r="AH291" i="1"/>
  <c r="AG291" i="1"/>
  <c r="AF291" i="1"/>
  <c r="AE291" i="1"/>
  <c r="AD291" i="1"/>
  <c r="S291" i="1"/>
  <c r="R291" i="1"/>
  <c r="Q291" i="1"/>
  <c r="AJ290" i="1"/>
  <c r="AI290" i="1"/>
  <c r="AH290" i="1"/>
  <c r="AG290" i="1"/>
  <c r="AF290" i="1"/>
  <c r="AE290" i="1"/>
  <c r="AD290" i="1"/>
  <c r="S290" i="1"/>
  <c r="R290" i="1"/>
  <c r="Q290" i="1"/>
  <c r="AJ289" i="1"/>
  <c r="AI289" i="1"/>
  <c r="AH289" i="1"/>
  <c r="AG289" i="1"/>
  <c r="AF289" i="1"/>
  <c r="AE289" i="1"/>
  <c r="AD289" i="1"/>
  <c r="S289" i="1"/>
  <c r="R289" i="1"/>
  <c r="Q289" i="1"/>
  <c r="AJ288" i="1"/>
  <c r="AI288" i="1"/>
  <c r="AH288" i="1"/>
  <c r="AG288" i="1"/>
  <c r="AF288" i="1"/>
  <c r="AE288" i="1"/>
  <c r="AD288" i="1"/>
  <c r="S288" i="1"/>
  <c r="R288" i="1"/>
  <c r="Q288" i="1"/>
  <c r="AJ287" i="1"/>
  <c r="AI287" i="1"/>
  <c r="AH287" i="1"/>
  <c r="AG287" i="1"/>
  <c r="AF287" i="1"/>
  <c r="AE287" i="1"/>
  <c r="AD287" i="1"/>
  <c r="S287" i="1"/>
  <c r="R287" i="1"/>
  <c r="Q287" i="1"/>
  <c r="AJ286" i="1"/>
  <c r="AI286" i="1"/>
  <c r="AH286" i="1"/>
  <c r="AG286" i="1"/>
  <c r="AF286" i="1"/>
  <c r="AE286" i="1"/>
  <c r="AD286" i="1"/>
  <c r="S286" i="1"/>
  <c r="R286" i="1"/>
  <c r="Q286" i="1"/>
  <c r="AJ285" i="1"/>
  <c r="AI285" i="1"/>
  <c r="AH285" i="1"/>
  <c r="AG285" i="1"/>
  <c r="AF285" i="1"/>
  <c r="AE285" i="1"/>
  <c r="AD285" i="1"/>
  <c r="S285" i="1"/>
  <c r="R285" i="1"/>
  <c r="Q285" i="1"/>
  <c r="AJ284" i="1"/>
  <c r="AI284" i="1"/>
  <c r="AH284" i="1"/>
  <c r="AG284" i="1"/>
  <c r="AF284" i="1"/>
  <c r="AE284" i="1"/>
  <c r="AD284" i="1"/>
  <c r="S284" i="1"/>
  <c r="R284" i="1"/>
  <c r="Q284" i="1"/>
  <c r="AJ283" i="1"/>
  <c r="AI283" i="1"/>
  <c r="AH283" i="1"/>
  <c r="AG283" i="1"/>
  <c r="AF283" i="1"/>
  <c r="AE283" i="1"/>
  <c r="AD283" i="1"/>
  <c r="S283" i="1"/>
  <c r="R283" i="1"/>
  <c r="Q283" i="1"/>
  <c r="AJ282" i="1"/>
  <c r="AI282" i="1"/>
  <c r="AH282" i="1"/>
  <c r="AG282" i="1"/>
  <c r="AF282" i="1"/>
  <c r="AE282" i="1"/>
  <c r="AD282" i="1"/>
  <c r="S282" i="1"/>
  <c r="R282" i="1"/>
  <c r="Q282" i="1"/>
  <c r="AJ281" i="1"/>
  <c r="AI281" i="1"/>
  <c r="AH281" i="1"/>
  <c r="AG281" i="1"/>
  <c r="AF281" i="1"/>
  <c r="AE281" i="1"/>
  <c r="AD281" i="1"/>
  <c r="S281" i="1"/>
  <c r="R281" i="1"/>
  <c r="Q281" i="1"/>
  <c r="AJ280" i="1"/>
  <c r="AI280" i="1"/>
  <c r="AH280" i="1"/>
  <c r="AG280" i="1"/>
  <c r="AF280" i="1"/>
  <c r="AE280" i="1"/>
  <c r="AD280" i="1"/>
  <c r="S280" i="1"/>
  <c r="R280" i="1"/>
  <c r="Q280" i="1"/>
  <c r="AJ279" i="1"/>
  <c r="AI279" i="1"/>
  <c r="AH279" i="1"/>
  <c r="AG279" i="1"/>
  <c r="AF279" i="1"/>
  <c r="AE279" i="1"/>
  <c r="AD279" i="1"/>
  <c r="S279" i="1"/>
  <c r="R279" i="1"/>
  <c r="Q279" i="1"/>
  <c r="AJ278" i="1"/>
  <c r="AI278" i="1"/>
  <c r="AH278" i="1"/>
  <c r="AG278" i="1"/>
  <c r="AF278" i="1"/>
  <c r="AE278" i="1"/>
  <c r="AD278" i="1"/>
  <c r="S278" i="1"/>
  <c r="R278" i="1"/>
  <c r="Q278" i="1"/>
  <c r="AJ277" i="1"/>
  <c r="AI277" i="1"/>
  <c r="AH277" i="1"/>
  <c r="AG277" i="1"/>
  <c r="AF277" i="1"/>
  <c r="AE277" i="1"/>
  <c r="AD277" i="1"/>
  <c r="S277" i="1"/>
  <c r="R277" i="1"/>
  <c r="Q277" i="1"/>
  <c r="AJ276" i="1"/>
  <c r="AI276" i="1"/>
  <c r="AH276" i="1"/>
  <c r="AG276" i="1"/>
  <c r="AF276" i="1"/>
  <c r="AE276" i="1"/>
  <c r="AD276" i="1"/>
  <c r="S276" i="1"/>
  <c r="R276" i="1"/>
  <c r="Q276" i="1"/>
  <c r="AJ275" i="1"/>
  <c r="AI275" i="1"/>
  <c r="AH275" i="1"/>
  <c r="AG275" i="1"/>
  <c r="AF275" i="1"/>
  <c r="AE275" i="1"/>
  <c r="AD275" i="1"/>
  <c r="S275" i="1"/>
  <c r="R275" i="1"/>
  <c r="Q275" i="1"/>
  <c r="AJ274" i="1"/>
  <c r="AI274" i="1"/>
  <c r="AH274" i="1"/>
  <c r="AG274" i="1"/>
  <c r="AF274" i="1"/>
  <c r="AE274" i="1"/>
  <c r="AD274" i="1"/>
  <c r="S274" i="1"/>
  <c r="R274" i="1"/>
  <c r="Q274" i="1"/>
  <c r="AJ273" i="1"/>
  <c r="AI273" i="1"/>
  <c r="AH273" i="1"/>
  <c r="AG273" i="1"/>
  <c r="AF273" i="1"/>
  <c r="AE273" i="1"/>
  <c r="AD273" i="1"/>
  <c r="S273" i="1"/>
  <c r="R273" i="1"/>
  <c r="Q273" i="1"/>
  <c r="AJ272" i="1"/>
  <c r="AI272" i="1"/>
  <c r="AH272" i="1"/>
  <c r="AG272" i="1"/>
  <c r="AF272" i="1"/>
  <c r="AE272" i="1"/>
  <c r="AD272" i="1"/>
  <c r="S272" i="1"/>
  <c r="R272" i="1"/>
  <c r="Q272" i="1"/>
  <c r="AJ271" i="1"/>
  <c r="AI271" i="1"/>
  <c r="AH271" i="1"/>
  <c r="AG271" i="1"/>
  <c r="AF271" i="1"/>
  <c r="AE271" i="1"/>
  <c r="AD271" i="1"/>
  <c r="S271" i="1"/>
  <c r="R271" i="1"/>
  <c r="Q271" i="1"/>
  <c r="AJ270" i="1"/>
  <c r="AI270" i="1"/>
  <c r="AH270" i="1"/>
  <c r="AG270" i="1"/>
  <c r="AF270" i="1"/>
  <c r="AE270" i="1"/>
  <c r="AD270" i="1"/>
  <c r="S270" i="1"/>
  <c r="R270" i="1"/>
  <c r="Q270" i="1"/>
  <c r="AJ269" i="1"/>
  <c r="AI269" i="1"/>
  <c r="AH269" i="1"/>
  <c r="AG269" i="1"/>
  <c r="AF269" i="1"/>
  <c r="AE269" i="1"/>
  <c r="AD269" i="1"/>
  <c r="S269" i="1"/>
  <c r="R269" i="1"/>
  <c r="Q269" i="1"/>
  <c r="AJ268" i="1"/>
  <c r="AI268" i="1"/>
  <c r="AH268" i="1"/>
  <c r="AG268" i="1"/>
  <c r="AF268" i="1"/>
  <c r="AE268" i="1"/>
  <c r="AD268" i="1"/>
  <c r="S268" i="1"/>
  <c r="R268" i="1"/>
  <c r="Q268" i="1"/>
  <c r="AJ267" i="1"/>
  <c r="AI267" i="1"/>
  <c r="AH267" i="1"/>
  <c r="AG267" i="1"/>
  <c r="AF267" i="1"/>
  <c r="AE267" i="1"/>
  <c r="AD267" i="1"/>
  <c r="S267" i="1"/>
  <c r="R267" i="1"/>
  <c r="Q267" i="1"/>
  <c r="AJ266" i="1"/>
  <c r="AI266" i="1"/>
  <c r="AH266" i="1"/>
  <c r="AG266" i="1"/>
  <c r="AF266" i="1"/>
  <c r="AE266" i="1"/>
  <c r="AD266" i="1"/>
  <c r="S266" i="1"/>
  <c r="R266" i="1"/>
  <c r="Q266" i="1"/>
  <c r="AJ265" i="1"/>
  <c r="AI265" i="1"/>
  <c r="AH265" i="1"/>
  <c r="AG265" i="1"/>
  <c r="AF265" i="1"/>
  <c r="AE265" i="1"/>
  <c r="AD265" i="1"/>
  <c r="S265" i="1"/>
  <c r="R265" i="1"/>
  <c r="Q265" i="1"/>
  <c r="AJ264" i="1"/>
  <c r="AI264" i="1"/>
  <c r="AH264" i="1"/>
  <c r="AG264" i="1"/>
  <c r="AF264" i="1"/>
  <c r="AE264" i="1"/>
  <c r="AD264" i="1"/>
  <c r="S264" i="1"/>
  <c r="R264" i="1"/>
  <c r="Q264" i="1"/>
  <c r="AJ263" i="1"/>
  <c r="AI263" i="1"/>
  <c r="AH263" i="1"/>
  <c r="AG263" i="1"/>
  <c r="AF263" i="1"/>
  <c r="AE263" i="1"/>
  <c r="AD263" i="1"/>
  <c r="S263" i="1"/>
  <c r="R263" i="1"/>
  <c r="Q263" i="1"/>
  <c r="AJ262" i="1"/>
  <c r="AI262" i="1"/>
  <c r="AH262" i="1"/>
  <c r="AG262" i="1"/>
  <c r="AF262" i="1"/>
  <c r="AE262" i="1"/>
  <c r="AD262" i="1"/>
  <c r="S262" i="1"/>
  <c r="R262" i="1"/>
  <c r="Q262" i="1"/>
  <c r="AJ261" i="1"/>
  <c r="AI261" i="1"/>
  <c r="AH261" i="1"/>
  <c r="AG261" i="1"/>
  <c r="AF261" i="1"/>
  <c r="AE261" i="1"/>
  <c r="AD261" i="1"/>
  <c r="S261" i="1"/>
  <c r="R261" i="1"/>
  <c r="Q261" i="1"/>
  <c r="AJ260" i="1"/>
  <c r="AI260" i="1"/>
  <c r="AH260" i="1"/>
  <c r="AG260" i="1"/>
  <c r="AF260" i="1"/>
  <c r="AE260" i="1"/>
  <c r="AD260" i="1"/>
  <c r="S260" i="1"/>
  <c r="R260" i="1"/>
  <c r="Q260" i="1"/>
  <c r="AJ259" i="1"/>
  <c r="AI259" i="1"/>
  <c r="AH259" i="1"/>
  <c r="AG259" i="1"/>
  <c r="AF259" i="1"/>
  <c r="AE259" i="1"/>
  <c r="AD259" i="1"/>
  <c r="S259" i="1"/>
  <c r="R259" i="1"/>
  <c r="Q259" i="1"/>
  <c r="AJ258" i="1"/>
  <c r="AI258" i="1"/>
  <c r="AH258" i="1"/>
  <c r="AG258" i="1"/>
  <c r="AF258" i="1"/>
  <c r="AE258" i="1"/>
  <c r="AD258" i="1"/>
  <c r="S258" i="1"/>
  <c r="R258" i="1"/>
  <c r="Q258" i="1"/>
  <c r="AJ257" i="1"/>
  <c r="AI257" i="1"/>
  <c r="AH257" i="1"/>
  <c r="AG257" i="1"/>
  <c r="AF257" i="1"/>
  <c r="AE257" i="1"/>
  <c r="AD257" i="1"/>
  <c r="S257" i="1"/>
  <c r="R257" i="1"/>
  <c r="Q257" i="1"/>
  <c r="AJ256" i="1"/>
  <c r="AI256" i="1"/>
  <c r="AH256" i="1"/>
  <c r="AG256" i="1"/>
  <c r="AF256" i="1"/>
  <c r="AE256" i="1"/>
  <c r="AD256" i="1"/>
  <c r="S256" i="1"/>
  <c r="R256" i="1"/>
  <c r="Q256" i="1"/>
  <c r="AJ255" i="1"/>
  <c r="AI255" i="1"/>
  <c r="AH255" i="1"/>
  <c r="AG255" i="1"/>
  <c r="AF255" i="1"/>
  <c r="AE255" i="1"/>
  <c r="AD255" i="1"/>
  <c r="S255" i="1"/>
  <c r="R255" i="1"/>
  <c r="Q255" i="1"/>
  <c r="AJ254" i="1"/>
  <c r="AI254" i="1"/>
  <c r="AH254" i="1"/>
  <c r="AG254" i="1"/>
  <c r="AF254" i="1"/>
  <c r="AE254" i="1"/>
  <c r="AD254" i="1"/>
  <c r="S254" i="1"/>
  <c r="R254" i="1"/>
  <c r="Q254" i="1"/>
  <c r="AJ253" i="1"/>
  <c r="AI253" i="1"/>
  <c r="AH253" i="1"/>
  <c r="AG253" i="1"/>
  <c r="AF253" i="1"/>
  <c r="AE253" i="1"/>
  <c r="AD253" i="1"/>
  <c r="S253" i="1"/>
  <c r="R253" i="1"/>
  <c r="Q253" i="1"/>
  <c r="AJ252" i="1"/>
  <c r="AI252" i="1"/>
  <c r="AH252" i="1"/>
  <c r="AG252" i="1"/>
  <c r="AF252" i="1"/>
  <c r="AE252" i="1"/>
  <c r="AD252" i="1"/>
  <c r="S252" i="1"/>
  <c r="R252" i="1"/>
  <c r="Q252" i="1"/>
  <c r="AJ251" i="1"/>
  <c r="AI251" i="1"/>
  <c r="AH251" i="1"/>
  <c r="AG251" i="1"/>
  <c r="AF251" i="1"/>
  <c r="AE251" i="1"/>
  <c r="AD251" i="1"/>
  <c r="S251" i="1"/>
  <c r="R251" i="1"/>
  <c r="Q251" i="1"/>
  <c r="AJ250" i="1"/>
  <c r="AI250" i="1"/>
  <c r="AH250" i="1"/>
  <c r="AG250" i="1"/>
  <c r="AF250" i="1"/>
  <c r="AE250" i="1"/>
  <c r="AD250" i="1"/>
  <c r="S250" i="1"/>
  <c r="R250" i="1"/>
  <c r="Q250" i="1"/>
  <c r="AJ249" i="1"/>
  <c r="AI249" i="1"/>
  <c r="AH249" i="1"/>
  <c r="AG249" i="1"/>
  <c r="AF249" i="1"/>
  <c r="AE249" i="1"/>
  <c r="AD249" i="1"/>
  <c r="S249" i="1"/>
  <c r="R249" i="1"/>
  <c r="Q249" i="1"/>
  <c r="AJ248" i="1"/>
  <c r="AI248" i="1"/>
  <c r="AH248" i="1"/>
  <c r="AG248" i="1"/>
  <c r="AF248" i="1"/>
  <c r="AE248" i="1"/>
  <c r="AD248" i="1"/>
  <c r="S248" i="1"/>
  <c r="R248" i="1"/>
  <c r="Q248" i="1"/>
  <c r="AJ247" i="1"/>
  <c r="AI247" i="1"/>
  <c r="AH247" i="1"/>
  <c r="AG247" i="1"/>
  <c r="AF247" i="1"/>
  <c r="AE247" i="1"/>
  <c r="AD247" i="1"/>
  <c r="S247" i="1"/>
  <c r="R247" i="1"/>
  <c r="Q247" i="1"/>
  <c r="AJ246" i="1"/>
  <c r="AI246" i="1"/>
  <c r="AH246" i="1"/>
  <c r="AG246" i="1"/>
  <c r="AF246" i="1"/>
  <c r="AE246" i="1"/>
  <c r="AD246" i="1"/>
  <c r="S246" i="1"/>
  <c r="R246" i="1"/>
  <c r="Q246" i="1"/>
  <c r="AJ245" i="1"/>
  <c r="AI245" i="1"/>
  <c r="AH245" i="1"/>
  <c r="AG245" i="1"/>
  <c r="AF245" i="1"/>
  <c r="AE245" i="1"/>
  <c r="AD245" i="1"/>
  <c r="S245" i="1"/>
  <c r="R245" i="1"/>
  <c r="Q245" i="1"/>
  <c r="AJ244" i="1"/>
  <c r="AI244" i="1"/>
  <c r="AH244" i="1"/>
  <c r="AG244" i="1"/>
  <c r="AF244" i="1"/>
  <c r="AE244" i="1"/>
  <c r="AD244" i="1"/>
  <c r="S244" i="1"/>
  <c r="R244" i="1"/>
  <c r="Q244" i="1"/>
  <c r="AJ243" i="1"/>
  <c r="AI243" i="1"/>
  <c r="AH243" i="1"/>
  <c r="AG243" i="1"/>
  <c r="AF243" i="1"/>
  <c r="AE243" i="1"/>
  <c r="AD243" i="1"/>
  <c r="S243" i="1"/>
  <c r="R243" i="1"/>
  <c r="Q243" i="1"/>
  <c r="AJ242" i="1"/>
  <c r="AI242" i="1"/>
  <c r="AH242" i="1"/>
  <c r="AG242" i="1"/>
  <c r="AF242" i="1"/>
  <c r="AE242" i="1"/>
  <c r="AD242" i="1"/>
  <c r="S242" i="1"/>
  <c r="R242" i="1"/>
  <c r="Q242" i="1"/>
  <c r="AJ241" i="1"/>
  <c r="AI241" i="1"/>
  <c r="AH241" i="1"/>
  <c r="AG241" i="1"/>
  <c r="AF241" i="1"/>
  <c r="AE241" i="1"/>
  <c r="AD241" i="1"/>
  <c r="S241" i="1"/>
  <c r="R241" i="1"/>
  <c r="Q241" i="1"/>
  <c r="AJ240" i="1"/>
  <c r="AI240" i="1"/>
  <c r="AH240" i="1"/>
  <c r="AG240" i="1"/>
  <c r="AF240" i="1"/>
  <c r="AE240" i="1"/>
  <c r="AD240" i="1"/>
  <c r="S240" i="1"/>
  <c r="R240" i="1"/>
  <c r="Q240" i="1"/>
  <c r="AJ239" i="1"/>
  <c r="AI239" i="1"/>
  <c r="AH239" i="1"/>
  <c r="AG239" i="1"/>
  <c r="AF239" i="1"/>
  <c r="AE239" i="1"/>
  <c r="AD239" i="1"/>
  <c r="S239" i="1"/>
  <c r="R239" i="1"/>
  <c r="Q239" i="1"/>
  <c r="AJ238" i="1"/>
  <c r="AI238" i="1"/>
  <c r="AH238" i="1"/>
  <c r="AG238" i="1"/>
  <c r="AF238" i="1"/>
  <c r="AE238" i="1"/>
  <c r="AD238" i="1"/>
  <c r="S238" i="1"/>
  <c r="R238" i="1"/>
  <c r="Q238" i="1"/>
  <c r="AJ237" i="1"/>
  <c r="AI237" i="1"/>
  <c r="AH237" i="1"/>
  <c r="AG237" i="1"/>
  <c r="AF237" i="1"/>
  <c r="AE237" i="1"/>
  <c r="AD237" i="1"/>
  <c r="S237" i="1"/>
  <c r="R237" i="1"/>
  <c r="Q237" i="1"/>
  <c r="AJ236" i="1"/>
  <c r="AI236" i="1"/>
  <c r="AH236" i="1"/>
  <c r="AG236" i="1"/>
  <c r="AF236" i="1"/>
  <c r="AE236" i="1"/>
  <c r="AD236" i="1"/>
  <c r="S236" i="1"/>
  <c r="R236" i="1"/>
  <c r="Q236" i="1"/>
  <c r="AJ235" i="1"/>
  <c r="AI235" i="1"/>
  <c r="AH235" i="1"/>
  <c r="AG235" i="1"/>
  <c r="AF235" i="1"/>
  <c r="AE235" i="1"/>
  <c r="AD235" i="1"/>
  <c r="S235" i="1"/>
  <c r="R235" i="1"/>
  <c r="Q235" i="1"/>
  <c r="AJ234" i="1"/>
  <c r="AI234" i="1"/>
  <c r="AH234" i="1"/>
  <c r="AG234" i="1"/>
  <c r="AF234" i="1"/>
  <c r="AE234" i="1"/>
  <c r="AD234" i="1"/>
  <c r="S234" i="1"/>
  <c r="R234" i="1"/>
  <c r="Q234" i="1"/>
  <c r="AJ233" i="1"/>
  <c r="AI233" i="1"/>
  <c r="AH233" i="1"/>
  <c r="AG233" i="1"/>
  <c r="AF233" i="1"/>
  <c r="AE233" i="1"/>
  <c r="AD233" i="1"/>
  <c r="S233" i="1"/>
  <c r="R233" i="1"/>
  <c r="Q233" i="1"/>
  <c r="AJ232" i="1"/>
  <c r="AI232" i="1"/>
  <c r="AH232" i="1"/>
  <c r="AG232" i="1"/>
  <c r="AF232" i="1"/>
  <c r="AE232" i="1"/>
  <c r="AD232" i="1"/>
  <c r="S232" i="1"/>
  <c r="R232" i="1"/>
  <c r="Q232" i="1"/>
  <c r="AJ231" i="1"/>
  <c r="AI231" i="1"/>
  <c r="AH231" i="1"/>
  <c r="AG231" i="1"/>
  <c r="AF231" i="1"/>
  <c r="AE231" i="1"/>
  <c r="AD231" i="1"/>
  <c r="S231" i="1"/>
  <c r="R231" i="1"/>
  <c r="Q231" i="1"/>
  <c r="AJ230" i="1"/>
  <c r="AI230" i="1"/>
  <c r="AH230" i="1"/>
  <c r="AG230" i="1"/>
  <c r="AF230" i="1"/>
  <c r="AE230" i="1"/>
  <c r="AD230" i="1"/>
  <c r="S230" i="1"/>
  <c r="R230" i="1"/>
  <c r="Q230" i="1"/>
  <c r="AJ229" i="1"/>
  <c r="AI229" i="1"/>
  <c r="AH229" i="1"/>
  <c r="AG229" i="1"/>
  <c r="AF229" i="1"/>
  <c r="AE229" i="1"/>
  <c r="AD229" i="1"/>
  <c r="S229" i="1"/>
  <c r="R229" i="1"/>
  <c r="Q229" i="1"/>
  <c r="AJ228" i="1"/>
  <c r="AI228" i="1"/>
  <c r="AH228" i="1"/>
  <c r="AG228" i="1"/>
  <c r="AF228" i="1"/>
  <c r="AE228" i="1"/>
  <c r="AD228" i="1"/>
  <c r="S228" i="1"/>
  <c r="R228" i="1"/>
  <c r="Q228" i="1"/>
  <c r="AJ227" i="1"/>
  <c r="AI227" i="1"/>
  <c r="AH227" i="1"/>
  <c r="AG227" i="1"/>
  <c r="AF227" i="1"/>
  <c r="AE227" i="1"/>
  <c r="AD227" i="1"/>
  <c r="S227" i="1"/>
  <c r="R227" i="1"/>
  <c r="Q227" i="1"/>
  <c r="AJ226" i="1"/>
  <c r="AI226" i="1"/>
  <c r="AH226" i="1"/>
  <c r="AG226" i="1"/>
  <c r="AF226" i="1"/>
  <c r="AE226" i="1"/>
  <c r="AD226" i="1"/>
  <c r="S226" i="1"/>
  <c r="R226" i="1"/>
  <c r="Q226" i="1"/>
  <c r="AJ225" i="1"/>
  <c r="AI225" i="1"/>
  <c r="AH225" i="1"/>
  <c r="AG225" i="1"/>
  <c r="AF225" i="1"/>
  <c r="AE225" i="1"/>
  <c r="AD225" i="1"/>
  <c r="S225" i="1"/>
  <c r="R225" i="1"/>
  <c r="Q225" i="1"/>
  <c r="AJ224" i="1"/>
  <c r="AI224" i="1"/>
  <c r="AH224" i="1"/>
  <c r="AG224" i="1"/>
  <c r="AF224" i="1"/>
  <c r="AE224" i="1"/>
  <c r="AD224" i="1"/>
  <c r="S224" i="1"/>
  <c r="R224" i="1"/>
  <c r="Q224" i="1"/>
  <c r="AJ223" i="1"/>
  <c r="AI223" i="1"/>
  <c r="AH223" i="1"/>
  <c r="AG223" i="1"/>
  <c r="AF223" i="1"/>
  <c r="AE223" i="1"/>
  <c r="AD223" i="1"/>
  <c r="S223" i="1"/>
  <c r="R223" i="1"/>
  <c r="Q223" i="1"/>
  <c r="AJ222" i="1"/>
  <c r="AI222" i="1"/>
  <c r="AH222" i="1"/>
  <c r="AG222" i="1"/>
  <c r="AF222" i="1"/>
  <c r="AE222" i="1"/>
  <c r="AD222" i="1"/>
  <c r="S222" i="1"/>
  <c r="R222" i="1"/>
  <c r="Q222" i="1"/>
  <c r="AJ221" i="1"/>
  <c r="AI221" i="1"/>
  <c r="AH221" i="1"/>
  <c r="AG221" i="1"/>
  <c r="AF221" i="1"/>
  <c r="AE221" i="1"/>
  <c r="AD221" i="1"/>
  <c r="S221" i="1"/>
  <c r="R221" i="1"/>
  <c r="Q221" i="1"/>
  <c r="AJ220" i="1"/>
  <c r="AI220" i="1"/>
  <c r="AH220" i="1"/>
  <c r="AG220" i="1"/>
  <c r="AF220" i="1"/>
  <c r="AE220" i="1"/>
  <c r="AD220" i="1"/>
  <c r="S220" i="1"/>
  <c r="R220" i="1"/>
  <c r="Q220" i="1"/>
  <c r="AJ219" i="1"/>
  <c r="AI219" i="1"/>
  <c r="AH219" i="1"/>
  <c r="AG219" i="1"/>
  <c r="AF219" i="1"/>
  <c r="AE219" i="1"/>
  <c r="AD219" i="1"/>
  <c r="S219" i="1"/>
  <c r="R219" i="1"/>
  <c r="Q219" i="1"/>
  <c r="AJ218" i="1"/>
  <c r="AI218" i="1"/>
  <c r="AH218" i="1"/>
  <c r="AG218" i="1"/>
  <c r="AF218" i="1"/>
  <c r="AE218" i="1"/>
  <c r="AD218" i="1"/>
  <c r="S218" i="1"/>
  <c r="R218" i="1"/>
  <c r="Q218" i="1"/>
  <c r="AJ217" i="1"/>
  <c r="AI217" i="1"/>
  <c r="AH217" i="1"/>
  <c r="AG217" i="1"/>
  <c r="AF217" i="1"/>
  <c r="AE217" i="1"/>
  <c r="AD217" i="1"/>
  <c r="S217" i="1"/>
  <c r="R217" i="1"/>
  <c r="Q217" i="1"/>
  <c r="AJ216" i="1"/>
  <c r="AI216" i="1"/>
  <c r="AH216" i="1"/>
  <c r="AG216" i="1"/>
  <c r="AF216" i="1"/>
  <c r="AE216" i="1"/>
  <c r="AD216" i="1"/>
  <c r="S216" i="1"/>
  <c r="R216" i="1"/>
  <c r="Q216" i="1"/>
  <c r="AJ215" i="1"/>
  <c r="AI215" i="1"/>
  <c r="AH215" i="1"/>
  <c r="AG215" i="1"/>
  <c r="AF215" i="1"/>
  <c r="AE215" i="1"/>
  <c r="AD215" i="1"/>
  <c r="S215" i="1"/>
  <c r="R215" i="1"/>
  <c r="Q215" i="1"/>
  <c r="AJ214" i="1"/>
  <c r="AI214" i="1"/>
  <c r="AH214" i="1"/>
  <c r="AG214" i="1"/>
  <c r="AF214" i="1"/>
  <c r="AE214" i="1"/>
  <c r="AD214" i="1"/>
  <c r="S214" i="1"/>
  <c r="R214" i="1"/>
  <c r="Q214" i="1"/>
  <c r="AJ213" i="1"/>
  <c r="AI213" i="1"/>
  <c r="AH213" i="1"/>
  <c r="AG213" i="1"/>
  <c r="AF213" i="1"/>
  <c r="AE213" i="1"/>
  <c r="AD213" i="1"/>
  <c r="S213" i="1"/>
  <c r="R213" i="1"/>
  <c r="Q213" i="1"/>
  <c r="AJ212" i="1"/>
  <c r="AI212" i="1"/>
  <c r="AH212" i="1"/>
  <c r="AG212" i="1"/>
  <c r="AF212" i="1"/>
  <c r="AE212" i="1"/>
  <c r="AD212" i="1"/>
  <c r="S212" i="1"/>
  <c r="R212" i="1"/>
  <c r="Q212" i="1"/>
  <c r="AJ211" i="1"/>
  <c r="AI211" i="1"/>
  <c r="AH211" i="1"/>
  <c r="AG211" i="1"/>
  <c r="AF211" i="1"/>
  <c r="AE211" i="1"/>
  <c r="AD211" i="1"/>
  <c r="S211" i="1"/>
  <c r="R211" i="1"/>
  <c r="Q211" i="1"/>
  <c r="AJ210" i="1"/>
  <c r="AI210" i="1"/>
  <c r="AH210" i="1"/>
  <c r="AG210" i="1"/>
  <c r="AF210" i="1"/>
  <c r="AE210" i="1"/>
  <c r="AD210" i="1"/>
  <c r="S210" i="1"/>
  <c r="R210" i="1"/>
  <c r="Q210" i="1"/>
  <c r="AJ209" i="1"/>
  <c r="AI209" i="1"/>
  <c r="AH209" i="1"/>
  <c r="AG209" i="1"/>
  <c r="AF209" i="1"/>
  <c r="AE209" i="1"/>
  <c r="AD209" i="1"/>
  <c r="S209" i="1"/>
  <c r="R209" i="1"/>
  <c r="Q209" i="1"/>
  <c r="AJ208" i="1"/>
  <c r="AI208" i="1"/>
  <c r="AH208" i="1"/>
  <c r="AG208" i="1"/>
  <c r="AF208" i="1"/>
  <c r="AE208" i="1"/>
  <c r="AD208" i="1"/>
  <c r="S208" i="1"/>
  <c r="R208" i="1"/>
  <c r="Q208" i="1"/>
  <c r="AJ207" i="1"/>
  <c r="AI207" i="1"/>
  <c r="AH207" i="1"/>
  <c r="AG207" i="1"/>
  <c r="AF207" i="1"/>
  <c r="AE207" i="1"/>
  <c r="AD207" i="1"/>
  <c r="S207" i="1"/>
  <c r="R207" i="1"/>
  <c r="Q207" i="1"/>
  <c r="AJ206" i="1"/>
  <c r="AI206" i="1"/>
  <c r="AH206" i="1"/>
  <c r="AG206" i="1"/>
  <c r="AF206" i="1"/>
  <c r="AE206" i="1"/>
  <c r="AD206" i="1"/>
  <c r="S206" i="1"/>
  <c r="R206" i="1"/>
  <c r="Q206" i="1"/>
  <c r="AJ205" i="1"/>
  <c r="AI205" i="1"/>
  <c r="AH205" i="1"/>
  <c r="AG205" i="1"/>
  <c r="AF205" i="1"/>
  <c r="AE205" i="1"/>
  <c r="AD205" i="1"/>
  <c r="S205" i="1"/>
  <c r="R205" i="1"/>
  <c r="Q205" i="1"/>
  <c r="AJ204" i="1"/>
  <c r="AI204" i="1"/>
  <c r="AH204" i="1"/>
  <c r="AG204" i="1"/>
  <c r="AF204" i="1"/>
  <c r="AE204" i="1"/>
  <c r="AD204" i="1"/>
  <c r="S204" i="1"/>
  <c r="R204" i="1"/>
  <c r="Q204" i="1"/>
  <c r="AJ203" i="1"/>
  <c r="AI203" i="1"/>
  <c r="AH203" i="1"/>
  <c r="AG203" i="1"/>
  <c r="AF203" i="1"/>
  <c r="AE203" i="1"/>
  <c r="AD203" i="1"/>
  <c r="S203" i="1"/>
  <c r="R203" i="1"/>
  <c r="Q203" i="1"/>
  <c r="AJ202" i="1"/>
  <c r="AI202" i="1"/>
  <c r="AH202" i="1"/>
  <c r="AG202" i="1"/>
  <c r="AF202" i="1"/>
  <c r="AE202" i="1"/>
  <c r="AD202" i="1"/>
  <c r="S202" i="1"/>
  <c r="R202" i="1"/>
  <c r="Q202" i="1"/>
  <c r="AJ201" i="1"/>
  <c r="AI201" i="1"/>
  <c r="AH201" i="1"/>
  <c r="AG201" i="1"/>
  <c r="AF201" i="1"/>
  <c r="AE201" i="1"/>
  <c r="AD201" i="1"/>
  <c r="S201" i="1"/>
  <c r="R201" i="1"/>
  <c r="Q201" i="1"/>
  <c r="AJ200" i="1"/>
  <c r="AI200" i="1"/>
  <c r="AH200" i="1"/>
  <c r="AG200" i="1"/>
  <c r="AF200" i="1"/>
  <c r="AE200" i="1"/>
  <c r="AD200" i="1"/>
  <c r="S200" i="1"/>
  <c r="R200" i="1"/>
  <c r="Q200" i="1"/>
  <c r="AJ199" i="1"/>
  <c r="AI199" i="1"/>
  <c r="AH199" i="1"/>
  <c r="AG199" i="1"/>
  <c r="AF199" i="1"/>
  <c r="AE199" i="1"/>
  <c r="AD199" i="1"/>
  <c r="S199" i="1"/>
  <c r="R199" i="1"/>
  <c r="Q199" i="1"/>
  <c r="AJ198" i="1"/>
  <c r="AI198" i="1"/>
  <c r="AH198" i="1"/>
  <c r="AG198" i="1"/>
  <c r="AF198" i="1"/>
  <c r="AE198" i="1"/>
  <c r="AD198" i="1"/>
  <c r="S198" i="1"/>
  <c r="R198" i="1"/>
  <c r="Q198" i="1"/>
  <c r="AJ197" i="1"/>
  <c r="AI197" i="1"/>
  <c r="AH197" i="1"/>
  <c r="AG197" i="1"/>
  <c r="AF197" i="1"/>
  <c r="AE197" i="1"/>
  <c r="AD197" i="1"/>
  <c r="S197" i="1"/>
  <c r="R197" i="1"/>
  <c r="Q197" i="1"/>
  <c r="AJ196" i="1"/>
  <c r="AI196" i="1"/>
  <c r="AH196" i="1"/>
  <c r="AG196" i="1"/>
  <c r="AF196" i="1"/>
  <c r="AE196" i="1"/>
  <c r="AD196" i="1"/>
  <c r="S196" i="1"/>
  <c r="R196" i="1"/>
  <c r="Q196" i="1"/>
  <c r="AJ195" i="1"/>
  <c r="AI195" i="1"/>
  <c r="AH195" i="1"/>
  <c r="AG195" i="1"/>
  <c r="AF195" i="1"/>
  <c r="AE195" i="1"/>
  <c r="AD195" i="1"/>
  <c r="S195" i="1"/>
  <c r="R195" i="1"/>
  <c r="Q195" i="1"/>
  <c r="AJ194" i="1"/>
  <c r="AI194" i="1"/>
  <c r="AH194" i="1"/>
  <c r="AG194" i="1"/>
  <c r="AF194" i="1"/>
  <c r="AE194" i="1"/>
  <c r="AD194" i="1"/>
  <c r="S194" i="1"/>
  <c r="R194" i="1"/>
  <c r="Q194" i="1"/>
  <c r="AJ193" i="1"/>
  <c r="AI193" i="1"/>
  <c r="AH193" i="1"/>
  <c r="AG193" i="1"/>
  <c r="AF193" i="1"/>
  <c r="AE193" i="1"/>
  <c r="AD193" i="1"/>
  <c r="S193" i="1"/>
  <c r="R193" i="1"/>
  <c r="Q193" i="1"/>
  <c r="AJ192" i="1"/>
  <c r="AI192" i="1"/>
  <c r="AH192" i="1"/>
  <c r="AG192" i="1"/>
  <c r="AF192" i="1"/>
  <c r="AE192" i="1"/>
  <c r="AD192" i="1"/>
  <c r="S192" i="1"/>
  <c r="R192" i="1"/>
  <c r="Q192" i="1"/>
  <c r="AJ191" i="1"/>
  <c r="AI191" i="1"/>
  <c r="AH191" i="1"/>
  <c r="AG191" i="1"/>
  <c r="AF191" i="1"/>
  <c r="AE191" i="1"/>
  <c r="AD191" i="1"/>
  <c r="S191" i="1"/>
  <c r="R191" i="1"/>
  <c r="Q191" i="1"/>
  <c r="AJ190" i="1"/>
  <c r="AI190" i="1"/>
  <c r="AH190" i="1"/>
  <c r="AG190" i="1"/>
  <c r="AF190" i="1"/>
  <c r="AE190" i="1"/>
  <c r="AD190" i="1"/>
  <c r="S190" i="1"/>
  <c r="R190" i="1"/>
  <c r="Q190" i="1"/>
  <c r="AJ189" i="1"/>
  <c r="AI189" i="1"/>
  <c r="AH189" i="1"/>
  <c r="AG189" i="1"/>
  <c r="AF189" i="1"/>
  <c r="AE189" i="1"/>
  <c r="AD189" i="1"/>
  <c r="S189" i="1"/>
  <c r="R189" i="1"/>
  <c r="Q189" i="1"/>
  <c r="AJ188" i="1"/>
  <c r="AI188" i="1"/>
  <c r="AH188" i="1"/>
  <c r="AG188" i="1"/>
  <c r="AF188" i="1"/>
  <c r="AE188" i="1"/>
  <c r="AD188" i="1"/>
  <c r="S188" i="1"/>
  <c r="R188" i="1"/>
  <c r="Q188" i="1"/>
  <c r="AJ187" i="1"/>
  <c r="AI187" i="1"/>
  <c r="AH187" i="1"/>
  <c r="AG187" i="1"/>
  <c r="AF187" i="1"/>
  <c r="AE187" i="1"/>
  <c r="AD187" i="1"/>
  <c r="S187" i="1"/>
  <c r="R187" i="1"/>
  <c r="Q187" i="1"/>
  <c r="AJ186" i="1"/>
  <c r="AI186" i="1"/>
  <c r="AH186" i="1"/>
  <c r="AG186" i="1"/>
  <c r="AF186" i="1"/>
  <c r="AE186" i="1"/>
  <c r="AD186" i="1"/>
  <c r="S186" i="1"/>
  <c r="R186" i="1"/>
  <c r="Q186" i="1"/>
  <c r="AJ185" i="1"/>
  <c r="AI185" i="1"/>
  <c r="AH185" i="1"/>
  <c r="AG185" i="1"/>
  <c r="AF185" i="1"/>
  <c r="AE185" i="1"/>
  <c r="AD185" i="1"/>
  <c r="S185" i="1"/>
  <c r="R185" i="1"/>
  <c r="Q185" i="1"/>
  <c r="AJ184" i="1"/>
  <c r="AI184" i="1"/>
  <c r="AH184" i="1"/>
  <c r="AG184" i="1"/>
  <c r="AF184" i="1"/>
  <c r="AE184" i="1"/>
  <c r="AD184" i="1"/>
  <c r="S184" i="1"/>
  <c r="R184" i="1"/>
  <c r="Q184" i="1"/>
  <c r="AJ183" i="1"/>
  <c r="AI183" i="1"/>
  <c r="AH183" i="1"/>
  <c r="AG183" i="1"/>
  <c r="AF183" i="1"/>
  <c r="AE183" i="1"/>
  <c r="AD183" i="1"/>
  <c r="S183" i="1"/>
  <c r="R183" i="1"/>
  <c r="Q183" i="1"/>
  <c r="AJ182" i="1"/>
  <c r="AI182" i="1"/>
  <c r="AH182" i="1"/>
  <c r="AG182" i="1"/>
  <c r="AF182" i="1"/>
  <c r="AE182" i="1"/>
  <c r="AD182" i="1"/>
  <c r="S182" i="1"/>
  <c r="R182" i="1"/>
  <c r="Q182" i="1"/>
  <c r="AJ181" i="1"/>
  <c r="AI181" i="1"/>
  <c r="AH181" i="1"/>
  <c r="AG181" i="1"/>
  <c r="AF181" i="1"/>
  <c r="AE181" i="1"/>
  <c r="AD181" i="1"/>
  <c r="S181" i="1"/>
  <c r="R181" i="1"/>
  <c r="Q181" i="1"/>
  <c r="AJ180" i="1"/>
  <c r="AI180" i="1"/>
  <c r="AH180" i="1"/>
  <c r="AG180" i="1"/>
  <c r="AF180" i="1"/>
  <c r="AE180" i="1"/>
  <c r="AD180" i="1"/>
  <c r="S180" i="1"/>
  <c r="R180" i="1"/>
  <c r="Q180" i="1"/>
  <c r="AJ179" i="1"/>
  <c r="AI179" i="1"/>
  <c r="AH179" i="1"/>
  <c r="AG179" i="1"/>
  <c r="AF179" i="1"/>
  <c r="AE179" i="1"/>
  <c r="AD179" i="1"/>
  <c r="S179" i="1"/>
  <c r="R179" i="1"/>
  <c r="Q179" i="1"/>
  <c r="AJ178" i="1"/>
  <c r="AI178" i="1"/>
  <c r="AH178" i="1"/>
  <c r="AG178" i="1"/>
  <c r="AF178" i="1"/>
  <c r="AE178" i="1"/>
  <c r="AD178" i="1"/>
  <c r="S178" i="1"/>
  <c r="R178" i="1"/>
  <c r="Q178" i="1"/>
  <c r="AJ177" i="1"/>
  <c r="AI177" i="1"/>
  <c r="AH177" i="1"/>
  <c r="AG177" i="1"/>
  <c r="AF177" i="1"/>
  <c r="AE177" i="1"/>
  <c r="AD177" i="1"/>
  <c r="S177" i="1"/>
  <c r="R177" i="1"/>
  <c r="Q177" i="1"/>
  <c r="AJ176" i="1"/>
  <c r="AI176" i="1"/>
  <c r="AH176" i="1"/>
  <c r="AG176" i="1"/>
  <c r="AF176" i="1"/>
  <c r="AE176" i="1"/>
  <c r="AD176" i="1"/>
  <c r="S176" i="1"/>
  <c r="R176" i="1"/>
  <c r="Q176" i="1"/>
  <c r="AJ175" i="1"/>
  <c r="AI175" i="1"/>
  <c r="AH175" i="1"/>
  <c r="AG175" i="1"/>
  <c r="AF175" i="1"/>
  <c r="AE175" i="1"/>
  <c r="AD175" i="1"/>
  <c r="S175" i="1"/>
  <c r="R175" i="1"/>
  <c r="Q175" i="1"/>
  <c r="AJ174" i="1"/>
  <c r="AI174" i="1"/>
  <c r="AH174" i="1"/>
  <c r="AG174" i="1"/>
  <c r="AF174" i="1"/>
  <c r="AE174" i="1"/>
  <c r="AD174" i="1"/>
  <c r="S174" i="1"/>
  <c r="R174" i="1"/>
  <c r="Q174" i="1"/>
  <c r="AJ173" i="1"/>
  <c r="AI173" i="1"/>
  <c r="AH173" i="1"/>
  <c r="AG173" i="1"/>
  <c r="AF173" i="1"/>
  <c r="AE173" i="1"/>
  <c r="AD173" i="1"/>
  <c r="S173" i="1"/>
  <c r="R173" i="1"/>
  <c r="Q173" i="1"/>
  <c r="AJ172" i="1"/>
  <c r="AI172" i="1"/>
  <c r="AH172" i="1"/>
  <c r="AG172" i="1"/>
  <c r="AF172" i="1"/>
  <c r="AE172" i="1"/>
  <c r="AD172" i="1"/>
  <c r="S172" i="1"/>
  <c r="R172" i="1"/>
  <c r="Q172" i="1"/>
  <c r="AJ171" i="1"/>
  <c r="AI171" i="1"/>
  <c r="AH171" i="1"/>
  <c r="AG171" i="1"/>
  <c r="AF171" i="1"/>
  <c r="AE171" i="1"/>
  <c r="AD171" i="1"/>
  <c r="S171" i="1"/>
  <c r="R171" i="1"/>
  <c r="Q171" i="1"/>
  <c r="AJ170" i="1"/>
  <c r="AI170" i="1"/>
  <c r="AH170" i="1"/>
  <c r="AG170" i="1"/>
  <c r="AF170" i="1"/>
  <c r="AE170" i="1"/>
  <c r="AD170" i="1"/>
  <c r="S170" i="1"/>
  <c r="R170" i="1"/>
  <c r="Q170" i="1"/>
  <c r="AJ169" i="1"/>
  <c r="AI169" i="1"/>
  <c r="AH169" i="1"/>
  <c r="AG169" i="1"/>
  <c r="AF169" i="1"/>
  <c r="AE169" i="1"/>
  <c r="AD169" i="1"/>
  <c r="S169" i="1"/>
  <c r="R169" i="1"/>
  <c r="Q169" i="1"/>
  <c r="AJ168" i="1"/>
  <c r="AI168" i="1"/>
  <c r="AH168" i="1"/>
  <c r="AG168" i="1"/>
  <c r="AF168" i="1"/>
  <c r="AE168" i="1"/>
  <c r="AD168" i="1"/>
  <c r="S168" i="1"/>
  <c r="R168" i="1"/>
  <c r="Q168" i="1"/>
  <c r="AJ167" i="1"/>
  <c r="AI167" i="1"/>
  <c r="AH167" i="1"/>
  <c r="AG167" i="1"/>
  <c r="AF167" i="1"/>
  <c r="AE167" i="1"/>
  <c r="AD167" i="1"/>
  <c r="S167" i="1"/>
  <c r="R167" i="1"/>
  <c r="Q167" i="1"/>
  <c r="AJ166" i="1"/>
  <c r="AI166" i="1"/>
  <c r="AH166" i="1"/>
  <c r="AG166" i="1"/>
  <c r="AF166" i="1"/>
  <c r="AE166" i="1"/>
  <c r="AD166" i="1"/>
  <c r="S166" i="1"/>
  <c r="R166" i="1"/>
  <c r="Q166" i="1"/>
  <c r="AJ165" i="1"/>
  <c r="AI165" i="1"/>
  <c r="AH165" i="1"/>
  <c r="AG165" i="1"/>
  <c r="AF165" i="1"/>
  <c r="AE165" i="1"/>
  <c r="AD165" i="1"/>
  <c r="S165" i="1"/>
  <c r="R165" i="1"/>
  <c r="Q165" i="1"/>
  <c r="AJ164" i="1"/>
  <c r="AI164" i="1"/>
  <c r="AH164" i="1"/>
  <c r="AG164" i="1"/>
  <c r="AF164" i="1"/>
  <c r="AE164" i="1"/>
  <c r="AD164" i="1"/>
  <c r="S164" i="1"/>
  <c r="R164" i="1"/>
  <c r="Q164" i="1"/>
  <c r="AJ163" i="1"/>
  <c r="AI163" i="1"/>
  <c r="AH163" i="1"/>
  <c r="AG163" i="1"/>
  <c r="AF163" i="1"/>
  <c r="AE163" i="1"/>
  <c r="AD163" i="1"/>
  <c r="S163" i="1"/>
  <c r="R163" i="1"/>
  <c r="Q163" i="1"/>
  <c r="AJ162" i="1"/>
  <c r="AI162" i="1"/>
  <c r="AH162" i="1"/>
  <c r="AG162" i="1"/>
  <c r="AF162" i="1"/>
  <c r="AE162" i="1"/>
  <c r="AD162" i="1"/>
  <c r="S162" i="1"/>
  <c r="R162" i="1"/>
  <c r="Q162" i="1"/>
  <c r="AJ161" i="1"/>
  <c r="AI161" i="1"/>
  <c r="AH161" i="1"/>
  <c r="AG161" i="1"/>
  <c r="AF161" i="1"/>
  <c r="AE161" i="1"/>
  <c r="AD161" i="1"/>
  <c r="S161" i="1"/>
  <c r="R161" i="1"/>
  <c r="Q161" i="1"/>
  <c r="AJ160" i="1"/>
  <c r="AI160" i="1"/>
  <c r="AH160" i="1"/>
  <c r="AG160" i="1"/>
  <c r="AF160" i="1"/>
  <c r="AE160" i="1"/>
  <c r="AD160" i="1"/>
  <c r="S160" i="1"/>
  <c r="R160" i="1"/>
  <c r="Q160" i="1"/>
  <c r="AJ159" i="1"/>
  <c r="AI159" i="1"/>
  <c r="AH159" i="1"/>
  <c r="AG159" i="1"/>
  <c r="AF159" i="1"/>
  <c r="AE159" i="1"/>
  <c r="AD159" i="1"/>
  <c r="S159" i="1"/>
  <c r="R159" i="1"/>
  <c r="Q159" i="1"/>
  <c r="AJ158" i="1"/>
  <c r="AI158" i="1"/>
  <c r="AH158" i="1"/>
  <c r="AG158" i="1"/>
  <c r="AF158" i="1"/>
  <c r="AE158" i="1"/>
  <c r="AD158" i="1"/>
  <c r="S158" i="1"/>
  <c r="R158" i="1"/>
  <c r="Q158" i="1"/>
  <c r="AJ157" i="1"/>
  <c r="AI157" i="1"/>
  <c r="AH157" i="1"/>
  <c r="AG157" i="1"/>
  <c r="AF157" i="1"/>
  <c r="AE157" i="1"/>
  <c r="AD157" i="1"/>
  <c r="S157" i="1"/>
  <c r="R157" i="1"/>
  <c r="Q157" i="1"/>
  <c r="AJ156" i="1"/>
  <c r="AI156" i="1"/>
  <c r="AH156" i="1"/>
  <c r="AG156" i="1"/>
  <c r="AF156" i="1"/>
  <c r="AE156" i="1"/>
  <c r="AD156" i="1"/>
  <c r="S156" i="1"/>
  <c r="R156" i="1"/>
  <c r="Q156" i="1"/>
  <c r="AJ155" i="1"/>
  <c r="AI155" i="1"/>
  <c r="AH155" i="1"/>
  <c r="AG155" i="1"/>
  <c r="AF155" i="1"/>
  <c r="AE155" i="1"/>
  <c r="AD155" i="1"/>
  <c r="S155" i="1"/>
  <c r="R155" i="1"/>
  <c r="Q155" i="1"/>
  <c r="AJ154" i="1"/>
  <c r="AI154" i="1"/>
  <c r="AH154" i="1"/>
  <c r="AG154" i="1"/>
  <c r="AF154" i="1"/>
  <c r="AE154" i="1"/>
  <c r="AD154" i="1"/>
  <c r="S154" i="1"/>
  <c r="R154" i="1"/>
  <c r="Q154" i="1"/>
  <c r="AJ153" i="1"/>
  <c r="AI153" i="1"/>
  <c r="AH153" i="1"/>
  <c r="AG153" i="1"/>
  <c r="AF153" i="1"/>
  <c r="AE153" i="1"/>
  <c r="AD153" i="1"/>
  <c r="S153" i="1"/>
  <c r="R153" i="1"/>
  <c r="Q153" i="1"/>
  <c r="AJ152" i="1"/>
  <c r="AI152" i="1"/>
  <c r="AH152" i="1"/>
  <c r="AG152" i="1"/>
  <c r="AF152" i="1"/>
  <c r="AE152" i="1"/>
  <c r="AD152" i="1"/>
  <c r="S152" i="1"/>
  <c r="R152" i="1"/>
  <c r="Q152" i="1"/>
  <c r="AJ151" i="1"/>
  <c r="AI151" i="1"/>
  <c r="AH151" i="1"/>
  <c r="AG151" i="1"/>
  <c r="AF151" i="1"/>
  <c r="AE151" i="1"/>
  <c r="AD151" i="1"/>
  <c r="S151" i="1"/>
  <c r="R151" i="1"/>
  <c r="Q151" i="1"/>
  <c r="AJ150" i="1"/>
  <c r="AI150" i="1"/>
  <c r="AH150" i="1"/>
  <c r="AG150" i="1"/>
  <c r="AF150" i="1"/>
  <c r="AE150" i="1"/>
  <c r="AD150" i="1"/>
  <c r="S150" i="1"/>
  <c r="R150" i="1"/>
  <c r="Q150" i="1"/>
  <c r="AJ149" i="1"/>
  <c r="AI149" i="1"/>
  <c r="AH149" i="1"/>
  <c r="AG149" i="1"/>
  <c r="AF149" i="1"/>
  <c r="AE149" i="1"/>
  <c r="AD149" i="1"/>
  <c r="S149" i="1"/>
  <c r="R149" i="1"/>
  <c r="Q149" i="1"/>
  <c r="AJ148" i="1"/>
  <c r="AI148" i="1"/>
  <c r="AH148" i="1"/>
  <c r="AG148" i="1"/>
  <c r="AF148" i="1"/>
  <c r="AE148" i="1"/>
  <c r="AD148" i="1"/>
  <c r="S148" i="1"/>
  <c r="R148" i="1"/>
  <c r="Q148" i="1"/>
  <c r="AJ147" i="1"/>
  <c r="AI147" i="1"/>
  <c r="AH147" i="1"/>
  <c r="AG147" i="1"/>
  <c r="AF147" i="1"/>
  <c r="AE147" i="1"/>
  <c r="AD147" i="1"/>
  <c r="S147" i="1"/>
  <c r="R147" i="1"/>
  <c r="Q147" i="1"/>
  <c r="AJ146" i="1"/>
  <c r="AI146" i="1"/>
  <c r="AH146" i="1"/>
  <c r="AG146" i="1"/>
  <c r="AF146" i="1"/>
  <c r="AE146" i="1"/>
  <c r="AD146" i="1"/>
  <c r="S146" i="1"/>
  <c r="R146" i="1"/>
  <c r="Q146" i="1"/>
  <c r="AJ145" i="1"/>
  <c r="AI145" i="1"/>
  <c r="AH145" i="1"/>
  <c r="AG145" i="1"/>
  <c r="AF145" i="1"/>
  <c r="AE145" i="1"/>
  <c r="AD145" i="1"/>
  <c r="S145" i="1"/>
  <c r="R145" i="1"/>
  <c r="Q145" i="1"/>
  <c r="AJ144" i="1"/>
  <c r="AI144" i="1"/>
  <c r="AH144" i="1"/>
  <c r="AG144" i="1"/>
  <c r="AF144" i="1"/>
  <c r="AE144" i="1"/>
  <c r="AD144" i="1"/>
  <c r="S144" i="1"/>
  <c r="R144" i="1"/>
  <c r="Q144" i="1"/>
  <c r="AJ143" i="1"/>
  <c r="AI143" i="1"/>
  <c r="AH143" i="1"/>
  <c r="AG143" i="1"/>
  <c r="AF143" i="1"/>
  <c r="AE143" i="1"/>
  <c r="AD143" i="1"/>
  <c r="S143" i="1"/>
  <c r="R143" i="1"/>
  <c r="Q143" i="1"/>
  <c r="AJ142" i="1"/>
  <c r="AI142" i="1"/>
  <c r="AH142" i="1"/>
  <c r="AG142" i="1"/>
  <c r="AF142" i="1"/>
  <c r="AE142" i="1"/>
  <c r="AD142" i="1"/>
  <c r="S142" i="1"/>
  <c r="R142" i="1"/>
  <c r="Q142" i="1"/>
  <c r="AJ141" i="1"/>
  <c r="AI141" i="1"/>
  <c r="AH141" i="1"/>
  <c r="AG141" i="1"/>
  <c r="AF141" i="1"/>
  <c r="AE141" i="1"/>
  <c r="AD141" i="1"/>
  <c r="S141" i="1"/>
  <c r="R141" i="1"/>
  <c r="Q141" i="1"/>
  <c r="AJ140" i="1"/>
  <c r="AI140" i="1"/>
  <c r="AH140" i="1"/>
  <c r="AG140" i="1"/>
  <c r="AF140" i="1"/>
  <c r="AE140" i="1"/>
  <c r="AD140" i="1"/>
  <c r="S140" i="1"/>
  <c r="R140" i="1"/>
  <c r="Q140" i="1"/>
  <c r="AJ139" i="1"/>
  <c r="AI139" i="1"/>
  <c r="AH139" i="1"/>
  <c r="AG139" i="1"/>
  <c r="AF139" i="1"/>
  <c r="AE139" i="1"/>
  <c r="AD139" i="1"/>
  <c r="S139" i="1"/>
  <c r="R139" i="1"/>
  <c r="Q139" i="1"/>
  <c r="AJ138" i="1"/>
  <c r="AI138" i="1"/>
  <c r="AH138" i="1"/>
  <c r="AG138" i="1"/>
  <c r="AF138" i="1"/>
  <c r="AE138" i="1"/>
  <c r="AD138" i="1"/>
  <c r="S138" i="1"/>
  <c r="R138" i="1"/>
  <c r="Q138" i="1"/>
  <c r="AJ137" i="1"/>
  <c r="AI137" i="1"/>
  <c r="AH137" i="1"/>
  <c r="AG137" i="1"/>
  <c r="AF137" i="1"/>
  <c r="AE137" i="1"/>
  <c r="AD137" i="1"/>
  <c r="S137" i="1"/>
  <c r="R137" i="1"/>
  <c r="Q137" i="1"/>
  <c r="AJ136" i="1"/>
  <c r="AI136" i="1"/>
  <c r="AH136" i="1"/>
  <c r="AG136" i="1"/>
  <c r="AF136" i="1"/>
  <c r="AE136" i="1"/>
  <c r="AD136" i="1"/>
  <c r="S136" i="1"/>
  <c r="R136" i="1"/>
  <c r="Q136" i="1"/>
  <c r="AJ135" i="1"/>
  <c r="AI135" i="1"/>
  <c r="AH135" i="1"/>
  <c r="AG135" i="1"/>
  <c r="AF135" i="1"/>
  <c r="AE135" i="1"/>
  <c r="AD135" i="1"/>
  <c r="S135" i="1"/>
  <c r="R135" i="1"/>
  <c r="Q135" i="1"/>
  <c r="AJ134" i="1"/>
  <c r="AI134" i="1"/>
  <c r="AH134" i="1"/>
  <c r="AG134" i="1"/>
  <c r="AF134" i="1"/>
  <c r="AE134" i="1"/>
  <c r="AD134" i="1"/>
  <c r="S134" i="1"/>
  <c r="R134" i="1"/>
  <c r="Q134" i="1"/>
  <c r="AJ133" i="1"/>
  <c r="AI133" i="1"/>
  <c r="AH133" i="1"/>
  <c r="AG133" i="1"/>
  <c r="AF133" i="1"/>
  <c r="AE133" i="1"/>
  <c r="AD133" i="1"/>
  <c r="S133" i="1"/>
  <c r="R133" i="1"/>
  <c r="Q133" i="1"/>
  <c r="AJ132" i="1"/>
  <c r="AI132" i="1"/>
  <c r="AH132" i="1"/>
  <c r="AG132" i="1"/>
  <c r="AF132" i="1"/>
  <c r="AE132" i="1"/>
  <c r="AD132" i="1"/>
  <c r="S132" i="1"/>
  <c r="R132" i="1"/>
  <c r="Q132" i="1"/>
  <c r="AJ131" i="1"/>
  <c r="AI131" i="1"/>
  <c r="AH131" i="1"/>
  <c r="AG131" i="1"/>
  <c r="AF131" i="1"/>
  <c r="AE131" i="1"/>
  <c r="AD131" i="1"/>
  <c r="S131" i="1"/>
  <c r="R131" i="1"/>
  <c r="Q131" i="1"/>
  <c r="AJ130" i="1"/>
  <c r="AI130" i="1"/>
  <c r="AH130" i="1"/>
  <c r="AG130" i="1"/>
  <c r="AF130" i="1"/>
  <c r="AE130" i="1"/>
  <c r="AD130" i="1"/>
  <c r="S130" i="1"/>
  <c r="R130" i="1"/>
  <c r="Q130" i="1"/>
  <c r="AJ129" i="1"/>
  <c r="AI129" i="1"/>
  <c r="AH129" i="1"/>
  <c r="AG129" i="1"/>
  <c r="AF129" i="1"/>
  <c r="AE129" i="1"/>
  <c r="AD129" i="1"/>
  <c r="S129" i="1"/>
  <c r="R129" i="1"/>
  <c r="Q129" i="1"/>
  <c r="AJ128" i="1"/>
  <c r="AI128" i="1"/>
  <c r="AH128" i="1"/>
  <c r="AG128" i="1"/>
  <c r="AF128" i="1"/>
  <c r="AE128" i="1"/>
  <c r="AD128" i="1"/>
  <c r="S128" i="1"/>
  <c r="R128" i="1"/>
  <c r="Q128" i="1"/>
  <c r="AJ127" i="1"/>
  <c r="AI127" i="1"/>
  <c r="AH127" i="1"/>
  <c r="AG127" i="1"/>
  <c r="AF127" i="1"/>
  <c r="AE127" i="1"/>
  <c r="AD127" i="1"/>
  <c r="S127" i="1"/>
  <c r="R127" i="1"/>
  <c r="Q127" i="1"/>
  <c r="AJ126" i="1"/>
  <c r="AI126" i="1"/>
  <c r="AH126" i="1"/>
  <c r="AG126" i="1"/>
  <c r="AF126" i="1"/>
  <c r="AE126" i="1"/>
  <c r="AD126" i="1"/>
  <c r="S126" i="1"/>
  <c r="R126" i="1"/>
  <c r="Q126" i="1"/>
  <c r="AJ125" i="1"/>
  <c r="AI125" i="1"/>
  <c r="AH125" i="1"/>
  <c r="AG125" i="1"/>
  <c r="AF125" i="1"/>
  <c r="AE125" i="1"/>
  <c r="AD125" i="1"/>
  <c r="S125" i="1"/>
  <c r="R125" i="1"/>
  <c r="Q125" i="1"/>
  <c r="AJ124" i="1"/>
  <c r="AI124" i="1"/>
  <c r="AH124" i="1"/>
  <c r="AG124" i="1"/>
  <c r="AF124" i="1"/>
  <c r="AE124" i="1"/>
  <c r="AD124" i="1"/>
  <c r="S124" i="1"/>
  <c r="R124" i="1"/>
  <c r="Q124" i="1"/>
  <c r="AJ123" i="1"/>
  <c r="AI123" i="1"/>
  <c r="AH123" i="1"/>
  <c r="AG123" i="1"/>
  <c r="AF123" i="1"/>
  <c r="AE123" i="1"/>
  <c r="AD123" i="1"/>
  <c r="S123" i="1"/>
  <c r="R123" i="1"/>
  <c r="Q123" i="1"/>
  <c r="AJ122" i="1"/>
  <c r="AI122" i="1"/>
  <c r="AH122" i="1"/>
  <c r="AG122" i="1"/>
  <c r="AF122" i="1"/>
  <c r="AE122" i="1"/>
  <c r="AD122" i="1"/>
  <c r="S122" i="1"/>
  <c r="R122" i="1"/>
  <c r="Q122" i="1"/>
  <c r="AJ121" i="1"/>
  <c r="AI121" i="1"/>
  <c r="AH121" i="1"/>
  <c r="AG121" i="1"/>
  <c r="AF121" i="1"/>
  <c r="AE121" i="1"/>
  <c r="AD121" i="1"/>
  <c r="S121" i="1"/>
  <c r="R121" i="1"/>
  <c r="Q121" i="1"/>
  <c r="AJ120" i="1"/>
  <c r="AI120" i="1"/>
  <c r="AH120" i="1"/>
  <c r="AG120" i="1"/>
  <c r="AF120" i="1"/>
  <c r="AE120" i="1"/>
  <c r="AD120" i="1"/>
  <c r="S120" i="1"/>
  <c r="R120" i="1"/>
  <c r="Q120" i="1"/>
  <c r="AJ119" i="1"/>
  <c r="AI119" i="1"/>
  <c r="AH119" i="1"/>
  <c r="AG119" i="1"/>
  <c r="AF119" i="1"/>
  <c r="AE119" i="1"/>
  <c r="AD119" i="1"/>
  <c r="S119" i="1"/>
  <c r="R119" i="1"/>
  <c r="Q119" i="1"/>
  <c r="AJ118" i="1"/>
  <c r="AI118" i="1"/>
  <c r="AH118" i="1"/>
  <c r="AG118" i="1"/>
  <c r="AF118" i="1"/>
  <c r="AE118" i="1"/>
  <c r="AD118" i="1"/>
  <c r="S118" i="1"/>
  <c r="R118" i="1"/>
  <c r="Q118" i="1"/>
  <c r="AJ117" i="1"/>
  <c r="AI117" i="1"/>
  <c r="AH117" i="1"/>
  <c r="AG117" i="1"/>
  <c r="AF117" i="1"/>
  <c r="AE117" i="1"/>
  <c r="AD117" i="1"/>
  <c r="S117" i="1"/>
  <c r="R117" i="1"/>
  <c r="Q117" i="1"/>
  <c r="AJ116" i="1"/>
  <c r="AI116" i="1"/>
  <c r="AH116" i="1"/>
  <c r="AG116" i="1"/>
  <c r="AF116" i="1"/>
  <c r="AE116" i="1"/>
  <c r="AD116" i="1"/>
  <c r="S116" i="1"/>
  <c r="R116" i="1"/>
  <c r="Q116" i="1"/>
  <c r="AJ115" i="1"/>
  <c r="AI115" i="1"/>
  <c r="AH115" i="1"/>
  <c r="AG115" i="1"/>
  <c r="AF115" i="1"/>
  <c r="AE115" i="1"/>
  <c r="AD115" i="1"/>
  <c r="S115" i="1"/>
  <c r="R115" i="1"/>
  <c r="Q115" i="1"/>
  <c r="AJ114" i="1"/>
  <c r="AI114" i="1"/>
  <c r="AH114" i="1"/>
  <c r="AG114" i="1"/>
  <c r="AF114" i="1"/>
  <c r="AE114" i="1"/>
  <c r="AD114" i="1"/>
  <c r="S114" i="1"/>
  <c r="R114" i="1"/>
  <c r="Q114" i="1"/>
  <c r="AJ113" i="1"/>
  <c r="AI113" i="1"/>
  <c r="AH113" i="1"/>
  <c r="AG113" i="1"/>
  <c r="AF113" i="1"/>
  <c r="AE113" i="1"/>
  <c r="AD113" i="1"/>
  <c r="S113" i="1"/>
  <c r="R113" i="1"/>
  <c r="Q113" i="1"/>
  <c r="AJ112" i="1"/>
  <c r="AI112" i="1"/>
  <c r="AH112" i="1"/>
  <c r="AG112" i="1"/>
  <c r="AF112" i="1"/>
  <c r="AE112" i="1"/>
  <c r="AD112" i="1"/>
  <c r="S112" i="1"/>
  <c r="R112" i="1"/>
  <c r="Q112" i="1"/>
  <c r="AJ111" i="1"/>
  <c r="AI111" i="1"/>
  <c r="AH111" i="1"/>
  <c r="AG111" i="1"/>
  <c r="AF111" i="1"/>
  <c r="AE111" i="1"/>
  <c r="AD111" i="1"/>
  <c r="S111" i="1"/>
  <c r="R111" i="1"/>
  <c r="Q111" i="1"/>
  <c r="AJ110" i="1"/>
  <c r="AI110" i="1"/>
  <c r="AH110" i="1"/>
  <c r="AG110" i="1"/>
  <c r="AF110" i="1"/>
  <c r="AE110" i="1"/>
  <c r="AD110" i="1"/>
  <c r="S110" i="1"/>
  <c r="R110" i="1"/>
  <c r="Q110" i="1"/>
  <c r="AJ109" i="1"/>
  <c r="AI109" i="1"/>
  <c r="AH109" i="1"/>
  <c r="AG109" i="1"/>
  <c r="AF109" i="1"/>
  <c r="AE109" i="1"/>
  <c r="AD109" i="1"/>
  <c r="S109" i="1"/>
  <c r="R109" i="1"/>
  <c r="Q109" i="1"/>
  <c r="AJ108" i="1"/>
  <c r="AI108" i="1"/>
  <c r="AH108" i="1"/>
  <c r="AG108" i="1"/>
  <c r="AF108" i="1"/>
  <c r="AE108" i="1"/>
  <c r="AD108" i="1"/>
  <c r="S108" i="1"/>
  <c r="R108" i="1"/>
  <c r="Q108" i="1"/>
  <c r="AJ107" i="1"/>
  <c r="AI107" i="1"/>
  <c r="AH107" i="1"/>
  <c r="AG107" i="1"/>
  <c r="AF107" i="1"/>
  <c r="AE107" i="1"/>
  <c r="AD107" i="1"/>
  <c r="S107" i="1"/>
  <c r="R107" i="1"/>
  <c r="Q107" i="1"/>
  <c r="AJ106" i="1"/>
  <c r="AI106" i="1"/>
  <c r="AH106" i="1"/>
  <c r="AG106" i="1"/>
  <c r="AF106" i="1"/>
  <c r="AE106" i="1"/>
  <c r="AD106" i="1"/>
  <c r="S106" i="1"/>
  <c r="R106" i="1"/>
  <c r="Q106" i="1"/>
  <c r="AJ105" i="1"/>
  <c r="AI105" i="1"/>
  <c r="AH105" i="1"/>
  <c r="AG105" i="1"/>
  <c r="AF105" i="1"/>
  <c r="AE105" i="1"/>
  <c r="AD105" i="1"/>
  <c r="S105" i="1"/>
  <c r="R105" i="1"/>
  <c r="Q105" i="1"/>
  <c r="AJ104" i="1"/>
  <c r="AI104" i="1"/>
  <c r="AH104" i="1"/>
  <c r="AG104" i="1"/>
  <c r="AF104" i="1"/>
  <c r="AE104" i="1"/>
  <c r="AD104" i="1"/>
  <c r="S104" i="1"/>
  <c r="R104" i="1"/>
  <c r="Q104" i="1"/>
  <c r="AJ103" i="1"/>
  <c r="AI103" i="1"/>
  <c r="AH103" i="1"/>
  <c r="AG103" i="1"/>
  <c r="AF103" i="1"/>
  <c r="AE103" i="1"/>
  <c r="AD103" i="1"/>
  <c r="S103" i="1"/>
  <c r="R103" i="1"/>
  <c r="Q103" i="1"/>
  <c r="AJ102" i="1"/>
  <c r="AI102" i="1"/>
  <c r="AH102" i="1"/>
  <c r="AG102" i="1"/>
  <c r="AF102" i="1"/>
  <c r="AE102" i="1"/>
  <c r="AD102" i="1"/>
  <c r="S102" i="1"/>
  <c r="R102" i="1"/>
  <c r="Q102" i="1"/>
  <c r="AJ101" i="1"/>
  <c r="AI101" i="1"/>
  <c r="AH101" i="1"/>
  <c r="AG101" i="1"/>
  <c r="AF101" i="1"/>
  <c r="AE101" i="1"/>
  <c r="AD101" i="1"/>
  <c r="S101" i="1"/>
  <c r="R101" i="1"/>
  <c r="Q101" i="1"/>
  <c r="AJ100" i="1"/>
  <c r="AI100" i="1"/>
  <c r="AH100" i="1"/>
  <c r="AG100" i="1"/>
  <c r="AF100" i="1"/>
  <c r="AE100" i="1"/>
  <c r="AD100" i="1"/>
  <c r="S100" i="1"/>
  <c r="R100" i="1"/>
  <c r="Q100" i="1"/>
  <c r="AJ99" i="1"/>
  <c r="AI99" i="1"/>
  <c r="AH99" i="1"/>
  <c r="AG99" i="1"/>
  <c r="AF99" i="1"/>
  <c r="AE99" i="1"/>
  <c r="AD99" i="1"/>
  <c r="S99" i="1"/>
  <c r="R99" i="1"/>
  <c r="Q99" i="1"/>
  <c r="AJ98" i="1"/>
  <c r="AI98" i="1"/>
  <c r="AH98" i="1"/>
  <c r="AG98" i="1"/>
  <c r="AF98" i="1"/>
  <c r="AE98" i="1"/>
  <c r="AD98" i="1"/>
  <c r="S98" i="1"/>
  <c r="R98" i="1"/>
  <c r="Q98" i="1"/>
  <c r="AJ97" i="1"/>
  <c r="AI97" i="1"/>
  <c r="AH97" i="1"/>
  <c r="AG97" i="1"/>
  <c r="AF97" i="1"/>
  <c r="AE97" i="1"/>
  <c r="AD97" i="1"/>
  <c r="S97" i="1"/>
  <c r="R97" i="1"/>
  <c r="Q97" i="1"/>
  <c r="AJ96" i="1"/>
  <c r="AI96" i="1"/>
  <c r="AH96" i="1"/>
  <c r="AG96" i="1"/>
  <c r="AF96" i="1"/>
  <c r="AE96" i="1"/>
  <c r="AD96" i="1"/>
  <c r="S96" i="1"/>
  <c r="R96" i="1"/>
  <c r="Q96" i="1"/>
  <c r="AJ95" i="1"/>
  <c r="AI95" i="1"/>
  <c r="AH95" i="1"/>
  <c r="AG95" i="1"/>
  <c r="AF95" i="1"/>
  <c r="AE95" i="1"/>
  <c r="AD95" i="1"/>
  <c r="S95" i="1"/>
  <c r="R95" i="1"/>
  <c r="Q95" i="1"/>
  <c r="AJ94" i="1"/>
  <c r="AI94" i="1"/>
  <c r="AH94" i="1"/>
  <c r="AG94" i="1"/>
  <c r="AF94" i="1"/>
  <c r="AE94" i="1"/>
  <c r="AD94" i="1"/>
  <c r="S94" i="1"/>
  <c r="R94" i="1"/>
  <c r="Q94" i="1"/>
  <c r="AJ93" i="1"/>
  <c r="AI93" i="1"/>
  <c r="AH93" i="1"/>
  <c r="AG93" i="1"/>
  <c r="AF93" i="1"/>
  <c r="AE93" i="1"/>
  <c r="AD93" i="1"/>
  <c r="S93" i="1"/>
  <c r="R93" i="1"/>
  <c r="Q93" i="1"/>
  <c r="AJ92" i="1"/>
  <c r="AI92" i="1"/>
  <c r="AH92" i="1"/>
  <c r="AG92" i="1"/>
  <c r="AF92" i="1"/>
  <c r="AE92" i="1"/>
  <c r="AD92" i="1"/>
  <c r="S92" i="1"/>
  <c r="R92" i="1"/>
  <c r="Q92" i="1"/>
  <c r="AJ91" i="1"/>
  <c r="AI91" i="1"/>
  <c r="AH91" i="1"/>
  <c r="AG91" i="1"/>
  <c r="AF91" i="1"/>
  <c r="AE91" i="1"/>
  <c r="AD91" i="1"/>
  <c r="S91" i="1"/>
  <c r="R91" i="1"/>
  <c r="Q91" i="1"/>
  <c r="AJ90" i="1"/>
  <c r="AI90" i="1"/>
  <c r="AH90" i="1"/>
  <c r="AG90" i="1"/>
  <c r="AF90" i="1"/>
  <c r="AE90" i="1"/>
  <c r="AD90" i="1"/>
  <c r="S90" i="1"/>
  <c r="R90" i="1"/>
  <c r="Q90" i="1"/>
  <c r="AJ89" i="1"/>
  <c r="AI89" i="1"/>
  <c r="AH89" i="1"/>
  <c r="AG89" i="1"/>
  <c r="AF89" i="1"/>
  <c r="AE89" i="1"/>
  <c r="AD89" i="1"/>
  <c r="S89" i="1"/>
  <c r="R89" i="1"/>
  <c r="Q89" i="1"/>
  <c r="AJ88" i="1"/>
  <c r="AI88" i="1"/>
  <c r="AH88" i="1"/>
  <c r="AG88" i="1"/>
  <c r="AF88" i="1"/>
  <c r="AE88" i="1"/>
  <c r="AD88" i="1"/>
  <c r="S88" i="1"/>
  <c r="R88" i="1"/>
  <c r="Q88" i="1"/>
  <c r="AJ87" i="1"/>
  <c r="AI87" i="1"/>
  <c r="AH87" i="1"/>
  <c r="AG87" i="1"/>
  <c r="AF87" i="1"/>
  <c r="AE87" i="1"/>
  <c r="AD87" i="1"/>
  <c r="S87" i="1"/>
  <c r="R87" i="1"/>
  <c r="Q87" i="1"/>
  <c r="AJ86" i="1"/>
  <c r="AI86" i="1"/>
  <c r="AH86" i="1"/>
  <c r="AG86" i="1"/>
  <c r="AF86" i="1"/>
  <c r="AE86" i="1"/>
  <c r="AD86" i="1"/>
  <c r="S86" i="1"/>
  <c r="R86" i="1"/>
  <c r="Q86" i="1"/>
  <c r="AJ85" i="1"/>
  <c r="AI85" i="1"/>
  <c r="AH85" i="1"/>
  <c r="AG85" i="1"/>
  <c r="AF85" i="1"/>
  <c r="AE85" i="1"/>
  <c r="AD85" i="1"/>
  <c r="S85" i="1"/>
  <c r="R85" i="1"/>
  <c r="Q85" i="1"/>
  <c r="AJ84" i="1"/>
  <c r="AI84" i="1"/>
  <c r="AH84" i="1"/>
  <c r="AG84" i="1"/>
  <c r="AF84" i="1"/>
  <c r="AE84" i="1"/>
  <c r="AD84" i="1"/>
  <c r="S84" i="1"/>
  <c r="R84" i="1"/>
  <c r="Q84" i="1"/>
  <c r="AJ83" i="1"/>
  <c r="AI83" i="1"/>
  <c r="AH83" i="1"/>
  <c r="AG83" i="1"/>
  <c r="AF83" i="1"/>
  <c r="AE83" i="1"/>
  <c r="AD83" i="1"/>
  <c r="S83" i="1"/>
  <c r="R83" i="1"/>
  <c r="Q83" i="1"/>
  <c r="AJ82" i="1"/>
  <c r="AI82" i="1"/>
  <c r="AH82" i="1"/>
  <c r="AG82" i="1"/>
  <c r="AF82" i="1"/>
  <c r="AE82" i="1"/>
  <c r="AD82" i="1"/>
  <c r="S82" i="1"/>
  <c r="R82" i="1"/>
  <c r="Q82" i="1"/>
  <c r="AJ81" i="1"/>
  <c r="AI81" i="1"/>
  <c r="AH81" i="1"/>
  <c r="AG81" i="1"/>
  <c r="AF81" i="1"/>
  <c r="AE81" i="1"/>
  <c r="AD81" i="1"/>
  <c r="S81" i="1"/>
  <c r="R81" i="1"/>
  <c r="Q81" i="1"/>
  <c r="AJ80" i="1"/>
  <c r="AI80" i="1"/>
  <c r="AH80" i="1"/>
  <c r="AG80" i="1"/>
  <c r="AF80" i="1"/>
  <c r="AE80" i="1"/>
  <c r="AD80" i="1"/>
  <c r="S80" i="1"/>
  <c r="R80" i="1"/>
  <c r="Q80" i="1"/>
  <c r="AJ79" i="1"/>
  <c r="AI79" i="1"/>
  <c r="AH79" i="1"/>
  <c r="AG79" i="1"/>
  <c r="AF79" i="1"/>
  <c r="AE79" i="1"/>
  <c r="AD79" i="1"/>
  <c r="S79" i="1"/>
  <c r="R79" i="1"/>
  <c r="Q79" i="1"/>
  <c r="AJ78" i="1"/>
  <c r="AI78" i="1"/>
  <c r="AH78" i="1"/>
  <c r="AG78" i="1"/>
  <c r="AF78" i="1"/>
  <c r="AE78" i="1"/>
  <c r="AD78" i="1"/>
  <c r="S78" i="1"/>
  <c r="R78" i="1"/>
  <c r="Q78" i="1"/>
  <c r="AJ77" i="1"/>
  <c r="AI77" i="1"/>
  <c r="AH77" i="1"/>
  <c r="AG77" i="1"/>
  <c r="AF77" i="1"/>
  <c r="AE77" i="1"/>
  <c r="AD77" i="1"/>
  <c r="S77" i="1"/>
  <c r="R77" i="1"/>
  <c r="Q77" i="1"/>
  <c r="AJ76" i="1"/>
  <c r="AI76" i="1"/>
  <c r="AH76" i="1"/>
  <c r="AG76" i="1"/>
  <c r="AF76" i="1"/>
  <c r="AE76" i="1"/>
  <c r="AD76" i="1"/>
  <c r="S76" i="1"/>
  <c r="R76" i="1"/>
  <c r="Q76" i="1"/>
  <c r="AJ75" i="1"/>
  <c r="AI75" i="1"/>
  <c r="AH75" i="1"/>
  <c r="AG75" i="1"/>
  <c r="AF75" i="1"/>
  <c r="AE75" i="1"/>
  <c r="AD75" i="1"/>
  <c r="S75" i="1"/>
  <c r="R75" i="1"/>
  <c r="Q75" i="1"/>
  <c r="AJ74" i="1"/>
  <c r="AI74" i="1"/>
  <c r="AH74" i="1"/>
  <c r="AG74" i="1"/>
  <c r="AF74" i="1"/>
  <c r="AE74" i="1"/>
  <c r="AD74" i="1"/>
  <c r="S74" i="1"/>
  <c r="R74" i="1"/>
  <c r="Q74" i="1"/>
  <c r="AJ73" i="1"/>
  <c r="AI73" i="1"/>
  <c r="AH73" i="1"/>
  <c r="AG73" i="1"/>
  <c r="AF73" i="1"/>
  <c r="AE73" i="1"/>
  <c r="AD73" i="1"/>
  <c r="S73" i="1"/>
  <c r="R73" i="1"/>
  <c r="Q73" i="1"/>
  <c r="AJ72" i="1"/>
  <c r="AI72" i="1"/>
  <c r="AH72" i="1"/>
  <c r="AG72" i="1"/>
  <c r="AF72" i="1"/>
  <c r="AE72" i="1"/>
  <c r="AD72" i="1"/>
  <c r="S72" i="1"/>
  <c r="R72" i="1"/>
  <c r="Q72" i="1"/>
  <c r="AJ71" i="1"/>
  <c r="AI71" i="1"/>
  <c r="AH71" i="1"/>
  <c r="AG71" i="1"/>
  <c r="AF71" i="1"/>
  <c r="AE71" i="1"/>
  <c r="AD71" i="1"/>
  <c r="S71" i="1"/>
  <c r="R71" i="1"/>
  <c r="Q71" i="1"/>
  <c r="AJ70" i="1"/>
  <c r="AI70" i="1"/>
  <c r="AH70" i="1"/>
  <c r="AG70" i="1"/>
  <c r="AF70" i="1"/>
  <c r="AE70" i="1"/>
  <c r="AD70" i="1"/>
  <c r="S70" i="1"/>
  <c r="R70" i="1"/>
  <c r="Q70" i="1"/>
  <c r="AJ69" i="1"/>
  <c r="AI69" i="1"/>
  <c r="AH69" i="1"/>
  <c r="AG69" i="1"/>
  <c r="AF69" i="1"/>
  <c r="AE69" i="1"/>
  <c r="AD69" i="1"/>
  <c r="S69" i="1"/>
  <c r="R69" i="1"/>
  <c r="Q69" i="1"/>
  <c r="AJ68" i="1"/>
  <c r="AI68" i="1"/>
  <c r="AH68" i="1"/>
  <c r="AG68" i="1"/>
  <c r="AF68" i="1"/>
  <c r="AE68" i="1"/>
  <c r="AD68" i="1"/>
  <c r="S68" i="1"/>
  <c r="R68" i="1"/>
  <c r="Q68" i="1"/>
  <c r="AJ67" i="1"/>
  <c r="AI67" i="1"/>
  <c r="AH67" i="1"/>
  <c r="AG67" i="1"/>
  <c r="AF67" i="1"/>
  <c r="AE67" i="1"/>
  <c r="AD67" i="1"/>
  <c r="S67" i="1"/>
  <c r="R67" i="1"/>
  <c r="Q67" i="1"/>
  <c r="AJ66" i="1"/>
  <c r="AI66" i="1"/>
  <c r="AH66" i="1"/>
  <c r="AG66" i="1"/>
  <c r="AF66" i="1"/>
  <c r="AE66" i="1"/>
  <c r="AD66" i="1"/>
  <c r="S66" i="1"/>
  <c r="R66" i="1"/>
  <c r="Q66" i="1"/>
  <c r="AJ65" i="1"/>
  <c r="AI65" i="1"/>
  <c r="AH65" i="1"/>
  <c r="AG65" i="1"/>
  <c r="AF65" i="1"/>
  <c r="AE65" i="1"/>
  <c r="AD65" i="1"/>
  <c r="S65" i="1"/>
  <c r="R65" i="1"/>
  <c r="Q65" i="1"/>
  <c r="AJ64" i="1"/>
  <c r="AI64" i="1"/>
  <c r="AH64" i="1"/>
  <c r="AG64" i="1"/>
  <c r="AF64" i="1"/>
  <c r="AE64" i="1"/>
  <c r="AD64" i="1"/>
  <c r="S64" i="1"/>
  <c r="R64" i="1"/>
  <c r="Q64" i="1"/>
  <c r="AJ63" i="1"/>
  <c r="AI63" i="1"/>
  <c r="AH63" i="1"/>
  <c r="AG63" i="1"/>
  <c r="AF63" i="1"/>
  <c r="AE63" i="1"/>
  <c r="AD63" i="1"/>
  <c r="S63" i="1"/>
  <c r="R63" i="1"/>
  <c r="Q63" i="1"/>
  <c r="AJ62" i="1"/>
  <c r="AI62" i="1"/>
  <c r="AH62" i="1"/>
  <c r="AG62" i="1"/>
  <c r="AF62" i="1"/>
  <c r="AE62" i="1"/>
  <c r="AD62" i="1"/>
  <c r="S62" i="1"/>
  <c r="R62" i="1"/>
  <c r="Q62" i="1"/>
  <c r="AJ61" i="1"/>
  <c r="AI61" i="1"/>
  <c r="AH61" i="1"/>
  <c r="AG61" i="1"/>
  <c r="AF61" i="1"/>
  <c r="AE61" i="1"/>
  <c r="AD61" i="1"/>
  <c r="S61" i="1"/>
  <c r="R61" i="1"/>
  <c r="Q61" i="1"/>
  <c r="AJ60" i="1"/>
  <c r="AI60" i="1"/>
  <c r="AH60" i="1"/>
  <c r="AG60" i="1"/>
  <c r="AF60" i="1"/>
  <c r="AE60" i="1"/>
  <c r="AD60" i="1"/>
  <c r="S60" i="1"/>
  <c r="R60" i="1"/>
  <c r="Q60" i="1"/>
  <c r="AJ59" i="1"/>
  <c r="AI59" i="1"/>
  <c r="AH59" i="1"/>
  <c r="AG59" i="1"/>
  <c r="AF59" i="1"/>
  <c r="AE59" i="1"/>
  <c r="AD59" i="1"/>
  <c r="S59" i="1"/>
  <c r="R59" i="1"/>
  <c r="Q59" i="1"/>
  <c r="AJ58" i="1"/>
  <c r="AI58" i="1"/>
  <c r="AH58" i="1"/>
  <c r="AG58" i="1"/>
  <c r="AF58" i="1"/>
  <c r="AE58" i="1"/>
  <c r="AD58" i="1"/>
  <c r="S58" i="1"/>
  <c r="R58" i="1"/>
  <c r="Q58" i="1"/>
  <c r="AJ57" i="1"/>
  <c r="AI57" i="1"/>
  <c r="AH57" i="1"/>
  <c r="AG57" i="1"/>
  <c r="AF57" i="1"/>
  <c r="AE57" i="1"/>
  <c r="AD57" i="1"/>
  <c r="S57" i="1"/>
  <c r="R57" i="1"/>
  <c r="Q57" i="1"/>
  <c r="AJ56" i="1"/>
  <c r="AI56" i="1"/>
  <c r="AH56" i="1"/>
  <c r="AG56" i="1"/>
  <c r="AF56" i="1"/>
  <c r="AE56" i="1"/>
  <c r="AD56" i="1"/>
  <c r="S56" i="1"/>
  <c r="R56" i="1"/>
  <c r="Q56" i="1"/>
  <c r="AJ55" i="1"/>
  <c r="AI55" i="1"/>
  <c r="AH55" i="1"/>
  <c r="AG55" i="1"/>
  <c r="AF55" i="1"/>
  <c r="AE55" i="1"/>
  <c r="AD55" i="1"/>
  <c r="S55" i="1"/>
  <c r="R55" i="1"/>
  <c r="Q55" i="1"/>
  <c r="AJ54" i="1"/>
  <c r="AI54" i="1"/>
  <c r="AH54" i="1"/>
  <c r="AG54" i="1"/>
  <c r="AF54" i="1"/>
  <c r="AE54" i="1"/>
  <c r="AD54" i="1"/>
  <c r="S54" i="1"/>
  <c r="R54" i="1"/>
  <c r="Q54" i="1"/>
  <c r="AJ53" i="1"/>
  <c r="AI53" i="1"/>
  <c r="AH53" i="1"/>
  <c r="AG53" i="1"/>
  <c r="AF53" i="1"/>
  <c r="AE53" i="1"/>
  <c r="AD53" i="1"/>
  <c r="S53" i="1"/>
  <c r="R53" i="1"/>
  <c r="Q53" i="1"/>
  <c r="AJ52" i="1"/>
  <c r="AI52" i="1"/>
  <c r="AH52" i="1"/>
  <c r="AG52" i="1"/>
  <c r="AF52" i="1"/>
  <c r="AE52" i="1"/>
  <c r="AD52" i="1"/>
  <c r="S52" i="1"/>
  <c r="R52" i="1"/>
  <c r="Q52" i="1"/>
  <c r="AJ51" i="1"/>
  <c r="AI51" i="1"/>
  <c r="AH51" i="1"/>
  <c r="AG51" i="1"/>
  <c r="AF51" i="1"/>
  <c r="AE51" i="1"/>
  <c r="AD51" i="1"/>
  <c r="S51" i="1"/>
  <c r="R51" i="1"/>
  <c r="Q51" i="1"/>
  <c r="AJ50" i="1"/>
  <c r="AI50" i="1"/>
  <c r="AH50" i="1"/>
  <c r="AG50" i="1"/>
  <c r="AF50" i="1"/>
  <c r="AE50" i="1"/>
  <c r="AD50" i="1"/>
  <c r="S50" i="1"/>
  <c r="R50" i="1"/>
  <c r="Q50" i="1"/>
  <c r="AJ49" i="1"/>
  <c r="AI49" i="1"/>
  <c r="AH49" i="1"/>
  <c r="AG49" i="1"/>
  <c r="AF49" i="1"/>
  <c r="AE49" i="1"/>
  <c r="AD49" i="1"/>
  <c r="S49" i="1"/>
  <c r="R49" i="1"/>
  <c r="Q49" i="1"/>
  <c r="AJ48" i="1"/>
  <c r="AI48" i="1"/>
  <c r="AH48" i="1"/>
  <c r="AG48" i="1"/>
  <c r="AF48" i="1"/>
  <c r="AE48" i="1"/>
  <c r="AD48" i="1"/>
  <c r="S48" i="1"/>
  <c r="R48" i="1"/>
  <c r="Q48" i="1"/>
  <c r="AJ47" i="1"/>
  <c r="AI47" i="1"/>
  <c r="AH47" i="1"/>
  <c r="AG47" i="1"/>
  <c r="AF47" i="1"/>
  <c r="AE47" i="1"/>
  <c r="AD47" i="1"/>
  <c r="S47" i="1"/>
  <c r="R47" i="1"/>
  <c r="Q47" i="1"/>
  <c r="AJ46" i="1"/>
  <c r="AI46" i="1"/>
  <c r="AH46" i="1"/>
  <c r="AG46" i="1"/>
  <c r="AF46" i="1"/>
  <c r="AE46" i="1"/>
  <c r="AD46" i="1"/>
  <c r="S46" i="1"/>
  <c r="R46" i="1"/>
  <c r="Q46" i="1"/>
  <c r="AJ45" i="1"/>
  <c r="AI45" i="1"/>
  <c r="AH45" i="1"/>
  <c r="AG45" i="1"/>
  <c r="AF45" i="1"/>
  <c r="AE45" i="1"/>
  <c r="AD45" i="1"/>
  <c r="S45" i="1"/>
  <c r="R45" i="1"/>
  <c r="Q45" i="1"/>
  <c r="AJ44" i="1"/>
  <c r="AI44" i="1"/>
  <c r="AH44" i="1"/>
  <c r="AG44" i="1"/>
  <c r="AF44" i="1"/>
  <c r="AE44" i="1"/>
  <c r="AD44" i="1"/>
  <c r="S44" i="1"/>
  <c r="R44" i="1"/>
  <c r="Q44" i="1"/>
  <c r="AJ43" i="1"/>
  <c r="AI43" i="1"/>
  <c r="AH43" i="1"/>
  <c r="AG43" i="1"/>
  <c r="AF43" i="1"/>
  <c r="AE43" i="1"/>
  <c r="AD43" i="1"/>
  <c r="S43" i="1"/>
  <c r="R43" i="1"/>
  <c r="Q43" i="1"/>
  <c r="AJ42" i="1"/>
  <c r="AI42" i="1"/>
  <c r="AH42" i="1"/>
  <c r="AG42" i="1"/>
  <c r="AF42" i="1"/>
  <c r="AE42" i="1"/>
  <c r="AD42" i="1"/>
  <c r="S42" i="1"/>
  <c r="R42" i="1"/>
  <c r="Q42" i="1"/>
  <c r="AJ41" i="1"/>
  <c r="AI41" i="1"/>
  <c r="AH41" i="1"/>
  <c r="AG41" i="1"/>
  <c r="AF41" i="1"/>
  <c r="AE41" i="1"/>
  <c r="AD41" i="1"/>
  <c r="S41" i="1"/>
  <c r="R41" i="1"/>
  <c r="Q41" i="1"/>
  <c r="AJ40" i="1"/>
  <c r="AI40" i="1"/>
  <c r="AH40" i="1"/>
  <c r="AG40" i="1"/>
  <c r="AF40" i="1"/>
  <c r="AE40" i="1"/>
  <c r="AD40" i="1"/>
  <c r="S40" i="1"/>
  <c r="R40" i="1"/>
  <c r="Q40" i="1"/>
  <c r="AJ39" i="1"/>
  <c r="AI39" i="1"/>
  <c r="AH39" i="1"/>
  <c r="AG39" i="1"/>
  <c r="AF39" i="1"/>
  <c r="AE39" i="1"/>
  <c r="AD39" i="1"/>
  <c r="S39" i="1"/>
  <c r="R39" i="1"/>
  <c r="Q39" i="1"/>
  <c r="AJ38" i="1"/>
  <c r="AI38" i="1"/>
  <c r="AH38" i="1"/>
  <c r="AG38" i="1"/>
  <c r="AF38" i="1"/>
  <c r="AE38" i="1"/>
  <c r="AD38" i="1"/>
  <c r="S38" i="1"/>
  <c r="R38" i="1"/>
  <c r="Q38" i="1"/>
  <c r="AJ37" i="1"/>
  <c r="AI37" i="1"/>
  <c r="AH37" i="1"/>
  <c r="AG37" i="1"/>
  <c r="AF37" i="1"/>
  <c r="AE37" i="1"/>
  <c r="AD37" i="1"/>
  <c r="S37" i="1"/>
  <c r="R37" i="1"/>
  <c r="Q37" i="1"/>
  <c r="AJ36" i="1"/>
  <c r="AI36" i="1"/>
  <c r="AH36" i="1"/>
  <c r="AG36" i="1"/>
  <c r="AF36" i="1"/>
  <c r="AE36" i="1"/>
  <c r="AD36" i="1"/>
  <c r="S36" i="1"/>
  <c r="R36" i="1"/>
  <c r="Q36" i="1"/>
  <c r="AJ35" i="1"/>
  <c r="AI35" i="1"/>
  <c r="AH35" i="1"/>
  <c r="AG35" i="1"/>
  <c r="AF35" i="1"/>
  <c r="AE35" i="1"/>
  <c r="AD35" i="1"/>
  <c r="S35" i="1"/>
  <c r="R35" i="1"/>
  <c r="Q35" i="1"/>
  <c r="AJ34" i="1"/>
  <c r="AI34" i="1"/>
  <c r="AH34" i="1"/>
  <c r="AG34" i="1"/>
  <c r="AF34" i="1"/>
  <c r="AE34" i="1"/>
  <c r="AD34" i="1"/>
  <c r="S34" i="1"/>
  <c r="R34" i="1"/>
  <c r="Q34" i="1"/>
  <c r="AJ33" i="1"/>
  <c r="AI33" i="1"/>
  <c r="AH33" i="1"/>
  <c r="AG33" i="1"/>
  <c r="AF33" i="1"/>
  <c r="AE33" i="1"/>
  <c r="AD33" i="1"/>
  <c r="S33" i="1"/>
  <c r="R33" i="1"/>
  <c r="Q33" i="1"/>
  <c r="AJ32" i="1"/>
  <c r="AI32" i="1"/>
  <c r="AH32" i="1"/>
  <c r="AG32" i="1"/>
  <c r="AF32" i="1"/>
  <c r="AE32" i="1"/>
  <c r="AD32" i="1"/>
  <c r="S32" i="1"/>
  <c r="R32" i="1"/>
  <c r="Q32" i="1"/>
  <c r="AJ31" i="1"/>
  <c r="AI31" i="1"/>
  <c r="AH31" i="1"/>
  <c r="AG31" i="1"/>
  <c r="AF31" i="1"/>
  <c r="AE31" i="1"/>
  <c r="AD31" i="1"/>
  <c r="S31" i="1"/>
  <c r="R31" i="1"/>
  <c r="Q31" i="1"/>
  <c r="AJ30" i="1"/>
  <c r="AI30" i="1"/>
  <c r="AH30" i="1"/>
  <c r="AG30" i="1"/>
  <c r="AF30" i="1"/>
  <c r="AE30" i="1"/>
  <c r="AD30" i="1"/>
  <c r="S30" i="1"/>
  <c r="R30" i="1"/>
  <c r="Q30" i="1"/>
  <c r="AJ29" i="1"/>
  <c r="AI29" i="1"/>
  <c r="AH29" i="1"/>
  <c r="AG29" i="1"/>
  <c r="AF29" i="1"/>
  <c r="AE29" i="1"/>
  <c r="AD29" i="1"/>
  <c r="S29" i="1"/>
  <c r="R29" i="1"/>
  <c r="Q29" i="1"/>
  <c r="AJ28" i="1"/>
  <c r="AI28" i="1"/>
  <c r="AH28" i="1"/>
  <c r="AG28" i="1"/>
  <c r="AF28" i="1"/>
  <c r="AE28" i="1"/>
  <c r="AD28" i="1"/>
  <c r="S28" i="1"/>
  <c r="R28" i="1"/>
  <c r="Q28" i="1"/>
  <c r="AJ27" i="1"/>
  <c r="AI27" i="1"/>
  <c r="AH27" i="1"/>
  <c r="AG27" i="1"/>
  <c r="AF27" i="1"/>
  <c r="AE27" i="1"/>
  <c r="AD27" i="1"/>
  <c r="S27" i="1"/>
  <c r="R27" i="1"/>
  <c r="Q27" i="1"/>
  <c r="AJ26" i="1"/>
  <c r="AI26" i="1"/>
  <c r="AH26" i="1"/>
  <c r="AG26" i="1"/>
  <c r="AF26" i="1"/>
  <c r="AE26" i="1"/>
  <c r="AD26" i="1"/>
  <c r="S26" i="1"/>
  <c r="R26" i="1"/>
  <c r="Q26" i="1"/>
  <c r="AJ25" i="1"/>
  <c r="AI25" i="1"/>
  <c r="AH25" i="1"/>
  <c r="AG25" i="1"/>
  <c r="AF25" i="1"/>
  <c r="AE25" i="1"/>
  <c r="AD25" i="1"/>
  <c r="S25" i="1"/>
  <c r="R25" i="1"/>
  <c r="Q25" i="1"/>
  <c r="AJ24" i="1"/>
  <c r="AI24" i="1"/>
  <c r="AH24" i="1"/>
  <c r="AG24" i="1"/>
  <c r="AF24" i="1"/>
  <c r="AE24" i="1"/>
  <c r="AD24" i="1"/>
  <c r="S24" i="1"/>
  <c r="R24" i="1"/>
  <c r="Q24" i="1"/>
  <c r="AH23" i="1"/>
  <c r="AI23" i="1" s="1"/>
  <c r="AG23" i="1"/>
  <c r="AF23" i="1"/>
  <c r="AE23" i="1"/>
  <c r="AD23" i="1"/>
  <c r="S23" i="1"/>
  <c r="R23" i="1"/>
  <c r="Q23" i="1"/>
  <c r="AG22" i="1"/>
  <c r="AF22" i="1"/>
  <c r="AE22" i="1"/>
  <c r="AD22" i="1"/>
  <c r="AH22" i="1" s="1"/>
  <c r="S22" i="1"/>
  <c r="R22" i="1"/>
  <c r="Q22" i="1"/>
  <c r="AG21" i="1"/>
  <c r="AH21" i="1" s="1"/>
  <c r="AF21" i="1"/>
  <c r="AE21" i="1"/>
  <c r="AD21" i="1"/>
  <c r="S21" i="1"/>
  <c r="R21" i="1"/>
  <c r="Q21" i="1"/>
  <c r="AG20" i="1"/>
  <c r="AF20" i="1"/>
  <c r="AH20" i="1" s="1"/>
  <c r="AE20" i="1"/>
  <c r="AD20" i="1"/>
  <c r="S20" i="1"/>
  <c r="R20" i="1"/>
  <c r="Q20" i="1"/>
  <c r="AG19" i="1"/>
  <c r="AH19" i="1" s="1"/>
  <c r="AF19" i="1"/>
  <c r="AE19" i="1"/>
  <c r="AD19" i="1"/>
  <c r="S19" i="1"/>
  <c r="R19" i="1"/>
  <c r="Q19" i="1"/>
  <c r="AG18" i="1"/>
  <c r="AF18" i="1"/>
  <c r="AH18" i="1" s="1"/>
  <c r="AE18" i="1"/>
  <c r="AD18" i="1"/>
  <c r="S18" i="1"/>
  <c r="R18" i="1"/>
  <c r="Q18" i="1"/>
  <c r="AG17" i="1"/>
  <c r="AH17" i="1" s="1"/>
  <c r="AF17" i="1"/>
  <c r="AE17" i="1"/>
  <c r="AD17" i="1"/>
  <c r="S17" i="1"/>
  <c r="R17" i="1"/>
  <c r="Q17" i="1"/>
  <c r="AG16" i="1"/>
  <c r="AF16" i="1"/>
  <c r="AH16" i="1" s="1"/>
  <c r="AE16" i="1"/>
  <c r="AD16" i="1"/>
  <c r="S16" i="1"/>
  <c r="R16" i="1"/>
  <c r="Q16" i="1"/>
  <c r="AG15" i="1"/>
  <c r="AH15" i="1" s="1"/>
  <c r="AF15" i="1"/>
  <c r="AE15" i="1"/>
  <c r="AD15" i="1"/>
  <c r="S15" i="1"/>
  <c r="R15" i="1"/>
  <c r="Q15" i="1"/>
  <c r="AG14" i="1"/>
  <c r="AF14" i="1"/>
  <c r="AE14" i="1"/>
  <c r="X14" i="1" a="1"/>
  <c r="S14" i="1"/>
  <c r="R14" i="1"/>
  <c r="Q14" i="1"/>
  <c r="S13" i="1"/>
  <c r="R13" i="1"/>
  <c r="Q13" i="1"/>
  <c r="X12" i="1" a="1"/>
  <c r="X12" i="1"/>
  <c r="X11" i="1"/>
  <c r="K11" i="1"/>
  <c r="I7" i="1"/>
  <c r="I5" i="1"/>
  <c r="AJ2" i="1"/>
  <c r="AI2" i="1"/>
  <c r="AH2" i="1"/>
  <c r="AG2" i="1"/>
  <c r="AF2" i="1"/>
  <c r="AE2" i="1"/>
  <c r="AD2" i="1"/>
  <c r="X13" i="1"/>
  <c r="X14" i="1"/>
  <c r="AD14" i="1" l="1"/>
  <c r="AH14" i="1" s="1"/>
  <c r="AJ15" i="1"/>
  <c r="AI15" i="1"/>
  <c r="AJ18" i="1"/>
  <c r="AI18" i="1"/>
  <c r="AJ21" i="1"/>
  <c r="AI21" i="1"/>
  <c r="AJ16" i="1"/>
  <c r="AI16" i="1"/>
  <c r="AJ22" i="1"/>
  <c r="AI22" i="1"/>
  <c r="AI19" i="1"/>
  <c r="AJ19" i="1"/>
  <c r="AJ20" i="1"/>
  <c r="AI20" i="1"/>
  <c r="AJ17" i="1"/>
  <c r="AI17" i="1"/>
  <c r="AJ23" i="1"/>
  <c r="AJ14" i="1" l="1"/>
  <c r="AI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<sst xmlns="http://schemas.openxmlformats.org/spreadsheetml/2006/main" count="1464" uniqueCount="697">
  <si>
    <t>BUDGETARY COST BREAKDOWN</t>
  </si>
  <si>
    <t>Bid Price  Proposal with Bid Summary, BCB and  Built-Up Rates</t>
  </si>
  <si>
    <t>Project:</t>
  </si>
  <si>
    <t>STREVI RESIDENCES - (1 Parking , 15-Typical Floors &amp; RD)</t>
  </si>
  <si>
    <t>CFA (m2) :</t>
  </si>
  <si>
    <t>per Bldg</t>
  </si>
  <si>
    <t>Start Date:</t>
  </si>
  <si>
    <t>Location:</t>
  </si>
  <si>
    <t>Brgy. Salinas 1, Bacoor, Cavite</t>
  </si>
  <si>
    <t>Unit Area (m2):</t>
  </si>
  <si>
    <t>per unit</t>
  </si>
  <si>
    <t>Finish Date:</t>
  </si>
  <si>
    <t>Package:</t>
  </si>
  <si>
    <t>Complete Design &amp; Build of CSA and MEPF Works</t>
  </si>
  <si>
    <t># of Units :</t>
  </si>
  <si>
    <t>New Finish Date:</t>
  </si>
  <si>
    <t># of Bldgs :</t>
  </si>
  <si>
    <t>ITEM</t>
  </si>
  <si>
    <t>Quantity</t>
  </si>
  <si>
    <t>UoM</t>
  </si>
  <si>
    <t>Material Rate</t>
  </si>
  <si>
    <t>Material Cost</t>
  </si>
  <si>
    <t>Labor Rate</t>
  </si>
  <si>
    <t>Labor Cost</t>
  </si>
  <si>
    <t>Services Rate</t>
  </si>
  <si>
    <t>Services Cost</t>
  </si>
  <si>
    <t>Total Cost</t>
  </si>
  <si>
    <t>% WT</t>
  </si>
  <si>
    <t>Cost Per CFA</t>
  </si>
  <si>
    <t>Cost Per Unit</t>
  </si>
  <si>
    <t>REMARKS</t>
  </si>
  <si>
    <t>GRAND TOTAL</t>
  </si>
  <si>
    <t>lot</t>
  </si>
  <si>
    <t>L0#</t>
  </si>
  <si>
    <t>L0</t>
  </si>
  <si>
    <t>L3</t>
  </si>
  <si>
    <t>L4</t>
  </si>
  <si>
    <t>L5</t>
  </si>
  <si>
    <t>L0,L3,L4,L5</t>
  </si>
  <si>
    <t>Desc</t>
  </si>
  <si>
    <t>1.0</t>
  </si>
  <si>
    <t>GENERAL REQUIREMENTS</t>
  </si>
  <si>
    <t>Mobilization/Demobilization</t>
  </si>
  <si>
    <t>Clearing and grubbing</t>
  </si>
  <si>
    <t>Site Surveys, Layout and Stake-out</t>
  </si>
  <si>
    <t>Demobilization</t>
  </si>
  <si>
    <t>Temp. Facil. - Site Devt., Offices &amp; Utilities</t>
  </si>
  <si>
    <t>Office</t>
  </si>
  <si>
    <t>Barracks</t>
  </si>
  <si>
    <t>Staging</t>
  </si>
  <si>
    <t>Toilet &amp; Utilities</t>
  </si>
  <si>
    <t>Temp. Facil. - Utilities  installed in Bldg</t>
  </si>
  <si>
    <t>Temp. Main Panel Board</t>
  </si>
  <si>
    <t>Lighting Fixtures</t>
  </si>
  <si>
    <t>Temp. Sewer Line</t>
  </si>
  <si>
    <t>Office Equip &amp; Supplies</t>
  </si>
  <si>
    <t>Office Equipment</t>
  </si>
  <si>
    <t>Office Furnitures</t>
  </si>
  <si>
    <t>Office Consumables</t>
  </si>
  <si>
    <t>Others (Software License)</t>
  </si>
  <si>
    <t>Site Management Organization (HR) (No. of Staffs)</t>
  </si>
  <si>
    <t>mos</t>
  </si>
  <si>
    <t>Support Crew -Admin workers</t>
  </si>
  <si>
    <t>House Keeping</t>
  </si>
  <si>
    <t>Maintenance Crew</t>
  </si>
  <si>
    <t>Utilities (Power/ Water/ Comm)</t>
  </si>
  <si>
    <t>Power</t>
  </si>
  <si>
    <t>Water</t>
  </si>
  <si>
    <t>Communication</t>
  </si>
  <si>
    <t>Utilities Miscellaneous</t>
  </si>
  <si>
    <t>Security Services</t>
  </si>
  <si>
    <t>Security Guard</t>
  </si>
  <si>
    <t>Housekeeping &amp; Sanitation Services</t>
  </si>
  <si>
    <t>Fogging / Misting / Pest Control</t>
  </si>
  <si>
    <t>Garbage Disposal</t>
  </si>
  <si>
    <t>Siphoning</t>
  </si>
  <si>
    <t>Cleaning Consumables</t>
  </si>
  <si>
    <t>Support Equipment</t>
  </si>
  <si>
    <t>Vertical Equipment</t>
  </si>
  <si>
    <t>Concrete Pumps</t>
  </si>
  <si>
    <t>Light Equipment</t>
  </si>
  <si>
    <t>Transport Truck</t>
  </si>
  <si>
    <t>Earthmoving</t>
  </si>
  <si>
    <t>Mobile Crane</t>
  </si>
  <si>
    <t>Service Vehicles</t>
  </si>
  <si>
    <t>Fuel and Oil</t>
  </si>
  <si>
    <t>Diesel</t>
  </si>
  <si>
    <t>li</t>
  </si>
  <si>
    <t>Safety Provisions, Safety Measures and First Aid Support</t>
  </si>
  <si>
    <t>Falsework</t>
  </si>
  <si>
    <t>Personal Protective Equipment and First Aid Support</t>
  </si>
  <si>
    <t>Drawing Services</t>
  </si>
  <si>
    <t>Bonds, Insurances &amp; Permits</t>
  </si>
  <si>
    <t>CARI</t>
  </si>
  <si>
    <t>Design Liability Insurance (Professional Liability)</t>
  </si>
  <si>
    <t>Permit to Install of the Equipment (Tower Crane / Passenger and Material Hoist/ Gondola / Placing Boom etc.)</t>
  </si>
  <si>
    <t>Genset permit to install</t>
  </si>
  <si>
    <t>Barangay Representation Expense</t>
  </si>
  <si>
    <t>Municipal Representation Expense</t>
  </si>
  <si>
    <t>Truck Ban Exemption</t>
  </si>
  <si>
    <t>Safety Permit (Dole Documentations)</t>
  </si>
  <si>
    <t>Material Testing</t>
  </si>
  <si>
    <t>Rebar Testing</t>
  </si>
  <si>
    <t>Field Density Test</t>
  </si>
  <si>
    <t>AAC Testing</t>
  </si>
  <si>
    <t>Project, Owner and Consultant Details</t>
  </si>
  <si>
    <t>Project Representations</t>
  </si>
  <si>
    <t>First Concrete Pouring</t>
  </si>
  <si>
    <t>Safe Manhour</t>
  </si>
  <si>
    <t>2.0</t>
  </si>
  <si>
    <t>STRUCTURAL</t>
  </si>
  <si>
    <t>Siteworks</t>
  </si>
  <si>
    <t>Excavation Works</t>
  </si>
  <si>
    <t>m3</t>
  </si>
  <si>
    <t>Backfilling and Compaction (Engineered Fill)</t>
  </si>
  <si>
    <t>Gravel Bedding</t>
  </si>
  <si>
    <t>Trimming Works</t>
  </si>
  <si>
    <t>m2</t>
  </si>
  <si>
    <t>Soil Poisoning</t>
  </si>
  <si>
    <t>Rebar (Grade 80)</t>
  </si>
  <si>
    <t>Mat Footing</t>
  </si>
  <si>
    <t>kgs</t>
  </si>
  <si>
    <t>RC Wall (Domestic Tank)</t>
  </si>
  <si>
    <t>Footing Tie Girder</t>
  </si>
  <si>
    <t>Slab on Grade</t>
  </si>
  <si>
    <t>Shearwall</t>
  </si>
  <si>
    <t>Gravity Wall</t>
  </si>
  <si>
    <t>Beams and Girders</t>
  </si>
  <si>
    <t>Suspended Slab</t>
  </si>
  <si>
    <t>Flat Slab</t>
  </si>
  <si>
    <t>Column</t>
  </si>
  <si>
    <t>Elevator Pit Wall</t>
  </si>
  <si>
    <t>Rebar Consumables</t>
  </si>
  <si>
    <t>Rebar Coupler. 25mmØ</t>
  </si>
  <si>
    <t>pcs</t>
  </si>
  <si>
    <t>SS Mortar</t>
  </si>
  <si>
    <t>bags</t>
  </si>
  <si>
    <t>Formworks</t>
  </si>
  <si>
    <t>Formworks Consumables</t>
  </si>
  <si>
    <t>PC Half Slab Propping</t>
  </si>
  <si>
    <t>Concrete</t>
  </si>
  <si>
    <t>Mat Footing. 6000 psi, 28 days, PCD</t>
  </si>
  <si>
    <t>RC Wall (Domestic Tank). 6000 psi, 28 days, PCD</t>
  </si>
  <si>
    <t>Footing Tie Girder. 6000 psi, 28 days, PCD</t>
  </si>
  <si>
    <t>Slab on Grade. 3000 psi, 28 days, PCD</t>
  </si>
  <si>
    <t>Shearwall. 8000 psi, 28 days, PCD</t>
  </si>
  <si>
    <t>Gravity Wall. 6000 psi, 28 days, PCD</t>
  </si>
  <si>
    <t>Beams and Girders. 6000 psi, 28 days, PCD</t>
  </si>
  <si>
    <t>Suspended Slab. 6000 psi, 28 days, PCD</t>
  </si>
  <si>
    <t>Flat Slab. 6000 psi, 28 days, PCD</t>
  </si>
  <si>
    <t>Column. 6000 psi, 28 days, PCD</t>
  </si>
  <si>
    <t>Elevator Pit Wall. 6000 psi, 28 days, PCD</t>
  </si>
  <si>
    <t>Concrete Consumables</t>
  </si>
  <si>
    <t>Concrete Pump Setup. Rental</t>
  </si>
  <si>
    <t>Structural Precast Works</t>
  </si>
  <si>
    <t>PC Shearwall Flat Panel 200mm thk. 8000psi. 28 days. Rebar Rate: 142.15kg/cum. Gr 75</t>
  </si>
  <si>
    <t>PC Shearwall Flat Panel 175mm thk. 8000psi. 28 days. Rebar Rate: 78.72kg/cum. Gr 75</t>
  </si>
  <si>
    <t>PC Shearwall Flat Panel 150mm thk. 8000psi. 28 days. Rebar Rate: 62.44kg/cum. Gr 75</t>
  </si>
  <si>
    <t>PC Gravity Wall Flat Panel 200mm thk. 6000psi. 28 days. Rebar Rate: 56.46kg/cum. Gr 75</t>
  </si>
  <si>
    <t>PC Gravity Wall Flat Panel 120mm thk. 6000psi. 28 days. Rebar Rate: 47.30kg/cum. Gr 75</t>
  </si>
  <si>
    <t>PC Gravity Wall Flat Panel 100mm thk. 6000psi. 28 days. Rebar Rate: 63.19kg/cum. Gr 75</t>
  </si>
  <si>
    <t>PC Half Slab. 70mm thk. 6000psi. 28 days with and w/o Bondbeam, Rebar Rate: 8.69kg/sqm. Gr 75</t>
  </si>
  <si>
    <t>PC Stair Flight with groove nosing 6000psi. 28 days. Rebar Rate: 114.0kg/cum. Gr 60</t>
  </si>
  <si>
    <t>PC Stair Landing 6000 psi. 28 dyas. Rebar Rate: 194.0kg/cum. Gr 60</t>
  </si>
  <si>
    <t>Precast Consumables</t>
  </si>
  <si>
    <t>Architectural Precast Works</t>
  </si>
  <si>
    <t>PC Exterior Wall. Precast. 120mm thk</t>
  </si>
  <si>
    <t>PC Exterior/Interior Wall. Precast. 150mm thk</t>
  </si>
  <si>
    <t>PC Interior Wall. Precast. 100mm thk</t>
  </si>
  <si>
    <t>AAC Walls 100mm thk. T&amp;B and Pipe Chase</t>
  </si>
  <si>
    <t>Skimcoating. AAC Walls. T&amp;B and Pipe Chase</t>
  </si>
  <si>
    <t>3.0</t>
  </si>
  <si>
    <t>ARCHITECTURAL</t>
  </si>
  <si>
    <t>Masonry</t>
  </si>
  <si>
    <t>Interior Wall. Lightweight Panel. 100mm thk</t>
  </si>
  <si>
    <t>Sealant Works. Exterior Wall / Exterior side of Bldg</t>
  </si>
  <si>
    <t>lm</t>
  </si>
  <si>
    <t>Sealant Works. PC Interior Wall</t>
  </si>
  <si>
    <t>Sealant Works. Door Sealant (3 Corner sides)</t>
  </si>
  <si>
    <t>Skimcoating Works. Exterior Walls</t>
  </si>
  <si>
    <t>Skimcoating Works. Interior Walls</t>
  </si>
  <si>
    <t>Skimcoating Works. Slab Soffit</t>
  </si>
  <si>
    <t>Plain Cement Straight to Finish. WF-04</t>
  </si>
  <si>
    <t>Plain Cement Concrete Finish with Waterproofing. FF-02</t>
  </si>
  <si>
    <t>Straight to Finish. FF-03</t>
  </si>
  <si>
    <t>Smooth Straight to Finish. FF-06</t>
  </si>
  <si>
    <t>Concrete Rough Finish</t>
  </si>
  <si>
    <t>Masonry Concrete. Cast in Place Items. Concrete Zocalo</t>
  </si>
  <si>
    <t>Stoneworks</t>
  </si>
  <si>
    <t>Granite Stone. Door Threshold. 18mm thk</t>
  </si>
  <si>
    <t>Tiling Works</t>
  </si>
  <si>
    <t>Ceramic Floor Tiles. 600mm x 600mm. Matte Finish</t>
  </si>
  <si>
    <t>Ceramic Floor Tiles. 300mm x 600mm. Non-slip Matte Finish</t>
  </si>
  <si>
    <t>Ceramic Wall Tiles. 300mm x 600mm. Matte Finish</t>
  </si>
  <si>
    <t>Tileworks Consumables</t>
  </si>
  <si>
    <t>Drywall &amp; Ceiling</t>
  </si>
  <si>
    <t>Drywall Partition. 12mm thk Gypsum Board on Metal Furring</t>
  </si>
  <si>
    <t>By Tenant</t>
  </si>
  <si>
    <t>Bulkhead. 12mm thk Gypsum Board on Metal Frames</t>
  </si>
  <si>
    <t>Toilet Ledge. 12mm thk Ficem Board on Metal Frames</t>
  </si>
  <si>
    <t>set/s</t>
  </si>
  <si>
    <t>Thermal &amp; Moisture Protection</t>
  </si>
  <si>
    <t>Flexible Cementitious Waterproofing</t>
  </si>
  <si>
    <t>Polyurethane Waterproofing. Exposed Type</t>
  </si>
  <si>
    <t>Integral Waterproofing. Hydrophobic Pore- blocking Ingredient</t>
  </si>
  <si>
    <t>Polyethylene Sheet. Vapor Barrier</t>
  </si>
  <si>
    <t>Epoxy Tank Lining (Food Grade)</t>
  </si>
  <si>
    <t>Bentonite Strip Water Stopper</t>
  </si>
  <si>
    <t>Doors and Jamb</t>
  </si>
  <si>
    <t>Unit Main Door. HDF Semi-Solid Core Swing Door. 900mmW x 2100mmH. D1</t>
  </si>
  <si>
    <t>Unit T&amp;B Door. PVC Door with Louver. 700mmW x 2100mmH. D2</t>
  </si>
  <si>
    <t>Fire Exit Door. Fire Rated Galvanized Steel Door. 900mmW x 2100mmH. D3</t>
  </si>
  <si>
    <t>FCC/Storage Door. Galvanized Steel Door. 900mmW x 2100mmH. D4</t>
  </si>
  <si>
    <t>Roof Deck Elev Lobby. Galvanized Double Steel Swing Door. 1800mmW x 2100mmH. D4A</t>
  </si>
  <si>
    <t>Utility Room Door. Galvanized Steel Door, Full Louvered Inverted Z Louver Blade. 900mmW x 2100mmH. D5</t>
  </si>
  <si>
    <t>Genset/TVR Door. Galvanized Steel Door, Full Louvered Storm Louver. 3000mmW x 2100mmH. D6</t>
  </si>
  <si>
    <t>Pipe Chase Door. Ficem Board Door. 800mmW x 600mmH. PC1</t>
  </si>
  <si>
    <t>Pipe Chase Door. Ficem Board Door. 680mmW x 600mmH. PC2</t>
  </si>
  <si>
    <t>Hardwares</t>
  </si>
  <si>
    <t>Hinges. 3-4"x4"x3mm x 4BB S/S Hinges</t>
  </si>
  <si>
    <t>Hinges. Piano Hinge</t>
  </si>
  <si>
    <t>Rim Fire Exit Device</t>
  </si>
  <si>
    <t>Tri Pack Door Closer</t>
  </si>
  <si>
    <t>Lockset. Flush Type Door Handle Lockset</t>
  </si>
  <si>
    <t>Lockset. Cylindrical Lever Lockset, Storeroom Function, Grade 2, Satin Chrome Finish</t>
  </si>
  <si>
    <t>Lockset. Cylindrical Lever Lockset, Entrance Function, Grade 2, Satin Chrome Finish</t>
  </si>
  <si>
    <t>Lockset. Lever Type Lockset, Entrance Function Grade 2, UL Listed Satin Chrome Finish</t>
  </si>
  <si>
    <t>Concealed Door Closer</t>
  </si>
  <si>
    <t>Privacy Function, Thumbturn Inside , Emergency Quick Release Outside, Cylindrical Lever Lockset, Grade 2</t>
  </si>
  <si>
    <t>Camlock (Keyed Type) w/ S.S Automatic Rebound Latch</t>
  </si>
  <si>
    <t>Camlock (Keyed Type)</t>
  </si>
  <si>
    <t>S.S Cylindrical Cupboard Knob (Satin Brushed Fin.)</t>
  </si>
  <si>
    <t>Metal Works</t>
  </si>
  <si>
    <t>Railings. Floor Mounted. 38 mm dia. G.I Pipe Handrail, 25mm dia Solid Round Bar Diagonal Support, 25mm dia Flat bar Vertical Support, Painted at Fire Exit</t>
  </si>
  <si>
    <t>Railings. Wall Mounted. 38 mm dia. G.I Pipe Handrail, 25mm dia Solid Round Bar Diagonal Support, 25mm dia Flat bar Vertical Support, Painted at Fire Exit</t>
  </si>
  <si>
    <t>Drying Cage. 4" x 4" Galvanized Mesh with Round Tubular,</t>
  </si>
  <si>
    <t>ACU Metal Ledge. 75mm Thk x 0.6mW  x 1.5mL (Drip Pan)</t>
  </si>
  <si>
    <t>Ladder Rung. 20mmØ Stainless Steel Ladder Rung (Type to 2 No.)</t>
  </si>
  <si>
    <t>Ladder Rung. 16mmØ Hot Dipped Galvanized Round Bar spaced @ 300mm, Painted</t>
  </si>
  <si>
    <t>Manhole Cover. 600mm x 600mm (Type to 2 No.)</t>
  </si>
  <si>
    <t>Access Ladder</t>
  </si>
  <si>
    <t>Elevator Separator I-Beam. 100mm x 200mm</t>
  </si>
  <si>
    <t>Painting Works</t>
  </si>
  <si>
    <t>Exterior Wall Paint. Elastomeric Paint</t>
  </si>
  <si>
    <t>Interior Wall Paint. Semi-Gloss Latex Paint</t>
  </si>
  <si>
    <t>Interior Ceiling Paint. Flat Latex Paint</t>
  </si>
  <si>
    <t>Interior Bulkhead Paint.  Semi-Gloss Latex Paint</t>
  </si>
  <si>
    <t>Epoxy Paint. Epoxy Primer Lacquer Paint Finish at Railings</t>
  </si>
  <si>
    <t>Aluminum Glass &amp; Glazing Works</t>
  </si>
  <si>
    <t>Unit Bedroom. Aluminum Framed Fixed and Awning Window. 6-8mm thk Tempered Glass. Powder Coated Finish. 900mmW x 1500mmH. W1</t>
  </si>
  <si>
    <t>Unit Bedroom. Aluminum Framed Fixed and Awning Window. 6-8mm thk Tempered Glass. Powder Coated Finish. 1600mmW x 1500mmH. W2</t>
  </si>
  <si>
    <t>Elevator Lobby. Aluminum Framed Fixed Open Awning Window. 6-8mm thk Tempered Glass. Powder Coated Finish. 2700mmW x 1500mmH. W3</t>
  </si>
  <si>
    <t>Cabinetry</t>
  </si>
  <si>
    <t>Kitchen  Base Cabinet in MFC Board with Concealed Hinge, 12mm thk Natural Granite Countertop and 100 mm high splashboard</t>
  </si>
  <si>
    <t>Specialties</t>
  </si>
  <si>
    <t>Room Number. Signages</t>
  </si>
  <si>
    <t>Plumbing Fixtures</t>
  </si>
  <si>
    <t>Floor Mounted, Wall Discharge Water Closet with tank, 1 piece (Square-ish design)</t>
  </si>
  <si>
    <t>Wall Hung Lavatory (Square-ish design) with complete accessories</t>
  </si>
  <si>
    <t>Single Lever, Single line Faucet SS satin or Chrome Finish</t>
  </si>
  <si>
    <t>Stainless steel, handheld telephone-type shower head with shower bar</t>
  </si>
  <si>
    <t>Spray Bidet, Stainless Steel Satin or Chrome finish</t>
  </si>
  <si>
    <t>Toilet Paper Holder, Stainless Steel Satin or Chrome finish</t>
  </si>
  <si>
    <t>Soapholder, Stainless Steel Satin or Chrome finish</t>
  </si>
  <si>
    <t>Kitchen Sink w/ Faucet and accessories</t>
  </si>
  <si>
    <t>4.0</t>
  </si>
  <si>
    <t>MECHANICAL</t>
  </si>
  <si>
    <t>Air Conditioning</t>
  </si>
  <si>
    <t>FCU/ACCU- GF-FCC 1.0TR, 1.5HP, 230V/1PH/60HZ Split Type Wall Mounted</t>
  </si>
  <si>
    <t>FCU/ACCU- GF-TELCO 1.0TR, 1.5HP, 230V/1PH/60HZ Split Type Wall Mounted</t>
  </si>
  <si>
    <t>WACU-1, 1.2TR, 1.5HP, 230V/1PH/60HZ Window Type - By Tenant</t>
  </si>
  <si>
    <t>WACU-2, 2.0TR, 2.5HP, 230V/1PH/60HZ Window Type - By Tenant</t>
  </si>
  <si>
    <t>Ventilation Fan</t>
  </si>
  <si>
    <t>TEF-1, 50CFM, 230V/1PH/60HZ, Wall Mounted Ducted</t>
  </si>
  <si>
    <t>RH-1, 200CFM, 230V/1PH/60HZ Ducted Rangehood</t>
  </si>
  <si>
    <t>SPF-1/2-DOSW, 16,000CFM, 400V/3PH/60HZ, Centrifugal Floor Mount</t>
  </si>
  <si>
    <t>EPF-DOEL, 13,100CFM, 400V/3PH/60HZ, Centrifugal Floor Mount</t>
  </si>
  <si>
    <t>EF-GF-MEE, 250CFM, 230V/1PH/60HZ, Wall Mounted Propeller</t>
  </si>
  <si>
    <t>EF-GF-MRF, 300CFM, 230V/1PH/60HZ, Wall Mounted Propeller</t>
  </si>
  <si>
    <t>EF-RD-PASS, 4600CFM, 230V/1PH/60HZ, Wall Mounted Propeller</t>
  </si>
  <si>
    <t>EF-GEN, 1400CFM, 230V/1PH/60HZ, Wall Mounted Propeller</t>
  </si>
  <si>
    <t>EF-TVR, 2500CFM, 230V/1PH/60HZ, Wall Mounted Propeller</t>
  </si>
  <si>
    <t>EF-PMP, 300CFM, 230V/1PH/60HZ, Wall Mounted Propeller</t>
  </si>
  <si>
    <t>Refrigerant Pipe Works</t>
  </si>
  <si>
    <t>Refrigerant Pipe, fittings and Insulation</t>
  </si>
  <si>
    <t>3/8" Copper Pipe Type L, with fittings/insulation</t>
  </si>
  <si>
    <t>1/4" Copper Pipe Type L, with fittings/insulation</t>
  </si>
  <si>
    <t>Electrical Works</t>
  </si>
  <si>
    <t>ECB</t>
  </si>
  <si>
    <t>assy</t>
  </si>
  <si>
    <t>3.5mm2 THHN</t>
  </si>
  <si>
    <t>20mmØ PVC Pipe  including fittings</t>
  </si>
  <si>
    <t>Exhaust Air Duct</t>
  </si>
  <si>
    <t>Exhaust Air Duct Branches</t>
  </si>
  <si>
    <t>GI Sheet Gauge 22 (600x350mm)</t>
  </si>
  <si>
    <t>shts</t>
  </si>
  <si>
    <t>Exhaust Air Duct Miscellaneous and Accessories</t>
  </si>
  <si>
    <t>Slave Thermostat</t>
  </si>
  <si>
    <t>Master Thermostat</t>
  </si>
  <si>
    <t>Thermostat</t>
  </si>
  <si>
    <t>Toilet Exhaust  Air Duct</t>
  </si>
  <si>
    <t>TED -100mm dia. PVC Pipe</t>
  </si>
  <si>
    <t>100Ø Vent Cap w/ S/S Wiremesh Insect Screen</t>
  </si>
  <si>
    <t>Kitchen Exhaust  Air Duct</t>
  </si>
  <si>
    <t>KED -150mm dia. PVC Pipe</t>
  </si>
  <si>
    <t>150mm dia. Flexible Duct Connecttor</t>
  </si>
  <si>
    <t>150Ø Vent Cap w/ S/S Wiremesh Insect Screen</t>
  </si>
  <si>
    <t>Stair Pressurization Air Duct</t>
  </si>
  <si>
    <t>Stair Pressurization Duct Riser</t>
  </si>
  <si>
    <t>GI Sheet Gauge 22 (900x700mm)</t>
  </si>
  <si>
    <t>GI Sheet Gauge 22 (900x600mm)</t>
  </si>
  <si>
    <t>GI Sheet Gauge 22 (800x400mm)</t>
  </si>
  <si>
    <t>Stair Pressurization Miscellaneous and Accessories</t>
  </si>
  <si>
    <t>1000x800 Relief Air Grille w/ SS 304 Insect Screen and Rangehood</t>
  </si>
  <si>
    <t>500x650mm Pressurization Supply Air Grille w/ OBVD @ 1060CFM</t>
  </si>
  <si>
    <t>900x600mm Motorized Relief Damper w/ Modulating type Actuator</t>
  </si>
  <si>
    <t>Smoke Duct Sensor</t>
  </si>
  <si>
    <t>Static Pressure Sensor</t>
  </si>
  <si>
    <t>Differential Static Pressurization Controller</t>
  </si>
  <si>
    <t>Wiring Works for Differential Presure Sensor</t>
  </si>
  <si>
    <t>Fireman's Lift Pressurization Ducting Works</t>
  </si>
  <si>
    <t>Fireman's Lift Pressurization Duct Riser</t>
  </si>
  <si>
    <t>GI Sheet Gauge 22 (800x650mm)</t>
  </si>
  <si>
    <t>Fireman's Lift Pressurization Miscellaneous and Accessories</t>
  </si>
  <si>
    <t>800x600 Motorized Relief Damper Set with Modulating Type Actuator w/ SS 304 Insect Screen</t>
  </si>
  <si>
    <t>Electrical wiring works and breakers for fans</t>
  </si>
  <si>
    <t>Misc. &amp; Consumables</t>
  </si>
  <si>
    <t>Hangers &amp; Supports</t>
  </si>
  <si>
    <t>Block-out &amp; Pipe Sleeves</t>
  </si>
  <si>
    <t>Testing &amp; Commissioning</t>
  </si>
  <si>
    <t>General Requirements</t>
  </si>
  <si>
    <t>5.0</t>
  </si>
  <si>
    <t>ELECTRICAL</t>
  </si>
  <si>
    <t>Grounding Works</t>
  </si>
  <si>
    <t>Lightning Arrester</t>
  </si>
  <si>
    <t>Lightning Terminal</t>
  </si>
  <si>
    <t>Lightning Event Counter</t>
  </si>
  <si>
    <t>200 x 200 x 100mm Ground well w/ 6mm Galv. Steel Cover</t>
  </si>
  <si>
    <t>60mm² Bare Cu Conductor - Loop Conductor</t>
  </si>
  <si>
    <t>50mm² Bare Cu Conductor - Loop Conductor</t>
  </si>
  <si>
    <t>30mm² Bare Cu Conductor - Loop Conductor</t>
  </si>
  <si>
    <t>14mm² Bare Cu Conductor - Loop Conductor</t>
  </si>
  <si>
    <t>8.0mm² Bare Cu Conductor - Loop Conductor</t>
  </si>
  <si>
    <t>Aircraft Obstruction Lighting Fixture w/ 100W Bulb, 60Hz, 230V, Obstruction Light Relay and Photoelectric Control</t>
  </si>
  <si>
    <t>Grounding busbar, 50mmHx300mmWx10mmD</t>
  </si>
  <si>
    <t>25mmø x 3000mm Length Copper Clad Steel Rod</t>
  </si>
  <si>
    <t>32mmØ PVC Pipe  including fittings</t>
  </si>
  <si>
    <t>25mmØ PVC Pipe  including fittings</t>
  </si>
  <si>
    <t>6"x6" Pullbox</t>
  </si>
  <si>
    <t>Busway System</t>
  </si>
  <si>
    <t>Power System Bus Way</t>
  </si>
  <si>
    <t>Busway - 800A, 400V, 3Ø w/Ground &amp; Neutral Bus Aluminum complete with standard accessories</t>
  </si>
  <si>
    <t>Power System Bus Way Accessories</t>
  </si>
  <si>
    <t>Pug-in CB 100AT, 100AF, 4P, 3Ø, 400V,</t>
  </si>
  <si>
    <t>sets</t>
  </si>
  <si>
    <t>Power System Switchboard and Panel board</t>
  </si>
  <si>
    <t>PB - 2BR MID UNIT</t>
  </si>
  <si>
    <t>PB - 2BR CORNER UNIT</t>
  </si>
  <si>
    <t>Power System Main Distribution Panelboard</t>
  </si>
  <si>
    <t>MPP</t>
  </si>
  <si>
    <t>MAIN: 175AT, 225AF,  400V, 3P, 36kAIC MCCB, NEMA-1 (FREE STANDING)</t>
  </si>
  <si>
    <t>BRS: 2-60AT, 100AF,400V/230V, 3P, 18kAIC</t>
  </si>
  <si>
    <t>1-50AT, 100AF, 400V/230V, 3P, 18kAIC</t>
  </si>
  <si>
    <t>3-40AT, 100AF, 400V/230V, 3P, 18kAIC</t>
  </si>
  <si>
    <t>2-40AT, 100AF, 400V/230V, 3P, 18kAIC SPARE</t>
  </si>
  <si>
    <t>MDP-RESIDENTIAL, IP56</t>
  </si>
  <si>
    <t>MAIN: 800AT, 1000AF, 3P, MCCB, 600V, 60Hz, NEMA 1</t>
  </si>
  <si>
    <t>BRS: BUSDUCT 800A, 3P, 400V, 60Hz</t>
  </si>
  <si>
    <t>ADM/MTS (Unitized), NEMA-1 (FREE STANDING)</t>
  </si>
  <si>
    <t>Main:  350AT, 400AF, 3P+N, 50kAIC, MCCB, Manual Transfer Switch</t>
  </si>
  <si>
    <t>BRS: 1-50AT, 100AF, 3P, 400V/230V, 10kAIC</t>
  </si>
  <si>
    <t>1-175AT, 225AF,  3P, 400V/230V, 18kAIC</t>
  </si>
  <si>
    <t>1-125AT, 225AF,  3P, 400V/230V, 25kAIC</t>
  </si>
  <si>
    <t>1-60AT, 100AF, 3P, 400V/230V, 10kAIC</t>
  </si>
  <si>
    <t>1-50AT, 100AF, 3P, 400V/230V, 10kAIC SPARE</t>
  </si>
  <si>
    <t>1-30AT, 100AF,  3P, 400V/230V, 10kAIC SPARE</t>
  </si>
  <si>
    <t>MCB</t>
  </si>
  <si>
    <t>Main: 1000AT, 1000AF, 3P+N, 85kAIC , ACB, NEMA-1 (FREE STANDING)</t>
  </si>
  <si>
    <t>Brs:   1-800AT, 1000AF,3P, 400V, 3P+N, 70kAIC</t>
  </si>
  <si>
    <t>1-350AT, 400AF 3P, 400V, 3P+N, 50kAIC</t>
  </si>
  <si>
    <t>1-SPACE</t>
  </si>
  <si>
    <t>Power System Emergency Panel board</t>
  </si>
  <si>
    <t>EP (EMERGENCY PANEL) @ 8F</t>
  </si>
  <si>
    <t>Main: 200AT, 225AF, 400V/230V, 3P+N, 10kAIC, ACB</t>
  </si>
  <si>
    <t>Brs: 15-50AT, 63AF, 2P, 10kAIC MCB</t>
  </si>
  <si>
    <t>Power System Lighting Panel Board</t>
  </si>
  <si>
    <t>LP-01 @ GF</t>
  </si>
  <si>
    <t>MAIN: 60AT, 100AF, 3P, MCCB, 230V, 60Hz, NEMA 1</t>
  </si>
  <si>
    <t>BRS: 26-20AT, 50AF, 230V, 1P, 6kAIC MCB</t>
  </si>
  <si>
    <t>LP-08 @ 8F</t>
  </si>
  <si>
    <t>Main: 50AT, 100AF, 400V/230V, 3P, 10kAIC MCCB</t>
  </si>
  <si>
    <t>Brs: 11- 20AT, 63AF, 230V, 1P, 6kAIC MCB</t>
  </si>
  <si>
    <t>3- 20AT, 63AF, 230V, 1P, 6kAIC MCB SPARE</t>
  </si>
  <si>
    <t>Power System Enclosed Circuit Breaker (ECB)</t>
  </si>
  <si>
    <t>ECB 20A, 2P, 230V, NEMA 3R</t>
  </si>
  <si>
    <t>ECB 30A, 2P, 230V, NEMA 3R</t>
  </si>
  <si>
    <t>ECB 40A, 3P, 400V, NEMA 3R</t>
  </si>
  <si>
    <t>ECB 125A, 3P, 400V, NEMA 3R</t>
  </si>
  <si>
    <t>ECB 60A, 3P, 400V, NEMA 3R (BPCP)</t>
  </si>
  <si>
    <t>Power System Meter Center</t>
  </si>
  <si>
    <t>MC2 Typ to MC-3F TO MC-16F</t>
  </si>
  <si>
    <t>MAIN: 100AT, 100AF, 400V/230V, 3P+N, 36kAIC, MCCB</t>
  </si>
  <si>
    <t>BRS:  34-32AT, 63AF, 230V, 2P, 10kAIC, MCB</t>
  </si>
  <si>
    <t>KW-hr Meter Base (installation only)</t>
  </si>
  <si>
    <t>Security Grills (Meter Center &amp; Busduct)</t>
  </si>
  <si>
    <t>C-Rated kilowatt-hour meter</t>
  </si>
  <si>
    <t>Roughing In</t>
  </si>
  <si>
    <t>20mmØ IMC Pipe  including fittings</t>
  </si>
  <si>
    <t>25mmØ IMC Pipe  including fittings</t>
  </si>
  <si>
    <t>65mmØ IMC Pipe  including fittings</t>
  </si>
  <si>
    <t>80mmØ IMC Pipe  including fittings</t>
  </si>
  <si>
    <t>100mmØ IMC Pipe  including fittings</t>
  </si>
  <si>
    <t>50mmØ EMT Pipe  including fittings</t>
  </si>
  <si>
    <t>25mmØ EMT Pipe  including fittings</t>
  </si>
  <si>
    <t>110mmØ PVC Pipe  including fittings</t>
  </si>
  <si>
    <t>20mmØ Liquidtigth Flexible Metal Conduit</t>
  </si>
  <si>
    <t>40mmØ Liquidtigth Flexible Metal Conduit</t>
  </si>
  <si>
    <t>2 x 4 Utility Box</t>
  </si>
  <si>
    <t>4 x 4 Octagonal Junction Box</t>
  </si>
  <si>
    <t>4 x 4 Square Box</t>
  </si>
  <si>
    <t>Power Provisions/Junction Box, Exhaust Fan, TEF</t>
  </si>
  <si>
    <t>Wiring In</t>
  </si>
  <si>
    <t>1.6mm2 THHN, Solid Copper</t>
  </si>
  <si>
    <t>2.0mm2 THHN, Solid Copper</t>
  </si>
  <si>
    <t>2.0mm2 THHN</t>
  </si>
  <si>
    <t>5.5mm2 THHN</t>
  </si>
  <si>
    <t>8.0mm2 THHN</t>
  </si>
  <si>
    <t>14mm2 THHN</t>
  </si>
  <si>
    <t>22mm2 THHN</t>
  </si>
  <si>
    <t>30mm2 THHN</t>
  </si>
  <si>
    <t>175mm2 THHN</t>
  </si>
  <si>
    <t>250mm2 THHN</t>
  </si>
  <si>
    <t>14mmsq. THHN, Aluminum</t>
  </si>
  <si>
    <t>22mmsq. THHN, Aluminum</t>
  </si>
  <si>
    <t>60mmsq. THHN Wire, Aluminum</t>
  </si>
  <si>
    <t>100mmsq. THHN Wire, Aluminum</t>
  </si>
  <si>
    <t>125mmsq. THHN Wire, Aluminum</t>
  </si>
  <si>
    <t>Wire Way</t>
  </si>
  <si>
    <t>150mm x 50mm WIREWAY</t>
  </si>
  <si>
    <t>200mm X 75mm WIREWAY</t>
  </si>
  <si>
    <t>160mm x 50mm WIREWAY</t>
  </si>
  <si>
    <t>95mm X 50mm WIREWAY</t>
  </si>
  <si>
    <t>85mm X 50mm WIREWAY</t>
  </si>
  <si>
    <t>Devices</t>
  </si>
  <si>
    <t>Single Convenience Outlet, Wall Mounted</t>
  </si>
  <si>
    <t>Duplex Convenience Outlet, Wall Mounted</t>
  </si>
  <si>
    <t>Duplex Convenience Outlet, Wall Mounted, Counter Top</t>
  </si>
  <si>
    <t>Single Convenience Outlet, Wall Mounted, Ref</t>
  </si>
  <si>
    <t>Single Convenience Outlet, Wall Mounted, Range</t>
  </si>
  <si>
    <t>Single Convenience Outlet, Wall Mounted, Rangehood</t>
  </si>
  <si>
    <t>Single Convenience Outlet, Wall Mounted, ACU</t>
  </si>
  <si>
    <t>Single Convenience Outlet, Wall Mounted, WH</t>
  </si>
  <si>
    <t>One-gang Switch</t>
  </si>
  <si>
    <t>Two-gang Switch</t>
  </si>
  <si>
    <t>Three-gang Switch</t>
  </si>
  <si>
    <t>Swithbank 1, (Sab-exit stairs, Sz, Sxy) - for GF only</t>
  </si>
  <si>
    <t>Receptacle only</t>
  </si>
  <si>
    <t>1x36W Luminaire w/ Reflector</t>
  </si>
  <si>
    <t>18 Watts LED Surfaced Mounted Pinlight</t>
  </si>
  <si>
    <t>40 Watts LED Pole Mounted Outdoor Light</t>
  </si>
  <si>
    <t>Elevator Shaft Light</t>
  </si>
  <si>
    <t>Exit Sign, 2.4V, Battery Back-up</t>
  </si>
  <si>
    <t>Emergency Light w/ Battery Back-up</t>
  </si>
  <si>
    <t>6.0</t>
  </si>
  <si>
    <t>AUXILIARY</t>
  </si>
  <si>
    <t>Telephone /Data</t>
  </si>
  <si>
    <t>50mmØ PVC Pipe  including fittings</t>
  </si>
  <si>
    <t>Wire Way 50mnx50mm</t>
  </si>
  <si>
    <t>Cable Ladder (200x100mm)</t>
  </si>
  <si>
    <t>TEL Pull Box</t>
  </si>
  <si>
    <t>4-Pairs Cat 6 UTP Cable - By Service Provider</t>
  </si>
  <si>
    <t>By Service Provider</t>
  </si>
  <si>
    <t>Fiber Distribution Cable - By Service Provider</t>
  </si>
  <si>
    <t>Equipment/Devices</t>
  </si>
  <si>
    <t>Wall Mounted Telephone/Data Outlet</t>
  </si>
  <si>
    <t>ONU - Optical Network Unit - By Service Provider</t>
  </si>
  <si>
    <t>Fiber Distribution Panel - By Service Provider</t>
  </si>
  <si>
    <t>NAP- Network Access Point Box - By Service Provider</t>
  </si>
  <si>
    <t>FTTHTC - Fiber to the Home Terminal Cabinet - By Service Provider</t>
  </si>
  <si>
    <t>Closed Circuit Television System (CCTV)</t>
  </si>
  <si>
    <t>CCTV Pullbox</t>
  </si>
  <si>
    <t>UTP Cable CAT6 4 Pairs</t>
  </si>
  <si>
    <t>Dome Type Camera</t>
  </si>
  <si>
    <t>Power Over Ethernet Switch (POE-Swithch)</t>
  </si>
  <si>
    <t>16 Port POE Switch</t>
  </si>
  <si>
    <t>16 Port Patch Panel</t>
  </si>
  <si>
    <t>Patch Cord</t>
  </si>
  <si>
    <t>Core Switch</t>
  </si>
  <si>
    <t>NVR</t>
  </si>
  <si>
    <t>Workstation Keyboard + Cotntroller</t>
  </si>
  <si>
    <t>CCTV Monitor</t>
  </si>
  <si>
    <t>UPS-1Kva</t>
  </si>
  <si>
    <t>Power Panel (30VAC/12V)</t>
  </si>
  <si>
    <t>Fire Detection and Alarm System (FDAS)</t>
  </si>
  <si>
    <t>25mm diameter IMC including fittings</t>
  </si>
  <si>
    <t>Fire Alarm Pullbox w/ cover &amp; terminal block for cable termination (300mmx300mmx200mm)</t>
  </si>
  <si>
    <t>2.5mm sq. (14 AWG) Twisted Pair - TF Wire</t>
  </si>
  <si>
    <t>1.50mm sq. (16 AWG) Twisted Pair - TF Wire</t>
  </si>
  <si>
    <t>Coventional Smoke Detector</t>
  </si>
  <si>
    <t>Addressable Smoke Detector</t>
  </si>
  <si>
    <t>Addressable Heat Detector</t>
  </si>
  <si>
    <t>Manual Pull Station</t>
  </si>
  <si>
    <t>Speaker Horn Strobe</t>
  </si>
  <si>
    <t>Graphic Annuciator</t>
  </si>
  <si>
    <t>Firemans Telephone Jack</t>
  </si>
  <si>
    <t>End of Line</t>
  </si>
  <si>
    <t>Duct Smoke Detector</t>
  </si>
  <si>
    <t>Addressable  Zone Module for Conventional Detectors</t>
  </si>
  <si>
    <t>Monitor Module for Flow Switch</t>
  </si>
  <si>
    <t>Monitor Module for Supervisory Switch</t>
  </si>
  <si>
    <t>Monitor Module</t>
  </si>
  <si>
    <t>Relay Module</t>
  </si>
  <si>
    <t>EVAC</t>
  </si>
  <si>
    <t>Addressable Fire Alarm Control Panel (FACP)</t>
  </si>
  <si>
    <t>7.0</t>
  </si>
  <si>
    <t>PLUMBING</t>
  </si>
  <si>
    <t>Bath Faucet with hand shower set, gunmetal finish</t>
  </si>
  <si>
    <t>Grease Trap 5GPM</t>
  </si>
  <si>
    <t>Cold Water line Main Source</t>
  </si>
  <si>
    <t>PPR  Pipes (150mm) w/ fittings</t>
  </si>
  <si>
    <t>Cold Water line Upfeed</t>
  </si>
  <si>
    <t>PPR  Pipes (100mm) w/ fittings</t>
  </si>
  <si>
    <t>PPR  Pipes (75mm) w/ fittings</t>
  </si>
  <si>
    <t>Cold Water line Downfeed</t>
  </si>
  <si>
    <t>PPR  Pipes (50mm) w/ fittings</t>
  </si>
  <si>
    <t>PPR  Pipes (40mm) w/ fittings</t>
  </si>
  <si>
    <t>PPR  Pipes (32mm) w/ fittings</t>
  </si>
  <si>
    <t>PPR  Pipes (25mm) w/ fittings</t>
  </si>
  <si>
    <t>Cold water line branches - Hallway</t>
  </si>
  <si>
    <t>Cold water line branches - Utilities</t>
  </si>
  <si>
    <t>PPR  Pipes (20mm) w/ fittings</t>
  </si>
  <si>
    <t>Cold water line Valves &amp; Accessories</t>
  </si>
  <si>
    <t>Gate Valve 15mm</t>
  </si>
  <si>
    <t>Gate Valve 20mm</t>
  </si>
  <si>
    <t>Gate Valve 25mm</t>
  </si>
  <si>
    <t>Water Meter 25mm</t>
  </si>
  <si>
    <t>Gate Valve 150mm</t>
  </si>
  <si>
    <t>Gate Valve 100mm</t>
  </si>
  <si>
    <t>Gate Valve 75mm</t>
  </si>
  <si>
    <t>Gate Valve 50mm</t>
  </si>
  <si>
    <t>Gate Valve 40mm</t>
  </si>
  <si>
    <t>Check Valve 100mm</t>
  </si>
  <si>
    <t>Hose Bibb</t>
  </si>
  <si>
    <t>Equalizing Valve 100mm</t>
  </si>
  <si>
    <t>Y-Strainer 100mm</t>
  </si>
  <si>
    <t>Flexible Connector 75mm</t>
  </si>
  <si>
    <t>Flexible Connector 100mm</t>
  </si>
  <si>
    <t>PRV 75mm</t>
  </si>
  <si>
    <t>Float Valve 100mm</t>
  </si>
  <si>
    <t>Float Valve 150mm</t>
  </si>
  <si>
    <t>Pressure Relief Valve 100mm</t>
  </si>
  <si>
    <t>Pressure Gauge</t>
  </si>
  <si>
    <t>Sanitary Drainage System</t>
  </si>
  <si>
    <t>Soil Stack Pipe - HDPE Pipe - 100mm w/ fittings</t>
  </si>
  <si>
    <t>Sovent Aerator 100mm</t>
  </si>
  <si>
    <t>BottomTurn Bend 110mm (Supertube)</t>
  </si>
  <si>
    <t>Soil Stack Pipe - PVC Pipe - 100mm w/ fittings</t>
  </si>
  <si>
    <t>Soil Pipe - HDPE Pipe - 100mm w/ fittings</t>
  </si>
  <si>
    <t>Soil Pipe - HDPE Pipe - 50mm w/ fittings</t>
  </si>
  <si>
    <t>Soil Pipe - PVC Pipe - 300mm w/ fittings</t>
  </si>
  <si>
    <t>Soil Pipe - PVC Pipe - 250mm w/ fittings</t>
  </si>
  <si>
    <t>Soil Pipe - PVC Pipe - 200mm w/ fittings</t>
  </si>
  <si>
    <t>Soil Pipe - PVC Pipe - 100mm w/ fittings</t>
  </si>
  <si>
    <t>Soil Pipe - PVC Pipe - 50mm w/ fittings</t>
  </si>
  <si>
    <t>Storm Drainage System</t>
  </si>
  <si>
    <t>Downspout-  PVC Pipe - 100mm w/ fittings</t>
  </si>
  <si>
    <t>Drain Pipe -  PVC Pipe - 150mm w/ fittings</t>
  </si>
  <si>
    <t>Drain Pipe -  PVC Pipe - 100mm w/ fittings</t>
  </si>
  <si>
    <t>Drain Pipe -  PVC Pipe -50mm w/ fittings</t>
  </si>
  <si>
    <t>Drain Pipe -  PVC Pipe - 150mm w/ fittings - Perporated</t>
  </si>
  <si>
    <t>Condensate Drain Stack -  PVC Pipe - 50mm w/ fittings</t>
  </si>
  <si>
    <t>Condensate Drain Pipe -  PVC Pipe - 50mm w/ fittings</t>
  </si>
  <si>
    <t>Condensate Drain Pipe -  PVC Pipe - 25mm w/ fittings and insulation</t>
  </si>
  <si>
    <t>Drain and Accessories</t>
  </si>
  <si>
    <t>Floor Drain 50mm</t>
  </si>
  <si>
    <t>Floor Drain 100mm</t>
  </si>
  <si>
    <t>Scupper Drain 100mm</t>
  </si>
  <si>
    <t>Oil Interceptor 50 GPM</t>
  </si>
  <si>
    <t>Catch Basin</t>
  </si>
  <si>
    <t>Pipe Vents System</t>
  </si>
  <si>
    <t>Vent Stack - HDPE Pipe 250mm w/ fittings</t>
  </si>
  <si>
    <t>Vent Stack - HDPE Pipe 150mm w/ fittings</t>
  </si>
  <si>
    <t>Vent Stack - HDPE Pipe 100mm w/ fittings</t>
  </si>
  <si>
    <t>Vent Stack - PVC Pipe 75mm w/ fittings</t>
  </si>
  <si>
    <t>Vent Branches - HDPE Pipe 250mm w/ fittings</t>
  </si>
  <si>
    <t>Vent Branches - HDPE Pipe 200mm w/ fittings</t>
  </si>
  <si>
    <t>Vent Branches - HDPE Pipe 150mm w/ fittings</t>
  </si>
  <si>
    <t>Vent Branches - HDPE Pipe 100mm w/ fittings</t>
  </si>
  <si>
    <t>Vent Branches - PVC Pipe 75mm w/ fittings</t>
  </si>
  <si>
    <t>Overhead Water Tank (OHP)</t>
  </si>
  <si>
    <t>Elevated Water Tank -64 cu.m</t>
  </si>
  <si>
    <t>Plumbing Pump and accessories</t>
  </si>
  <si>
    <t>Transfer Pump - 325 gpm (each) @ 240Ft TDH,25hp, 400V, 3Ø, 60Hz, Triplex Type, w/ Controller &amp; accessories</t>
  </si>
  <si>
    <t>Booster Pump - 145 gpm (each) @ 160ft TDH, 75hp, 400V, 3Ø, 60Hz, 1 Set Triplex Type, w/ controller, bladder tank &amp; accessories</t>
  </si>
  <si>
    <t>Elevator Sump Pump - 50 gpm @ 30ft TDH , 1hp, 230V,1Ø,60Hz, (2 Set Simplex Type w/ controller &amp; accessories</t>
  </si>
  <si>
    <t>Plumbing Controllers</t>
  </si>
  <si>
    <t>8.0</t>
  </si>
  <si>
    <t>FIRE PROTECTION</t>
  </si>
  <si>
    <t>Wet / Dry Stand Pipe Works</t>
  </si>
  <si>
    <t>Wet / Dry Stand Pipe Riser 200mm BI Pipes w/ fittings</t>
  </si>
  <si>
    <t>Wet Stand Valves and accessories</t>
  </si>
  <si>
    <t>65mm Pressure Reducing Fire Hose Valves w/ chain and cap (Brass)</t>
  </si>
  <si>
    <t>3 x 65mm x 200mm Fire Department Connection</t>
  </si>
  <si>
    <t>200mm dia Check Valve</t>
  </si>
  <si>
    <t>200mm dia OS &amp; Y Gate Valve / Control Valve with Supervisory Switch</t>
  </si>
  <si>
    <t>200mm Vertical Alarm Check Valve Assembly w/ Complete acc.</t>
  </si>
  <si>
    <t>200mm AAV</t>
  </si>
  <si>
    <t>65mm x 65mm x 200mm Roof Manifold</t>
  </si>
  <si>
    <t>Feed Main</t>
  </si>
  <si>
    <t>Feedmain 200mm BI Pipes w/ fittings</t>
  </si>
  <si>
    <t>Feedmain Valve and Assembly</t>
  </si>
  <si>
    <t>100mm diameter FCV, Butterfly Valve.Victaulic. Wafer Type with Built In Supervisory Swith and Tamper Switch.incl fittings</t>
  </si>
  <si>
    <t>100mm diameter Water Flow Swith</t>
  </si>
  <si>
    <t>100mm dia Check Valve</t>
  </si>
  <si>
    <t>Pressure gauge 300 psi connection including fittings</t>
  </si>
  <si>
    <t>25mm Ø Inspector's Test Connection Assembly</t>
  </si>
  <si>
    <t>25mm diameter Auxiliary drain inlcuding fittings</t>
  </si>
  <si>
    <t>Crossmain</t>
  </si>
  <si>
    <t>Cross Main 100mm BI Pipes w/ fittings</t>
  </si>
  <si>
    <t>Cross Main 80mm BI Pipes w/ fittings</t>
  </si>
  <si>
    <t>Cross Main 65mm BI Pipes w/ fittings</t>
  </si>
  <si>
    <t>Branchline</t>
  </si>
  <si>
    <t>Branch Line 50mm CPVC Pipes w/ fittings</t>
  </si>
  <si>
    <t>Branch Line 40mm CPVC Pipes w/ fittings</t>
  </si>
  <si>
    <t>Branch Line 32mm CPVC Pipes w/ fittings</t>
  </si>
  <si>
    <t>Branch Line 25mm CPVC Pipes w/ fittings</t>
  </si>
  <si>
    <t>Drain Pipe Works</t>
  </si>
  <si>
    <t>Drain Pipe Riser 50mm w/ fittings</t>
  </si>
  <si>
    <t>50mm Drain Valve</t>
  </si>
  <si>
    <t>Equiptment and Accessories Works</t>
  </si>
  <si>
    <t>Upright Sprinkler Head 68°C</t>
  </si>
  <si>
    <t>Sidewall Sprinkler Head 68°C</t>
  </si>
  <si>
    <t>Sidewall Sprinkler Head 100°C</t>
  </si>
  <si>
    <t>FE-1, 4.5Kg. ABC Dry Chemical</t>
  </si>
  <si>
    <t>FE-2, 4.5Kg. Dry Chemical Purple K</t>
  </si>
  <si>
    <t>Fire Hose Cabinet complete with accessories ( Surfaced Mounted Type )</t>
  </si>
  <si>
    <t>9.0</t>
  </si>
  <si>
    <t>ALLIED SERVICES</t>
  </si>
  <si>
    <t>Elevators</t>
  </si>
  <si>
    <t>Passenger Elevator-01</t>
  </si>
  <si>
    <t>units</t>
  </si>
  <si>
    <t>Passenger Elevator-02 (for Provision)</t>
  </si>
  <si>
    <t>for Provision</t>
  </si>
  <si>
    <t>Factory Acceptance,  Testing and Commissioning</t>
  </si>
  <si>
    <t>Transformer</t>
  </si>
  <si>
    <t>By Meralco</t>
  </si>
  <si>
    <t>Generator Set</t>
  </si>
  <si>
    <t>Genset -350KVA, 3P, 4WIRE, 400V, 60Hz</t>
  </si>
  <si>
    <t>GRAND TOTAL (VAT Ex)</t>
  </si>
  <si>
    <t>PMOBIDEnd</t>
  </si>
  <si>
    <t>CONTINGENCY</t>
  </si>
  <si>
    <t>FINANCIAL COST</t>
  </si>
  <si>
    <t>OVERHEAD</t>
  </si>
  <si>
    <t>PROJECT MARK-UP</t>
  </si>
  <si>
    <t>BID PRICE (VAT Ex)</t>
  </si>
  <si>
    <t>TAXES</t>
  </si>
  <si>
    <t>BID PRICE (VAT In)</t>
  </si>
  <si>
    <t>Reviewed and Agreed by:</t>
  </si>
  <si>
    <t>Approved by:</t>
  </si>
  <si>
    <t>MARK ANTHONY GOLES</t>
  </si>
  <si>
    <t>JULES NORMAN RONQUILLO</t>
  </si>
  <si>
    <t>FREDERICK TAN</t>
  </si>
  <si>
    <t>Commercial and Contracts Head</t>
  </si>
  <si>
    <t>AVP - Operations</t>
  </si>
  <si>
    <t>Chief Operating Officer</t>
  </si>
  <si>
    <t>SUMMARY  OF BID PACKAGES</t>
  </si>
  <si>
    <t xml:space="preserve">                             BCB2</t>
  </si>
  <si>
    <t>2026 05 15</t>
  </si>
  <si>
    <t>Project</t>
  </si>
  <si>
    <t>:</t>
  </si>
  <si>
    <t>Location</t>
  </si>
  <si>
    <t>Total # of Units :</t>
  </si>
  <si>
    <t>Package</t>
  </si>
  <si>
    <t>No. of Bldgs :</t>
  </si>
  <si>
    <t>Site Dev't :</t>
  </si>
  <si>
    <t>NO.</t>
  </si>
  <si>
    <t>PACKAGE</t>
  </si>
  <si>
    <t>COST / BLDG</t>
  </si>
  <si>
    <t>TOTAL COST
(4 BLDG)</t>
  </si>
  <si>
    <t>COST / CFA</t>
  </si>
  <si>
    <t>COST / UNIT</t>
  </si>
  <si>
    <t>%Wt</t>
  </si>
  <si>
    <t>Property Damage</t>
  </si>
  <si>
    <t>BUILDINGS 1 TO 4 ( 4 Bldgs)</t>
  </si>
  <si>
    <t>STRUCTURAL WORKS</t>
  </si>
  <si>
    <t>Rebar</t>
  </si>
  <si>
    <t>Structural Precast</t>
  </si>
  <si>
    <t>Architectural Precast</t>
  </si>
  <si>
    <t>ARCHITECTURAL WORKS</t>
  </si>
  <si>
    <t>MEPFS WORKS</t>
  </si>
  <si>
    <t>Mechanical</t>
  </si>
  <si>
    <t>Electrical</t>
  </si>
  <si>
    <t>Auxiliary</t>
  </si>
  <si>
    <t>Plumbing</t>
  </si>
  <si>
    <t>Fire Protection</t>
  </si>
  <si>
    <t>Allied Services</t>
  </si>
  <si>
    <t>SITE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</si>
</sst>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0.0%"/>
    <numFmt numFmtId="168" formatCode="_(* #,##0.000_);_(* \(#,##0.000\);_(* &quot;-&quot;??_);_(@_)"/>
    <numFmt numFmtId="169" formatCode="0.0"/>
  </numFmts>
  <fonts count="68">
    <font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 (Body)"/>
      <charset val="134"/>
    </font>
    <font>
      <sz val="14"/>
      <color theme="1"/>
      <name val="Calibri (Body)"/>
      <charset val="134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4"/>
      <name val="Calibri (Body)"/>
      <charset val="134"/>
    </font>
    <font>
      <b/>
      <sz val="14"/>
      <color rgb="FF000000"/>
      <name val="Calibri (Body)"/>
      <charset val="134"/>
    </font>
    <font>
      <b/>
      <sz val="14"/>
      <color theme="0"/>
      <name val="Calibri (Body)"/>
      <charset val="134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sz val="12"/>
      <name val="Century Gothic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entury Gothic"/>
      <family val="2"/>
    </font>
    <font>
      <b/>
      <sz val="12"/>
      <color rgb="FF000000"/>
      <name val="Calibri"/>
      <family val="2"/>
    </font>
    <font>
      <sz val="10"/>
      <color rgb="FFFF000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color rgb="FF000000"/>
      <name val="Calibri"/>
      <family val="2"/>
    </font>
    <font>
      <sz val="10"/>
      <color rgb="FF0070C0"/>
      <name val="Century Gothic"/>
      <family val="2"/>
    </font>
    <font>
      <sz val="10"/>
      <color rgb="FF000000"/>
      <name val="Century Gothic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8"/>
      <color theme="0"/>
      <name val="Century Gothic"/>
      <family val="2"/>
    </font>
    <font>
      <b/>
      <sz val="12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0"/>
      <name val="Calibri (Body)"/>
      <charset val="134"/>
    </font>
    <font>
      <b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</font>
    <font>
      <b/>
      <sz val="14"/>
      <color rgb="FF0070C0"/>
      <name val="Calibri"/>
      <family val="2"/>
    </font>
    <font>
      <b/>
      <sz val="14"/>
      <name val="Calibri"/>
      <family val="2"/>
    </font>
    <font>
      <b/>
      <sz val="14"/>
      <color rgb="FF0070C0"/>
      <name val="Century Gothic"/>
      <family val="2"/>
    </font>
    <font>
      <b/>
      <sz val="12"/>
      <color rgb="FF0070C0"/>
      <name val="Calibri"/>
      <family val="2"/>
    </font>
    <font>
      <b/>
      <sz val="12"/>
      <color theme="0" tint="-0.499984740745262"/>
      <name val="Calibri"/>
      <family val="2"/>
    </font>
    <font>
      <sz val="12"/>
      <color rgb="FF0070C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0" tint="-0.499984740745262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entury Gothic"/>
      <family val="2"/>
    </font>
    <font>
      <sz val="14"/>
      <color rgb="FF000000"/>
      <name val="Century Gothic"/>
      <family val="2"/>
    </font>
    <font>
      <b/>
      <sz val="12"/>
      <name val="Century Gothic"/>
      <family val="2"/>
    </font>
    <font>
      <b/>
      <sz val="12"/>
      <color rgb="FF000000"/>
      <name val="Century Gothic"/>
      <family val="2"/>
    </font>
    <font>
      <b/>
      <sz val="12"/>
      <color rgb="FF0070C0"/>
      <name val="Century Gothic"/>
      <family val="2"/>
    </font>
    <font>
      <sz val="14"/>
      <color rgb="FF0070C0"/>
      <name val="Century Gothic"/>
      <family val="2"/>
    </font>
    <font>
      <sz val="12"/>
      <color rgb="FF0070C0"/>
      <name val="Century Gothic"/>
      <family val="2"/>
    </font>
    <font>
      <sz val="12"/>
      <color rgb="FF000000"/>
      <name val="Century Gothic"/>
      <family val="2"/>
    </font>
    <font>
      <sz val="14"/>
      <name val="Calibri"/>
      <family val="2"/>
      <scheme val="minor"/>
    </font>
    <font>
      <sz val="12"/>
      <color theme="0"/>
      <name val="Calibri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1" tint="0.34998626667073579"/>
        <bgColor rgb="FFFFFFFF"/>
      </patternFill>
    </fill>
    <fill>
      <patternFill patternType="solid">
        <fgColor theme="1" tint="0.499984740745262"/>
        <bgColor rgb="FFA8D08D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14996795556505021"/>
        <bgColor rgb="FFFFFF00"/>
      </patternFill>
    </fill>
    <fill>
      <patternFill patternType="solid">
        <fgColor theme="0" tint="-0.14993743705557422"/>
        <bgColor rgb="FFFFFF00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7">
    <xf numFmtId="0" fontId="0" fillId="0" borderId="0"/>
    <xf numFmtId="9" fontId="67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29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9" fontId="2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401">
    <xf numFmtId="0" fontId="0" fillId="0" borderId="0" xfId="0"/>
    <xf numFmtId="0" fontId="67" fillId="0" borderId="0" xfId="11" applyAlignment="1">
      <alignment vertical="center"/>
    </xf>
    <xf numFmtId="0" fontId="1" fillId="0" borderId="0" xfId="8" applyFont="1">
      <alignment vertical="center"/>
    </xf>
    <xf numFmtId="0" fontId="2" fillId="0" borderId="0" xfId="8" applyFont="1">
      <alignment vertical="center"/>
    </xf>
    <xf numFmtId="0" fontId="3" fillId="0" borderId="0" xfId="8" applyFont="1">
      <alignment vertical="center"/>
    </xf>
    <xf numFmtId="0" fontId="4" fillId="0" borderId="0" xfId="11" applyFont="1" applyAlignment="1">
      <alignment vertical="center"/>
    </xf>
    <xf numFmtId="0" fontId="2" fillId="0" borderId="0" xfId="11" applyFont="1" applyAlignment="1">
      <alignment vertical="center"/>
    </xf>
    <xf numFmtId="0" fontId="5" fillId="0" borderId="0" xfId="11" applyFont="1" applyAlignment="1">
      <alignment vertical="center"/>
    </xf>
    <xf numFmtId="0" fontId="67" fillId="0" borderId="0" xfId="11"/>
    <xf numFmtId="165" fontId="67" fillId="0" borderId="0" xfId="11" applyNumberFormat="1" applyAlignment="1">
      <alignment vertical="center"/>
    </xf>
    <xf numFmtId="0" fontId="6" fillId="2" borderId="0" xfId="8" applyFont="1" applyFill="1" applyAlignment="1">
      <alignment horizontal="left" vertical="center"/>
    </xf>
    <xf numFmtId="0" fontId="6" fillId="2" borderId="0" xfId="8" applyFont="1" applyFill="1" applyAlignment="1">
      <alignment horizontal="centerContinuous" vertical="center"/>
    </xf>
    <xf numFmtId="0" fontId="6" fillId="2" borderId="0" xfId="2" applyFont="1" applyFill="1" applyAlignment="1">
      <alignment vertical="center"/>
    </xf>
    <xf numFmtId="0" fontId="7" fillId="2" borderId="0" xfId="8" applyFont="1" applyFill="1" applyAlignment="1">
      <alignment horizontal="centerContinuous" vertical="center"/>
    </xf>
    <xf numFmtId="0" fontId="8" fillId="2" borderId="0" xfId="2" applyFont="1" applyFill="1" applyAlignment="1">
      <alignment horizontal="centerContinuous" vertical="center"/>
    </xf>
    <xf numFmtId="0" fontId="9" fillId="2" borderId="0" xfId="2" applyFill="1" applyAlignment="1">
      <alignment horizontal="centerContinuous" vertical="center"/>
    </xf>
    <xf numFmtId="0" fontId="10" fillId="3" borderId="0" xfId="10" applyFont="1" applyFill="1" applyAlignment="1">
      <alignment horizontal="left" vertical="center" indent="1"/>
    </xf>
    <xf numFmtId="0" fontId="10" fillId="3" borderId="0" xfId="10" applyFont="1" applyFill="1" applyAlignment="1">
      <alignment vertical="center"/>
    </xf>
    <xf numFmtId="3" fontId="10" fillId="3" borderId="0" xfId="10" applyNumberFormat="1" applyFont="1" applyFill="1" applyAlignment="1">
      <alignment horizontal="left" vertical="center" wrapText="1"/>
    </xf>
    <xf numFmtId="0" fontId="10" fillId="3" borderId="0" xfId="10" applyFont="1" applyFill="1" applyAlignment="1">
      <alignment horizontal="right" vertical="center" indent="1"/>
    </xf>
    <xf numFmtId="3" fontId="10" fillId="3" borderId="0" xfId="10" applyNumberFormat="1" applyFont="1" applyFill="1" applyAlignment="1">
      <alignment vertical="center"/>
    </xf>
    <xf numFmtId="0" fontId="10" fillId="3" borderId="0" xfId="10" applyFont="1" applyFill="1" applyAlignment="1">
      <alignment vertical="center" wrapText="1"/>
    </xf>
    <xf numFmtId="4" fontId="10" fillId="3" borderId="0" xfId="10" applyNumberFormat="1" applyFont="1" applyFill="1" applyAlignment="1">
      <alignment horizontal="left" vertical="center" wrapText="1"/>
    </xf>
    <xf numFmtId="3" fontId="10" fillId="3" borderId="0" xfId="10" applyNumberFormat="1" applyFont="1" applyFill="1" applyAlignment="1">
      <alignment horizontal="center" vertical="center" wrapText="1"/>
    </xf>
    <xf numFmtId="166" fontId="11" fillId="3" borderId="0" xfId="2" applyNumberFormat="1" applyFont="1" applyFill="1" applyAlignment="1">
      <alignment vertical="center"/>
    </xf>
    <xf numFmtId="0" fontId="10" fillId="0" borderId="0" xfId="10" applyFont="1" applyAlignment="1">
      <alignment vertical="center"/>
    </xf>
    <xf numFmtId="166" fontId="11" fillId="0" borderId="0" xfId="2" applyNumberFormat="1" applyFont="1" applyFill="1" applyAlignment="1">
      <alignment vertical="center"/>
    </xf>
    <xf numFmtId="0" fontId="12" fillId="4" borderId="1" xfId="10" applyFont="1" applyFill="1" applyBorder="1" applyAlignment="1">
      <alignment horizontal="centerContinuous" vertical="center" wrapText="1"/>
    </xf>
    <xf numFmtId="0" fontId="12" fillId="4" borderId="2" xfId="10" applyFont="1" applyFill="1" applyBorder="1" applyAlignment="1">
      <alignment vertical="center"/>
    </xf>
    <xf numFmtId="0" fontId="12" fillId="4" borderId="3" xfId="10" applyFont="1" applyFill="1" applyBorder="1" applyAlignment="1">
      <alignment vertical="center"/>
    </xf>
    <xf numFmtId="0" fontId="12" fillId="4" borderId="4" xfId="10" applyFont="1" applyFill="1" applyBorder="1" applyAlignment="1">
      <alignment horizontal="center" vertical="center" wrapText="1"/>
    </xf>
    <xf numFmtId="0" fontId="12" fillId="4" borderId="4" xfId="10" applyFont="1" applyFill="1" applyBorder="1" applyAlignment="1">
      <alignment horizontal="centerContinuous" vertical="center"/>
    </xf>
    <xf numFmtId="0" fontId="12" fillId="4" borderId="5" xfId="10" applyFont="1" applyFill="1" applyBorder="1" applyAlignment="1">
      <alignment horizontal="center" vertical="center" wrapText="1"/>
    </xf>
    <xf numFmtId="0" fontId="2" fillId="0" borderId="6" xfId="11" applyFont="1" applyBorder="1" applyAlignment="1">
      <alignment horizontal="center" vertical="center"/>
    </xf>
    <xf numFmtId="0" fontId="13" fillId="0" borderId="7" xfId="11" applyFont="1" applyBorder="1" applyAlignment="1">
      <alignment vertical="center"/>
    </xf>
    <xf numFmtId="0" fontId="67" fillId="0" borderId="8" xfId="11" applyBorder="1" applyAlignment="1">
      <alignment vertical="center"/>
    </xf>
    <xf numFmtId="165" fontId="13" fillId="0" borderId="9" xfId="5" applyNumberFormat="1" applyFont="1" applyBorder="1" applyAlignment="1">
      <alignment vertical="center"/>
    </xf>
    <xf numFmtId="9" fontId="13" fillId="0" borderId="9" xfId="1" applyFont="1" applyBorder="1" applyAlignment="1">
      <alignment horizontal="center" vertical="center"/>
    </xf>
    <xf numFmtId="0" fontId="67" fillId="0" borderId="6" xfId="11" applyBorder="1" applyAlignment="1">
      <alignment horizontal="center" vertical="center"/>
    </xf>
    <xf numFmtId="0" fontId="5" fillId="0" borderId="7" xfId="11" applyFont="1" applyBorder="1" applyAlignment="1">
      <alignment vertical="center"/>
    </xf>
    <xf numFmtId="0" fontId="5" fillId="0" borderId="8" xfId="11" applyFont="1" applyBorder="1" applyAlignment="1">
      <alignment vertical="center"/>
    </xf>
    <xf numFmtId="165" fontId="5" fillId="0" borderId="9" xfId="5" applyNumberFormat="1" applyFont="1" applyBorder="1" applyAlignment="1">
      <alignment vertical="center"/>
    </xf>
    <xf numFmtId="9" fontId="5" fillId="0" borderId="10" xfId="14" applyFont="1" applyBorder="1" applyAlignment="1">
      <alignment horizontal="center" vertical="center"/>
    </xf>
    <xf numFmtId="9" fontId="13" fillId="0" borderId="10" xfId="14" applyFont="1" applyBorder="1" applyAlignment="1">
      <alignment horizontal="center" vertical="center"/>
    </xf>
    <xf numFmtId="0" fontId="2" fillId="0" borderId="6" xfId="11" applyFont="1" applyBorder="1" applyAlignment="1">
      <alignment vertical="center"/>
    </xf>
    <xf numFmtId="0" fontId="13" fillId="0" borderId="8" xfId="11" applyFont="1" applyBorder="1" applyAlignment="1">
      <alignment vertical="center"/>
    </xf>
    <xf numFmtId="0" fontId="2" fillId="0" borderId="8" xfId="11" applyFont="1" applyBorder="1" applyAlignment="1">
      <alignment vertical="center"/>
    </xf>
    <xf numFmtId="0" fontId="67" fillId="0" borderId="6" xfId="11" applyBorder="1" applyAlignment="1">
      <alignment vertical="center"/>
    </xf>
    <xf numFmtId="0" fontId="14" fillId="0" borderId="8" xfId="11" applyFont="1" applyBorder="1" applyAlignment="1">
      <alignment vertical="center"/>
    </xf>
    <xf numFmtId="0" fontId="13" fillId="0" borderId="11" xfId="11" applyFont="1" applyBorder="1" applyAlignment="1">
      <alignment vertical="center"/>
    </xf>
    <xf numFmtId="0" fontId="13" fillId="0" borderId="12" xfId="11" applyFont="1" applyBorder="1" applyAlignment="1">
      <alignment vertical="center"/>
    </xf>
    <xf numFmtId="0" fontId="15" fillId="0" borderId="12" xfId="11" applyFont="1" applyBorder="1" applyAlignment="1">
      <alignment vertical="center"/>
    </xf>
    <xf numFmtId="0" fontId="2" fillId="0" borderId="12" xfId="11" applyFont="1" applyBorder="1" applyAlignment="1">
      <alignment vertical="center"/>
    </xf>
    <xf numFmtId="165" fontId="13" fillId="0" borderId="13" xfId="5" applyNumberFormat="1" applyFont="1" applyBorder="1" applyAlignment="1">
      <alignment vertical="center"/>
    </xf>
    <xf numFmtId="0" fontId="7" fillId="5" borderId="13" xfId="11" applyFont="1" applyFill="1" applyBorder="1" applyAlignment="1">
      <alignment vertical="center"/>
    </xf>
    <xf numFmtId="0" fontId="16" fillId="5" borderId="14" xfId="10" applyFont="1" applyFill="1" applyBorder="1" applyAlignment="1">
      <alignment vertical="center"/>
    </xf>
    <xf numFmtId="165" fontId="7" fillId="5" borderId="9" xfId="5" applyNumberFormat="1" applyFont="1" applyFill="1" applyBorder="1" applyAlignment="1">
      <alignment vertical="center"/>
    </xf>
    <xf numFmtId="9" fontId="7" fillId="5" borderId="10" xfId="14" applyFont="1" applyFill="1" applyBorder="1" applyAlignment="1">
      <alignment horizontal="center" vertical="center"/>
    </xf>
    <xf numFmtId="0" fontId="67" fillId="6" borderId="6" xfId="11" applyFill="1" applyBorder="1" applyAlignment="1">
      <alignment vertical="center"/>
    </xf>
    <xf numFmtId="0" fontId="67" fillId="6" borderId="7" xfId="11" applyFill="1" applyBorder="1" applyAlignment="1">
      <alignment vertical="center"/>
    </xf>
    <xf numFmtId="0" fontId="5" fillId="6" borderId="8" xfId="11" applyFont="1" applyFill="1" applyBorder="1" applyAlignment="1">
      <alignment vertical="center"/>
    </xf>
    <xf numFmtId="0" fontId="67" fillId="6" borderId="8" xfId="11" applyFill="1" applyBorder="1" applyAlignment="1">
      <alignment vertical="center"/>
    </xf>
    <xf numFmtId="167" fontId="5" fillId="6" borderId="14" xfId="11" applyNumberFormat="1" applyFont="1" applyFill="1" applyBorder="1" applyAlignment="1">
      <alignment vertical="center"/>
    </xf>
    <xf numFmtId="165" fontId="5" fillId="6" borderId="14" xfId="5" applyNumberFormat="1" applyFont="1" applyFill="1" applyBorder="1" applyAlignment="1">
      <alignment vertical="center"/>
    </xf>
    <xf numFmtId="165" fontId="5" fillId="6" borderId="15" xfId="5" applyNumberFormat="1" applyFont="1" applyFill="1" applyBorder="1" applyAlignment="1">
      <alignment vertical="center"/>
    </xf>
    <xf numFmtId="167" fontId="5" fillId="6" borderId="14" xfId="5" applyNumberFormat="1" applyFont="1" applyFill="1" applyBorder="1" applyAlignment="1">
      <alignment vertical="center"/>
    </xf>
    <xf numFmtId="0" fontId="16" fillId="5" borderId="14" xfId="10" applyFont="1" applyFill="1" applyBorder="1" applyAlignment="1">
      <alignment horizontal="center" vertical="center"/>
    </xf>
    <xf numFmtId="165" fontId="7" fillId="5" borderId="9" xfId="11" applyNumberFormat="1" applyFont="1" applyFill="1" applyBorder="1" applyAlignment="1">
      <alignment vertical="center"/>
    </xf>
    <xf numFmtId="165" fontId="7" fillId="5" borderId="10" xfId="11" applyNumberFormat="1" applyFont="1" applyFill="1" applyBorder="1" applyAlignment="1">
      <alignment vertical="center"/>
    </xf>
    <xf numFmtId="0" fontId="7" fillId="5" borderId="16" xfId="11" applyFont="1" applyFill="1" applyBorder="1" applyAlignment="1">
      <alignment vertical="center"/>
    </xf>
    <xf numFmtId="165" fontId="7" fillId="5" borderId="17" xfId="11" applyNumberFormat="1" applyFont="1" applyFill="1" applyBorder="1" applyAlignment="1">
      <alignment vertical="center"/>
    </xf>
    <xf numFmtId="165" fontId="7" fillId="5" borderId="17" xfId="5" applyNumberFormat="1" applyFont="1" applyFill="1" applyBorder="1" applyAlignment="1">
      <alignment vertical="center"/>
    </xf>
    <xf numFmtId="165" fontId="7" fillId="5" borderId="18" xfId="11" applyNumberFormat="1" applyFont="1" applyFill="1" applyBorder="1" applyAlignment="1">
      <alignment vertical="center"/>
    </xf>
    <xf numFmtId="0" fontId="7" fillId="0" borderId="0" xfId="11" applyFont="1" applyAlignment="1">
      <alignment vertical="center"/>
    </xf>
    <xf numFmtId="0" fontId="16" fillId="0" borderId="0" xfId="10" applyFont="1" applyAlignment="1">
      <alignment horizontal="center" vertical="center"/>
    </xf>
    <xf numFmtId="43" fontId="17" fillId="0" borderId="0" xfId="11" applyNumberFormat="1" applyFont="1" applyAlignment="1">
      <alignment vertical="center"/>
    </xf>
    <xf numFmtId="165" fontId="17" fillId="0" borderId="0" xfId="11" applyNumberFormat="1" applyFont="1" applyAlignment="1">
      <alignment vertical="center"/>
    </xf>
    <xf numFmtId="165" fontId="7" fillId="0" borderId="0" xfId="11" applyNumberFormat="1" applyFont="1" applyAlignment="1">
      <alignment vertical="center"/>
    </xf>
    <xf numFmtId="165" fontId="7" fillId="0" borderId="0" xfId="5" applyNumberFormat="1" applyFont="1" applyFill="1" applyBorder="1" applyAlignment="1">
      <alignment vertical="center"/>
    </xf>
    <xf numFmtId="164" fontId="67" fillId="0" borderId="0" xfId="11" applyNumberFormat="1" applyAlignment="1">
      <alignment vertical="center"/>
    </xf>
    <xf numFmtId="43" fontId="18" fillId="0" borderId="0" xfId="11" applyNumberFormat="1" applyFont="1" applyAlignment="1">
      <alignment vertical="center"/>
    </xf>
    <xf numFmtId="0" fontId="19" fillId="0" borderId="0" xfId="0" applyFont="1" applyAlignment="1" applyProtection="1">
      <alignment horizontal="left" vertical="center"/>
      <protection locked="0"/>
    </xf>
    <xf numFmtId="166" fontId="19" fillId="0" borderId="0" xfId="0" applyNumberFormat="1" applyFont="1" applyAlignment="1" applyProtection="1">
      <alignment vertical="center"/>
      <protection locked="0"/>
    </xf>
    <xf numFmtId="9" fontId="67" fillId="0" borderId="0" xfId="11" applyNumberFormat="1"/>
    <xf numFmtId="43" fontId="0" fillId="0" borderId="0" xfId="5" applyFont="1"/>
    <xf numFmtId="43" fontId="0" fillId="0" borderId="0" xfId="5" applyFont="1" applyAlignment="1">
      <alignment vertical="center"/>
    </xf>
    <xf numFmtId="43" fontId="67" fillId="0" borderId="0" xfId="11" applyNumberFormat="1"/>
    <xf numFmtId="166" fontId="20" fillId="0" borderId="0" xfId="0" applyNumberFormat="1" applyFont="1" applyAlignment="1" applyProtection="1">
      <alignment vertical="center"/>
      <protection locked="0"/>
    </xf>
    <xf numFmtId="166" fontId="21" fillId="0" borderId="0" xfId="0" applyNumberFormat="1" applyFont="1" applyAlignment="1" applyProtection="1">
      <alignment vertical="center"/>
      <protection locked="0"/>
    </xf>
    <xf numFmtId="0" fontId="67" fillId="0" borderId="0" xfId="9" applyAlignment="1">
      <alignment vertical="center"/>
    </xf>
    <xf numFmtId="0" fontId="1" fillId="0" borderId="0" xfId="7" applyFont="1">
      <alignment vertical="center"/>
    </xf>
    <xf numFmtId="0" fontId="2" fillId="0" borderId="0" xfId="7" applyFont="1">
      <alignment vertical="center"/>
    </xf>
    <xf numFmtId="0" fontId="22" fillId="0" borderId="0" xfId="7" applyFont="1" applyProtection="1">
      <alignment vertical="center"/>
      <protection locked="0"/>
    </xf>
    <xf numFmtId="0" fontId="23" fillId="0" borderId="0" xfId="6" applyFont="1"/>
    <xf numFmtId="0" fontId="16" fillId="0" borderId="0" xfId="6" applyFont="1"/>
    <xf numFmtId="0" fontId="24" fillId="0" borderId="0" xfId="6" applyFont="1"/>
    <xf numFmtId="0" fontId="25" fillId="0" borderId="0" xfId="15" applyFont="1" applyAlignment="1" applyProtection="1">
      <protection locked="0"/>
    </xf>
    <xf numFmtId="0" fontId="26" fillId="0" borderId="0" xfId="6" applyFont="1" applyProtection="1">
      <protection locked="0"/>
    </xf>
    <xf numFmtId="0" fontId="27" fillId="0" borderId="0" xfId="6" applyFont="1" applyProtection="1">
      <protection locked="0"/>
    </xf>
    <xf numFmtId="0" fontId="27" fillId="0" borderId="0" xfId="6" applyFont="1" applyAlignment="1" applyProtection="1">
      <alignment horizontal="left"/>
      <protection locked="0"/>
    </xf>
    <xf numFmtId="0" fontId="28" fillId="0" borderId="0" xfId="6" applyFont="1" applyAlignment="1" applyProtection="1">
      <alignment horizontal="left"/>
      <protection locked="0"/>
    </xf>
    <xf numFmtId="0" fontId="28" fillId="0" borderId="0" xfId="6" applyFont="1" applyProtection="1">
      <protection locked="0"/>
    </xf>
    <xf numFmtId="166" fontId="27" fillId="0" borderId="0" xfId="4" applyNumberFormat="1" applyFont="1" applyAlignment="1" applyProtection="1">
      <alignment horizontal="center"/>
      <protection locked="0"/>
    </xf>
    <xf numFmtId="0" fontId="29" fillId="0" borderId="0" xfId="2" applyFont="1" applyAlignment="1" applyProtection="1">
      <alignment horizontal="center"/>
      <protection locked="0"/>
    </xf>
    <xf numFmtId="166" fontId="27" fillId="0" borderId="0" xfId="4" applyNumberFormat="1" applyFont="1" applyAlignment="1" applyProtection="1">
      <protection locked="0"/>
    </xf>
    <xf numFmtId="166" fontId="29" fillId="0" borderId="0" xfId="2" applyNumberFormat="1" applyFont="1" applyAlignment="1" applyProtection="1">
      <protection locked="0"/>
    </xf>
    <xf numFmtId="166" fontId="27" fillId="0" borderId="0" xfId="4" applyNumberFormat="1" applyFont="1" applyProtection="1">
      <protection locked="0"/>
    </xf>
    <xf numFmtId="166" fontId="19" fillId="0" borderId="0" xfId="4" applyNumberFormat="1" applyFont="1" applyAlignment="1" applyProtection="1">
      <alignment horizontal="right"/>
      <protection locked="0"/>
    </xf>
    <xf numFmtId="167" fontId="27" fillId="0" borderId="0" xfId="6" applyNumberFormat="1" applyFont="1" applyAlignment="1" applyProtection="1">
      <alignment horizontal="right"/>
      <protection locked="0"/>
    </xf>
    <xf numFmtId="166" fontId="29" fillId="0" borderId="0" xfId="2" applyNumberFormat="1" applyFont="1" applyProtection="1">
      <protection locked="0"/>
    </xf>
    <xf numFmtId="0" fontId="30" fillId="0" borderId="0" xfId="6" applyFont="1" applyProtection="1">
      <protection locked="0"/>
    </xf>
    <xf numFmtId="0" fontId="31" fillId="0" borderId="0" xfId="6" applyFont="1" applyProtection="1">
      <protection locked="0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/>
    </xf>
    <xf numFmtId="0" fontId="33" fillId="0" borderId="0" xfId="9" applyFont="1" applyAlignment="1">
      <alignment horizontal="left" vertical="center"/>
    </xf>
    <xf numFmtId="0" fontId="33" fillId="0" borderId="0" xfId="9" applyFont="1" applyAlignment="1">
      <alignment vertical="center"/>
    </xf>
    <xf numFmtId="166" fontId="32" fillId="0" borderId="0" xfId="9" applyNumberFormat="1" applyFont="1" applyAlignment="1">
      <alignment horizontal="left"/>
    </xf>
    <xf numFmtId="0" fontId="29" fillId="0" borderId="0" xfId="2" applyFont="1" applyAlignment="1" applyProtection="1">
      <alignment vertical="center"/>
    </xf>
    <xf numFmtId="168" fontId="32" fillId="0" borderId="0" xfId="4" applyNumberFormat="1" applyFont="1" applyAlignment="1" applyProtection="1">
      <alignment vertical="center"/>
    </xf>
    <xf numFmtId="166" fontId="29" fillId="0" borderId="0" xfId="2" applyNumberFormat="1" applyFont="1" applyAlignment="1" applyProtection="1">
      <alignment vertical="center"/>
    </xf>
    <xf numFmtId="166" fontId="32" fillId="0" borderId="0" xfId="4" applyNumberFormat="1" applyFont="1" applyAlignment="1" applyProtection="1">
      <alignment vertical="center"/>
    </xf>
    <xf numFmtId="166" fontId="32" fillId="0" borderId="0" xfId="4" applyNumberFormat="1" applyFont="1" applyAlignment="1" applyProtection="1">
      <alignment horizontal="center" vertical="center"/>
    </xf>
    <xf numFmtId="0" fontId="34" fillId="0" borderId="0" xfId="9" applyFont="1" applyAlignment="1">
      <alignment vertical="center"/>
    </xf>
    <xf numFmtId="166" fontId="32" fillId="0" borderId="0" xfId="9" applyNumberFormat="1" applyFont="1" applyAlignment="1">
      <alignment vertical="center"/>
    </xf>
    <xf numFmtId="0" fontId="6" fillId="2" borderId="0" xfId="7" applyFont="1" applyFill="1" applyAlignment="1">
      <alignment horizontal="left" vertical="center"/>
    </xf>
    <xf numFmtId="0" fontId="35" fillId="2" borderId="0" xfId="7" applyFont="1" applyFill="1" applyAlignment="1">
      <alignment horizontal="left" vertical="center"/>
    </xf>
    <xf numFmtId="0" fontId="36" fillId="0" borderId="0" xfId="9" applyFont="1" applyAlignment="1" applyProtection="1">
      <alignment vertical="center"/>
      <protection locked="0"/>
    </xf>
    <xf numFmtId="0" fontId="6" fillId="2" borderId="0" xfId="7" applyFont="1" applyFill="1" applyAlignment="1">
      <alignment horizontal="centerContinuous" vertical="center"/>
    </xf>
    <xf numFmtId="0" fontId="37" fillId="2" borderId="0" xfId="2" applyFont="1" applyFill="1" applyBorder="1" applyAlignment="1" applyProtection="1">
      <alignment horizontal="centerContinuous" vertical="center"/>
    </xf>
    <xf numFmtId="0" fontId="6" fillId="2" borderId="0" xfId="7" applyFont="1" applyFill="1" applyAlignment="1">
      <alignment horizontal="right" vertical="center"/>
    </xf>
    <xf numFmtId="0" fontId="38" fillId="0" borderId="0" xfId="7" applyFont="1">
      <alignment vertical="center"/>
    </xf>
    <xf numFmtId="0" fontId="39" fillId="0" borderId="0" xfId="7" applyFont="1">
      <alignment vertical="center"/>
    </xf>
    <xf numFmtId="0" fontId="7" fillId="2" borderId="0" xfId="7" applyFont="1" applyFill="1" applyAlignment="1">
      <alignment horizontal="centerContinuous" vertical="center"/>
    </xf>
    <xf numFmtId="0" fontId="7" fillId="2" borderId="0" xfId="7" applyFont="1" applyFill="1" applyAlignment="1">
      <alignment horizontal="left" vertical="center"/>
    </xf>
    <xf numFmtId="0" fontId="40" fillId="2" borderId="0" xfId="7" applyFont="1" applyFill="1" applyAlignment="1">
      <alignment horizontal="left" vertical="center"/>
    </xf>
    <xf numFmtId="0" fontId="40" fillId="2" borderId="0" xfId="7" applyFont="1" applyFill="1">
      <alignment vertical="center"/>
    </xf>
    <xf numFmtId="0" fontId="9" fillId="2" borderId="0" xfId="2" applyFill="1" applyBorder="1" applyAlignment="1" applyProtection="1">
      <alignment horizontal="centerContinuous" vertical="center"/>
    </xf>
    <xf numFmtId="0" fontId="7" fillId="2" borderId="0" xfId="7" applyFont="1" applyFill="1" applyAlignment="1">
      <alignment horizontal="right" vertical="center"/>
    </xf>
    <xf numFmtId="0" fontId="41" fillId="0" borderId="0" xfId="7" applyFont="1">
      <alignment vertical="center"/>
    </xf>
    <xf numFmtId="0" fontId="33" fillId="0" borderId="0" xfId="7" applyFont="1">
      <alignment vertical="center"/>
    </xf>
    <xf numFmtId="0" fontId="36" fillId="7" borderId="0" xfId="9" applyFont="1" applyFill="1" applyAlignment="1">
      <alignment horizontal="left" vertical="center" indent="1"/>
    </xf>
    <xf numFmtId="0" fontId="36" fillId="7" borderId="0" xfId="9" applyFont="1" applyFill="1" applyAlignment="1" applyProtection="1">
      <alignment horizontal="left" vertical="center"/>
      <protection locked="0"/>
    </xf>
    <xf numFmtId="0" fontId="36" fillId="7" borderId="0" xfId="9" applyFont="1" applyFill="1" applyAlignment="1" applyProtection="1">
      <alignment vertical="center"/>
      <protection locked="0"/>
    </xf>
    <xf numFmtId="166" fontId="36" fillId="7" borderId="0" xfId="4" applyNumberFormat="1" applyFont="1" applyFill="1" applyAlignment="1" applyProtection="1">
      <alignment horizontal="right" vertical="center"/>
    </xf>
    <xf numFmtId="3" fontId="36" fillId="7" borderId="0" xfId="9" applyNumberFormat="1" applyFont="1" applyFill="1" applyAlignment="1" applyProtection="1">
      <alignment vertical="center"/>
      <protection locked="0"/>
    </xf>
    <xf numFmtId="3" fontId="36" fillId="7" borderId="0" xfId="9" applyNumberFormat="1" applyFont="1" applyFill="1" applyAlignment="1">
      <alignment vertical="center"/>
    </xf>
    <xf numFmtId="166" fontId="25" fillId="7" borderId="0" xfId="2" applyNumberFormat="1" applyFont="1" applyFill="1" applyAlignment="1" applyProtection="1">
      <alignment vertical="center"/>
      <protection locked="0"/>
    </xf>
    <xf numFmtId="166" fontId="36" fillId="7" borderId="0" xfId="4" applyNumberFormat="1" applyFont="1" applyFill="1" applyAlignment="1" applyProtection="1">
      <alignment vertical="center"/>
      <protection locked="0"/>
    </xf>
    <xf numFmtId="166" fontId="25" fillId="7" borderId="0" xfId="2" applyNumberFormat="1" applyFont="1" applyFill="1" applyAlignment="1" applyProtection="1">
      <alignment horizontal="left" vertical="center"/>
    </xf>
    <xf numFmtId="166" fontId="42" fillId="7" borderId="0" xfId="4" applyNumberFormat="1" applyFont="1" applyFill="1" applyAlignment="1" applyProtection="1">
      <alignment horizontal="right" vertical="center"/>
      <protection locked="0"/>
    </xf>
    <xf numFmtId="167" fontId="36" fillId="7" borderId="0" xfId="9" applyNumberFormat="1" applyFont="1" applyFill="1" applyAlignment="1" applyProtection="1">
      <alignment vertical="center"/>
      <protection locked="0"/>
    </xf>
    <xf numFmtId="166" fontId="36" fillId="7" borderId="0" xfId="4" applyNumberFormat="1" applyFont="1" applyFill="1" applyAlignment="1" applyProtection="1">
      <alignment horizontal="center" vertical="center"/>
      <protection locked="0"/>
    </xf>
    <xf numFmtId="0" fontId="43" fillId="0" borderId="0" xfId="7" applyFont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0" fontId="36" fillId="7" borderId="0" xfId="9" applyFont="1" applyFill="1" applyAlignment="1" applyProtection="1">
      <alignment horizontal="left" vertical="center" wrapText="1"/>
      <protection locked="0"/>
    </xf>
    <xf numFmtId="0" fontId="36" fillId="7" borderId="0" xfId="9" applyFont="1" applyFill="1" applyAlignment="1" applyProtection="1">
      <alignment vertical="center" wrapText="1"/>
      <protection locked="0"/>
    </xf>
    <xf numFmtId="166" fontId="36" fillId="7" borderId="0" xfId="4" applyNumberFormat="1" applyFont="1" applyFill="1" applyAlignment="1" applyProtection="1">
      <alignment vertical="center" wrapText="1"/>
    </xf>
    <xf numFmtId="166" fontId="25" fillId="7" borderId="0" xfId="2" applyNumberFormat="1" applyFont="1" applyFill="1" applyAlignment="1" applyProtection="1">
      <alignment vertical="center" wrapText="1"/>
      <protection locked="0"/>
    </xf>
    <xf numFmtId="166" fontId="36" fillId="7" borderId="0" xfId="4" applyNumberFormat="1" applyFont="1" applyFill="1" applyAlignment="1" applyProtection="1">
      <alignment vertical="center" wrapText="1"/>
      <protection locked="0"/>
    </xf>
    <xf numFmtId="167" fontId="36" fillId="7" borderId="0" xfId="9" applyNumberFormat="1" applyFont="1" applyFill="1" applyAlignment="1" applyProtection="1">
      <alignment vertical="center" wrapText="1"/>
      <protection locked="0"/>
    </xf>
    <xf numFmtId="166" fontId="36" fillId="7" borderId="0" xfId="4" applyNumberFormat="1" applyFont="1" applyFill="1" applyAlignment="1" applyProtection="1">
      <alignment horizontal="center" vertical="center" wrapText="1"/>
      <protection locked="0"/>
    </xf>
    <xf numFmtId="166" fontId="36" fillId="7" borderId="0" xfId="4" applyNumberFormat="1" applyFont="1" applyFill="1" applyAlignment="1" applyProtection="1">
      <alignment vertical="center"/>
    </xf>
    <xf numFmtId="0" fontId="36" fillId="7" borderId="0" xfId="9" applyFont="1" applyFill="1" applyAlignment="1" applyProtection="1">
      <alignment horizontal="left" vertical="center" indent="1"/>
      <protection locked="0"/>
    </xf>
    <xf numFmtId="166" fontId="36" fillId="7" borderId="0" xfId="9" applyNumberFormat="1" applyFont="1" applyFill="1" applyAlignment="1" applyProtection="1">
      <alignment horizontal="right" vertical="center"/>
      <protection locked="0"/>
    </xf>
    <xf numFmtId="0" fontId="25" fillId="7" borderId="0" xfId="2" applyFont="1" applyFill="1" applyAlignment="1" applyProtection="1">
      <alignment vertical="center"/>
      <protection locked="0"/>
    </xf>
    <xf numFmtId="166" fontId="25" fillId="7" borderId="0" xfId="2" applyNumberFormat="1" applyFont="1" applyFill="1" applyAlignment="1" applyProtection="1">
      <alignment horizontal="left" vertical="center"/>
      <protection locked="0"/>
    </xf>
    <xf numFmtId="166" fontId="36" fillId="7" borderId="0" xfId="9" applyNumberFormat="1" applyFont="1" applyFill="1" applyAlignment="1" applyProtection="1">
      <alignment vertical="center"/>
      <protection locked="0"/>
    </xf>
    <xf numFmtId="9" fontId="36" fillId="7" borderId="0" xfId="1" applyFont="1" applyFill="1" applyAlignment="1" applyProtection="1">
      <alignment horizontal="center" vertical="center"/>
      <protection locked="0"/>
    </xf>
    <xf numFmtId="0" fontId="23" fillId="0" borderId="0" xfId="9" applyFont="1" applyAlignment="1">
      <alignment vertical="center" wrapText="1"/>
    </xf>
    <xf numFmtId="0" fontId="23" fillId="0" borderId="0" xfId="9" applyFont="1" applyAlignment="1">
      <alignment horizontal="left" vertical="center"/>
    </xf>
    <xf numFmtId="0" fontId="23" fillId="0" borderId="0" xfId="9" applyFont="1" applyAlignment="1">
      <alignment vertical="center"/>
    </xf>
    <xf numFmtId="0" fontId="23" fillId="0" borderId="0" xfId="6" applyFont="1" applyAlignment="1">
      <alignment horizontal="center" vertical="center"/>
    </xf>
    <xf numFmtId="0" fontId="23" fillId="0" borderId="0" xfId="6" applyFont="1" applyAlignment="1">
      <alignment horizontal="right" vertical="center"/>
    </xf>
    <xf numFmtId="0" fontId="44" fillId="0" borderId="0" xfId="6" applyFont="1"/>
    <xf numFmtId="0" fontId="16" fillId="4" borderId="19" xfId="9" applyFont="1" applyFill="1" applyBorder="1" applyAlignment="1">
      <alignment horizontal="centerContinuous" vertical="center" wrapText="1"/>
    </xf>
    <xf numFmtId="0" fontId="16" fillId="4" borderId="3" xfId="9" applyFont="1" applyFill="1" applyBorder="1" applyAlignment="1">
      <alignment horizontal="left" vertical="center"/>
    </xf>
    <xf numFmtId="0" fontId="16" fillId="4" borderId="3" xfId="9" applyFont="1" applyFill="1" applyBorder="1" applyAlignment="1">
      <alignment horizontal="centerContinuous" vertical="center"/>
    </xf>
    <xf numFmtId="0" fontId="16" fillId="4" borderId="20" xfId="9" applyFont="1" applyFill="1" applyBorder="1" applyAlignment="1">
      <alignment horizontal="center" vertical="center"/>
    </xf>
    <xf numFmtId="0" fontId="16" fillId="4" borderId="4" xfId="2" applyFont="1" applyFill="1" applyBorder="1" applyAlignment="1" applyProtection="1">
      <alignment horizontal="center" vertical="center" wrapText="1"/>
    </xf>
    <xf numFmtId="166" fontId="16" fillId="4" borderId="4" xfId="4" applyNumberFormat="1" applyFont="1" applyFill="1" applyBorder="1" applyAlignment="1" applyProtection="1">
      <alignment horizontal="center" vertical="center" wrapText="1"/>
    </xf>
    <xf numFmtId="166" fontId="16" fillId="4" borderId="4" xfId="2" applyNumberFormat="1" applyFont="1" applyFill="1" applyBorder="1" applyAlignment="1" applyProtection="1">
      <alignment horizontal="center" vertical="center" wrapText="1"/>
    </xf>
    <xf numFmtId="167" fontId="16" fillId="4" borderId="4" xfId="9" applyNumberFormat="1" applyFont="1" applyFill="1" applyBorder="1" applyAlignment="1">
      <alignment horizontal="center" vertical="center" wrapText="1"/>
    </xf>
    <xf numFmtId="166" fontId="16" fillId="4" borderId="5" xfId="4" applyNumberFormat="1" applyFont="1" applyFill="1" applyBorder="1" applyAlignment="1" applyProtection="1">
      <alignment horizontal="center" vertical="center" wrapText="1"/>
    </xf>
    <xf numFmtId="0" fontId="45" fillId="0" borderId="0" xfId="6" applyFont="1"/>
    <xf numFmtId="0" fontId="46" fillId="0" borderId="0" xfId="6" applyFont="1"/>
    <xf numFmtId="0" fontId="24" fillId="9" borderId="21" xfId="9" applyFont="1" applyFill="1" applyBorder="1" applyAlignment="1">
      <alignment horizontal="center" vertical="center"/>
    </xf>
    <xf numFmtId="0" fontId="24" fillId="9" borderId="22" xfId="9" applyFont="1" applyFill="1" applyBorder="1" applyAlignment="1">
      <alignment horizontal="left" vertical="center"/>
    </xf>
    <xf numFmtId="0" fontId="24" fillId="9" borderId="8" xfId="9" applyFont="1" applyFill="1" applyBorder="1" applyAlignment="1">
      <alignment horizontal="left" vertical="center"/>
    </xf>
    <xf numFmtId="0" fontId="24" fillId="9" borderId="8" xfId="9" applyFont="1" applyFill="1" applyBorder="1" applyAlignment="1">
      <alignment horizontal="center" vertical="center"/>
    </xf>
    <xf numFmtId="0" fontId="24" fillId="9" borderId="15" xfId="9" applyFont="1" applyFill="1" applyBorder="1" applyAlignment="1" applyProtection="1">
      <alignment horizontal="center" vertical="center"/>
      <protection locked="0"/>
    </xf>
    <xf numFmtId="164" fontId="24" fillId="9" borderId="9" xfId="2" applyNumberFormat="1" applyFont="1" applyFill="1" applyBorder="1" applyAlignment="1" applyProtection="1">
      <alignment horizontal="center" vertical="center"/>
    </xf>
    <xf numFmtId="166" fontId="24" fillId="9" borderId="9" xfId="4" applyNumberFormat="1" applyFont="1" applyFill="1" applyBorder="1" applyAlignment="1" applyProtection="1">
      <alignment horizontal="center" vertical="center"/>
    </xf>
    <xf numFmtId="166" fontId="24" fillId="9" borderId="9" xfId="2" applyNumberFormat="1" applyFont="1" applyFill="1" applyBorder="1" applyAlignment="1" applyProtection="1">
      <alignment horizontal="center" vertical="center"/>
    </xf>
    <xf numFmtId="165" fontId="24" fillId="9" borderId="9" xfId="4" applyNumberFormat="1" applyFont="1" applyFill="1" applyBorder="1" applyAlignment="1" applyProtection="1">
      <alignment horizontal="right" vertical="center"/>
    </xf>
    <xf numFmtId="9" fontId="24" fillId="9" borderId="9" xfId="12" applyFont="1" applyFill="1" applyBorder="1" applyAlignment="1" applyProtection="1">
      <alignment horizontal="right" vertical="center"/>
    </xf>
    <xf numFmtId="166" fontId="24" fillId="9" borderId="10" xfId="4" applyNumberFormat="1" applyFont="1" applyFill="1" applyBorder="1" applyAlignment="1" applyProtection="1">
      <alignment horizontal="center" vertical="center"/>
      <protection locked="0"/>
    </xf>
    <xf numFmtId="43" fontId="47" fillId="0" borderId="0" xfId="6" applyNumberFormat="1" applyFont="1"/>
    <xf numFmtId="0" fontId="20" fillId="0" borderId="0" xfId="6" applyFont="1"/>
    <xf numFmtId="0" fontId="25" fillId="10" borderId="6" xfId="15" applyFont="1" applyFill="1" applyBorder="1" applyAlignment="1" applyProtection="1">
      <alignment horizontal="center" vertical="center"/>
    </xf>
    <xf numFmtId="0" fontId="25" fillId="10" borderId="6" xfId="15" applyFont="1" applyFill="1" applyBorder="1" applyAlignment="1" applyProtection="1">
      <alignment horizontal="left" vertical="center"/>
    </xf>
    <xf numFmtId="0" fontId="25" fillId="10" borderId="8" xfId="15" applyFont="1" applyFill="1" applyBorder="1" applyAlignment="1" applyProtection="1">
      <alignment horizontal="left" vertical="center"/>
    </xf>
    <xf numFmtId="0" fontId="25" fillId="10" borderId="8" xfId="15" applyFont="1" applyFill="1" applyBorder="1" applyAlignment="1" applyProtection="1">
      <alignment vertical="center"/>
    </xf>
    <xf numFmtId="0" fontId="25" fillId="10" borderId="15" xfId="15" applyFont="1" applyFill="1" applyBorder="1" applyAlignment="1" applyProtection="1">
      <alignment vertical="center"/>
    </xf>
    <xf numFmtId="0" fontId="25" fillId="10" borderId="9" xfId="2" applyFont="1" applyFill="1" applyBorder="1" applyAlignment="1" applyProtection="1">
      <alignment horizontal="center" vertical="center"/>
    </xf>
    <xf numFmtId="166" fontId="25" fillId="10" borderId="9" xfId="4" applyNumberFormat="1" applyFont="1" applyFill="1" applyBorder="1" applyAlignment="1" applyProtection="1">
      <alignment vertical="center"/>
    </xf>
    <xf numFmtId="166" fontId="25" fillId="10" borderId="9" xfId="2" applyNumberFormat="1" applyFont="1" applyFill="1" applyBorder="1" applyAlignment="1" applyProtection="1">
      <alignment vertical="center"/>
    </xf>
    <xf numFmtId="166" fontId="25" fillId="10" borderId="9" xfId="4" applyNumberFormat="1" applyFont="1" applyFill="1" applyBorder="1" applyAlignment="1" applyProtection="1">
      <alignment horizontal="right" vertical="center"/>
    </xf>
    <xf numFmtId="167" fontId="25" fillId="10" borderId="9" xfId="6" applyNumberFormat="1" applyFont="1" applyFill="1" applyBorder="1" applyAlignment="1">
      <alignment horizontal="right" vertical="center"/>
    </xf>
    <xf numFmtId="166" fontId="25" fillId="10" borderId="9" xfId="4" applyNumberFormat="1" applyFont="1" applyFill="1" applyBorder="1" applyAlignment="1" applyProtection="1">
      <alignment horizontal="center" vertical="center"/>
    </xf>
    <xf numFmtId="166" fontId="25" fillId="10" borderId="10" xfId="4" applyNumberFormat="1" applyFont="1" applyFill="1" applyBorder="1" applyAlignment="1" applyProtection="1">
      <alignment horizontal="center" vertical="center"/>
      <protection locked="0"/>
    </xf>
    <xf numFmtId="0" fontId="48" fillId="0" borderId="0" xfId="15" applyFont="1" applyFill="1" applyAlignment="1" applyProtection="1">
      <protection locked="0"/>
    </xf>
    <xf numFmtId="0" fontId="25" fillId="0" borderId="0" xfId="15" applyFont="1" applyFill="1" applyAlignment="1" applyProtection="1">
      <protection locked="0"/>
    </xf>
    <xf numFmtId="0" fontId="44" fillId="0" borderId="0" xfId="15" applyFont="1" applyFill="1" applyAlignment="1" applyProtection="1">
      <protection locked="0"/>
    </xf>
    <xf numFmtId="0" fontId="25" fillId="11" borderId="6" xfId="15" applyFont="1" applyFill="1" applyBorder="1" applyAlignment="1" applyProtection="1">
      <alignment horizontal="center" vertical="center"/>
    </xf>
    <xf numFmtId="0" fontId="49" fillId="11" borderId="6" xfId="15" applyFont="1" applyFill="1" applyBorder="1" applyAlignment="1" applyProtection="1">
      <alignment horizontal="left" vertical="center"/>
    </xf>
    <xf numFmtId="0" fontId="25" fillId="11" borderId="8" xfId="15" applyFont="1" applyFill="1" applyBorder="1" applyAlignment="1" applyProtection="1">
      <alignment horizontal="left" vertical="center"/>
    </xf>
    <xf numFmtId="0" fontId="25" fillId="11" borderId="8" xfId="15" applyFont="1" applyFill="1" applyBorder="1" applyAlignment="1" applyProtection="1">
      <alignment vertical="center"/>
    </xf>
    <xf numFmtId="0" fontId="25" fillId="11" borderId="15" xfId="15" applyFont="1" applyFill="1" applyBorder="1" applyAlignment="1" applyProtection="1">
      <alignment vertical="center"/>
    </xf>
    <xf numFmtId="0" fontId="25" fillId="11" borderId="9" xfId="15" applyFont="1" applyFill="1" applyBorder="1" applyAlignment="1" applyProtection="1">
      <alignment horizontal="center" vertical="center"/>
    </xf>
    <xf numFmtId="166" fontId="25" fillId="11" borderId="9" xfId="15" applyNumberFormat="1" applyFont="1" applyFill="1" applyBorder="1" applyAlignment="1" applyProtection="1">
      <alignment vertical="center"/>
    </xf>
    <xf numFmtId="166" fontId="25" fillId="11" borderId="9" xfId="4" applyNumberFormat="1" applyFont="1" applyFill="1" applyBorder="1" applyAlignment="1" applyProtection="1">
      <alignment horizontal="right" vertical="center"/>
    </xf>
    <xf numFmtId="167" fontId="25" fillId="11" borderId="9" xfId="15" applyNumberFormat="1" applyFont="1" applyFill="1" applyBorder="1" applyAlignment="1" applyProtection="1">
      <alignment horizontal="right" vertical="center"/>
    </xf>
    <xf numFmtId="166" fontId="25" fillId="11" borderId="9" xfId="2" applyNumberFormat="1" applyFont="1" applyFill="1" applyBorder="1" applyAlignment="1" applyProtection="1">
      <alignment vertical="center"/>
    </xf>
    <xf numFmtId="166" fontId="25" fillId="11" borderId="9" xfId="4" applyNumberFormat="1" applyFont="1" applyFill="1" applyBorder="1" applyAlignment="1" applyProtection="1">
      <alignment horizontal="center" vertical="center"/>
    </xf>
    <xf numFmtId="166" fontId="25" fillId="11" borderId="10" xfId="15" applyNumberFormat="1" applyFont="1" applyFill="1" applyBorder="1" applyAlignment="1" applyProtection="1">
      <alignment horizontal="center" vertical="center"/>
      <protection locked="0"/>
    </xf>
    <xf numFmtId="0" fontId="50" fillId="0" borderId="0" xfId="6" applyFont="1" applyProtection="1">
      <protection locked="0"/>
    </xf>
    <xf numFmtId="0" fontId="51" fillId="0" borderId="0" xfId="6" applyFont="1" applyProtection="1">
      <protection locked="0"/>
    </xf>
    <xf numFmtId="0" fontId="52" fillId="0" borderId="0" xfId="6" applyFont="1" applyProtection="1">
      <protection locked="0"/>
    </xf>
    <xf numFmtId="0" fontId="25" fillId="6" borderId="6" xfId="6" applyFont="1" applyFill="1" applyBorder="1" applyAlignment="1">
      <alignment horizontal="center" vertical="center"/>
    </xf>
    <xf numFmtId="0" fontId="49" fillId="6" borderId="7" xfId="6" applyFont="1" applyFill="1" applyBorder="1" applyAlignment="1">
      <alignment horizontal="left" vertical="center"/>
    </xf>
    <xf numFmtId="0" fontId="25" fillId="6" borderId="8" xfId="6" applyFont="1" applyFill="1" applyBorder="1" applyAlignment="1">
      <alignment horizontal="left" vertical="center"/>
    </xf>
    <xf numFmtId="0" fontId="25" fillId="6" borderId="23" xfId="6" applyFont="1" applyFill="1" applyBorder="1" applyAlignment="1">
      <alignment horizontal="left" vertical="center"/>
    </xf>
    <xf numFmtId="0" fontId="25" fillId="6" borderId="8" xfId="6" applyFont="1" applyFill="1" applyBorder="1" applyAlignment="1">
      <alignment vertical="center"/>
    </xf>
    <xf numFmtId="0" fontId="25" fillId="6" borderId="15" xfId="6" applyFont="1" applyFill="1" applyBorder="1" applyAlignment="1">
      <alignment vertical="center"/>
    </xf>
    <xf numFmtId="0" fontId="25" fillId="6" borderId="9" xfId="2" applyFont="1" applyFill="1" applyBorder="1" applyAlignment="1" applyProtection="1">
      <alignment horizontal="center" vertical="center"/>
    </xf>
    <xf numFmtId="166" fontId="44" fillId="6" borderId="9" xfId="4" applyNumberFormat="1" applyFont="1" applyFill="1" applyBorder="1" applyAlignment="1" applyProtection="1">
      <alignment vertical="center"/>
    </xf>
    <xf numFmtId="166" fontId="25" fillId="6" borderId="9" xfId="2" applyNumberFormat="1" applyFont="1" applyFill="1" applyBorder="1" applyAlignment="1" applyProtection="1">
      <alignment vertical="center"/>
    </xf>
    <xf numFmtId="166" fontId="25" fillId="6" borderId="9" xfId="4" applyNumberFormat="1" applyFont="1" applyFill="1" applyBorder="1" applyAlignment="1" applyProtection="1">
      <alignment vertical="center"/>
    </xf>
    <xf numFmtId="166" fontId="25" fillId="6" borderId="9" xfId="4" applyNumberFormat="1" applyFont="1" applyFill="1" applyBorder="1" applyAlignment="1" applyProtection="1">
      <alignment horizontal="right" vertical="center"/>
    </xf>
    <xf numFmtId="167" fontId="25" fillId="6" borderId="9" xfId="12" applyNumberFormat="1" applyFont="1" applyFill="1" applyBorder="1" applyAlignment="1" applyProtection="1">
      <alignment horizontal="right" vertical="center"/>
    </xf>
    <xf numFmtId="166" fontId="25" fillId="6" borderId="9" xfId="4" applyNumberFormat="1" applyFont="1" applyFill="1" applyBorder="1" applyAlignment="1" applyProtection="1">
      <alignment horizontal="center" vertical="center"/>
    </xf>
    <xf numFmtId="166" fontId="25" fillId="6" borderId="10" xfId="4" applyNumberFormat="1" applyFont="1" applyFill="1" applyBorder="1" applyAlignment="1" applyProtection="1">
      <alignment horizontal="center" vertical="center"/>
      <protection locked="0"/>
    </xf>
    <xf numFmtId="0" fontId="51" fillId="0" borderId="6" xfId="6" applyFont="1" applyBorder="1" applyAlignment="1" applyProtection="1">
      <alignment horizontal="center" vertical="center"/>
      <protection locked="0"/>
    </xf>
    <xf numFmtId="0" fontId="53" fillId="0" borderId="7" xfId="6" applyFont="1" applyBorder="1" applyAlignment="1" applyProtection="1">
      <alignment horizontal="left" vertical="center"/>
      <protection locked="0"/>
    </xf>
    <xf numFmtId="0" fontId="51" fillId="0" borderId="8" xfId="6" applyFont="1" applyBorder="1" applyAlignment="1" applyProtection="1">
      <alignment horizontal="left" vertical="center"/>
      <protection locked="0"/>
    </xf>
    <xf numFmtId="0" fontId="51" fillId="0" borderId="23" xfId="6" applyFont="1" applyBorder="1" applyAlignment="1" applyProtection="1">
      <alignment horizontal="left" vertical="center"/>
      <protection locked="0"/>
    </xf>
    <xf numFmtId="0" fontId="51" fillId="0" borderId="8" xfId="6" applyFont="1" applyBorder="1" applyAlignment="1" applyProtection="1">
      <alignment vertical="center"/>
      <protection locked="0"/>
    </xf>
    <xf numFmtId="0" fontId="51" fillId="0" borderId="15" xfId="6" applyFont="1" applyBorder="1" applyAlignment="1" applyProtection="1">
      <alignment vertical="center"/>
      <protection locked="0"/>
    </xf>
    <xf numFmtId="0" fontId="51" fillId="0" borderId="9" xfId="2" applyFont="1" applyBorder="1" applyAlignment="1" applyProtection="1">
      <alignment horizontal="center" vertical="center"/>
      <protection locked="0"/>
    </xf>
    <xf numFmtId="166" fontId="52" fillId="0" borderId="9" xfId="4" applyNumberFormat="1" applyFont="1" applyBorder="1" applyAlignment="1" applyProtection="1">
      <alignment vertical="center"/>
      <protection locked="0"/>
    </xf>
    <xf numFmtId="166" fontId="51" fillId="0" borderId="9" xfId="2" applyNumberFormat="1" applyFont="1" applyFill="1" applyBorder="1" applyAlignment="1" applyProtection="1">
      <alignment vertical="center"/>
      <protection locked="0"/>
    </xf>
    <xf numFmtId="166" fontId="51" fillId="0" borderId="9" xfId="4" applyNumberFormat="1" applyFont="1" applyFill="1" applyBorder="1" applyAlignment="1" applyProtection="1">
      <alignment vertical="center"/>
      <protection locked="0"/>
    </xf>
    <xf numFmtId="166" fontId="51" fillId="0" borderId="9" xfId="4" applyNumberFormat="1" applyFont="1" applyBorder="1" applyAlignment="1" applyProtection="1">
      <alignment horizontal="right" vertical="center"/>
      <protection locked="0"/>
    </xf>
    <xf numFmtId="167" fontId="51" fillId="0" borderId="9" xfId="12" applyNumberFormat="1" applyFont="1" applyBorder="1" applyAlignment="1" applyProtection="1">
      <alignment horizontal="right" vertical="center"/>
      <protection locked="0"/>
    </xf>
    <xf numFmtId="166" fontId="51" fillId="0" borderId="9" xfId="2" applyNumberFormat="1" applyFont="1" applyBorder="1" applyAlignment="1" applyProtection="1">
      <alignment vertical="center"/>
      <protection locked="0"/>
    </xf>
    <xf numFmtId="166" fontId="51" fillId="0" borderId="9" xfId="4" applyNumberFormat="1" applyFont="1" applyBorder="1" applyAlignment="1" applyProtection="1">
      <alignment horizontal="center" vertical="center"/>
      <protection locked="0"/>
    </xf>
    <xf numFmtId="166" fontId="51" fillId="0" borderId="10" xfId="4" applyNumberFormat="1" applyFont="1" applyBorder="1" applyAlignment="1" applyProtection="1">
      <alignment horizontal="center" vertical="center"/>
      <protection locked="0"/>
    </xf>
    <xf numFmtId="0" fontId="54" fillId="6" borderId="6" xfId="6" applyFont="1" applyFill="1" applyBorder="1" applyAlignment="1">
      <alignment horizontal="center" vertical="center"/>
    </xf>
    <xf numFmtId="0" fontId="54" fillId="6" borderId="7" xfId="6" applyFont="1" applyFill="1" applyBorder="1" applyAlignment="1">
      <alignment horizontal="left" vertical="center"/>
    </xf>
    <xf numFmtId="0" fontId="54" fillId="6" borderId="8" xfId="6" applyFont="1" applyFill="1" applyBorder="1" applyAlignment="1">
      <alignment horizontal="left" vertical="center"/>
    </xf>
    <xf numFmtId="0" fontId="54" fillId="6" borderId="23" xfId="6" applyFont="1" applyFill="1" applyBorder="1" applyAlignment="1">
      <alignment horizontal="left" vertical="center"/>
    </xf>
    <xf numFmtId="0" fontId="54" fillId="6" borderId="8" xfId="6" applyFont="1" applyFill="1" applyBorder="1" applyAlignment="1">
      <alignment vertical="center"/>
    </xf>
    <xf numFmtId="0" fontId="54" fillId="6" borderId="15" xfId="6" applyFont="1" applyFill="1" applyBorder="1" applyAlignment="1">
      <alignment vertical="center"/>
    </xf>
    <xf numFmtId="0" fontId="54" fillId="6" borderId="9" xfId="2" applyFont="1" applyFill="1" applyBorder="1" applyAlignment="1" applyProtection="1">
      <alignment horizontal="center" vertical="center"/>
    </xf>
    <xf numFmtId="166" fontId="54" fillId="6" borderId="9" xfId="4" applyNumberFormat="1" applyFont="1" applyFill="1" applyBorder="1" applyAlignment="1" applyProtection="1">
      <alignment vertical="center"/>
    </xf>
    <xf numFmtId="166" fontId="54" fillId="6" borderId="9" xfId="2" applyNumberFormat="1" applyFont="1" applyFill="1" applyBorder="1" applyAlignment="1" applyProtection="1">
      <alignment vertical="center"/>
    </xf>
    <xf numFmtId="166" fontId="54" fillId="6" borderId="9" xfId="4" applyNumberFormat="1" applyFont="1" applyFill="1" applyBorder="1" applyAlignment="1" applyProtection="1">
      <alignment horizontal="right" vertical="center"/>
    </xf>
    <xf numFmtId="167" fontId="54" fillId="6" borderId="9" xfId="12" applyNumberFormat="1" applyFont="1" applyFill="1" applyBorder="1" applyAlignment="1" applyProtection="1">
      <alignment horizontal="right" vertical="center"/>
    </xf>
    <xf numFmtId="166" fontId="54" fillId="6" borderId="9" xfId="4" applyNumberFormat="1" applyFont="1" applyFill="1" applyBorder="1" applyAlignment="1" applyProtection="1">
      <alignment horizontal="center" vertical="center"/>
    </xf>
    <xf numFmtId="166" fontId="54" fillId="6" borderId="10" xfId="4" applyNumberFormat="1" applyFont="1" applyFill="1" applyBorder="1" applyAlignment="1" applyProtection="1">
      <alignment horizontal="center" vertical="center"/>
      <protection locked="0"/>
    </xf>
    <xf numFmtId="0" fontId="55" fillId="0" borderId="0" xfId="6" applyFont="1" applyProtection="1">
      <protection locked="0"/>
    </xf>
    <xf numFmtId="0" fontId="24" fillId="9" borderId="6" xfId="9" applyFont="1" applyFill="1" applyBorder="1" applyAlignment="1" applyProtection="1">
      <alignment horizontal="center" vertical="center"/>
      <protection locked="0"/>
    </xf>
    <xf numFmtId="0" fontId="24" fillId="9" borderId="7" xfId="9" applyFont="1" applyFill="1" applyBorder="1" applyAlignment="1">
      <alignment horizontal="left" vertical="center"/>
    </xf>
    <xf numFmtId="0" fontId="24" fillId="9" borderId="8" xfId="9" applyFont="1" applyFill="1" applyBorder="1" applyAlignment="1">
      <alignment horizontal="centerContinuous" vertical="center"/>
    </xf>
    <xf numFmtId="0" fontId="24" fillId="9" borderId="15" xfId="9" applyFont="1" applyFill="1" applyBorder="1" applyAlignment="1" applyProtection="1">
      <alignment horizontal="left" vertical="center"/>
      <protection locked="0"/>
    </xf>
    <xf numFmtId="0" fontId="24" fillId="9" borderId="8" xfId="2" applyFont="1" applyFill="1" applyBorder="1" applyAlignment="1" applyProtection="1">
      <alignment horizontal="center" vertical="center"/>
      <protection locked="0"/>
    </xf>
    <xf numFmtId="166" fontId="24" fillId="9" borderId="8" xfId="4" applyNumberFormat="1" applyFont="1" applyFill="1" applyBorder="1" applyAlignment="1" applyProtection="1">
      <alignment horizontal="center" vertical="center"/>
      <protection locked="0"/>
    </xf>
    <xf numFmtId="166" fontId="24" fillId="9" borderId="8" xfId="2" applyNumberFormat="1" applyFont="1" applyFill="1" applyBorder="1" applyAlignment="1" applyProtection="1">
      <alignment horizontal="center" vertical="center"/>
      <protection locked="0"/>
    </xf>
    <xf numFmtId="9" fontId="24" fillId="9" borderId="8" xfId="12" applyFont="1" applyFill="1" applyBorder="1" applyAlignment="1" applyProtection="1">
      <alignment horizontal="center" vertical="center"/>
      <protection locked="0"/>
    </xf>
    <xf numFmtId="165" fontId="24" fillId="9" borderId="14" xfId="4" applyNumberFormat="1" applyFont="1" applyFill="1" applyBorder="1" applyAlignment="1" applyProtection="1">
      <alignment horizontal="right" vertical="center"/>
      <protection locked="0"/>
    </xf>
    <xf numFmtId="167" fontId="24" fillId="9" borderId="14" xfId="9" applyNumberFormat="1" applyFont="1" applyFill="1" applyBorder="1" applyAlignment="1" applyProtection="1">
      <alignment horizontal="right" vertical="center"/>
      <protection locked="0"/>
    </xf>
    <xf numFmtId="165" fontId="24" fillId="9" borderId="14" xfId="4" applyNumberFormat="1" applyFont="1" applyFill="1" applyBorder="1" applyAlignment="1" applyProtection="1">
      <alignment horizontal="center" vertical="center"/>
      <protection locked="0"/>
    </xf>
    <xf numFmtId="166" fontId="24" fillId="9" borderId="15" xfId="4" applyNumberFormat="1" applyFont="1" applyFill="1" applyBorder="1" applyAlignment="1" applyProtection="1">
      <alignment horizontal="center" vertical="center"/>
      <protection locked="0"/>
    </xf>
    <xf numFmtId="169" fontId="46" fillId="12" borderId="6" xfId="16" applyNumberFormat="1" applyFont="1" applyFill="1" applyBorder="1" applyAlignment="1" applyProtection="1">
      <alignment horizontal="left" vertical="center"/>
      <protection locked="0"/>
    </xf>
    <xf numFmtId="0" fontId="46" fillId="12" borderId="6" xfId="16" applyFont="1" applyFill="1" applyBorder="1" applyAlignment="1" applyProtection="1">
      <alignment horizontal="left" vertical="center"/>
    </xf>
    <xf numFmtId="0" fontId="46" fillId="12" borderId="8" xfId="16" applyFont="1" applyFill="1" applyBorder="1" applyAlignment="1" applyProtection="1">
      <alignment horizontal="left" vertical="center"/>
    </xf>
    <xf numFmtId="0" fontId="46" fillId="12" borderId="8" xfId="16" applyFont="1" applyFill="1" applyBorder="1" applyAlignment="1" applyProtection="1">
      <alignment vertical="center"/>
    </xf>
    <xf numFmtId="0" fontId="46" fillId="12" borderId="15" xfId="16" applyFont="1" applyFill="1" applyBorder="1" applyAlignment="1" applyProtection="1">
      <alignment vertical="center"/>
      <protection locked="0"/>
    </xf>
    <xf numFmtId="0" fontId="16" fillId="0" borderId="0" xfId="6" applyFont="1" applyAlignment="1" applyProtection="1">
      <alignment horizontal="center" vertical="center"/>
      <protection locked="0"/>
    </xf>
    <xf numFmtId="0" fontId="56" fillId="12" borderId="8" xfId="2" applyFont="1" applyFill="1" applyBorder="1" applyAlignment="1" applyProtection="1">
      <alignment vertical="center"/>
      <protection locked="0"/>
    </xf>
    <xf numFmtId="166" fontId="46" fillId="12" borderId="8" xfId="4" applyNumberFormat="1" applyFont="1" applyFill="1" applyBorder="1" applyAlignment="1" applyProtection="1">
      <alignment vertical="center"/>
      <protection locked="0"/>
    </xf>
    <xf numFmtId="166" fontId="56" fillId="12" borderId="8" xfId="2" applyNumberFormat="1" applyFont="1" applyFill="1" applyBorder="1" applyAlignment="1" applyProtection="1">
      <alignment vertical="center"/>
      <protection locked="0"/>
    </xf>
    <xf numFmtId="167" fontId="56" fillId="12" borderId="8" xfId="1" applyNumberFormat="1" applyFont="1" applyFill="1" applyBorder="1" applyAlignment="1" applyProtection="1">
      <alignment horizontal="right" vertical="center"/>
      <protection locked="0"/>
    </xf>
    <xf numFmtId="165" fontId="46" fillId="12" borderId="14" xfId="4" applyNumberFormat="1" applyFont="1" applyFill="1" applyBorder="1" applyAlignment="1" applyProtection="1">
      <alignment horizontal="right" vertical="center"/>
      <protection locked="0"/>
    </xf>
    <xf numFmtId="167" fontId="46" fillId="12" borderId="14" xfId="16" applyNumberFormat="1" applyFont="1" applyFill="1" applyBorder="1" applyAlignment="1" applyProtection="1">
      <alignment horizontal="right" vertical="center"/>
      <protection locked="0"/>
    </xf>
    <xf numFmtId="166" fontId="56" fillId="12" borderId="14" xfId="2" applyNumberFormat="1" applyFont="1" applyFill="1" applyBorder="1" applyAlignment="1" applyProtection="1">
      <alignment vertical="center"/>
      <protection locked="0"/>
    </xf>
    <xf numFmtId="165" fontId="46" fillId="12" borderId="14" xfId="4" applyNumberFormat="1" applyFont="1" applyFill="1" applyBorder="1" applyAlignment="1" applyProtection="1">
      <alignment vertical="center"/>
      <protection locked="0"/>
    </xf>
    <xf numFmtId="166" fontId="46" fillId="12" borderId="15" xfId="4" applyNumberFormat="1" applyFont="1" applyFill="1" applyBorder="1" applyAlignment="1" applyProtection="1">
      <alignment horizontal="center" vertical="center"/>
      <protection locked="0"/>
    </xf>
    <xf numFmtId="0" fontId="24" fillId="9" borderId="25" xfId="9" applyFont="1" applyFill="1" applyBorder="1" applyAlignment="1" applyProtection="1">
      <alignment horizontal="center" vertical="center"/>
      <protection locked="0"/>
    </xf>
    <xf numFmtId="0" fontId="24" fillId="9" borderId="26" xfId="9" applyFont="1" applyFill="1" applyBorder="1" applyAlignment="1">
      <alignment horizontal="left" vertical="center"/>
    </xf>
    <xf numFmtId="0" fontId="24" fillId="9" borderId="23" xfId="9" applyFont="1" applyFill="1" applyBorder="1" applyAlignment="1">
      <alignment horizontal="left" vertical="center"/>
    </xf>
    <xf numFmtId="0" fontId="24" fillId="9" borderId="23" xfId="9" applyFont="1" applyFill="1" applyBorder="1" applyAlignment="1">
      <alignment horizontal="centerContinuous" vertical="center"/>
    </xf>
    <xf numFmtId="0" fontId="24" fillId="9" borderId="24" xfId="9" applyFont="1" applyFill="1" applyBorder="1" applyAlignment="1" applyProtection="1">
      <alignment horizontal="left" vertical="center"/>
      <protection locked="0"/>
    </xf>
    <xf numFmtId="0" fontId="24" fillId="9" borderId="23" xfId="2" applyFont="1" applyFill="1" applyBorder="1" applyAlignment="1" applyProtection="1">
      <alignment horizontal="center" vertical="center"/>
      <protection locked="0"/>
    </xf>
    <xf numFmtId="166" fontId="24" fillId="9" borderId="23" xfId="4" applyNumberFormat="1" applyFont="1" applyFill="1" applyBorder="1" applyAlignment="1" applyProtection="1">
      <alignment horizontal="center" vertical="center"/>
      <protection locked="0"/>
    </xf>
    <xf numFmtId="166" fontId="24" fillId="9" borderId="23" xfId="2" applyNumberFormat="1" applyFont="1" applyFill="1" applyBorder="1" applyAlignment="1" applyProtection="1">
      <alignment horizontal="center" vertical="center"/>
      <protection locked="0"/>
    </xf>
    <xf numFmtId="165" fontId="24" fillId="9" borderId="27" xfId="4" applyNumberFormat="1" applyFont="1" applyFill="1" applyBorder="1" applyAlignment="1" applyProtection="1">
      <alignment horizontal="right" vertical="center"/>
      <protection locked="0"/>
    </xf>
    <xf numFmtId="167" fontId="24" fillId="9" borderId="27" xfId="9" applyNumberFormat="1" applyFont="1" applyFill="1" applyBorder="1" applyAlignment="1" applyProtection="1">
      <alignment horizontal="right" vertical="center"/>
      <protection locked="0"/>
    </xf>
    <xf numFmtId="165" fontId="24" fillId="9" borderId="27" xfId="4" applyNumberFormat="1" applyFont="1" applyFill="1" applyBorder="1" applyAlignment="1" applyProtection="1">
      <alignment horizontal="center" vertical="center"/>
      <protection locked="0"/>
    </xf>
    <xf numFmtId="166" fontId="24" fillId="9" borderId="24" xfId="4" applyNumberFormat="1" applyFont="1" applyFill="1" applyBorder="1" applyAlignment="1" applyProtection="1">
      <alignment horizontal="center" vertical="center"/>
      <protection locked="0"/>
    </xf>
    <xf numFmtId="0" fontId="31" fillId="0" borderId="0" xfId="6" applyFont="1"/>
    <xf numFmtId="0" fontId="31" fillId="0" borderId="0" xfId="6" applyFont="1" applyAlignment="1">
      <alignment horizontal="left"/>
    </xf>
    <xf numFmtId="0" fontId="57" fillId="0" borderId="0" xfId="6" applyFont="1" applyAlignment="1">
      <alignment horizontal="left"/>
    </xf>
    <xf numFmtId="0" fontId="57" fillId="0" borderId="0" xfId="6" applyFont="1"/>
    <xf numFmtId="0" fontId="16" fillId="0" borderId="0" xfId="6" applyFont="1" applyAlignment="1">
      <alignment horizontal="center" vertical="center"/>
    </xf>
    <xf numFmtId="166" fontId="31" fillId="0" borderId="0" xfId="6" applyNumberFormat="1" applyFont="1"/>
    <xf numFmtId="0" fontId="29" fillId="0" borderId="0" xfId="2" applyFont="1" applyProtection="1"/>
    <xf numFmtId="166" fontId="31" fillId="0" borderId="0" xfId="4" applyNumberFormat="1" applyFont="1" applyProtection="1"/>
    <xf numFmtId="166" fontId="29" fillId="0" borderId="0" xfId="2" applyNumberFormat="1" applyFont="1" applyProtection="1"/>
    <xf numFmtId="166" fontId="58" fillId="0" borderId="0" xfId="4" applyNumberFormat="1" applyFont="1" applyAlignment="1" applyProtection="1">
      <alignment horizontal="right"/>
    </xf>
    <xf numFmtId="167" fontId="31" fillId="0" borderId="0" xfId="6" applyNumberFormat="1" applyFont="1" applyAlignment="1">
      <alignment horizontal="right"/>
    </xf>
    <xf numFmtId="166" fontId="31" fillId="0" borderId="0" xfId="4" applyNumberFormat="1" applyFont="1" applyAlignment="1" applyProtection="1">
      <alignment horizontal="center"/>
    </xf>
    <xf numFmtId="0" fontId="30" fillId="0" borderId="0" xfId="6" applyFont="1"/>
    <xf numFmtId="0" fontId="27" fillId="0" borderId="0" xfId="6" applyFont="1"/>
    <xf numFmtId="0" fontId="31" fillId="0" borderId="0" xfId="6" applyFont="1" applyAlignment="1" applyProtection="1">
      <alignment horizontal="left"/>
      <protection locked="0"/>
    </xf>
    <xf numFmtId="0" fontId="57" fillId="0" borderId="0" xfId="6" applyFont="1" applyAlignment="1" applyProtection="1">
      <alignment horizontal="left"/>
      <protection locked="0"/>
    </xf>
    <xf numFmtId="0" fontId="57" fillId="0" borderId="0" xfId="6" applyFont="1" applyProtection="1">
      <protection locked="0"/>
    </xf>
    <xf numFmtId="166" fontId="31" fillId="0" borderId="0" xfId="6" applyNumberFormat="1" applyFont="1" applyProtection="1">
      <protection locked="0"/>
    </xf>
    <xf numFmtId="0" fontId="29" fillId="0" borderId="0" xfId="2" applyFont="1" applyProtection="1">
      <protection locked="0"/>
    </xf>
    <xf numFmtId="166" fontId="31" fillId="0" borderId="0" xfId="4" applyNumberFormat="1" applyFont="1" applyProtection="1">
      <protection locked="0"/>
    </xf>
    <xf numFmtId="166" fontId="29" fillId="0" borderId="0" xfId="2" applyNumberFormat="1" applyFont="1" applyAlignment="1" applyProtection="1">
      <alignment vertical="center"/>
      <protection locked="0"/>
    </xf>
    <xf numFmtId="166" fontId="58" fillId="0" borderId="0" xfId="4" applyNumberFormat="1" applyFont="1" applyAlignment="1" applyProtection="1">
      <alignment horizontal="right"/>
      <protection locked="0"/>
    </xf>
    <xf numFmtId="167" fontId="31" fillId="0" borderId="0" xfId="6" applyNumberFormat="1" applyFont="1" applyAlignment="1" applyProtection="1">
      <alignment horizontal="right"/>
      <protection locked="0"/>
    </xf>
    <xf numFmtId="166" fontId="31" fillId="0" borderId="0" xfId="4" applyNumberFormat="1" applyFont="1" applyAlignment="1" applyProtection="1">
      <alignment horizontal="center"/>
      <protection locked="0"/>
    </xf>
    <xf numFmtId="0" fontId="59" fillId="0" borderId="0" xfId="6" applyFont="1" applyProtection="1">
      <protection locked="0"/>
    </xf>
    <xf numFmtId="0" fontId="22" fillId="0" borderId="0" xfId="11" applyFont="1" applyProtection="1">
      <protection locked="0"/>
    </xf>
    <xf numFmtId="0" fontId="59" fillId="0" borderId="0" xfId="6" applyFont="1" applyAlignment="1" applyProtection="1">
      <alignment horizontal="left"/>
      <protection locked="0"/>
    </xf>
    <xf numFmtId="0" fontId="60" fillId="0" borderId="0" xfId="6" applyFont="1" applyProtection="1">
      <protection locked="0"/>
    </xf>
    <xf numFmtId="0" fontId="22" fillId="0" borderId="0" xfId="11" applyFont="1" applyAlignment="1" applyProtection="1">
      <alignment horizontal="left"/>
      <protection locked="0"/>
    </xf>
    <xf numFmtId="166" fontId="59" fillId="0" borderId="0" xfId="4" applyNumberFormat="1" applyFont="1" applyAlignment="1" applyProtection="1">
      <protection locked="0"/>
    </xf>
    <xf numFmtId="166" fontId="25" fillId="0" borderId="0" xfId="2" applyNumberFormat="1" applyFont="1" applyAlignment="1" applyProtection="1">
      <protection locked="0"/>
    </xf>
    <xf numFmtId="166" fontId="59" fillId="0" borderId="0" xfId="4" applyNumberFormat="1" applyFont="1" applyProtection="1">
      <protection locked="0"/>
    </xf>
    <xf numFmtId="166" fontId="59" fillId="0" borderId="0" xfId="4" applyNumberFormat="1" applyFont="1" applyAlignment="1" applyProtection="1">
      <alignment horizontal="right"/>
      <protection locked="0"/>
    </xf>
    <xf numFmtId="167" fontId="59" fillId="0" borderId="0" xfId="6" applyNumberFormat="1" applyFont="1" applyAlignment="1" applyProtection="1">
      <alignment horizontal="right"/>
      <protection locked="0"/>
    </xf>
    <xf numFmtId="166" fontId="25" fillId="0" borderId="0" xfId="2" applyNumberFormat="1" applyFont="1" applyProtection="1">
      <protection locked="0"/>
    </xf>
    <xf numFmtId="166" fontId="59" fillId="0" borderId="0" xfId="4" applyNumberFormat="1" applyFont="1" applyAlignment="1" applyProtection="1">
      <alignment horizontal="center"/>
      <protection locked="0"/>
    </xf>
    <xf numFmtId="0" fontId="61" fillId="0" borderId="0" xfId="6" applyFont="1"/>
    <xf numFmtId="0" fontId="60" fillId="0" borderId="0" xfId="6" applyFont="1"/>
    <xf numFmtId="0" fontId="59" fillId="0" borderId="0" xfId="6" applyFont="1"/>
    <xf numFmtId="0" fontId="67" fillId="0" borderId="0" xfId="11" applyProtection="1">
      <protection locked="0"/>
    </xf>
    <xf numFmtId="0" fontId="67" fillId="0" borderId="0" xfId="11" applyAlignment="1" applyProtection="1">
      <alignment horizontal="left"/>
      <protection locked="0"/>
    </xf>
    <xf numFmtId="0" fontId="62" fillId="0" borderId="0" xfId="6" applyFont="1"/>
    <xf numFmtId="0" fontId="58" fillId="0" borderId="0" xfId="6" applyFont="1"/>
    <xf numFmtId="0" fontId="19" fillId="0" borderId="0" xfId="6" applyFont="1"/>
    <xf numFmtId="166" fontId="20" fillId="0" borderId="0" xfId="0" applyNumberFormat="1" applyFont="1" applyAlignment="1" applyProtection="1">
      <alignment horizontal="left" vertical="center"/>
      <protection locked="0"/>
    </xf>
    <xf numFmtId="166" fontId="21" fillId="0" borderId="0" xfId="0" applyNumberFormat="1" applyFont="1" applyAlignment="1" applyProtection="1">
      <alignment horizontal="left" vertical="center"/>
      <protection locked="0"/>
    </xf>
    <xf numFmtId="0" fontId="63" fillId="0" borderId="0" xfId="6" applyFont="1" applyProtection="1">
      <protection locked="0"/>
    </xf>
    <xf numFmtId="0" fontId="64" fillId="0" borderId="0" xfId="6" applyFont="1" applyProtection="1">
      <protection locked="0"/>
    </xf>
    <xf numFmtId="0" fontId="21" fillId="0" borderId="0" xfId="6" applyFont="1" applyProtection="1">
      <protection locked="0"/>
    </xf>
    <xf numFmtId="0" fontId="48" fillId="0" borderId="0" xfId="15" applyFont="1" applyFill="1" applyAlignment="1" applyProtection="1"/>
    <xf numFmtId="0" fontId="25" fillId="0" borderId="0" xfId="15" applyFont="1" applyFill="1" applyAlignment="1" applyProtection="1"/>
    <xf numFmtId="0" fontId="44" fillId="0" borderId="0" xfId="15" applyFont="1" applyFill="1" applyAlignment="1" applyProtection="1"/>
    <xf numFmtId="0" fontId="50" fillId="0" borderId="0" xfId="6" applyFont="1"/>
    <xf numFmtId="0" fontId="51" fillId="0" borderId="0" xfId="6" applyFont="1"/>
    <xf numFmtId="0" fontId="52" fillId="0" borderId="0" xfId="6" applyFont="1"/>
    <xf numFmtId="166" fontId="29" fillId="0" borderId="0" xfId="2" applyNumberFormat="1" applyFont="1" applyAlignment="1" applyProtection="1">
      <alignment horizontal="right" vertical="center"/>
    </xf>
    <xf numFmtId="0" fontId="32" fillId="0" borderId="0" xfId="9" applyFont="1" applyAlignment="1" applyProtection="1">
      <alignment vertical="center"/>
      <protection locked="0"/>
    </xf>
    <xf numFmtId="166" fontId="65" fillId="0" borderId="0" xfId="4" applyNumberFormat="1" applyFont="1" applyAlignment="1" applyProtection="1">
      <alignment horizontal="right" vertical="center"/>
    </xf>
    <xf numFmtId="167" fontId="32" fillId="0" borderId="0" xfId="9" applyNumberFormat="1" applyFont="1" applyAlignment="1">
      <alignment horizontal="right" vertical="center"/>
    </xf>
    <xf numFmtId="0" fontId="39" fillId="0" borderId="0" xfId="7" applyFont="1" applyProtection="1">
      <alignment vertical="center"/>
      <protection locked="0"/>
    </xf>
    <xf numFmtId="0" fontId="33" fillId="0" borderId="0" xfId="7" applyFont="1" applyProtection="1">
      <alignment vertical="center"/>
      <protection locked="0"/>
    </xf>
    <xf numFmtId="0" fontId="44" fillId="0" borderId="0" xfId="6" applyFont="1" applyProtection="1">
      <protection locked="0"/>
    </xf>
    <xf numFmtId="0" fontId="16" fillId="0" borderId="28" xfId="6" applyFont="1" applyBorder="1" applyAlignment="1">
      <alignment horizontal="center" vertical="center"/>
    </xf>
    <xf numFmtId="166" fontId="16" fillId="8" borderId="4" xfId="3" applyNumberFormat="1" applyFont="1" applyFill="1" applyBorder="1" applyAlignment="1" applyProtection="1">
      <alignment horizontal="center" vertical="center" wrapText="1"/>
    </xf>
    <xf numFmtId="0" fontId="46" fillId="0" borderId="0" xfId="6" applyFont="1" applyProtection="1">
      <protection locked="0"/>
    </xf>
    <xf numFmtId="166" fontId="24" fillId="9" borderId="9" xfId="9" applyNumberFormat="1" applyFont="1" applyFill="1" applyBorder="1" applyAlignment="1">
      <alignment horizontal="center" vertical="center"/>
    </xf>
    <xf numFmtId="0" fontId="20" fillId="0" borderId="0" xfId="6" applyFont="1" applyAlignment="1" applyProtection="1">
      <alignment vertical="top" wrapText="1"/>
      <protection locked="0"/>
    </xf>
    <xf numFmtId="0" fontId="20" fillId="0" borderId="0" xfId="6" applyFont="1" applyProtection="1">
      <protection locked="0"/>
    </xf>
    <xf numFmtId="166" fontId="25" fillId="10" borderId="9" xfId="6" applyNumberFormat="1" applyFont="1" applyFill="1" applyBorder="1" applyAlignment="1">
      <alignment vertical="center"/>
    </xf>
    <xf numFmtId="0" fontId="23" fillId="0" borderId="28" xfId="6" applyFont="1" applyBorder="1" applyAlignment="1">
      <alignment horizontal="center" vertical="center"/>
    </xf>
    <xf numFmtId="166" fontId="44" fillId="6" borderId="9" xfId="6" applyNumberFormat="1" applyFont="1" applyFill="1" applyBorder="1" applyAlignment="1">
      <alignment vertical="center"/>
    </xf>
    <xf numFmtId="0" fontId="66" fillId="0" borderId="28" xfId="6" applyFont="1" applyBorder="1" applyAlignment="1" applyProtection="1">
      <alignment horizontal="center" vertical="center"/>
      <protection locked="0"/>
    </xf>
    <xf numFmtId="166" fontId="52" fillId="0" borderId="9" xfId="6" applyNumberFormat="1" applyFont="1" applyBorder="1" applyAlignment="1" applyProtection="1">
      <alignment vertical="center"/>
      <protection locked="0"/>
    </xf>
    <xf numFmtId="0" fontId="54" fillId="0" borderId="28" xfId="6" applyFont="1" applyBorder="1" applyAlignment="1">
      <alignment horizontal="center" vertical="center"/>
    </xf>
    <xf numFmtId="166" fontId="54" fillId="6" borderId="9" xfId="6" applyNumberFormat="1" applyFont="1" applyFill="1" applyBorder="1" applyAlignment="1">
      <alignment vertical="center"/>
    </xf>
    <xf numFmtId="0" fontId="54" fillId="0" borderId="0" xfId="15" applyFont="1" applyAlignment="1" applyProtection="1">
      <protection locked="0"/>
    </xf>
    <xf numFmtId="0" fontId="54" fillId="0" borderId="0" xfId="15" applyFont="1" applyFill="1" applyAlignment="1" applyProtection="1">
      <protection locked="0"/>
    </xf>
    <xf numFmtId="0" fontId="24" fillId="9" borderId="8" xfId="9" applyFont="1" applyFill="1" applyBorder="1" applyAlignment="1" applyProtection="1">
      <alignment horizontal="left" vertical="center"/>
      <protection locked="0"/>
    </xf>
    <xf numFmtId="0" fontId="24" fillId="9" borderId="8" xfId="9" applyFont="1" applyFill="1" applyBorder="1" applyAlignment="1" applyProtection="1">
      <alignment horizontal="centerContinuous" vertical="center"/>
      <protection locked="0"/>
    </xf>
    <xf numFmtId="0" fontId="24" fillId="0" borderId="28" xfId="6" applyFont="1" applyBorder="1" applyAlignment="1" applyProtection="1">
      <alignment horizontal="center" vertical="center"/>
      <protection locked="0"/>
    </xf>
    <xf numFmtId="166" fontId="24" fillId="9" borderId="7" xfId="9" applyNumberFormat="1" applyFont="1" applyFill="1" applyBorder="1" applyAlignment="1" applyProtection="1">
      <alignment horizontal="center" vertical="center"/>
      <protection locked="0"/>
    </xf>
    <xf numFmtId="166" fontId="24" fillId="9" borderId="14" xfId="4" applyNumberFormat="1" applyFont="1" applyFill="1" applyBorder="1" applyAlignment="1" applyProtection="1">
      <alignment horizontal="right" vertical="center"/>
      <protection locked="0"/>
    </xf>
    <xf numFmtId="9" fontId="24" fillId="9" borderId="14" xfId="13" applyFont="1" applyFill="1" applyBorder="1" applyAlignment="1" applyProtection="1">
      <alignment horizontal="center" vertical="center"/>
      <protection locked="0"/>
    </xf>
    <xf numFmtId="0" fontId="44" fillId="12" borderId="8" xfId="16" applyFont="1" applyFill="1" applyBorder="1" applyAlignment="1" applyProtection="1">
      <alignment horizontal="left" vertical="center"/>
    </xf>
    <xf numFmtId="0" fontId="16" fillId="0" borderId="28" xfId="6" applyFont="1" applyBorder="1" applyAlignment="1" applyProtection="1">
      <alignment horizontal="center" vertical="center"/>
      <protection locked="0"/>
    </xf>
    <xf numFmtId="166" fontId="46" fillId="12" borderId="7" xfId="16" applyNumberFormat="1" applyFont="1" applyFill="1" applyBorder="1" applyAlignment="1" applyProtection="1">
      <alignment vertical="center"/>
      <protection locked="0"/>
    </xf>
    <xf numFmtId="166" fontId="24" fillId="9" borderId="26" xfId="9" applyNumberFormat="1" applyFont="1" applyFill="1" applyBorder="1" applyAlignment="1" applyProtection="1">
      <alignment horizontal="center" vertical="center"/>
      <protection locked="0"/>
    </xf>
    <xf numFmtId="0" fontId="25" fillId="6" borderId="23" xfId="6" applyFont="1" applyFill="1" applyBorder="1" applyAlignment="1">
      <alignment horizontal="left" vertical="center" wrapText="1"/>
    </xf>
    <xf numFmtId="0" fontId="25" fillId="6" borderId="24" xfId="6" applyFont="1" applyFill="1" applyBorder="1" applyAlignment="1">
      <alignment horizontal="left" vertical="center" wrapText="1"/>
    </xf>
    <xf numFmtId="0" fontId="16" fillId="5" borderId="7" xfId="10" applyFont="1" applyFill="1" applyBorder="1" applyAlignment="1">
      <alignment horizontal="center" vertical="center"/>
    </xf>
    <xf numFmtId="0" fontId="16" fillId="5" borderId="8" xfId="10" applyFont="1" applyFill="1" applyBorder="1" applyAlignment="1">
      <alignment horizontal="center" vertical="center"/>
    </xf>
  </cellXfs>
  <cellStyles count="17">
    <cellStyle name="ColLevel_1" xfId="2" xr:uid="{00000000-0005-0000-0000-000031000000}"/>
    <cellStyle name="Comma 11 2" xfId="3" xr:uid="{00000000-0005-0000-0000-000032000000}"/>
    <cellStyle name="Comma 2" xfId="4" xr:uid="{00000000-0005-0000-0000-000033000000}"/>
    <cellStyle name="Comma 4" xfId="5" xr:uid="{00000000-0005-0000-0000-000034000000}"/>
    <cellStyle name="Normal" xfId="0" builtinId="0"/>
    <cellStyle name="Normal 2" xfId="6" xr:uid="{00000000-0005-0000-0000-000035000000}"/>
    <cellStyle name="Normal 2 3 2" xfId="7" xr:uid="{00000000-0005-0000-0000-000036000000}"/>
    <cellStyle name="Normal 2 3 3" xfId="8" xr:uid="{00000000-0005-0000-0000-000037000000}"/>
    <cellStyle name="Normal 6 12 2" xfId="9" xr:uid="{00000000-0005-0000-0000-000038000000}"/>
    <cellStyle name="Normal 6 4" xfId="10" xr:uid="{00000000-0005-0000-0000-000039000000}"/>
    <cellStyle name="Normal 8" xfId="11" xr:uid="{00000000-0005-0000-0000-00003A000000}"/>
    <cellStyle name="Percent" xfId="1" builtinId="5"/>
    <cellStyle name="Percent 2" xfId="12" xr:uid="{00000000-0005-0000-0000-00003B000000}"/>
    <cellStyle name="Percent 3" xfId="13" xr:uid="{00000000-0005-0000-0000-00003C000000}"/>
    <cellStyle name="Percent 4" xfId="14" xr:uid="{00000000-0005-0000-0000-00003D000000}"/>
    <cellStyle name="RowLevel_1" xfId="15" xr:uid="{00000000-0005-0000-0000-00003E000000}"/>
    <cellStyle name="RowLevel_1 2" xfId="16" xr:uid="{00000000-0005-0000-0000-00003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ctrlProps/ctrlProp3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5</xdr:col>
      <xdr:colOff>492760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28" t="44941" r="6680" b="44189"/>
        <a:stretch>
          <a:fillRect/>
        </a:stretch>
      </xdr:blipFill>
      <xdr:spPr>
        <a:xfrm>
          <a:off x="7620" y="7620"/>
          <a:ext cx="3837940" cy="459105"/>
        </a:xfrm>
        <a:prstGeom prst="rect">
          <a:avLst/>
        </a:prstGeom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365760</xdr:colOff>
          <xdr:row>2</xdr:row>
          <xdr:rowOff>152400</xdr:rowOff>
        </xdr:from>
        <xdr:to>
          <xdr:col>27</xdr:col>
          <xdr:colOff>670560</xdr:colOff>
          <xdr:row>3</xdr:row>
          <xdr:rowOff>15240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Setup BCB</a:t>
              </a:r>
            </a:p>
          </xdr:txBody>
        </xdr:sp>
        <xdr:clientData fPrintsWithSheet="0"/>
      </xdr:twoCellAnchor>
    </mc:Choice>
    <mc:Fallback/>
  </mc:AlternateContent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3" name="Button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81720" y="121920"/>
          <a:ext cx="59436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4" name="Button 3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44660" y="121920"/>
          <a:ext cx="64770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5" name="Button 4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2829520" y="137160"/>
          <a:ext cx="777240" cy="20955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Create IBB</a:t>
          </a:r>
        </a:p>
      </xdr:txBody>
    </xdr:sp>
    <xdr:clientData fPrintsWithSheet="0"/>
  </xdr:twoCellAnchor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6" name="Button 5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381720" y="121920"/>
          <a:ext cx="59436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7" name="Button 6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2044660" y="121920"/>
          <a:ext cx="64770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8" name="Button 7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2829520" y="137160"/>
          <a:ext cx="777240" cy="20955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Create IBB</a:t>
          </a:r>
        </a:p>
      </xdr:txBody>
    </xdr:sp>
    <xdr:clientData fPrintsWithSheet="0"/>
  </xdr:twoCellAnchor>
  <xdr:twoCellAnchor>
    <xdr:from>
      <xdr:col>26</xdr:col>
      <xdr:colOff>365760</xdr:colOff>
      <xdr:row>2</xdr:row>
      <xdr:rowOff>152400</xdr:rowOff>
    </xdr:from>
    <xdr:to>
      <xdr:col>27</xdr:col>
      <xdr:colOff>670560</xdr:colOff>
      <xdr:row>3</xdr:row>
      <xdr:rowOff>7620</xdr:rowOff>
    </xdr:to>
    <xdr:sp macro="" textlink="">
      <xdr:nvSpPr>
        <xdr:cNvPr id="9" name="Button 8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9603700" y="552450"/>
          <a:ext cx="0" cy="23622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Setup BCB</a:t>
          </a:r>
        </a:p>
      </xdr:txBody>
    </xdr:sp>
    <xdr:clientData fPrintsWithSheet="0"/>
  </xdr:twoCellAnchor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10" name="Button 9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1381720" y="121920"/>
          <a:ext cx="59436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11" name="Button 10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044660" y="121920"/>
          <a:ext cx="64770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12" name="Button 11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2829520" y="137160"/>
          <a:ext cx="777240" cy="20955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Create IBB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365760</xdr:colOff>
          <xdr:row>2</xdr:row>
          <xdr:rowOff>152400</xdr:rowOff>
        </xdr:from>
        <xdr:to>
          <xdr:col>27</xdr:col>
          <xdr:colOff>670560</xdr:colOff>
          <xdr:row>3</xdr:row>
          <xdr:rowOff>15240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Setup BCB</a:t>
              </a:r>
            </a:p>
          </xdr:txBody>
        </xdr:sp>
        <xdr:clientData fPrintsWithSheet="0"/>
      </xdr:twoCellAnchor>
    </mc:Choice>
    <mc:Fallback/>
  </mc:AlternateContent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13" name="Button 13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1381720" y="121920"/>
          <a:ext cx="59436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14" name="Button 14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2044660" y="121920"/>
          <a:ext cx="64770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15" name="Button 15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2829520" y="137160"/>
          <a:ext cx="777240" cy="20955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Create IBB</a:t>
          </a:r>
        </a:p>
      </xdr:txBody>
    </xdr:sp>
    <xdr:clientData fPrintsWithSheet="0"/>
  </xdr:twoCellAnchor>
  <xdr:twoCellAnchor>
    <xdr:from>
      <xdr:col>26</xdr:col>
      <xdr:colOff>365760</xdr:colOff>
      <xdr:row>2</xdr:row>
      <xdr:rowOff>152400</xdr:rowOff>
    </xdr:from>
    <xdr:to>
      <xdr:col>27</xdr:col>
      <xdr:colOff>670560</xdr:colOff>
      <xdr:row>3</xdr:row>
      <xdr:rowOff>7620</xdr:rowOff>
    </xdr:to>
    <xdr:sp macro="" textlink="">
      <xdr:nvSpPr>
        <xdr:cNvPr id="16" name="Button 16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9603700" y="552450"/>
          <a:ext cx="0" cy="23622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Setup BCB</a:t>
          </a:r>
        </a:p>
      </xdr:txBody>
    </xdr:sp>
    <xdr:clientData fPrintsWithSheet="0"/>
  </xdr:twoCellAnchor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17" name="Button 17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1381720" y="121920"/>
          <a:ext cx="59436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18" name="Button 18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2044660" y="121920"/>
          <a:ext cx="647700" cy="21717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19" name="Button 19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2829520" y="137160"/>
          <a:ext cx="777240" cy="209550"/>
        </a:xfrm>
        <a:prstGeom prst="rect">
          <a:avLst/>
        </a:prstGeom>
        <a:noFill/>
        <a:ln w="9525"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Create IBB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365760</xdr:colOff>
          <xdr:row>2</xdr:row>
          <xdr:rowOff>152400</xdr:rowOff>
        </xdr:from>
        <xdr:to>
          <xdr:col>27</xdr:col>
          <xdr:colOff>670560</xdr:colOff>
          <xdr:row>3</xdr:row>
          <xdr:rowOff>15240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Setup BCB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70129" cy="55738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28" t="44941" r="6680" b="44189"/>
        <a:stretch>
          <a:fillRect/>
        </a:stretch>
      </xdr:blipFill>
      <xdr:spPr>
        <a:xfrm>
          <a:off x="0" y="0"/>
          <a:ext cx="5569585" cy="556895"/>
        </a:xfrm>
        <a:prstGeom prst="rect">
          <a:avLst/>
        </a:prstGeom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PC.%20CAC.%20BID.%20BCB1.%204PH%20STREVI%20Residential%20Tower.%202026%2005%2018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arotoni/Desktop/MY%20FILES/01%20TENDER/59%204PH%20-%20BACOOR%20(Salinas)/001%20Tower/03%20Submission/EPC.%20CAC.%20BID.%20BCB1.%204PH%20STREVI%20Residential%20Tower.%202026%2005%2018%20-%20Copy.xlsm" TargetMode="External"/><Relationship Id="rId1" Type="http://schemas.openxmlformats.org/officeDocument/2006/relationships/externalLinkPath" Target="/Users/jarotoni/Desktop/MY%20FILES/01%20TENDER/59%204PH%20-%20BACOOR%20(Salinas)/001%20Tower/03%20Submission/EPC.%20CAC.%20BID.%20BCB1.%204PH%20STREVI%20Residential%20Tower.%202026%2005%2018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flow"/>
      <sheetName val="Instructions"/>
      <sheetName val="Assumptions"/>
      <sheetName val="Exclusions"/>
      <sheetName val="Library"/>
      <sheetName val="Built Up Rates"/>
      <sheetName val="BCB"/>
      <sheetName val="IBB 051826171524"/>
      <sheetName val="BCB Database"/>
      <sheetName val="Bid Summary"/>
      <sheetName val="Bid Summary (2)"/>
    </sheetNames>
    <sheetDataSet>
      <sheetData sheetId="0"/>
      <sheetData sheetId="1"/>
      <sheetData sheetId="2"/>
      <sheetData sheetId="3"/>
      <sheetData sheetId="4">
        <row r="2">
          <cell r="AJ2" t="str">
            <v>0,;!,;!,;!</v>
          </cell>
        </row>
        <row r="3">
          <cell r="AX3" t="str">
            <v>'Library'!AX5:BC776</v>
          </cell>
        </row>
        <row r="4">
          <cell r="W4" t="str">
            <v>Item Description</v>
          </cell>
          <cell r="AL4" t="str">
            <v>UoM</v>
          </cell>
        </row>
        <row r="5">
          <cell r="AJ5" t="str">
            <v>GENERAL REQUIREMENTS,;!,;!,;!</v>
          </cell>
          <cell r="AL5" t="str">
            <v>lot</v>
          </cell>
        </row>
        <row r="6">
          <cell r="AJ6" t="str">
            <v>GENERAL REQUIREMENTS,;!Mobilization/Demobilization,;!,;!</v>
          </cell>
          <cell r="AL6" t="str">
            <v>lot</v>
          </cell>
        </row>
        <row r="7">
          <cell r="AJ7" t="str">
            <v>GENERAL REQUIREMENTS,;!Mobilization/Demobilization,;!Clearing and grubbing ,;!</v>
          </cell>
          <cell r="AL7" t="str">
            <v>lot</v>
          </cell>
        </row>
        <row r="8">
          <cell r="AJ8" t="str">
            <v>GENERAL REQUIREMENTS,;!Mobilization/Demobilization,;!Site Surveys, Layout and Stake-out,;!</v>
          </cell>
          <cell r="AL8" t="str">
            <v>lot</v>
          </cell>
        </row>
        <row r="9">
          <cell r="AJ9" t="str">
            <v>GENERAL REQUIREMENTS,;!Mobilization/Demobilization,;!Demobilization,;!</v>
          </cell>
          <cell r="AL9" t="str">
            <v>lot</v>
          </cell>
        </row>
        <row r="10">
          <cell r="AJ10" t="str">
            <v>GENERAL REQUIREMENTS,;!Temp. Facil. - Site Devt., Offices &amp; Utilities,;!,;!</v>
          </cell>
          <cell r="AL10" t="str">
            <v>lot</v>
          </cell>
        </row>
        <row r="11">
          <cell r="AJ11" t="str">
            <v>GENERAL REQUIREMENTS,;!Temp. Facil. - Site Devt., Offices &amp; Utilities,;!Office,;!</v>
          </cell>
          <cell r="AL11" t="str">
            <v>lot</v>
          </cell>
        </row>
        <row r="12">
          <cell r="AJ12" t="str">
            <v>GENERAL REQUIREMENTS,;!Temp. Facil. - Site Devt., Offices &amp; Utilities,;!Barracks,;!</v>
          </cell>
          <cell r="AL12" t="str">
            <v>lot</v>
          </cell>
        </row>
        <row r="13">
          <cell r="AJ13" t="str">
            <v>GENERAL REQUIREMENTS,;!Temp. Facil. - Site Devt., Offices &amp; Utilities,;!Staging,;!</v>
          </cell>
          <cell r="AL13" t="str">
            <v>lot</v>
          </cell>
        </row>
        <row r="14">
          <cell r="AJ14" t="str">
            <v>GENERAL REQUIREMENTS,;!Temp. Facil. - Site Devt., Offices &amp; Utilities,;!Toilet &amp; Utilities,;!</v>
          </cell>
          <cell r="AL14" t="str">
            <v>lot</v>
          </cell>
        </row>
        <row r="15">
          <cell r="AJ15" t="str">
            <v>GENERAL REQUIREMENTS,;!Temp. Facil. - Site Devt., Offices &amp; Utilities,;!Road Access,;!</v>
          </cell>
          <cell r="AL15" t="str">
            <v>lot</v>
          </cell>
        </row>
        <row r="16">
          <cell r="AJ16" t="str">
            <v>GENERAL REQUIREMENTS,;!Temp. Facil. - Utilities  installed in Bldg,;!,;!</v>
          </cell>
          <cell r="AL16" t="str">
            <v>lot</v>
          </cell>
        </row>
        <row r="17">
          <cell r="AJ17" t="str">
            <v>GENERAL REQUIREMENTS,;!Temp. Facil. - Utilities  installed in Bldg,;!Temp. Main Panel Board,;!</v>
          </cell>
          <cell r="AL17" t="str">
            <v>lot</v>
          </cell>
        </row>
        <row r="18">
          <cell r="AJ18" t="str">
            <v>GENERAL REQUIREMENTS,;!Temp. Facil. - Utilities  installed in Bldg,;!Lighting Fixtures,;!</v>
          </cell>
          <cell r="AL18" t="str">
            <v>lot</v>
          </cell>
        </row>
        <row r="19">
          <cell r="AJ19" t="str">
            <v>GENERAL REQUIREMENTS,;!Temp. Facil. - Utilities  installed in Bldg,;!Temp. Sewer Line,;!</v>
          </cell>
          <cell r="AL19" t="str">
            <v>lot</v>
          </cell>
        </row>
        <row r="20">
          <cell r="AJ20" t="str">
            <v>GENERAL REQUIREMENTS,;!Office Equip &amp; Supplies,;!,;!</v>
          </cell>
          <cell r="AL20" t="str">
            <v>lot</v>
          </cell>
        </row>
        <row r="21">
          <cell r="AJ21" t="str">
            <v>GENERAL REQUIREMENTS,;!Office Equip &amp; Supplies,;!Office Equipment,;!</v>
          </cell>
          <cell r="AL21" t="str">
            <v>lot</v>
          </cell>
        </row>
        <row r="22">
          <cell r="AJ22" t="str">
            <v>GENERAL REQUIREMENTS,;!Office Equip &amp; Supplies,;!Office Furnitures,;!</v>
          </cell>
          <cell r="AL22" t="str">
            <v>lot</v>
          </cell>
        </row>
        <row r="23">
          <cell r="AJ23" t="str">
            <v>GENERAL REQUIREMENTS,;!Office Equip &amp; Supplies,;!Office Consumables,;!</v>
          </cell>
          <cell r="AL23" t="str">
            <v>lot</v>
          </cell>
        </row>
        <row r="24">
          <cell r="AJ24" t="str">
            <v>GENERAL REQUIREMENTS,;!Office Equip &amp; Supplies,;!Others (Software License),;!</v>
          </cell>
          <cell r="AL24" t="str">
            <v>lot</v>
          </cell>
        </row>
        <row r="25">
          <cell r="AJ25" t="str">
            <v>GENERAL REQUIREMENTS,;!Site Management Organization (HR) (No. of Staffs),;!,;!</v>
          </cell>
          <cell r="AL25" t="str">
            <v>lot</v>
          </cell>
        </row>
        <row r="26">
          <cell r="AJ26" t="str">
            <v>GENERAL REQUIREMENTS,;!Site Management Organization (HR) (No. of Staffs),;!Site Management Organization (HR) (No. of Staffs),;!</v>
          </cell>
          <cell r="AL26" t="str">
            <v>mos</v>
          </cell>
        </row>
        <row r="27">
          <cell r="AJ27" t="str">
            <v>GENERAL REQUIREMENTS,;!Support Crew -Admin workers,;!,;!</v>
          </cell>
          <cell r="AL27" t="str">
            <v>lot</v>
          </cell>
        </row>
        <row r="28">
          <cell r="AJ28" t="str">
            <v>GENERAL REQUIREMENTS,;!Support Crew -Admin workers,;!House Keeping,;!</v>
          </cell>
          <cell r="AL28" t="str">
            <v>lot</v>
          </cell>
        </row>
        <row r="29">
          <cell r="AJ29" t="str">
            <v>GENERAL REQUIREMENTS,;!Support Crew -Admin workers,;!Maintenance Crew,;!</v>
          </cell>
          <cell r="AL29" t="str">
            <v>lot</v>
          </cell>
        </row>
        <row r="30">
          <cell r="AJ30" t="str">
            <v>GENERAL REQUIREMENTS,;!Utilities (Power/ Water/ Comm),;!,;!</v>
          </cell>
          <cell r="AL30" t="str">
            <v>mos</v>
          </cell>
        </row>
        <row r="31">
          <cell r="AJ31" t="str">
            <v>GENERAL REQUIREMENTS,;!Utilities (Power/ Water/ Comm),;!Power,;!</v>
          </cell>
          <cell r="AL31" t="str">
            <v>lot</v>
          </cell>
        </row>
        <row r="32">
          <cell r="AJ32" t="str">
            <v>GENERAL REQUIREMENTS,;!Utilities (Power/ Water/ Comm),;!Water,;!</v>
          </cell>
          <cell r="AL32" t="str">
            <v>lot</v>
          </cell>
        </row>
        <row r="33">
          <cell r="AJ33" t="str">
            <v>GENERAL REQUIREMENTS,;!Utilities (Power/ Water/ Comm),;!Communication,;!</v>
          </cell>
          <cell r="AL33" t="str">
            <v>lot</v>
          </cell>
        </row>
        <row r="34">
          <cell r="AJ34" t="str">
            <v>GENERAL REQUIREMENTS,;!Utilities (Power/ Water/ Comm),;!Utilities Miscellaneous ,;!</v>
          </cell>
          <cell r="AL34" t="str">
            <v>lot</v>
          </cell>
        </row>
        <row r="35">
          <cell r="AJ35" t="str">
            <v>GENERAL REQUIREMENTS,;!Security Services,;!,;!</v>
          </cell>
          <cell r="AL35" t="str">
            <v>lot</v>
          </cell>
        </row>
        <row r="36">
          <cell r="AJ36" t="str">
            <v>GENERAL REQUIREMENTS,;!Security Services,;!Security Guard,;!</v>
          </cell>
          <cell r="AL36" t="str">
            <v>lot</v>
          </cell>
        </row>
        <row r="37">
          <cell r="AJ37" t="str">
            <v>GENERAL REQUIREMENTS,;!Housekeeping &amp; Sanitation Services,;!,;!</v>
          </cell>
          <cell r="AL37" t="str">
            <v>lot</v>
          </cell>
        </row>
        <row r="38">
          <cell r="AJ38" t="str">
            <v>GENERAL REQUIREMENTS,;!Housekeeping &amp; Sanitation Services,;!Fogging / Misting / Pest Control,;!</v>
          </cell>
          <cell r="AL38" t="str">
            <v>lot</v>
          </cell>
        </row>
        <row r="39">
          <cell r="AJ39" t="str">
            <v>GENERAL REQUIREMENTS,;!Housekeeping &amp; Sanitation Services,;!Garbage Disposal,;!</v>
          </cell>
          <cell r="AL39" t="str">
            <v>lot</v>
          </cell>
        </row>
        <row r="40">
          <cell r="AJ40" t="str">
            <v>GENERAL REQUIREMENTS,;!Housekeeping &amp; Sanitation Services,;!Siphoning,;!</v>
          </cell>
          <cell r="AL40" t="str">
            <v>lot</v>
          </cell>
        </row>
        <row r="41">
          <cell r="AJ41" t="str">
            <v>GENERAL REQUIREMENTS,;!Housekeeping &amp; Sanitation Services,;!Cleaning Consumables,;!</v>
          </cell>
          <cell r="AL41" t="str">
            <v>lot</v>
          </cell>
        </row>
        <row r="42">
          <cell r="AJ42" t="str">
            <v>GENERAL REQUIREMENTS,;!Support Equipment,;!,;!</v>
          </cell>
          <cell r="AL42" t="str">
            <v>lot</v>
          </cell>
        </row>
        <row r="43">
          <cell r="AJ43" t="str">
            <v>GENERAL REQUIREMENTS,;!Support Equipment,;!Vertical Equipment,;!</v>
          </cell>
          <cell r="AL43" t="str">
            <v>lot</v>
          </cell>
        </row>
        <row r="44">
          <cell r="AJ44" t="str">
            <v>GENERAL REQUIREMENTS,;!Support Equipment,;!Concrete Pumps,;!</v>
          </cell>
          <cell r="AL44" t="str">
            <v>lot</v>
          </cell>
        </row>
        <row r="45">
          <cell r="AJ45" t="str">
            <v>GENERAL REQUIREMENTS,;!Support Equipment,;!Light Equipment,;!</v>
          </cell>
          <cell r="AL45" t="str">
            <v>lot</v>
          </cell>
        </row>
        <row r="46">
          <cell r="AJ46" t="str">
            <v>GENERAL REQUIREMENTS,;!Support Equipment,;!Transport Truck,;!</v>
          </cell>
          <cell r="AL46" t="str">
            <v>lot</v>
          </cell>
        </row>
        <row r="47">
          <cell r="AJ47" t="str">
            <v>GENERAL REQUIREMENTS,;!Support Equipment,;!Earthmoving,;!</v>
          </cell>
          <cell r="AL47" t="str">
            <v>lot</v>
          </cell>
        </row>
        <row r="48">
          <cell r="AJ48" t="str">
            <v>GENERAL REQUIREMENTS,;!Support Equipment,;!Mobile Crane,;!</v>
          </cell>
          <cell r="AL48" t="str">
            <v>lot</v>
          </cell>
        </row>
        <row r="49">
          <cell r="AJ49" t="str">
            <v>GENERAL REQUIREMENTS,;!Support Equipment,;!Service Vehicles,;!</v>
          </cell>
          <cell r="AL49" t="str">
            <v>lot</v>
          </cell>
        </row>
        <row r="50">
          <cell r="AJ50" t="str">
            <v>GENERAL REQUIREMENTS,;!Fuel and Oil,;!,;!</v>
          </cell>
          <cell r="AL50" t="str">
            <v>lot</v>
          </cell>
        </row>
        <row r="51">
          <cell r="AJ51" t="str">
            <v>GENERAL REQUIREMENTS,;!Fuel and Oil,;!Diesel,;!</v>
          </cell>
          <cell r="AL51" t="str">
            <v>li</v>
          </cell>
        </row>
        <row r="52">
          <cell r="AJ52" t="str">
            <v>GENERAL REQUIREMENTS,;!Safety Provisions, Safety Measures and First Aid Support ,;!,;!</v>
          </cell>
          <cell r="AL52" t="str">
            <v>lot</v>
          </cell>
        </row>
        <row r="53">
          <cell r="AJ53" t="str">
            <v>GENERAL REQUIREMENTS,;!Safety Provisions, Safety Measures and First Aid Support ,;!Falsework,;!</v>
          </cell>
          <cell r="AL53" t="str">
            <v>lot</v>
          </cell>
        </row>
        <row r="54">
          <cell r="AJ54" t="str">
            <v>GENERAL REQUIREMENTS,;!Safety Provisions, Safety Measures and First Aid Support ,;!Personal Protective Equipment and First Aid Support,;!</v>
          </cell>
          <cell r="AL54" t="str">
            <v>lot</v>
          </cell>
        </row>
        <row r="55">
          <cell r="AJ55" t="str">
            <v>GENERAL REQUIREMENTS,;!Drawing Services,;!,;!</v>
          </cell>
          <cell r="AL55" t="str">
            <v>lot</v>
          </cell>
        </row>
        <row r="56">
          <cell r="AJ56" t="str">
            <v>GENERAL REQUIREMENTS,;!Bonds, Insurances &amp; Permits,;!,;!</v>
          </cell>
          <cell r="AL56" t="str">
            <v>lot</v>
          </cell>
        </row>
        <row r="57">
          <cell r="AJ57" t="str">
            <v>GENERAL REQUIREMENTS,;!Bonds, Insurances &amp; Permits,;!CARI,;!</v>
          </cell>
          <cell r="AL57" t="str">
            <v>lot</v>
          </cell>
        </row>
        <row r="58">
          <cell r="AJ58" t="str">
            <v>GENERAL REQUIREMENTS,;!Bonds, Insurances &amp; Permits,;!Contractor's Employees Accident Insurance and CGLI,;!</v>
          </cell>
          <cell r="AL58" t="str">
            <v>lot</v>
          </cell>
        </row>
        <row r="59">
          <cell r="AJ59" t="str">
            <v>GENERAL REQUIREMENTS,;!Bonds, Insurances &amp; Permits,;!Design Liability Insurance (Professional Liability),;!</v>
          </cell>
          <cell r="AL59" t="str">
            <v>lot</v>
          </cell>
        </row>
        <row r="60">
          <cell r="AJ60" t="str">
            <v>GENERAL REQUIREMENTS,;!Bonds, Insurances &amp; Permits,;!Permit to Install of the Equipment (Tower Crane / Passenger and Material Hoist/ Gondola / Placing Boom etc.),;!</v>
          </cell>
          <cell r="AL60" t="str">
            <v>lot</v>
          </cell>
        </row>
        <row r="61">
          <cell r="AJ61" t="str">
            <v>GENERAL REQUIREMENTS,;!Bonds, Insurances &amp; Permits,;!Genset permit to install,;!</v>
          </cell>
          <cell r="AL61" t="str">
            <v>lot</v>
          </cell>
        </row>
        <row r="62">
          <cell r="AJ62" t="str">
            <v>GENERAL REQUIREMENTS,;!Bonds, Insurances &amp; Permits,;!Barangay Representation Expense,;!</v>
          </cell>
          <cell r="AL62" t="str">
            <v>lot</v>
          </cell>
        </row>
        <row r="63">
          <cell r="AJ63" t="str">
            <v>GENERAL REQUIREMENTS,;!Bonds, Insurances &amp; Permits,;!Municipal Representation Expense,;!</v>
          </cell>
          <cell r="AL63" t="str">
            <v>lot</v>
          </cell>
        </row>
        <row r="64">
          <cell r="AJ64" t="str">
            <v>GENERAL REQUIREMENTS,;!Bonds, Insurances &amp; Permits,;!Truck Ban Exemption,;!</v>
          </cell>
          <cell r="AL64" t="str">
            <v>lot</v>
          </cell>
        </row>
        <row r="65">
          <cell r="AJ65" t="str">
            <v>GENERAL REQUIREMENTS,;!Bonds, Insurances &amp; Permits,;!Safety Permit (Dole Documentations),;!</v>
          </cell>
          <cell r="AL65" t="str">
            <v>lot</v>
          </cell>
        </row>
        <row r="66">
          <cell r="AJ66" t="str">
            <v>GENERAL REQUIREMENTS,;!Material Testing,;!,;!</v>
          </cell>
          <cell r="AL66" t="str">
            <v>lot</v>
          </cell>
        </row>
        <row r="67">
          <cell r="AJ67" t="str">
            <v>GENERAL REQUIREMENTS,;!Material Testing,;!Rebar Testing,;!</v>
          </cell>
          <cell r="AL67" t="str">
            <v>lot</v>
          </cell>
        </row>
        <row r="68">
          <cell r="AJ68" t="str">
            <v>GENERAL REQUIREMENTS,;!Material Testing,;!Field Density Test,;!</v>
          </cell>
          <cell r="AL68" t="str">
            <v>lot</v>
          </cell>
        </row>
        <row r="69">
          <cell r="AJ69" t="str">
            <v>GENERAL REQUIREMENTS,;!Material Testing,;!AAC Testing,;!</v>
          </cell>
          <cell r="AL69" t="str">
            <v>lot</v>
          </cell>
        </row>
        <row r="70">
          <cell r="AJ70" t="str">
            <v>GENERAL REQUIREMENTS,;!Property Damage,;!,;!</v>
          </cell>
          <cell r="AL70" t="str">
            <v>lot</v>
          </cell>
        </row>
        <row r="71">
          <cell r="AJ71" t="str">
            <v>GENERAL REQUIREMENTS,;!Property Damage,;!Property Damage,;!</v>
          </cell>
          <cell r="AL71" t="str">
            <v>lot</v>
          </cell>
        </row>
        <row r="72">
          <cell r="AJ72" t="str">
            <v>GENERAL REQUIREMENTS,;!Project, Owner and Consultant Details,;!,;!</v>
          </cell>
          <cell r="AL72" t="str">
            <v>lot</v>
          </cell>
        </row>
        <row r="73">
          <cell r="AJ73" t="str">
            <v>GENERAL REQUIREMENTS,;!Project, Owner and Consultant Details,;!Project Representations,;!</v>
          </cell>
          <cell r="AL73" t="str">
            <v>lot</v>
          </cell>
        </row>
        <row r="74">
          <cell r="AJ74" t="str">
            <v>GENERAL REQUIREMENTS,;!Project, Owner and Consultant Details,;!Ground Breaking,;!</v>
          </cell>
          <cell r="AL74" t="str">
            <v>lot</v>
          </cell>
        </row>
        <row r="75">
          <cell r="AJ75" t="str">
            <v>GENERAL REQUIREMENTS,;!Project, Owner and Consultant Details,;!First Concrete Pouring,;!</v>
          </cell>
          <cell r="AL75" t="str">
            <v>lot</v>
          </cell>
        </row>
        <row r="76">
          <cell r="AJ76" t="str">
            <v>GENERAL REQUIREMENTS,;!Project, Owner and Consultant Details,;!Safe Manhour,;!</v>
          </cell>
          <cell r="AL76" t="str">
            <v>lot</v>
          </cell>
        </row>
        <row r="77">
          <cell r="AJ77" t="str">
            <v>STRUCTURAL,;!,;!,;!</v>
          </cell>
          <cell r="AL77" t="str">
            <v>lot</v>
          </cell>
        </row>
        <row r="78">
          <cell r="AJ78" t="str">
            <v>STRUCTURAL,;!Siteworks,;!,;!</v>
          </cell>
          <cell r="AL78" t="str">
            <v>lot</v>
          </cell>
        </row>
        <row r="79">
          <cell r="AJ79" t="str">
            <v>STRUCTURAL,;!Siteworks,;!Excavation Works,;!</v>
          </cell>
          <cell r="AL79" t="str">
            <v>m3</v>
          </cell>
        </row>
        <row r="80">
          <cell r="AJ80" t="str">
            <v>STRUCTURAL,;!Siteworks,;!Backfilling and Compaction (Engineered Fill),;!</v>
          </cell>
          <cell r="AL80" t="str">
            <v>m3</v>
          </cell>
        </row>
        <row r="81">
          <cell r="AJ81" t="str">
            <v>STRUCTURAL,;!Siteworks,;!Haul-out of Excavated Soil,;!</v>
          </cell>
          <cell r="AL81" t="str">
            <v>m3</v>
          </cell>
        </row>
        <row r="82">
          <cell r="AJ82" t="str">
            <v>STRUCTURAL,;!Siteworks,;!Gravel Bedding,;!</v>
          </cell>
          <cell r="AL82" t="str">
            <v>m3</v>
          </cell>
        </row>
        <row r="83">
          <cell r="AJ83" t="str">
            <v>STRUCTURAL,;!Siteworks,;!Lean Concrete,;!</v>
          </cell>
          <cell r="AL83" t="str">
            <v>m3</v>
          </cell>
        </row>
        <row r="84">
          <cell r="AJ84" t="str">
            <v>STRUCTURAL,;!Siteworks,;!Trimming Works,;!</v>
          </cell>
          <cell r="AL84" t="str">
            <v>m2</v>
          </cell>
        </row>
        <row r="85">
          <cell r="AJ85" t="str">
            <v>STRUCTURAL,;!Siteworks,;!Soil Poisoning,;!</v>
          </cell>
          <cell r="AL85" t="str">
            <v>m2</v>
          </cell>
        </row>
        <row r="86">
          <cell r="AJ86" t="str">
            <v>STRUCTURAL,;!Rebar (Grade 80),;!,;!</v>
          </cell>
          <cell r="AL86" t="str">
            <v>lot</v>
          </cell>
        </row>
        <row r="87">
          <cell r="AJ87" t="str">
            <v>STRUCTURAL,;!Rebar (Grade 80),;!Mat Footing,;!</v>
          </cell>
          <cell r="AL87" t="str">
            <v>kgs</v>
          </cell>
        </row>
        <row r="88">
          <cell r="AJ88" t="str">
            <v>STRUCTURAL,;!Rebar (Grade 80),;!RC Wall (Domestic Tank),;!</v>
          </cell>
          <cell r="AL88" t="str">
            <v>kgs</v>
          </cell>
        </row>
        <row r="89">
          <cell r="AJ89" t="str">
            <v>STRUCTURAL,;!Rebar (Grade 80),;!Footing Tie Girder,;!</v>
          </cell>
          <cell r="AL89" t="str">
            <v>kgs</v>
          </cell>
        </row>
        <row r="90">
          <cell r="AJ90" t="str">
            <v>STRUCTURAL,;!Rebar (Grade 80),;!Slab on Grade,;!</v>
          </cell>
          <cell r="AL90" t="str">
            <v>kgs</v>
          </cell>
        </row>
        <row r="91">
          <cell r="AJ91" t="str">
            <v>STRUCTURAL,;!Rebar (Grade 80),;!Shearwall,;!</v>
          </cell>
          <cell r="AL91" t="str">
            <v>kgs</v>
          </cell>
        </row>
        <row r="92">
          <cell r="AJ92" t="str">
            <v>STRUCTURAL,;!Rebar (Grade 80),;!Gravity Wall,;!</v>
          </cell>
          <cell r="AL92" t="str">
            <v>kgs</v>
          </cell>
        </row>
        <row r="93">
          <cell r="AJ93" t="str">
            <v>STRUCTURAL,;!Rebar (Grade 80),;!Beams and Girders,;!</v>
          </cell>
          <cell r="AL93" t="str">
            <v>kgs</v>
          </cell>
        </row>
        <row r="94">
          <cell r="AJ94" t="str">
            <v>STRUCTURAL,;!Rebar (Grade 80),;!Suspended Slab,;!</v>
          </cell>
          <cell r="AL94" t="str">
            <v>kgs</v>
          </cell>
        </row>
        <row r="95">
          <cell r="AJ95" t="str">
            <v>STRUCTURAL,;!Rebar (Grade 80),;!Flat Slab,;!</v>
          </cell>
          <cell r="AL95" t="str">
            <v>kgs</v>
          </cell>
        </row>
        <row r="96">
          <cell r="AJ96" t="str">
            <v>STRUCTURAL,;!Rebar (Grade 80),;!Column,;!</v>
          </cell>
          <cell r="AL96" t="str">
            <v>kgs</v>
          </cell>
        </row>
        <row r="97">
          <cell r="AJ97" t="str">
            <v>STRUCTURAL,;!Rebar (Grade 80),;!Elevator Pit Wall,;!</v>
          </cell>
          <cell r="AL97" t="str">
            <v>kgs</v>
          </cell>
        </row>
        <row r="98">
          <cell r="AJ98" t="str">
            <v>STRUCTURAL,;!Rebar (Grade 80),;!Stairs,;!</v>
          </cell>
          <cell r="AL98" t="str">
            <v>kgs</v>
          </cell>
        </row>
        <row r="99">
          <cell r="AJ99" t="str">
            <v>STRUCTURAL,;!Rebar (Grade 80),;!Hoisting Hook,;!</v>
          </cell>
          <cell r="AL99" t="str">
            <v>kgs</v>
          </cell>
        </row>
        <row r="100">
          <cell r="AJ100" t="str">
            <v>STRUCTURAL,;!Rebar (Grade 80),;!Rebar Consumables,;!</v>
          </cell>
          <cell r="AL100" t="str">
            <v>kgs</v>
          </cell>
        </row>
        <row r="101">
          <cell r="AJ101" t="str">
            <v>STRUCTURAL,;!Rebar (Grade 80),;!Rebar Coupler. 25mmØ,;!</v>
          </cell>
          <cell r="AL101" t="str">
            <v>pcs</v>
          </cell>
        </row>
        <row r="102">
          <cell r="AJ102" t="str">
            <v>STRUCTURAL,;!Rebar (Grade 80),;!SS Mortar,;!</v>
          </cell>
          <cell r="AL102" t="str">
            <v>bags</v>
          </cell>
        </row>
        <row r="103">
          <cell r="AJ103" t="str">
            <v>STRUCTURAL,;!Formworks,;!,;!</v>
          </cell>
          <cell r="AL103" t="str">
            <v>lot</v>
          </cell>
        </row>
        <row r="104">
          <cell r="AJ104" t="str">
            <v>STRUCTURAL,;!Formworks,;!Mat Footing,;!</v>
          </cell>
          <cell r="AL104" t="str">
            <v>m2</v>
          </cell>
        </row>
        <row r="105">
          <cell r="AJ105" t="str">
            <v>STRUCTURAL,;!Formworks,;!RC Wall (Domestic Tank),;!</v>
          </cell>
          <cell r="AL105" t="str">
            <v>m2</v>
          </cell>
        </row>
        <row r="106">
          <cell r="AJ106" t="str">
            <v>STRUCTURAL,;!Formworks,;!Footing Tie Girder,;!</v>
          </cell>
          <cell r="AL106" t="str">
            <v>m2</v>
          </cell>
        </row>
        <row r="107">
          <cell r="AJ107" t="str">
            <v>STRUCTURAL,;!Formworks,;!Slab on Grade,;!</v>
          </cell>
          <cell r="AL107" t="str">
            <v>m2</v>
          </cell>
        </row>
        <row r="108">
          <cell r="AJ108" t="str">
            <v>STRUCTURAL,;!Formworks,;!Shearwall,;!</v>
          </cell>
          <cell r="AL108" t="str">
            <v>m2</v>
          </cell>
        </row>
        <row r="109">
          <cell r="AJ109" t="str">
            <v>STRUCTURAL,;!Formworks,;!Gravity Wall,;!</v>
          </cell>
          <cell r="AL109" t="str">
            <v>m2</v>
          </cell>
        </row>
        <row r="110">
          <cell r="AJ110" t="str">
            <v>STRUCTURAL,;!Formworks,;!Beams and Girders,;!</v>
          </cell>
          <cell r="AL110" t="str">
            <v>m2</v>
          </cell>
        </row>
        <row r="111">
          <cell r="AJ111" t="str">
            <v>STRUCTURAL,;!Formworks,;!Suspended Slab,;!</v>
          </cell>
          <cell r="AL111" t="str">
            <v>m2</v>
          </cell>
        </row>
        <row r="112">
          <cell r="AJ112" t="str">
            <v>STRUCTURAL,;!Formworks,;!Flat Slab,;!</v>
          </cell>
          <cell r="AL112" t="str">
            <v>m2</v>
          </cell>
        </row>
        <row r="113">
          <cell r="AJ113" t="str">
            <v>STRUCTURAL,;!Formworks,;!Column,;!</v>
          </cell>
          <cell r="AL113" t="str">
            <v>m2</v>
          </cell>
        </row>
        <row r="114">
          <cell r="AJ114" t="str">
            <v>STRUCTURAL,;!Formworks,;!Elevator Pit Wall,;!</v>
          </cell>
          <cell r="AL114" t="str">
            <v>m2</v>
          </cell>
        </row>
        <row r="115">
          <cell r="AJ115" t="str">
            <v>STRUCTURAL,;!Formworks,;!Stairs,;!</v>
          </cell>
          <cell r="AL115" t="str">
            <v>m2</v>
          </cell>
        </row>
        <row r="116">
          <cell r="AJ116" t="str">
            <v>STRUCTURAL,;!Formworks,;!Formworks Consumables,;!</v>
          </cell>
          <cell r="AL116" t="str">
            <v>m2</v>
          </cell>
        </row>
        <row r="117">
          <cell r="AJ117" t="str">
            <v>STRUCTURAL,;!Formworks,;!PC Half Slab Propping,;!</v>
          </cell>
          <cell r="AL117" t="str">
            <v>m2</v>
          </cell>
        </row>
        <row r="118">
          <cell r="AJ118" t="str">
            <v>STRUCTURAL,;!Formworks,;!PC Stairs &amp; Landing (Shoring),;!</v>
          </cell>
          <cell r="AL118" t="str">
            <v>m2</v>
          </cell>
        </row>
        <row r="119">
          <cell r="AJ119" t="str">
            <v>STRUCTURAL,;!Formworks,;!PC Shearwall/Gravity Wall (Push Pull &amp; Shoe Support),;!</v>
          </cell>
          <cell r="AL119" t="str">
            <v>m2</v>
          </cell>
        </row>
        <row r="120">
          <cell r="AJ120" t="str">
            <v>STRUCTURAL,;!Formworks,;!PC Ext Wall (Push Pull &amp; Shoe Support),;!</v>
          </cell>
          <cell r="AL120" t="str">
            <v>m2</v>
          </cell>
        </row>
        <row r="121">
          <cell r="AJ121" t="str">
            <v>STRUCTURAL,;!Concrete,;!,;!</v>
          </cell>
          <cell r="AL121" t="str">
            <v>lot</v>
          </cell>
        </row>
        <row r="122">
          <cell r="AJ122" t="str">
            <v>STRUCTURAL,;!Concrete,;!Mat Footing. 6000 psi, 28 days, PCD,;!</v>
          </cell>
          <cell r="AL122" t="str">
            <v>m3</v>
          </cell>
        </row>
        <row r="123">
          <cell r="AJ123" t="str">
            <v>STRUCTURAL,;!Concrete,;!RC Wall (Domestic Tank). 6000 psi, 28 days, PCD,;!</v>
          </cell>
          <cell r="AL123" t="str">
            <v>m3</v>
          </cell>
        </row>
        <row r="124">
          <cell r="AJ124" t="str">
            <v>STRUCTURAL,;!Concrete,;!Footing Tie Girder. 6000 psi, 28 days, PCD,;!</v>
          </cell>
          <cell r="AL124" t="str">
            <v>m3</v>
          </cell>
        </row>
        <row r="125">
          <cell r="AJ125" t="str">
            <v>STRUCTURAL,;!Concrete,;!Slab on Grade. 3000 psi, 28 days, PCD,;!</v>
          </cell>
          <cell r="AL125" t="str">
            <v>m3</v>
          </cell>
        </row>
        <row r="126">
          <cell r="AJ126" t="str">
            <v>STRUCTURAL,;!Concrete,;!Shearwall. 8000 psi, 28 days, PCD,;!</v>
          </cell>
          <cell r="AL126" t="str">
            <v>m3</v>
          </cell>
        </row>
        <row r="127">
          <cell r="AJ127" t="str">
            <v>STRUCTURAL,;!Concrete,;!Gravity Wall. 6000 psi, 28 days, PCD,;!</v>
          </cell>
          <cell r="AL127" t="str">
            <v>m3</v>
          </cell>
        </row>
        <row r="128">
          <cell r="AJ128" t="str">
            <v>STRUCTURAL,;!Concrete,;!Beams and Girders. 6000 psi, 28 days, PCD,;!</v>
          </cell>
          <cell r="AL128" t="str">
            <v>m3</v>
          </cell>
        </row>
        <row r="129">
          <cell r="AJ129" t="str">
            <v>STRUCTURAL,;!Concrete,;!Suspended Slab. 6000 psi, 28 days, PCD,;!</v>
          </cell>
          <cell r="AL129" t="str">
            <v>m3</v>
          </cell>
        </row>
        <row r="130">
          <cell r="AJ130" t="str">
            <v>STRUCTURAL,;!Concrete,;!Flat Slab. 6000 psi, 28 days, PCD,;!</v>
          </cell>
          <cell r="AL130" t="str">
            <v>m3</v>
          </cell>
        </row>
        <row r="131">
          <cell r="AJ131" t="str">
            <v>STRUCTURAL,;!Concrete,;!Column. 6000 psi, 28 days, PCD,;!</v>
          </cell>
          <cell r="AL131" t="str">
            <v>m3</v>
          </cell>
        </row>
        <row r="132">
          <cell r="AJ132" t="str">
            <v>STRUCTURAL,;!Concrete,;!Elevator Pit Wall. 6000 psi, 28 days, PCD,;!</v>
          </cell>
          <cell r="AL132" t="str">
            <v>m3</v>
          </cell>
        </row>
        <row r="133">
          <cell r="AJ133" t="str">
            <v>STRUCTURAL,;!Concrete,;!Stairs. 6000 psi, 28 days, PCD,;!</v>
          </cell>
          <cell r="AL133" t="str">
            <v>m3</v>
          </cell>
        </row>
        <row r="134">
          <cell r="AJ134" t="str">
            <v>STRUCTURAL,;!Concrete,;!Concrete Consumables,;!</v>
          </cell>
          <cell r="AL134" t="str">
            <v>m3</v>
          </cell>
        </row>
        <row r="135">
          <cell r="AJ135" t="str">
            <v>STRUCTURAL,;!Concrete,;!Concrete Placing (Smooth),;!</v>
          </cell>
          <cell r="AL135" t="str">
            <v>m2</v>
          </cell>
        </row>
        <row r="136">
          <cell r="AJ136" t="str">
            <v>STRUCTURAL,;!Concrete,;!Concrete Placing (Rough),;!</v>
          </cell>
          <cell r="AL136" t="str">
            <v>m2</v>
          </cell>
        </row>
        <row r="137">
          <cell r="AJ137" t="str">
            <v>STRUCTURAL,;!Concrete,;!Concrete Pump Setup. Rental,;!</v>
          </cell>
          <cell r="AL137" t="str">
            <v>m3</v>
          </cell>
        </row>
        <row r="138">
          <cell r="AJ138" t="str">
            <v>STRUCTURAL,;!Structural Precast Works,;!,;!</v>
          </cell>
          <cell r="AL138" t="str">
            <v>lot</v>
          </cell>
        </row>
        <row r="139">
          <cell r="AJ139" t="str">
            <v>STRUCTURAL,;!Structural Precast Works,;!PC Shearwall Flat Panel 200mm thk. 8000psi. 28 days. Rebar Rate: 142.15kg/cum. Gr 75,;!</v>
          </cell>
          <cell r="AL139" t="str">
            <v>m3</v>
          </cell>
        </row>
        <row r="140">
          <cell r="AJ140" t="str">
            <v>STRUCTURAL,;!Structural Precast Works,;!PC Shearwall Flat Panel 175mm thk. 8000psi. 28 days. Rebar Rate: 78.72kg/cum. Gr 75,;!</v>
          </cell>
          <cell r="AL140" t="str">
            <v>m3</v>
          </cell>
        </row>
        <row r="141">
          <cell r="AJ141" t="str">
            <v>STRUCTURAL,;!Structural Precast Works,;!PC Shearwall Flat Panel 150mm thk. 8000psi. 28 days. Rebar Rate: 62.44kg/cum. Gr 75,;!</v>
          </cell>
          <cell r="AL141" t="str">
            <v>m3</v>
          </cell>
        </row>
        <row r="142">
          <cell r="AJ142" t="str">
            <v>STRUCTURAL,;!Structural Precast Works,;!PC Gravity Wall Flat Panel 200mm thk. 6000psi. 28 days. Rebar Rate: 56.46kg/cum. Gr 75,;!</v>
          </cell>
          <cell r="AL142" t="str">
            <v>m3</v>
          </cell>
        </row>
        <row r="143">
          <cell r="AJ143" t="str">
            <v>STRUCTURAL,;!Structural Precast Works,;!PC Gravity Wall Flat Panel 120mm thk. 6000psi. 28 days. Rebar Rate: 47.30kg/cum. Gr 75,;!</v>
          </cell>
          <cell r="AL143" t="str">
            <v>m3</v>
          </cell>
        </row>
        <row r="144">
          <cell r="AJ144" t="str">
            <v>STRUCTURAL,;!Structural Precast Works,;!PC Gravity Wall Flat Panel 100mm thk. 6000psi. 28 days. Rebar Rate: 63.19kg/cum. Gr 75,;!</v>
          </cell>
          <cell r="AL144" t="str">
            <v>m3</v>
          </cell>
        </row>
        <row r="145">
          <cell r="AJ145" t="str">
            <v>STRUCTURAL,;!Structural Precast Works,;!PC Half Slab. 70mm thk. 6000psi. 28 days with and w/o Bondbeam, Rebar Rate: 8.69kg/sqm. Gr 75,;!</v>
          </cell>
          <cell r="AL145" t="str">
            <v>m2</v>
          </cell>
        </row>
        <row r="146">
          <cell r="AJ146" t="str">
            <v>STRUCTURAL,;!Structural Precast Works,;!PC Stair Flight with groove nosing 6000psi. 28 days. Rebar Rate: 114.0kg/cum. Gr 60,;!</v>
          </cell>
          <cell r="AL146" t="str">
            <v>m3</v>
          </cell>
        </row>
        <row r="147">
          <cell r="AJ147" t="str">
            <v>STRUCTURAL,;!Structural Precast Works,;!PC Stair Landing 6000 psi. 28 dyas. Rebar Rate: 194.0kg/cum. Gr 60,;!</v>
          </cell>
          <cell r="AL147" t="str">
            <v>m3</v>
          </cell>
        </row>
        <row r="148">
          <cell r="AJ148" t="str">
            <v>STRUCTURAL,;!Structural Precast Works,;!Precast Consumables,;!</v>
          </cell>
          <cell r="AL148" t="str">
            <v>m2</v>
          </cell>
        </row>
        <row r="149">
          <cell r="AJ149" t="str">
            <v>STRUCTURAL,;!Structural Precast Works,;!PC Shoring,;!</v>
          </cell>
          <cell r="AL149" t="str">
            <v>m2</v>
          </cell>
        </row>
        <row r="150">
          <cell r="AJ150" t="str">
            <v>STRUCTURAL,;!Architectural Precast Works,;!,;!</v>
          </cell>
          <cell r="AL150" t="str">
            <v>lot</v>
          </cell>
        </row>
        <row r="151">
          <cell r="AJ151" t="str">
            <v>STRUCTURAL,;!Architectural Precast Works,;!PC Exterior Wall. Precast. 120mm thk,;!</v>
          </cell>
          <cell r="AL151" t="str">
            <v>m2</v>
          </cell>
        </row>
        <row r="152">
          <cell r="AJ152" t="str">
            <v>STRUCTURAL,;!Architectural Precast Works,;!PC Exterior/Interior Wall. Precast. 150mm thk,;!</v>
          </cell>
          <cell r="AL152" t="str">
            <v>m2</v>
          </cell>
        </row>
        <row r="153">
          <cell r="AJ153" t="str">
            <v>STRUCTURAL,;!Architectural Precast Works,;!PC Interior Wall. Precast. 100mm thk,;!</v>
          </cell>
          <cell r="AL153" t="str">
            <v>m2</v>
          </cell>
        </row>
        <row r="154">
          <cell r="AJ154" t="str">
            <v>STRUCTURAL,;!Architectural Precast Works,;!PCBU - 4000psi, 87kg/pc, 1.32mw x 2.498mL x 2.81mH &amp; 2.56MH. Wall thickness at 60mm &amp; 100mm with slab thickness of 75mm.,;!</v>
          </cell>
          <cell r="AL154" t="str">
            <v>pcs</v>
          </cell>
        </row>
        <row r="155">
          <cell r="AJ155" t="str">
            <v>STRUCTURAL,;!Architectural Precast Works,;!AAC Walls 100mm thk. T&amp;B and Pipe Chase,;!</v>
          </cell>
          <cell r="AL155" t="str">
            <v>m2</v>
          </cell>
        </row>
        <row r="156">
          <cell r="AJ156" t="str">
            <v>STRUCTURAL,;!Architectural Precast Works,;!Skimcoating. AAC Walls. T&amp;B and Pipe Chase,;!</v>
          </cell>
          <cell r="AL156" t="str">
            <v>m2</v>
          </cell>
        </row>
        <row r="157">
          <cell r="AJ157" t="str">
            <v>ARCHITECTURAL,;!,;!,;!</v>
          </cell>
          <cell r="AL157" t="str">
            <v>lot</v>
          </cell>
        </row>
        <row r="158">
          <cell r="AJ158" t="str">
            <v>ARCHITECTURAL,;!Masonry,;!,;!</v>
          </cell>
          <cell r="AL158" t="str">
            <v>lot</v>
          </cell>
        </row>
        <row r="159">
          <cell r="AJ159" t="str">
            <v>ARCHITECTURAL,;!Masonry,;!Exterior Wall. Precast. 120mm thk,;!</v>
          </cell>
          <cell r="AL159" t="str">
            <v>m2</v>
          </cell>
        </row>
        <row r="160">
          <cell r="AJ160" t="str">
            <v>ARCHITECTURAL,;!Masonry,;!Exterior/Interior Wall. Precast. 150mm thk,;!</v>
          </cell>
          <cell r="AL160" t="str">
            <v>m2</v>
          </cell>
        </row>
        <row r="161">
          <cell r="AJ161" t="str">
            <v>ARCHITECTURAL,;!Masonry,;!Interior Wall. Precast. 100mm thk,;!</v>
          </cell>
          <cell r="AL161" t="str">
            <v>m2</v>
          </cell>
        </row>
        <row r="162">
          <cell r="AJ162" t="str">
            <v>ARCHITECTURAL,;!Masonry,;!Interior Wall. Lightweight Panel. 100mm thk,;!</v>
          </cell>
          <cell r="AL162" t="str">
            <v>m2</v>
          </cell>
        </row>
        <row r="163">
          <cell r="AJ163" t="str">
            <v>ARCHITECTURAL,;!Masonry,;!Interior Wall. Lightweight Panel. 76mm thk,;!</v>
          </cell>
          <cell r="AL163" t="str">
            <v>m2</v>
          </cell>
        </row>
        <row r="164">
          <cell r="AJ164" t="str">
            <v>ARCHITECTURAL,;!Masonry,;!PBU - 4000psi, 87kg/pc, 1.32mw x 2.498mL x 2.81mH &amp; 2.56MH. Wall thickness at 60mm &amp; 100mm with slab thickness of 75mm.,;!</v>
          </cell>
          <cell r="AL164" t="str">
            <v>pcs</v>
          </cell>
        </row>
        <row r="165">
          <cell r="AJ165" t="str">
            <v>ARCHITECTURAL,;!Masonry,;!AAC Walls 100mm thk. T&amp;B and Pipe Chase,;!</v>
          </cell>
          <cell r="AL165" t="str">
            <v>m2</v>
          </cell>
        </row>
        <row r="166">
          <cell r="AJ166" t="str">
            <v>ARCHITECTURAL,;!Masonry,;!Plastering. AAC Walls. T&amp;B and Pipe Chase,;!</v>
          </cell>
          <cell r="AL166" t="str">
            <v>m2</v>
          </cell>
        </row>
        <row r="167">
          <cell r="AJ167" t="str">
            <v>ARCHITECTURAL,;!Masonry,;!Sealant Works. Exterior Wall / Exterior side of Bldg,;!</v>
          </cell>
          <cell r="AL167" t="str">
            <v>lm</v>
          </cell>
        </row>
        <row r="168">
          <cell r="AJ168" t="str">
            <v>ARCHITECTURAL,;!Masonry,;!Sealant Works. PC Interior Wall,;!</v>
          </cell>
          <cell r="AL168" t="str">
            <v>lm</v>
          </cell>
        </row>
        <row r="169">
          <cell r="AJ169" t="str">
            <v>ARCHITECTURAL,;!Masonry,;!Sealant Works. Door Sealant (3 Corner sides),;!</v>
          </cell>
          <cell r="AL169" t="str">
            <v>lm</v>
          </cell>
        </row>
        <row r="170">
          <cell r="AJ170" t="str">
            <v>ARCHITECTURAL,;!Masonry,;!Skimcoating Works. Exterior Walls,;!</v>
          </cell>
          <cell r="AL170" t="str">
            <v>m2</v>
          </cell>
        </row>
        <row r="171">
          <cell r="AJ171" t="str">
            <v>ARCHITECTURAL,;!Masonry,;!Skimcoating Works. Interior Walls,;!</v>
          </cell>
          <cell r="AL171" t="str">
            <v>m2</v>
          </cell>
        </row>
        <row r="172">
          <cell r="AJ172" t="str">
            <v>ARCHITECTURAL,;!Masonry,;!Skimcoating Works. Slab Soffit,;!</v>
          </cell>
          <cell r="AL172" t="str">
            <v>m2</v>
          </cell>
        </row>
        <row r="173">
          <cell r="AJ173" t="str">
            <v>ARCHITECTURAL,;!Masonry,;!Plain Cement Straight to Finish. WF-04,;!</v>
          </cell>
          <cell r="AL173" t="str">
            <v>m2</v>
          </cell>
        </row>
        <row r="174">
          <cell r="AJ174" t="str">
            <v>ARCHITECTURAL,;!Masonry,;!Plain Cement Concrete Finish with Waterproofing. FF-02,;!</v>
          </cell>
          <cell r="AL174" t="str">
            <v>m2</v>
          </cell>
        </row>
        <row r="175">
          <cell r="AJ175" t="str">
            <v>ARCHITECTURAL,;!Masonry,;!Straight to Finish. FF-03,;!</v>
          </cell>
          <cell r="AL175" t="str">
            <v>m2</v>
          </cell>
        </row>
        <row r="176">
          <cell r="AJ176" t="str">
            <v>ARCHITECTURAL,;!Masonry,;!Smooth Straight to Finish. FF-06,;!</v>
          </cell>
          <cell r="AL176" t="str">
            <v>m2</v>
          </cell>
        </row>
        <row r="177">
          <cell r="AJ177" t="str">
            <v>ARCHITECTURAL,;!Masonry,;!Concrete Rough Finish,;!</v>
          </cell>
          <cell r="AL177" t="str">
            <v>m2</v>
          </cell>
        </row>
        <row r="178">
          <cell r="AJ178" t="str">
            <v>ARCHITECTURAL,;!Masonry,;!Concrete Topping. 25mm thk,;!</v>
          </cell>
          <cell r="AL178" t="str">
            <v>m2</v>
          </cell>
        </row>
        <row r="179">
          <cell r="AJ179" t="str">
            <v>ARCHITECTURAL,;!Masonry,;!Masonry Concrete. Cast in Place Items. Concrete Zocalo ,;!</v>
          </cell>
          <cell r="AL179" t="str">
            <v>lm</v>
          </cell>
        </row>
        <row r="180">
          <cell r="AJ180" t="str">
            <v>ARCHITECTURAL,;!Masonry,;!Masonry Concrete. Cast in Place Items. Concrete Pad,;!</v>
          </cell>
          <cell r="AL180" t="str">
            <v>m2</v>
          </cell>
        </row>
        <row r="181">
          <cell r="AJ181" t="str">
            <v>ARCHITECTURAL,;!Stoneworks,;!,;!</v>
          </cell>
          <cell r="AL181" t="str">
            <v>lot</v>
          </cell>
        </row>
        <row r="182">
          <cell r="AJ182" t="str">
            <v>ARCHITECTURAL,;!Stoneworks,;!Granite Stone. Door Threshold. 18mm thk,;!</v>
          </cell>
          <cell r="AL182" t="str">
            <v>lm</v>
          </cell>
        </row>
        <row r="183">
          <cell r="AJ183" t="str">
            <v>ARCHITECTURAL,;!Tiling Works,;!,;!</v>
          </cell>
          <cell r="AL183" t="str">
            <v>lot</v>
          </cell>
        </row>
        <row r="184">
          <cell r="AJ184" t="str">
            <v>ARCHITECTURAL,;!Tiling Works,;!Ceramic Floor Tiles. 600mm x 600mm. Matte Finish,;!</v>
          </cell>
          <cell r="AL184" t="str">
            <v>m2</v>
          </cell>
        </row>
        <row r="185">
          <cell r="AJ185" t="str">
            <v>ARCHITECTURAL,;!Tiling Works,;!Ceramic Floor Tiles. 300mm x 600mm. Non-slip Matte Finish,;!</v>
          </cell>
          <cell r="AL185" t="str">
            <v>m2</v>
          </cell>
        </row>
        <row r="186">
          <cell r="AJ186" t="str">
            <v>ARCHITECTURAL,;!Tiling Works,;!Ceramic Wall Tiles. 300mm x 600mm. Matte Finish,;!</v>
          </cell>
          <cell r="AL186" t="str">
            <v>m2</v>
          </cell>
        </row>
        <row r="187">
          <cell r="AJ187" t="str">
            <v>ARCHITECTURAL,;!Tiling Works,;!Tileworks Consumables,;!</v>
          </cell>
          <cell r="AL187" t="str">
            <v>m2</v>
          </cell>
        </row>
        <row r="188">
          <cell r="AJ188" t="str">
            <v>ARCHITECTURAL,;!Drywall &amp; Ceiling,;!,;!</v>
          </cell>
          <cell r="AL188" t="str">
            <v>lot</v>
          </cell>
        </row>
        <row r="189">
          <cell r="AJ189" t="str">
            <v>ARCHITECTURAL,;!Drywall &amp; Ceiling,;!Drywall Partition. 12mm thk Gypsum Board on Metal Furring,;!</v>
          </cell>
          <cell r="AL189" t="str">
            <v>m2</v>
          </cell>
        </row>
        <row r="190">
          <cell r="AJ190" t="str">
            <v>ARCHITECTURAL,;!Drywall &amp; Ceiling,;!Bulkhead. 12mm thk Gypsum Board on Metal Frames,;!</v>
          </cell>
          <cell r="AL190" t="str">
            <v>m2</v>
          </cell>
        </row>
        <row r="191">
          <cell r="AJ191" t="str">
            <v>ARCHITECTURAL,;!Drywall &amp; Ceiling,;!Toilet Ledge. 12mm thk Ficem Board on Metal Frames,;!</v>
          </cell>
          <cell r="AL191" t="str">
            <v>set/s</v>
          </cell>
        </row>
        <row r="192">
          <cell r="AJ192" t="str">
            <v>ARCHITECTURAL,;!Thermal &amp; Moisture Protection,;!,;!</v>
          </cell>
          <cell r="AL192" t="str">
            <v>lot</v>
          </cell>
        </row>
        <row r="193">
          <cell r="AJ193" t="str">
            <v>ARCHITECTURAL,;!Thermal &amp; Moisture Protection,;!Flexible Cementitious Waterproofing,;!</v>
          </cell>
          <cell r="AL193" t="str">
            <v>m2</v>
          </cell>
        </row>
        <row r="194">
          <cell r="AJ194" t="str">
            <v>ARCHITECTURAL,;!Thermal &amp; Moisture Protection,;!Polyurethane Waterproofing. Exposed Type,;!</v>
          </cell>
          <cell r="AL194" t="str">
            <v>m2</v>
          </cell>
        </row>
        <row r="195">
          <cell r="AJ195" t="str">
            <v>ARCHITECTURAL,;!Thermal &amp; Moisture Protection,;!Integral Waterproofing. Hydrophobic Pore- blocking Ingredient,;!</v>
          </cell>
          <cell r="AL195" t="str">
            <v>m3</v>
          </cell>
        </row>
        <row r="196">
          <cell r="AJ196" t="str">
            <v>ARCHITECTURAL,;!Thermal &amp; Moisture Protection,;!Polyethylene Sheet. Vapor Barrier ,;!</v>
          </cell>
          <cell r="AL196" t="str">
            <v>m2</v>
          </cell>
        </row>
        <row r="197">
          <cell r="AJ197" t="str">
            <v>ARCHITECTURAL,;!Thermal &amp; Moisture Protection,;!Epoxy Tank Lining (Food Grade),;!</v>
          </cell>
          <cell r="AL197" t="str">
            <v>lm</v>
          </cell>
        </row>
        <row r="198">
          <cell r="AJ198" t="str">
            <v>ARCHITECTURAL,;!Thermal &amp; Moisture Protection,;!Bentonite Strip Water Stopper,;!</v>
          </cell>
          <cell r="AL198" t="str">
            <v>lm</v>
          </cell>
        </row>
        <row r="199">
          <cell r="AJ199" t="str">
            <v>ARCHITECTURAL,;!Doors and Jamb,;!,;!</v>
          </cell>
          <cell r="AL199" t="str">
            <v>lot</v>
          </cell>
        </row>
        <row r="200">
          <cell r="AJ200" t="str">
            <v>ARCHITECTURAL,;!Doors and Jamb,;!Unit Main Door. HDF Semi-Solid Core Swing Door. 900mmW x 2100mmH. D1,;!</v>
          </cell>
          <cell r="AL200" t="str">
            <v>set/s</v>
          </cell>
        </row>
        <row r="201">
          <cell r="AJ201" t="str">
            <v>ARCHITECTURAL,;!Doors and Jamb,;!Unit T&amp;B Door. PVC Door with Louver. 700mmW x 2100mmH. D2,;!</v>
          </cell>
          <cell r="AL201" t="str">
            <v>set/s</v>
          </cell>
        </row>
        <row r="202">
          <cell r="AJ202" t="str">
            <v>ARCHITECTURAL,;!Doors and Jamb,;!Fire Exit Door. Fire Rated Galvanized Steel Door. 900mmW x 2100mmH. D3,;!</v>
          </cell>
          <cell r="AL202" t="str">
            <v>set/s</v>
          </cell>
        </row>
        <row r="203">
          <cell r="AJ203" t="str">
            <v>ARCHITECTURAL,;!Doors and Jamb,;!FCC/Storage Door. Galvanized Steel Door. 900mmW x 2100mmH. D4,;!</v>
          </cell>
          <cell r="AL203" t="str">
            <v>set/s</v>
          </cell>
        </row>
        <row r="204">
          <cell r="AJ204" t="str">
            <v>ARCHITECTURAL,;!Doors and Jamb,;!Roof Deck Elev Lobby. Galvanized Double Steel Swing Door. 1800mmW x 2100mmH. D4A,;!</v>
          </cell>
          <cell r="AL204" t="str">
            <v>set/s</v>
          </cell>
        </row>
        <row r="205">
          <cell r="AJ205" t="str">
            <v>ARCHITECTURAL,;!Doors and Jamb,;!Utility Room Door. Galvanized Steel Door, Full Louvered Inverted Z Louver Blade. 900mmW x 2100mmH. D5,;!</v>
          </cell>
          <cell r="AL205" t="str">
            <v>set/s</v>
          </cell>
        </row>
        <row r="206">
          <cell r="AJ206" t="str">
            <v>ARCHITECTURAL,;!Doors and Jamb,;!Genset/TVR Door. Galvanized Steel Door, Full Louvered Storm Louver. 3000mmW x 2100mmH. D6,;!</v>
          </cell>
          <cell r="AL206" t="str">
            <v>set/s</v>
          </cell>
        </row>
        <row r="207">
          <cell r="AJ207" t="str">
            <v>ARCHITECTURAL,;!Doors and Jamb,;!Pipe Chase Door. Ficem Board Door. 800mmW x 600mmH. PC1,;!</v>
          </cell>
          <cell r="AL207" t="str">
            <v>set/s</v>
          </cell>
        </row>
        <row r="208">
          <cell r="AJ208" t="str">
            <v>ARCHITECTURAL,;!Doors and Jamb,;!Pipe Chase Door. Ficem Board Door. 680mmW x 600mmH. PC2,;!</v>
          </cell>
          <cell r="AL208" t="str">
            <v>set/s</v>
          </cell>
        </row>
        <row r="209">
          <cell r="AJ209" t="str">
            <v>ARCHITECTURAL,;!Hardwares,;!,;!</v>
          </cell>
          <cell r="AL209" t="str">
            <v>lot</v>
          </cell>
        </row>
        <row r="210">
          <cell r="AJ210" t="str">
            <v>ARCHITECTURAL,;!Hardwares,;!Hinges. 3-4"x4"x3mm x 4BB S/S Hinges,;!</v>
          </cell>
          <cell r="AL210" t="str">
            <v>set/s</v>
          </cell>
        </row>
        <row r="211">
          <cell r="AJ211" t="str">
            <v>ARCHITECTURAL,;!Hardwares,;!Hinges. Piano Hinge,;!</v>
          </cell>
          <cell r="AL211" t="str">
            <v>set/s</v>
          </cell>
        </row>
        <row r="212">
          <cell r="AJ212" t="str">
            <v>ARCHITECTURAL,;!Hardwares,;!Rim Fire Exit Device,;!</v>
          </cell>
          <cell r="AL212" t="str">
            <v>set/s</v>
          </cell>
        </row>
        <row r="213">
          <cell r="AJ213" t="str">
            <v>ARCHITECTURAL,;!Hardwares,;!Tri Pack Door Closer,;!</v>
          </cell>
          <cell r="AL213" t="str">
            <v>set/s</v>
          </cell>
        </row>
        <row r="214">
          <cell r="AJ214" t="str">
            <v>ARCHITECTURAL,;!Hardwares,;!Lockset. Flush Type Door Handle Lockset,;!</v>
          </cell>
          <cell r="AL214" t="str">
            <v>set/s</v>
          </cell>
        </row>
        <row r="215">
          <cell r="AJ215" t="str">
            <v>ARCHITECTURAL,;!Hardwares,;!Lockset. Cylindrical Lever Lockset, Storeroom Function, Grade 2, Satin Chrome Finish,;!</v>
          </cell>
          <cell r="AL215" t="str">
            <v>set/s</v>
          </cell>
        </row>
        <row r="216">
          <cell r="AJ216" t="str">
            <v>ARCHITECTURAL,;!Hardwares,;!Lockset. Cylindrical Lever Lockset, Entrance Function, Grade 2, Satin Chrome Finish,;!</v>
          </cell>
          <cell r="AL216" t="str">
            <v>set/s</v>
          </cell>
        </row>
        <row r="217">
          <cell r="AJ217" t="str">
            <v>ARCHITECTURAL,;!Hardwares,;!Lockset. Lever Type Lockset, Entrance Function Grade 2, UL Listed Satin Chrome Finish,;!</v>
          </cell>
          <cell r="AL217" t="str">
            <v>set/s</v>
          </cell>
        </row>
        <row r="218">
          <cell r="AJ218" t="str">
            <v>ARCHITECTURAL,;!Hardwares,;!Concealed Door Closer,;!</v>
          </cell>
          <cell r="AL218" t="str">
            <v>set/s</v>
          </cell>
        </row>
        <row r="219">
          <cell r="AJ219" t="str">
            <v>ARCHITECTURAL,;!Hardwares,;!Privacy Function, Thumbturn Inside , Emergency Quick Release Outside, Cylindrical Lever Lockset, Grade 2,;!</v>
          </cell>
          <cell r="AL219" t="str">
            <v>set/s</v>
          </cell>
        </row>
        <row r="220">
          <cell r="AJ220" t="str">
            <v>ARCHITECTURAL,;!Hardwares,;!Camlock (Keyed Type) w/ S.S Automatic Rebound Latch,;!</v>
          </cell>
          <cell r="AL220" t="str">
            <v>set/s</v>
          </cell>
        </row>
        <row r="221">
          <cell r="AJ221" t="str">
            <v>ARCHITECTURAL,;!Hardwares,;!Camlock (Keyed Type),;!</v>
          </cell>
          <cell r="AL221" t="str">
            <v>set/s</v>
          </cell>
        </row>
        <row r="222">
          <cell r="AJ222" t="str">
            <v>ARCHITECTURAL,;!Hardwares,;!S.S Cylindrical Cupboard Knob (Satin Brushed Fin.),;!</v>
          </cell>
          <cell r="AL222" t="str">
            <v>set/s</v>
          </cell>
        </row>
        <row r="223">
          <cell r="AJ223" t="str">
            <v>ARCHITECTURAL,;!Metal Works,;!,;!</v>
          </cell>
          <cell r="AL223" t="str">
            <v>lot</v>
          </cell>
        </row>
        <row r="224">
          <cell r="AJ224" t="str">
            <v>ARCHITECTURAL,;!Metal Works,;!Railings. Floor Mounted. 38 mm dia. G.I Pipe Handrail, 25mm dia Solid Round Bar Diagonal Support, 25mm dia Flat bar Vertical Support, Painted at Fire Exit,;!</v>
          </cell>
          <cell r="AL224" t="str">
            <v>lm</v>
          </cell>
        </row>
        <row r="225">
          <cell r="AJ225" t="str">
            <v>ARCHITECTURAL,;!Metal Works,;!Railings. Wall Mounted. 38 mm dia. G.I Pipe Handrail, 25mm dia Solid Round Bar Diagonal Support, 25mm dia Flat bar Vertical Support, Painted at Fire Exit,;!</v>
          </cell>
          <cell r="AL225" t="str">
            <v>lm</v>
          </cell>
        </row>
        <row r="226">
          <cell r="AJ226" t="str">
            <v>ARCHITECTURAL,;!Metal Works,;!Stair Nosing. 50 x 50 x 6mm thk Angle Bar,;!</v>
          </cell>
          <cell r="AL226" t="str">
            <v>lm</v>
          </cell>
        </row>
        <row r="227">
          <cell r="AJ227" t="str">
            <v>ARCHITECTURAL,;!Metal Works,;!Drying Cage. 4" x 4" Galvanized Mesh with Round Tubular,,;!</v>
          </cell>
          <cell r="AL227" t="str">
            <v>set/s</v>
          </cell>
        </row>
        <row r="228">
          <cell r="AJ228" t="str">
            <v>ARCHITECTURAL,;!Metal Works,;!ACU Metal Ledge. 75mm Thk x 0.6mW  x 1.5mL (Drip Pan),;!</v>
          </cell>
          <cell r="AL228" t="str">
            <v>set/s</v>
          </cell>
        </row>
        <row r="229">
          <cell r="AJ229" t="str">
            <v>ARCHITECTURAL,;!Metal Works,;!Ladder Rung. 20mmØ Stainless Steel Ladder Rung (Type to 2 No.),;!</v>
          </cell>
          <cell r="AL229" t="str">
            <v>pcs</v>
          </cell>
        </row>
        <row r="230">
          <cell r="AJ230" t="str">
            <v>ARCHITECTURAL,;!Metal Works,;!Ladder Rung. 16mmØ Hot Dipped Galvanized Round Bar spaced @ 300mm, Painted,;!</v>
          </cell>
          <cell r="AL230" t="str">
            <v>pcs</v>
          </cell>
        </row>
        <row r="231">
          <cell r="AJ231" t="str">
            <v>ARCHITECTURAL,;!Metal Works,;!Manhole Cover. 600mm x 600mm (Type to 2 No.),;!</v>
          </cell>
          <cell r="AL231" t="str">
            <v>pcs</v>
          </cell>
        </row>
        <row r="232">
          <cell r="AJ232" t="str">
            <v>ARCHITECTURAL,;!Metal Works,;!Access Ladder,;!</v>
          </cell>
          <cell r="AL232" t="str">
            <v>pcs</v>
          </cell>
        </row>
        <row r="233">
          <cell r="AJ233" t="str">
            <v>ARCHITECTURAL,;!Metal Works,;!Elevator Separator I-Beam. 100mm x 200mm,;!</v>
          </cell>
          <cell r="AL233" t="str">
            <v>set/s</v>
          </cell>
        </row>
        <row r="234">
          <cell r="AJ234" t="str">
            <v>ARCHITECTURAL,;!Painting Works,;!,;!</v>
          </cell>
          <cell r="AL234" t="str">
            <v>lot</v>
          </cell>
        </row>
        <row r="235">
          <cell r="AJ235" t="str">
            <v>ARCHITECTURAL,;!Painting Works,;!Exterior Wall Paint. Elastomeric Paint,;!</v>
          </cell>
          <cell r="AL235" t="str">
            <v>m2</v>
          </cell>
        </row>
        <row r="236">
          <cell r="AJ236" t="str">
            <v>ARCHITECTURAL,;!Painting Works,;!Interior Wall Paint. Semi-Gloss Latex Paint,;!</v>
          </cell>
          <cell r="AL236" t="str">
            <v>m2</v>
          </cell>
        </row>
        <row r="237">
          <cell r="AJ237" t="str">
            <v>ARCHITECTURAL,;!Painting Works,;!Interior Ceiling Paint. Flat Latex Paint,;!</v>
          </cell>
          <cell r="AL237" t="str">
            <v>m2</v>
          </cell>
        </row>
        <row r="238">
          <cell r="AJ238" t="str">
            <v>ARCHITECTURAL,;!Painting Works,;!Interior Bulkhead Paint.  Semi-Gloss Latex Paint,;!</v>
          </cell>
          <cell r="AL238" t="str">
            <v>m2</v>
          </cell>
        </row>
        <row r="239">
          <cell r="AJ239" t="str">
            <v>ARCHITECTURAL,;!Painting Works,;!Epoxy Paint. Epoxy Primer Lacquer Paint Finish at Railings,;!</v>
          </cell>
          <cell r="AL239" t="str">
            <v>lm</v>
          </cell>
        </row>
        <row r="240">
          <cell r="AJ240" t="str">
            <v>ARCHITECTURAL,;!Aluminum Glass &amp; Glazing Works,;!,;!</v>
          </cell>
          <cell r="AL240" t="str">
            <v>lot</v>
          </cell>
        </row>
        <row r="241">
          <cell r="AJ241" t="str">
            <v>ARCHITECTURAL,;!Aluminum Glass &amp; Glazing Works,;!Unit Bedroom. Aluminum Framed Fixed and Awning Window. 6-8mm thk Tempered Glass. Powder Coated Finish. 900mmW x 1500mmH. W1,;!</v>
          </cell>
          <cell r="AL241" t="str">
            <v>set/s</v>
          </cell>
        </row>
        <row r="242">
          <cell r="AJ242" t="str">
            <v>ARCHITECTURAL,;!Aluminum Glass &amp; Glazing Works,;!Unit Bedroom. Aluminum Framed Fixed and Awning Window. 6-8mm thk Tempered Glass. Powder Coated Finish. 1600mmW x 1500mmH. W2,;!</v>
          </cell>
          <cell r="AL242" t="str">
            <v>set/s</v>
          </cell>
        </row>
        <row r="243">
          <cell r="AJ243" t="str">
            <v>ARCHITECTURAL,;!Aluminum Glass &amp; Glazing Works,;!Elevator Lobby. Aluminum Framed Fixed Open Awning Window. 6-8mm thk Tempered Glass. Powder Coated Finish. 2700mmW x 1500mmH. W3,;!</v>
          </cell>
          <cell r="AL243" t="str">
            <v>set/s</v>
          </cell>
        </row>
        <row r="244">
          <cell r="AJ244" t="str">
            <v>ARCHITECTURAL,;!Cabinetry,;!,;!</v>
          </cell>
          <cell r="AL244" t="str">
            <v>lot</v>
          </cell>
        </row>
        <row r="245">
          <cell r="AJ245" t="str">
            <v>ARCHITECTURAL,;!Cabinetry,;!Kitchen  Base Cabinet in MFC Board with Concealed Hinge, 12mm thk Natural Granite Countertop and 100 mm high splashboard,;!</v>
          </cell>
          <cell r="AL245" t="str">
            <v>set/s</v>
          </cell>
        </row>
        <row r="246">
          <cell r="AJ246" t="str">
            <v>ARCHITECTURAL,;!Specialties,;!,;!</v>
          </cell>
          <cell r="AL246" t="str">
            <v>lot</v>
          </cell>
        </row>
        <row r="247">
          <cell r="AJ247" t="str">
            <v>ARCHITECTURAL,;!Specialties,;!Room Number. Signages,;!</v>
          </cell>
          <cell r="AL247" t="str">
            <v>set/s</v>
          </cell>
        </row>
        <row r="248">
          <cell r="AJ248" t="str">
            <v>ARCHITECTURAL,;!Plumbing Fixtures ,;!,;!</v>
          </cell>
          <cell r="AL248" t="str">
            <v>lot</v>
          </cell>
        </row>
        <row r="249">
          <cell r="AJ249" t="str">
            <v>ARCHITECTURAL,;!Plumbing Fixtures ,;!Floor Mounted, Wall Discharge Water Closet with tank, 1 piece (Square-ish design) ,;!</v>
          </cell>
          <cell r="AL249" t="str">
            <v>set/s</v>
          </cell>
        </row>
        <row r="250">
          <cell r="AJ250" t="str">
            <v>ARCHITECTURAL,;!Plumbing Fixtures ,;!Wall Hung Lavatory (Square-ish design) with complete accessories,;!</v>
          </cell>
          <cell r="AL250" t="str">
            <v>set/s</v>
          </cell>
        </row>
        <row r="251">
          <cell r="AJ251" t="str">
            <v>ARCHITECTURAL,;!Plumbing Fixtures ,;!Single Lever, Single line Faucet SS satin or Chrome Finish,;!</v>
          </cell>
          <cell r="AL251" t="str">
            <v>set/s</v>
          </cell>
        </row>
        <row r="252">
          <cell r="AJ252" t="str">
            <v>ARCHITECTURAL,;!Plumbing Fixtures ,;!Stainless steel, handheld telephone-type shower head with shower bar,;!</v>
          </cell>
          <cell r="AL252" t="str">
            <v>set/s</v>
          </cell>
        </row>
        <row r="253">
          <cell r="AJ253" t="str">
            <v>ARCHITECTURAL,;!Plumbing Fixtures ,;!Spray Bidet, Stainless Steel Satin or Chrome finish,;!</v>
          </cell>
          <cell r="AL253" t="str">
            <v>set/s</v>
          </cell>
        </row>
        <row r="254">
          <cell r="AJ254" t="str">
            <v>ARCHITECTURAL,;!Plumbing Fixtures ,;!Toilet Paper Holder, Stainless Steel Satin or Chrome finish,;!</v>
          </cell>
          <cell r="AL254" t="str">
            <v>set/s</v>
          </cell>
        </row>
        <row r="255">
          <cell r="AJ255" t="str">
            <v>ARCHITECTURAL,;!Plumbing Fixtures ,;!Soapholder, Stainless Steel Satin or Chrome finish,;!</v>
          </cell>
          <cell r="AL255" t="str">
            <v>set/s</v>
          </cell>
        </row>
        <row r="256">
          <cell r="AJ256" t="str">
            <v>ARCHITECTURAL,;!Plumbing Fixtures ,;!Kitchen Sink w/ Faucet and accessories,;!</v>
          </cell>
          <cell r="AL256" t="str">
            <v>set/s</v>
          </cell>
        </row>
        <row r="257">
          <cell r="AJ257" t="str">
            <v>MECHANICAL,;!,;!,;!</v>
          </cell>
          <cell r="AL257" t="str">
            <v>lot</v>
          </cell>
        </row>
        <row r="258">
          <cell r="AJ258" t="str">
            <v>MECHANICAL,;!Air Conditioning,;!,;!</v>
          </cell>
          <cell r="AL258" t="str">
            <v>lot</v>
          </cell>
        </row>
        <row r="259">
          <cell r="AJ259" t="str">
            <v>MECHANICAL,;!Air Conditioning,;!FCU/ACCU- GF-FCC 1.0TR, 1.5HP, 230V/1PH/60HZ Split Type Wall Mounted ,;!</v>
          </cell>
          <cell r="AL259" t="str">
            <v>set/s</v>
          </cell>
        </row>
        <row r="260">
          <cell r="AJ260" t="str">
            <v>MECHANICAL,;!Air Conditioning,;!FCU/ACCU- GF-TELCO 1.0TR, 1.5HP, 230V/1PH/60HZ Split Type Wall Mounted ,;!</v>
          </cell>
          <cell r="AL260" t="str">
            <v>set/s</v>
          </cell>
        </row>
        <row r="261">
          <cell r="AJ261" t="str">
            <v>MECHANICAL,;!Air Conditioning,;!FCU/ACCU- GF-WET, 0.8TR, 1.0HP, 230V/1PH/60HZ Split Type Wall Mounted ,;!</v>
          </cell>
          <cell r="AL261" t="str">
            <v>set/s</v>
          </cell>
        </row>
        <row r="262">
          <cell r="AJ262" t="str">
            <v>MECHANICAL,;!Air Conditioning,;!WACU-1, 1.2TR, 1.5HP, 230V/1PH/60HZ Window Type - By Tenant,;!</v>
          </cell>
          <cell r="AL262" t="str">
            <v>set/s</v>
          </cell>
        </row>
        <row r="263">
          <cell r="AJ263" t="str">
            <v>MECHANICAL,;!Air Conditioning,;!WACU-2, 2.0TR, 2.5HP, 230V/1PH/60HZ Window Type - By Tenant,;!</v>
          </cell>
          <cell r="AL263" t="str">
            <v>set/s</v>
          </cell>
        </row>
        <row r="264">
          <cell r="AJ264" t="str">
            <v>MECHANICAL,;!Ventilation Fan,;!,;!</v>
          </cell>
          <cell r="AL264" t="str">
            <v>lot</v>
          </cell>
        </row>
        <row r="265">
          <cell r="AJ265" t="str">
            <v>MECHANICAL,;!Ventilation Fan,;!TEF-1, 50CFM, 230V/1PH/60HZ, Wall Mounted Ducted,;!</v>
          </cell>
          <cell r="AL265" t="str">
            <v>set/s</v>
          </cell>
        </row>
        <row r="266">
          <cell r="AJ266" t="str">
            <v>MECHANICAL,;!Ventilation Fan,;!RH-1, 200CFM, 230V/1PH/60HZ Ducted Rangehood,;!</v>
          </cell>
          <cell r="AL266" t="str">
            <v>set/s</v>
          </cell>
        </row>
        <row r="267">
          <cell r="AJ267" t="str">
            <v>MECHANICAL,;!Ventilation Fan,;!SPF-1/2-DOSW, 16,000CFM, 400V/3PH/60HZ, Centrifugal Floor Mount,;!</v>
          </cell>
          <cell r="AL267" t="str">
            <v>set/s</v>
          </cell>
        </row>
        <row r="268">
          <cell r="AJ268" t="str">
            <v>MECHANICAL,;!Ventilation Fan,;!EPF-DOEL, 13,100CFM, 400V/3PH/60HZ, Centrifugal Floor Mount,;!</v>
          </cell>
          <cell r="AL268" t="str">
            <v>set/s</v>
          </cell>
        </row>
        <row r="269">
          <cell r="AJ269" t="str">
            <v>MECHANICAL,;!Ventilation Fan,;!EF-GF-MEE, 500CFM, 230V/1PH/60HZ, Wall Mounted Propeller,;!</v>
          </cell>
          <cell r="AL269" t="str">
            <v>set/s</v>
          </cell>
        </row>
        <row r="270">
          <cell r="AJ270" t="str">
            <v>MECHANICAL,;!Ventilation Fan,;!EF-GF-MEE, 250CFM, 230V/1PH/60HZ, Wall Mounted Propeller,;!</v>
          </cell>
          <cell r="AL270" t="str">
            <v>set/s</v>
          </cell>
        </row>
        <row r="271">
          <cell r="AJ271" t="str">
            <v>MECHANICAL,;!Ventilation Fan,;!EF-GF-MRF, 350CFM, 230V/1PH/60HZ, Wall Mounted Propeller,;!</v>
          </cell>
          <cell r="AL271" t="str">
            <v>set/s</v>
          </cell>
        </row>
        <row r="272">
          <cell r="AJ272" t="str">
            <v>MECHANICAL,;!Ventilation Fan,;!EF-GF-MRF, 300CFM, 230V/1PH/60HZ, Wall Mounted Propeller,;!</v>
          </cell>
          <cell r="AL272" t="str">
            <v>set/s</v>
          </cell>
        </row>
        <row r="273">
          <cell r="AJ273" t="str">
            <v>MECHANICAL,;!Ventilation Fan,;!EF-RD-PASS, 4600CFM, 230V/1PH/60HZ, Wall Mounted Propeller,;!</v>
          </cell>
          <cell r="AL273" t="str">
            <v>set/s</v>
          </cell>
        </row>
        <row r="274">
          <cell r="AJ274" t="str">
            <v>MECHANICAL,;!Ventilation Fan,;!EF-TEL, 250CFM, 230V/1PH/60HZ, Wall Mounted Propeller,;!</v>
          </cell>
          <cell r="AL274" t="str">
            <v>set/s</v>
          </cell>
        </row>
        <row r="275">
          <cell r="AJ275" t="str">
            <v>MECHANICAL,;!Ventilation Fan,;!EF-Genset, 500CFM, 230V/1PH/60HZ, Wall Mounted Propeller,;!</v>
          </cell>
          <cell r="AL275" t="str">
            <v>set/s</v>
          </cell>
        </row>
        <row r="276">
          <cell r="AJ276" t="str">
            <v>MECHANICAL,;!Ventilation Fan,;!EF-Domestic tank, 250CFM, 230V/1PH/60HZ, Wall Mounted Propeller,;!</v>
          </cell>
          <cell r="AL276" t="str">
            <v>set/s</v>
          </cell>
        </row>
        <row r="277">
          <cell r="AJ277" t="str">
            <v>MECHANICAL,;!Ventilation Fan,;!EF-GEN, 1400CFM, 230V/1PH/60HZ, Wall Mounted Propeller,;!</v>
          </cell>
          <cell r="AL277" t="str">
            <v>set/s</v>
          </cell>
        </row>
        <row r="278">
          <cell r="AJ278" t="str">
            <v>MECHANICAL,;!Ventilation Fan,;!EF-TVR, 2500CFM, 230V/1PH/60HZ, Wall Mounted Propeller,;!</v>
          </cell>
          <cell r="AL278" t="str">
            <v>set/s</v>
          </cell>
        </row>
        <row r="279">
          <cell r="AJ279" t="str">
            <v>MECHANICAL,;!Ventilation Fan,;!EF-PMP, 300CFM, 230V/1PH/60HZ, Wall Mounted Propeller,;!</v>
          </cell>
          <cell r="AL279" t="str">
            <v>set/s</v>
          </cell>
        </row>
        <row r="280">
          <cell r="AJ280" t="str">
            <v>MECHANICAL,;!Refrigerant Pipe Works,;!,;!</v>
          </cell>
          <cell r="AL280" t="str">
            <v>lot</v>
          </cell>
        </row>
        <row r="281">
          <cell r="AJ281" t="str">
            <v>MECHANICAL,;!Refrigerant Pipe Works,;!Refrigerant Pipe, fittings and Insulation,;!</v>
          </cell>
          <cell r="AL281" t="str">
            <v>lot</v>
          </cell>
        </row>
        <row r="282">
          <cell r="AJ282" t="str">
            <v>MECHANICAL,;!Refrigerant Pipe Works,;!Refrigerant Pipe, fittings and Insulation,;!3/8" Copper Pipe Type L, with fittings/insulation</v>
          </cell>
          <cell r="AL282" t="str">
            <v>lm</v>
          </cell>
        </row>
        <row r="283">
          <cell r="AJ283" t="str">
            <v>MECHANICAL,;!Refrigerant Pipe Works,;!Refrigerant Pipe, fittings and Insulation,;!1/4" Copper Pipe Type L, with fittings/insulation</v>
          </cell>
          <cell r="AL283" t="str">
            <v>lm</v>
          </cell>
        </row>
        <row r="284">
          <cell r="AJ284" t="str">
            <v>MECHANICAL,;!Refrigerant Pipe Works,;!Electrical Works,;!</v>
          </cell>
          <cell r="AL284" t="str">
            <v>lot</v>
          </cell>
        </row>
        <row r="285">
          <cell r="AJ285" t="str">
            <v>MECHANICAL,;!Refrigerant Pipe Works,;!Electrical Works,;!ECB</v>
          </cell>
          <cell r="AL285" t="str">
            <v>assy</v>
          </cell>
        </row>
        <row r="286">
          <cell r="AJ286" t="str">
            <v>MECHANICAL,;!Refrigerant Pipe Works,;!Electrical Works,;!3.5mm2 THHN</v>
          </cell>
          <cell r="AL286" t="str">
            <v>lm</v>
          </cell>
        </row>
        <row r="287">
          <cell r="AJ287" t="str">
            <v>MECHANICAL,;!Refrigerant Pipe Works,;!Electrical Works,;!20mmØ PVC Pipe  including fittings</v>
          </cell>
          <cell r="AL287" t="str">
            <v>lm</v>
          </cell>
        </row>
        <row r="288">
          <cell r="AJ288" t="str">
            <v>MECHANICAL,;!Exhaust Air Duct,;!,;!</v>
          </cell>
          <cell r="AL288" t="str">
            <v>lot</v>
          </cell>
        </row>
        <row r="289">
          <cell r="AJ289" t="str">
            <v>MECHANICAL,;!Exhaust Air Duct,;!Exhaust Air Duct Branches,;!</v>
          </cell>
          <cell r="AL289" t="str">
            <v>lot</v>
          </cell>
        </row>
        <row r="290">
          <cell r="AJ290" t="str">
            <v>MECHANICAL,;!Exhaust Air Duct,;!Exhaust Air Duct Branches,;!GI Sheet Gauge 22 (600x350mm)</v>
          </cell>
          <cell r="AL290" t="str">
            <v>shts</v>
          </cell>
        </row>
        <row r="291">
          <cell r="AJ291" t="str">
            <v>MECHANICAL,;!Exhaust Air Duct,;!Exhaust Air Duct Miscellaneous and Accessories ,;!</v>
          </cell>
          <cell r="AL291" t="str">
            <v>lot</v>
          </cell>
        </row>
        <row r="292">
          <cell r="AJ292" t="str">
            <v>MECHANICAL,;!Exhaust Air Duct,;!Exhaust Air Duct Miscellaneous and Accessories ,;!Slave Thermostat</v>
          </cell>
          <cell r="AL292" t="str">
            <v>set/s</v>
          </cell>
        </row>
        <row r="293">
          <cell r="AJ293" t="str">
            <v>MECHANICAL,;!Exhaust Air Duct,;!Exhaust Air Duct Miscellaneous and Accessories ,;!Master Thermostat</v>
          </cell>
          <cell r="AL293" t="str">
            <v>set/s</v>
          </cell>
        </row>
        <row r="294">
          <cell r="AJ294" t="str">
            <v>MECHANICAL,;!Exhaust Air Duct,;!Exhaust Air Duct Miscellaneous and Accessories ,;!Thermostat</v>
          </cell>
          <cell r="AL294" t="str">
            <v>set/s</v>
          </cell>
        </row>
        <row r="295">
          <cell r="AJ295" t="str">
            <v>MECHANICAL,;!Toilet Exhaust  Air Duct ,;!,;!</v>
          </cell>
          <cell r="AL295" t="str">
            <v>lot</v>
          </cell>
        </row>
        <row r="296">
          <cell r="AJ296" t="str">
            <v>MECHANICAL,;!Toilet Exhaust  Air Duct ,;!TED -100mm dia. PVC Pipe ,;!</v>
          </cell>
          <cell r="AL296" t="str">
            <v>lm</v>
          </cell>
        </row>
        <row r="297">
          <cell r="AJ297" t="str">
            <v>MECHANICAL,;!Toilet Exhaust  Air Duct ,;!100Ø Vent Cap w/ S/S Wiremesh Insect Screen,;!</v>
          </cell>
          <cell r="AL297" t="str">
            <v>set/s</v>
          </cell>
        </row>
        <row r="298">
          <cell r="AJ298" t="str">
            <v>MECHANICAL,;!Kitchen Exhaust  Air Duct ,;!,;!</v>
          </cell>
          <cell r="AL298" t="str">
            <v>lot</v>
          </cell>
        </row>
        <row r="299">
          <cell r="AJ299" t="str">
            <v>MECHANICAL,;!Kitchen Exhaust  Air Duct ,;!KED -150mm dia. PVC Pipe ,;!</v>
          </cell>
          <cell r="AL299" t="str">
            <v>lm</v>
          </cell>
        </row>
        <row r="300">
          <cell r="AJ300" t="str">
            <v>MECHANICAL,;!Kitchen Exhaust  Air Duct ,;!150mm dia. Flexible Duct Connecttor,;!</v>
          </cell>
          <cell r="AL300" t="str">
            <v>pcs</v>
          </cell>
        </row>
        <row r="301">
          <cell r="AJ301" t="str">
            <v>MECHANICAL,;!Kitchen Exhaust  Air Duct ,;!150Ø Vent Cap w/ S/S Wiremesh Insect Screen,;!</v>
          </cell>
          <cell r="AL301" t="str">
            <v>set/s</v>
          </cell>
        </row>
        <row r="302">
          <cell r="AJ302" t="str">
            <v>MECHANICAL,;!Stair Pressurization Air Duct,;!,;!</v>
          </cell>
          <cell r="AL302" t="str">
            <v>lot</v>
          </cell>
        </row>
        <row r="303">
          <cell r="AJ303" t="str">
            <v>MECHANICAL,;!Stair Pressurization Air Duct,;!Stair Pressurization Duct Riser ,;!</v>
          </cell>
          <cell r="AL303" t="str">
            <v>lot</v>
          </cell>
        </row>
        <row r="304">
          <cell r="AJ304" t="str">
            <v>MECHANICAL,;!Stair Pressurization Air Duct,;!Stair Pressurization Duct Riser ,;!GI Sheet Gauge 22 (800x750mm)</v>
          </cell>
          <cell r="AL304" t="str">
            <v>shts</v>
          </cell>
        </row>
        <row r="305">
          <cell r="AJ305" t="str">
            <v>MECHANICAL,;!Stair Pressurization Air Duct,;!Stair Pressurization Duct Riser ,;!GI Sheet Gauge 22 (800x550mm)</v>
          </cell>
          <cell r="AL305" t="str">
            <v>shts</v>
          </cell>
        </row>
        <row r="306">
          <cell r="AJ306" t="str">
            <v>MECHANICAL,;!Stair Pressurization Air Duct,;!Stair Pressurization Duct Riser ,;!GI Sheet Gauge 22 (800x350mm)</v>
          </cell>
          <cell r="AL306" t="str">
            <v>shts</v>
          </cell>
        </row>
        <row r="307">
          <cell r="AJ307" t="str">
            <v>MECHANICAL,;!Stair Pressurization Air Duct,;!Stair Pressurization Duct Riser ,;!GI Sheet Gauge 22 (900x700mm)</v>
          </cell>
          <cell r="AL307" t="str">
            <v>shts</v>
          </cell>
        </row>
        <row r="308">
          <cell r="AJ308" t="str">
            <v>MECHANICAL,;!Stair Pressurization Air Duct,;!Stair Pressurization Duct Riser ,;!GI Sheet Gauge 22 (900x600mm)</v>
          </cell>
          <cell r="AL308" t="str">
            <v>shts</v>
          </cell>
        </row>
        <row r="309">
          <cell r="AJ309" t="str">
            <v>MECHANICAL,;!Stair Pressurization Air Duct,;!Stair Pressurization Duct Riser ,;!GI Sheet Gauge 22 (800x400mm)</v>
          </cell>
          <cell r="AL309" t="str">
            <v>shts</v>
          </cell>
        </row>
        <row r="310">
          <cell r="AJ310" t="str">
            <v>MECHANICAL,;!Stair Pressurization Air Duct,;!Stair Pressurization Miscellaneous and Accessories ,;!</v>
          </cell>
          <cell r="AL310" t="str">
            <v>lot</v>
          </cell>
        </row>
        <row r="311">
          <cell r="AJ311" t="str">
            <v>MECHANICAL,;!Stair Pressurization Air Duct,;!Stair Pressurization Miscellaneous and Accessories ,;!800x1000mm Pressurization Supply Air Grille w/ OBVD @ 2500CMH</v>
          </cell>
          <cell r="AL311" t="str">
            <v>set/s</v>
          </cell>
        </row>
        <row r="312">
          <cell r="AJ312" t="str">
            <v>MECHANICAL,;!Stair Pressurization Air Duct,;!Stair Pressurization Miscellaneous and Accessories ,;!1000x800 Relief Air Grille w/ SS 304 Insect Screen and Rangehood</v>
          </cell>
          <cell r="AL312" t="str">
            <v>set/s</v>
          </cell>
        </row>
        <row r="313">
          <cell r="AJ313" t="str">
            <v>MECHANICAL,;!Stair Pressurization Air Duct,;!Stair Pressurization Miscellaneous and Accessories ,;!500x650mm Pressurization Supply Air Grille w/ OBVD @ 1060CFM</v>
          </cell>
          <cell r="AL313" t="str">
            <v>set/s</v>
          </cell>
        </row>
        <row r="314">
          <cell r="AJ314" t="str">
            <v>MECHANICAL,;!Stair Pressurization Air Duct,;!Stair Pressurization Miscellaneous and Accessories ,;!800x550 Motorized Relief Damper Set with Modulating Type Actuator w/ SS 304 Insect Screen</v>
          </cell>
          <cell r="AL314" t="str">
            <v>set/s</v>
          </cell>
        </row>
        <row r="315">
          <cell r="AJ315" t="str">
            <v>MECHANICAL,;!Stair Pressurization Air Duct,;!Stair Pressurization Miscellaneous and Accessories ,;!900x600mm Motorized Relief Damper w/ Modulating type Actuator</v>
          </cell>
          <cell r="AL315" t="str">
            <v>set/s</v>
          </cell>
        </row>
        <row r="316">
          <cell r="AJ316" t="str">
            <v>MECHANICAL,;!Stair Pressurization Air Duct,;!Stair Pressurization Miscellaneous and Accessories ,;!Smoke Duct Sensor</v>
          </cell>
          <cell r="AL316" t="str">
            <v>set/s</v>
          </cell>
        </row>
        <row r="317">
          <cell r="AJ317" t="str">
            <v>MECHANICAL,;!Stair Pressurization Air Duct,;!Stair Pressurization Miscellaneous and Accessories ,;!Static Pressure Sensor</v>
          </cell>
          <cell r="AL317" t="str">
            <v>set/s</v>
          </cell>
        </row>
        <row r="318">
          <cell r="AJ318" t="str">
            <v>MECHANICAL,;!Stair Pressurization Air Duct,;!Stair Pressurization Miscellaneous and Accessories ,;!Differential Static Pressurization Controller</v>
          </cell>
          <cell r="AL318" t="str">
            <v>set/s</v>
          </cell>
        </row>
        <row r="319">
          <cell r="AJ319" t="str">
            <v>MECHANICAL,;!Stair Pressurization Air Duct,;!Stair Pressurization Miscellaneous and Accessories ,;!Wiring Works for Differential Presure Sensor</v>
          </cell>
          <cell r="AL319" t="str">
            <v>lot</v>
          </cell>
        </row>
        <row r="320">
          <cell r="AJ320" t="str">
            <v>MECHANICAL,;!Fireman's Lift Pressurization Ducting Works ,;!,;!</v>
          </cell>
          <cell r="AL320" t="str">
            <v>lot</v>
          </cell>
        </row>
        <row r="321">
          <cell r="AJ321" t="str">
            <v>MECHANICAL,;!Fireman's Lift Pressurization Ducting Works ,;!Fireman's Lift Pressurization Duct Riser ,;!</v>
          </cell>
          <cell r="AL321" t="str">
            <v>lot</v>
          </cell>
        </row>
        <row r="322">
          <cell r="AJ322" t="str">
            <v>MECHANICAL,;!Fireman's Lift Pressurization Ducting Works ,;!Fireman's Lift Pressurization Duct Riser ,;!GI Sheet Gauge 22 (800x600mm)</v>
          </cell>
          <cell r="AL322" t="str">
            <v>shts</v>
          </cell>
        </row>
        <row r="323">
          <cell r="AJ323" t="str">
            <v>MECHANICAL,;!Fireman's Lift Pressurization Ducting Works ,;!Fireman's Lift Pressurization Duct Riser ,;!GI Sheet Gauge 22 (800x650mm)</v>
          </cell>
          <cell r="AL323" t="str">
            <v>shts</v>
          </cell>
        </row>
        <row r="324">
          <cell r="AJ324" t="str">
            <v>MECHANICAL,;!Fireman's Lift Pressurization Ducting Works ,;!Fireman's Lift Pressurization Miscellaneous and Accessories ,;!</v>
          </cell>
          <cell r="AL324" t="str">
            <v>lot</v>
          </cell>
        </row>
        <row r="325">
          <cell r="AJ325" t="str">
            <v>MECHANICAL,;!Fireman's Lift Pressurization Ducting Works ,;!Fireman's Lift Pressurization Miscellaneous and Accessories ,;!750x800 Relief Air Grille w/ SS 304 Insect Screen and Rangehood</v>
          </cell>
          <cell r="AL325" t="str">
            <v>set/s</v>
          </cell>
        </row>
        <row r="326">
          <cell r="AJ326" t="str">
            <v>MECHANICAL,;!Fireman's Lift Pressurization Ducting Works ,;!Fireman's Lift Pressurization Miscellaneous and Accessories ,;!1000x800 Relief Air Grille w/ SS 304 Insect Screen and Rangehood</v>
          </cell>
          <cell r="AL326" t="str">
            <v>set/s</v>
          </cell>
        </row>
        <row r="327">
          <cell r="AJ327" t="str">
            <v>MECHANICAL,;!Fireman's Lift Pressurization Ducting Works ,;!Fireman's Lift Pressurization Miscellaneous and Accessories ,;!800x450 Motorized Relief Damper Set with Modulating Type Actuator w/ SS 304 Insect Screen</v>
          </cell>
          <cell r="AL327" t="str">
            <v>set/s</v>
          </cell>
        </row>
        <row r="328">
          <cell r="AJ328" t="str">
            <v>MECHANICAL,;!Fireman's Lift Pressurization Ducting Works ,;!Fireman's Lift Pressurization Miscellaneous and Accessories ,;!800x600 Motorized Relief Damper Set with Modulating Type Actuator w/ SS 304 Insect Screen</v>
          </cell>
          <cell r="AL328" t="str">
            <v>set/s</v>
          </cell>
        </row>
        <row r="329">
          <cell r="AJ329" t="str">
            <v>MECHANICAL,;!Fireman's Lift Pressurization Ducting Works ,;!Fireman's Lift Pressurization Miscellaneous and Accessories ,;!Smoke Duct Sensor</v>
          </cell>
          <cell r="AL329" t="str">
            <v>set/s</v>
          </cell>
        </row>
        <row r="330">
          <cell r="AJ330" t="str">
            <v>MECHANICAL,;!Fireman's Lift Pressurization Ducting Works ,;!Fireman's Lift Pressurization Miscellaneous and Accessories ,;!Static Pressure Sensor</v>
          </cell>
          <cell r="AL330" t="str">
            <v>set/s</v>
          </cell>
        </row>
        <row r="331">
          <cell r="AJ331" t="str">
            <v>MECHANICAL,;!Fireman's Lift Pressurization Ducting Works ,;!Fireman's Lift Pressurization Miscellaneous and Accessories ,;!Differential Static Pressurization Controller</v>
          </cell>
          <cell r="AL331" t="str">
            <v>set/s</v>
          </cell>
        </row>
        <row r="332">
          <cell r="AJ332" t="str">
            <v>MECHANICAL,;!Fireman's Lift Pressurization Ducting Works ,;!Fireman's Lift Pressurization Miscellaneous and Accessories ,;!Wiring Works for Differential Presure Sensor</v>
          </cell>
          <cell r="AL332" t="str">
            <v>lot</v>
          </cell>
        </row>
        <row r="333">
          <cell r="AJ333" t="str">
            <v>MECHANICAL,;!Electrical wiring works and breakers for fans,;!,;!</v>
          </cell>
          <cell r="AL333" t="str">
            <v>lot</v>
          </cell>
        </row>
        <row r="334">
          <cell r="AJ334" t="str">
            <v>MECHANICAL,;!Misc. &amp; Consumables,;!,;!</v>
          </cell>
          <cell r="AL334" t="str">
            <v>lot</v>
          </cell>
        </row>
        <row r="335">
          <cell r="AJ335" t="str">
            <v>MECHANICAL,;!Hangers &amp; Supports,;!,;!</v>
          </cell>
          <cell r="AL335" t="str">
            <v>lot</v>
          </cell>
        </row>
        <row r="336">
          <cell r="AJ336" t="str">
            <v>MECHANICAL,;!Block-out &amp; Pipe Sleeves,;!,;!</v>
          </cell>
          <cell r="AL336" t="str">
            <v>lot</v>
          </cell>
        </row>
        <row r="337">
          <cell r="AJ337" t="str">
            <v>MECHANICAL,;!Testing &amp; Commissioning,;!,;!</v>
          </cell>
          <cell r="AL337" t="str">
            <v>lot</v>
          </cell>
        </row>
        <row r="338">
          <cell r="AJ338" t="str">
            <v>MECHANICAL,;!General Requirements,;!,;!</v>
          </cell>
          <cell r="AL338" t="str">
            <v>lot</v>
          </cell>
        </row>
        <row r="339">
          <cell r="AJ339" t="str">
            <v>ELECTRICAL,;!,;!,;!</v>
          </cell>
          <cell r="AL339" t="str">
            <v>lot</v>
          </cell>
        </row>
        <row r="340">
          <cell r="AJ340" t="str">
            <v>ELECTRICAL,;!Grounding Works,;!,;!</v>
          </cell>
          <cell r="AL340" t="str">
            <v>lot</v>
          </cell>
        </row>
        <row r="341">
          <cell r="AJ341" t="str">
            <v>ELECTRICAL,;!Grounding Works,;!Lightning Arrester,;!</v>
          </cell>
          <cell r="AL341" t="str">
            <v>set/s</v>
          </cell>
        </row>
        <row r="342">
          <cell r="AJ342" t="str">
            <v>ELECTRICAL,;!Grounding Works,;!Lightning Terminal,;!</v>
          </cell>
          <cell r="AL342" t="str">
            <v>set/s</v>
          </cell>
        </row>
        <row r="343">
          <cell r="AJ343" t="str">
            <v>ELECTRICAL,;!Grounding Works,;!Lightning Event Counter,;!</v>
          </cell>
          <cell r="AL343" t="str">
            <v>set/s</v>
          </cell>
        </row>
        <row r="344">
          <cell r="AJ344" t="str">
            <v>ELECTRICAL,;!Grounding Works,;!200 x 200 x 100mm Ground well w/ 6mm Galv. Steel Cover,;!</v>
          </cell>
          <cell r="AL344" t="str">
            <v>pcs</v>
          </cell>
        </row>
        <row r="345">
          <cell r="AJ345" t="str">
            <v>ELECTRICAL,;!Grounding Works,;!100mm² Bare Cu Conductor - Loop Conductor ,;!</v>
          </cell>
          <cell r="AL345" t="str">
            <v>lm</v>
          </cell>
        </row>
        <row r="346">
          <cell r="AJ346" t="str">
            <v>ELECTRICAL,;!Grounding Works,;!60mm² Bare Cu Conductor - Loop Conductor ,;!</v>
          </cell>
          <cell r="AL346" t="str">
            <v>lm</v>
          </cell>
        </row>
        <row r="347">
          <cell r="AJ347" t="str">
            <v>ELECTRICAL,;!Grounding Works,;!50mm² Bare Cu Conductor - Loop Conductor ,;!</v>
          </cell>
          <cell r="AL347" t="str">
            <v>lm</v>
          </cell>
        </row>
        <row r="348">
          <cell r="AJ348" t="str">
            <v>ELECTRICAL,;!Grounding Works,;!30mm² Bare Cu Conductor - Loop Conductor ,;!</v>
          </cell>
          <cell r="AL348" t="str">
            <v>lm</v>
          </cell>
        </row>
        <row r="349">
          <cell r="AJ349" t="str">
            <v>ELECTRICAL,;!Grounding Works,;!14mm² Bare Cu Conductor - Loop Conductor ,;!</v>
          </cell>
          <cell r="AL349" t="str">
            <v>lm</v>
          </cell>
        </row>
        <row r="350">
          <cell r="AJ350" t="str">
            <v>ELECTRICAL,;!Grounding Works,;!8.0mm² Bare Cu Conductor - Loop Conductor ,;!</v>
          </cell>
          <cell r="AL350" t="str">
            <v>lm</v>
          </cell>
        </row>
        <row r="351">
          <cell r="AJ351" t="str">
            <v>ELECTRICAL,;!Grounding Works,;!Aircraft Obstruction Lighting Fixture w/ 100W Bulb, 60Hz, 230V, Obstruction Light Relay and Photoelectric Control,;!</v>
          </cell>
          <cell r="AL351" t="str">
            <v>set/s</v>
          </cell>
        </row>
        <row r="352">
          <cell r="AJ352" t="str">
            <v>ELECTRICAL,;!Grounding Works,;!Grounding busbar, 50mmHx300mmWx10mmD,;!</v>
          </cell>
          <cell r="AL352" t="str">
            <v>set/s</v>
          </cell>
        </row>
        <row r="353">
          <cell r="AJ353" t="str">
            <v>ELECTRICAL,;!Grounding Works,;!200 x 200 x 100mm Ground well w/ 6mm Galv. Steel Cover,;!</v>
          </cell>
          <cell r="AL353" t="str">
            <v>set/s</v>
          </cell>
        </row>
        <row r="354">
          <cell r="AJ354" t="str">
            <v>ELECTRICAL,;!Grounding Works,;!25mmø x 3000mm Length Copper Clad Steel Rod,;!</v>
          </cell>
          <cell r="AL354" t="str">
            <v>pcs</v>
          </cell>
        </row>
        <row r="355">
          <cell r="AJ355" t="str">
            <v>ELECTRICAL,;!Grounding Works,;!32mmØ PVC Pipe  including fittings ,;!</v>
          </cell>
          <cell r="AL355" t="str">
            <v>lm</v>
          </cell>
        </row>
        <row r="356">
          <cell r="AJ356" t="str">
            <v>ELECTRICAL,;!Grounding Works,;!25mmØ PVC Pipe  including fittings ,;!</v>
          </cell>
          <cell r="AL356" t="str">
            <v>lm</v>
          </cell>
        </row>
        <row r="357">
          <cell r="AJ357" t="str">
            <v>ELECTRICAL,;!Grounding Works,;!6"x6" Pullbox,;!</v>
          </cell>
          <cell r="AL357" t="str">
            <v>set/s</v>
          </cell>
        </row>
        <row r="358">
          <cell r="AJ358" t="str">
            <v>ELECTRICAL,;!Busway System,;!,;!</v>
          </cell>
          <cell r="AL358" t="str">
            <v>lot</v>
          </cell>
        </row>
        <row r="359">
          <cell r="AJ359" t="str">
            <v>ELECTRICAL,;!Busway System,;!Power System Bus Way,;!</v>
          </cell>
          <cell r="AL359" t="str">
            <v>lot</v>
          </cell>
        </row>
        <row r="360">
          <cell r="AJ360" t="str">
            <v>ELECTRICAL,;!Busway System,;!Power System Bus Way,;!Busway - 800A, 400V, 3Ø w/Ground &amp; Neutral Bus Aluminum complete with standard accessories</v>
          </cell>
          <cell r="AL360" t="str">
            <v>lm</v>
          </cell>
        </row>
        <row r="361">
          <cell r="AJ361" t="str">
            <v>ELECTRICAL,;!Busway System,;!Power System Bus Way,;!Busway - 1200A, 400V, 3Ø w/Ground &amp; Neutral Bus Aluminum complete with standard accessories</v>
          </cell>
          <cell r="AL361" t="str">
            <v>lm</v>
          </cell>
        </row>
        <row r="362">
          <cell r="AJ362" t="str">
            <v>ELECTRICAL,;!Busway System,;!Power System Bus Way Accessories ,;!</v>
          </cell>
          <cell r="AL362" t="str">
            <v>lot</v>
          </cell>
        </row>
        <row r="363">
          <cell r="AJ363" t="str">
            <v>ELECTRICAL,;!Busway System,;!Power System Bus Way Accessories ,;!Pug-in CB 100AT, 100AF, 4P, 3Ø, 400V,</v>
          </cell>
          <cell r="AL363" t="str">
            <v>sets</v>
          </cell>
        </row>
        <row r="364">
          <cell r="AJ364" t="str">
            <v>ELECTRICAL,;!Power System Switchboard and Panel board,;!,;!</v>
          </cell>
          <cell r="AL364" t="str">
            <v>lot</v>
          </cell>
        </row>
        <row r="365">
          <cell r="AJ365" t="str">
            <v>ELECTRICAL,;!Power System Switchboard and Panel board,;!PB - 2BR MID UNIT,;!</v>
          </cell>
          <cell r="AL365" t="str">
            <v>sets</v>
          </cell>
        </row>
        <row r="366">
          <cell r="AJ366" t="str">
            <v>ELECTRICAL,;!Power System Switchboard and Panel board,;!PB - 2BR CORNER UNIT,;!</v>
          </cell>
          <cell r="AL366" t="str">
            <v>sets</v>
          </cell>
        </row>
        <row r="367">
          <cell r="AJ367" t="str">
            <v>ELECTRICAL,;!Power System Main Distribution Panelboard ,;!,;!</v>
          </cell>
          <cell r="AL367" t="str">
            <v>lot</v>
          </cell>
        </row>
        <row r="368">
          <cell r="AJ368" t="str">
            <v>ELECTRICAL,;!Power System Main Distribution Panelboard ,;!MPP,;!</v>
          </cell>
          <cell r="AL368" t="str">
            <v>set/s</v>
          </cell>
        </row>
        <row r="369">
          <cell r="AJ369" t="str">
            <v>ELECTRICAL,;!Power System Main Distribution Panelboard ,;!MPP,;!MAIN: 175AT, 225AF,  400V, 3P, 36kAIC MCCB, NEMA-1 (FREE STANDING)</v>
          </cell>
          <cell r="AL369" t="str">
            <v>set/s</v>
          </cell>
        </row>
        <row r="370">
          <cell r="AJ370" t="str">
            <v>ELECTRICAL,;!Power System Main Distribution Panelboard ,;!MPP,;!BRS: 2-60AT, 100AF,400V/230V, 3P, 18kAIC</v>
          </cell>
        </row>
        <row r="371">
          <cell r="AJ371" t="str">
            <v>ELECTRICAL,;!Power System Main Distribution Panelboard ,;!MPP,;!1-50AT, 100AF, 400V/230V, 3P, 18kAIC</v>
          </cell>
        </row>
        <row r="372">
          <cell r="AJ372" t="str">
            <v>ELECTRICAL,;!Power System Main Distribution Panelboard ,;!MPP,;!3-40AT, 100AF, 400V/230V, 3P, 18kAIC</v>
          </cell>
        </row>
        <row r="373">
          <cell r="AJ373" t="str">
            <v>ELECTRICAL,;!Power System Main Distribution Panelboard ,;!MPP,;!2-40AT, 100AF, 400V/230V, 3P, 18kAIC SPARE</v>
          </cell>
        </row>
        <row r="374">
          <cell r="AJ374" t="str">
            <v>ELECTRICAL,;!Power System Main Distribution Panelboard ,;!MDP-RESIDENTIAL, IP56,;!</v>
          </cell>
          <cell r="AL374" t="str">
            <v>set/s</v>
          </cell>
        </row>
        <row r="375">
          <cell r="AJ375" t="str">
            <v>ELECTRICAL,;!Power System Main Distribution Panelboard ,;!MDP-RESIDENTIAL, IP56,;!MAIN: 800AT, 1000AF, 3P, MCCB, 600V, 60Hz, NEMA 1</v>
          </cell>
          <cell r="AL375" t="str">
            <v>set/s</v>
          </cell>
        </row>
        <row r="376">
          <cell r="AJ376" t="str">
            <v>ELECTRICAL,;!Power System Main Distribution Panelboard ,;!MDP-RESIDENTIAL, IP56,;!BRS: BUSDUCT 800A, 3P, 400V, 60Hz</v>
          </cell>
        </row>
        <row r="377">
          <cell r="AJ377" t="str">
            <v>ELECTRICAL,;!Power System Main Distribution Panelboard ,;!ADM/MTS (Unitized), NEMA-1 (FREE STANDING),;!</v>
          </cell>
          <cell r="AL377" t="str">
            <v>set/s</v>
          </cell>
        </row>
        <row r="378">
          <cell r="AJ378" t="str">
            <v>ELECTRICAL,;!Power System Main Distribution Panelboard ,;!ADM/MTS (Unitized), NEMA-1 (FREE STANDING),;!Main:  350AT, 400AF, 3P+N, 50kAIC, MCCB, Manual Transfer Switch</v>
          </cell>
          <cell r="AL378" t="str">
            <v>set/s</v>
          </cell>
        </row>
        <row r="379">
          <cell r="AJ379" t="str">
            <v>ELECTRICAL,;!Power System Main Distribution Panelboard ,;!ADM/MTS (Unitized), NEMA-1 (FREE STANDING),;!BRS: 1-50AT, 100AF, 3P, 400V/230V, 10kAIC</v>
          </cell>
        </row>
        <row r="380">
          <cell r="AJ380" t="str">
            <v>ELECTRICAL,;!Power System Main Distribution Panelboard ,;!ADM/MTS (Unitized), NEMA-1 (FREE STANDING),;!1-175AT, 225AF,  3P, 400V/230V, 18kAIC</v>
          </cell>
        </row>
        <row r="381">
          <cell r="AJ381" t="str">
            <v>ELECTRICAL,;!Power System Main Distribution Panelboard ,;!ADM/MTS (Unitized), NEMA-1 (FREE STANDING),;!1-125AT, 225AF,  3P, 400V/230V, 25kAIC</v>
          </cell>
        </row>
        <row r="382">
          <cell r="AJ382" t="str">
            <v>ELECTRICAL,;!Power System Main Distribution Panelboard ,;!ADM/MTS (Unitized), NEMA-1 (FREE STANDING),;!1-60AT, 100AF, 3P, 400V/230V, 10kAIC</v>
          </cell>
        </row>
        <row r="383">
          <cell r="AJ383" t="str">
            <v>ELECTRICAL,;!Power System Main Distribution Panelboard ,;!ADM/MTS (Unitized), NEMA-1 (FREE STANDING),;!1-50AT, 100AF, 3P, 400V/230V, 10kAIC SPARE</v>
          </cell>
        </row>
        <row r="384">
          <cell r="AJ384" t="str">
            <v>ELECTRICAL,;!Power System Main Distribution Panelboard ,;!ADM/MTS (Unitized), NEMA-1 (FREE STANDING),;!1-30AT, 100AF,  3P, 400V/230V, 10kAIC SPARE</v>
          </cell>
        </row>
        <row r="385">
          <cell r="AJ385" t="str">
            <v>ELECTRICAL,;!Power System Main Distribution Panelboard ,;!MCB,;!</v>
          </cell>
          <cell r="AL385" t="str">
            <v>set/s</v>
          </cell>
        </row>
        <row r="386">
          <cell r="AJ386" t="str">
            <v>ELECTRICAL,;!Power System Main Distribution Panelboard ,;!MCB,;!Main: 1000AT, 1000AF, 3P+N, 85kAIC , ACB, NEMA-1 (FREE STANDING)</v>
          </cell>
          <cell r="AL386" t="str">
            <v>set/s</v>
          </cell>
        </row>
        <row r="387">
          <cell r="AJ387" t="str">
            <v>ELECTRICAL,;!Power System Main Distribution Panelboard ,;!MCB,;!Brs:   1-800AT, 1000AF,3P, 400V, 3P+N, 70kAIC</v>
          </cell>
        </row>
        <row r="388">
          <cell r="AJ388" t="str">
            <v>ELECTRICAL,;!Power System Main Distribution Panelboard ,;!MCB,;!1-350AT, 400AF 3P, 400V, 3P+N, 50kAIC</v>
          </cell>
        </row>
        <row r="389">
          <cell r="AJ389" t="str">
            <v>ELECTRICAL,;!Power System Main Distribution Panelboard ,;!MCB,;!1-SPACE</v>
          </cell>
        </row>
        <row r="390">
          <cell r="AJ390" t="str">
            <v>ELECTRICAL,;!Power System Emergency Panel board ,;!,;!</v>
          </cell>
          <cell r="AL390" t="str">
            <v>lot</v>
          </cell>
        </row>
        <row r="391">
          <cell r="AJ391" t="str">
            <v>ELECTRICAL,;!Power System Emergency Panel board ,;!EP (EMERGENCY PANEL) @ 8F,;!</v>
          </cell>
          <cell r="AL391" t="str">
            <v>set/s</v>
          </cell>
        </row>
        <row r="392">
          <cell r="AJ392" t="str">
            <v>ELECTRICAL,;!Power System Emergency Panel board ,;!EP (EMERGENCY PANEL) @ 8F,;!Main: 200AT, 225AF, 400V/230V, 3P+N, 10kAIC, ACB</v>
          </cell>
          <cell r="AL392" t="str">
            <v>set/s</v>
          </cell>
        </row>
        <row r="393">
          <cell r="AJ393" t="str">
            <v>ELECTRICAL,;!Power System Emergency Panel board ,;!EP (EMERGENCY PANEL) @ 8F,;!Brs: 15-50AT, 63AF, 2P, 10kAIC MCB</v>
          </cell>
        </row>
        <row r="394">
          <cell r="AJ394" t="str">
            <v>ELECTRICAL,;!Power System Lighting Panel Board ,;!,;!</v>
          </cell>
          <cell r="AL394" t="str">
            <v>lot</v>
          </cell>
        </row>
        <row r="395">
          <cell r="AJ395" t="str">
            <v>ELECTRICAL,;!Power System Lighting Panel Board ,;!LP-01 @ GF,;!</v>
          </cell>
          <cell r="AL395" t="str">
            <v>set/s</v>
          </cell>
        </row>
        <row r="396">
          <cell r="AJ396" t="str">
            <v>ELECTRICAL,;!Power System Lighting Panel Board ,;!LP-01 @ GF,;!MAIN: 60AT, 100AF, 3P, MCCB, 230V, 60Hz, NEMA 1</v>
          </cell>
          <cell r="AL396" t="str">
            <v>set/s</v>
          </cell>
        </row>
        <row r="397">
          <cell r="AJ397" t="str">
            <v>ELECTRICAL,;!Power System Lighting Panel Board ,;!LP-01 @ GF,;!BRS: 26-20AT, 50AF, 230V, 1P, 6kAIC MCB</v>
          </cell>
        </row>
        <row r="398">
          <cell r="AJ398" t="str">
            <v>ELECTRICAL,;!Power System Lighting Panel Board ,;!LP-08 @ 8F,;!</v>
          </cell>
          <cell r="AL398" t="str">
            <v>set/s</v>
          </cell>
        </row>
        <row r="399">
          <cell r="AJ399" t="str">
            <v>ELECTRICAL,;!Power System Lighting Panel Board ,;!LP-08 @ 8F,;!Main: 50AT, 100AF, 400V/230V, 3P, 10kAIC MCCB</v>
          </cell>
          <cell r="AL399" t="str">
            <v>set/s</v>
          </cell>
        </row>
        <row r="400">
          <cell r="AJ400" t="str">
            <v>ELECTRICAL,;!Power System Lighting Panel Board ,;!LP-08 @ 8F,;!Brs: 11- 20AT, 63AF, 230V, 1P, 6kAIC MCB</v>
          </cell>
        </row>
        <row r="401">
          <cell r="AJ401" t="str">
            <v>ELECTRICAL,;!Power System Lighting Panel Board ,;!LP-08 @ 8F,;!3- 20AT, 63AF, 230V, 1P, 6kAIC MCB SPARE</v>
          </cell>
        </row>
        <row r="402">
          <cell r="AJ402" t="str">
            <v>ELECTRICAL,;!Power System Enclosed Circuit Breaker (ECB),;!,;!</v>
          </cell>
          <cell r="AL402" t="str">
            <v>lot</v>
          </cell>
        </row>
        <row r="403">
          <cell r="AJ403" t="str">
            <v>ELECTRICAL,;!Power System Enclosed Circuit Breaker (ECB),;!ECB 20A, 2P, 230V, NEMA 3R,;!</v>
          </cell>
          <cell r="AL403" t="str">
            <v>set/s</v>
          </cell>
        </row>
        <row r="404">
          <cell r="AJ404" t="str">
            <v>ELECTRICAL,;!Power System Enclosed Circuit Breaker (ECB),;!ECB 30A, 2P, 230V, NEMA 3R,;!</v>
          </cell>
          <cell r="AL404" t="str">
            <v>set/s</v>
          </cell>
        </row>
        <row r="405">
          <cell r="AJ405" t="str">
            <v>ELECTRICAL,;!Power System Enclosed Circuit Breaker (ECB),;!ECB 50A, 3P, 400V, NEMA 3R,;!</v>
          </cell>
          <cell r="AL405" t="str">
            <v>set/s</v>
          </cell>
        </row>
        <row r="406">
          <cell r="AJ406" t="str">
            <v>ELECTRICAL,;!Power System Enclosed Circuit Breaker (ECB),;!ECB 30A, 3P, 400V, NEMA 3R,;!</v>
          </cell>
          <cell r="AL406" t="str">
            <v>set/s</v>
          </cell>
        </row>
        <row r="407">
          <cell r="AJ407" t="str">
            <v>ELECTRICAL,;!Power System Enclosed Circuit Breaker (ECB),;!ECB 150A, 3P, 400V, NEMA 3R,;!</v>
          </cell>
          <cell r="AL407" t="str">
            <v>set/s</v>
          </cell>
        </row>
        <row r="408">
          <cell r="AJ408" t="str">
            <v>ELECTRICAL,;!Power System Enclosed Circuit Breaker (ECB),;!ECB 40A, 3P, 400V, NEMA 3R,;!</v>
          </cell>
          <cell r="AL408" t="str">
            <v>set/s</v>
          </cell>
        </row>
        <row r="409">
          <cell r="AJ409" t="str">
            <v>ELECTRICAL,;!Power System Enclosed Circuit Breaker (ECB),;!ECB 70A, 3P, 400V, NEMA 3R,;!</v>
          </cell>
          <cell r="AL409" t="str">
            <v>set/s</v>
          </cell>
        </row>
        <row r="410">
          <cell r="AJ410" t="str">
            <v>ELECTRICAL,;!Power System Enclosed Circuit Breaker (ECB),;!ECB 80A, 3P, 400V, NEMA 3R,;!</v>
          </cell>
          <cell r="AL410" t="str">
            <v>set/s</v>
          </cell>
        </row>
        <row r="411">
          <cell r="AJ411" t="str">
            <v>ELECTRICAL,;!Power System Enclosed Circuit Breaker (ECB),;!ECB 100A, 3P, 400V, NEMA 3R,;!</v>
          </cell>
          <cell r="AL411" t="str">
            <v>set/s</v>
          </cell>
        </row>
        <row r="412">
          <cell r="AJ412" t="str">
            <v>ELECTRICAL,;!Power System Enclosed Circuit Breaker (ECB),;!ECB 125A, 3P, 400V, NEMA 3R,;!</v>
          </cell>
          <cell r="AL412" t="str">
            <v>set/s</v>
          </cell>
        </row>
        <row r="413">
          <cell r="AJ413" t="str">
            <v>ELECTRICAL,;!Power System Enclosed Circuit Breaker (ECB),;!ECB 175A, 3P, 400V, NEMA 3R,;!</v>
          </cell>
          <cell r="AL413" t="str">
            <v>set/s</v>
          </cell>
        </row>
        <row r="414">
          <cell r="AJ414" t="str">
            <v>ELECTRICAL,;!Power System Enclosed Circuit Breaker (ECB),;!ECB 60A, 3P, 400V, NEMA 3R (BPCP),;!</v>
          </cell>
          <cell r="AL414" t="str">
            <v>set/s</v>
          </cell>
        </row>
        <row r="415">
          <cell r="AJ415" t="str">
            <v>ELECTRICAL,;!Power System Meter Center ,;!,;!</v>
          </cell>
          <cell r="AL415" t="str">
            <v>lot</v>
          </cell>
        </row>
        <row r="416">
          <cell r="AJ416" t="str">
            <v>ELECTRICAL,;!Power System Meter Center ,;!MC2 Typ to MC-3F TO MC-16F,;!</v>
          </cell>
          <cell r="AL416" t="str">
            <v>set/s</v>
          </cell>
        </row>
        <row r="417">
          <cell r="AJ417" t="str">
            <v>ELECTRICAL,;!Power System Meter Center ,;!MC2 Typ to MC-3F TO MC-16F,;!MAIN: 100AT, 100AF, 400V/230V, 3P+N, 36kAIC, MCCB</v>
          </cell>
          <cell r="AL417" t="str">
            <v>set/s</v>
          </cell>
        </row>
        <row r="418">
          <cell r="AJ418" t="str">
            <v>ELECTRICAL,;!Power System Meter Center ,;!MC2 Typ to MC-3F TO MC-16F,;!BRS:  34-32AT, 63AF, 230V, 2P, 10kAIC, MCB</v>
          </cell>
        </row>
        <row r="419">
          <cell r="AJ419" t="str">
            <v>ELECTRICAL,;!Power System Meter Center ,;!MC2 Typ to MC-3F TO MC-16F,;!KW-hr Meter Base (installation only)</v>
          </cell>
          <cell r="AL419" t="str">
            <v>set/s</v>
          </cell>
        </row>
        <row r="420">
          <cell r="AJ420" t="str">
            <v>ELECTRICAL,;!Power System Meter Center ,;!Security Grills (Meter Center &amp; Busduct),;!</v>
          </cell>
          <cell r="AL420" t="str">
            <v>lot</v>
          </cell>
        </row>
        <row r="421">
          <cell r="AJ421" t="str">
            <v>ELECTRICAL,;!Power System Meter Center ,;!C-Rated kilowatt-hour meter,;!</v>
          </cell>
          <cell r="AL421" t="str">
            <v>set/s</v>
          </cell>
        </row>
        <row r="422">
          <cell r="AJ422" t="str">
            <v>ELECTRICAL,;!Roughing In ,;!,;!</v>
          </cell>
          <cell r="AL422" t="str">
            <v>lot</v>
          </cell>
        </row>
        <row r="423">
          <cell r="AJ423" t="str">
            <v>ELECTRICAL,;!Roughing In ,;!20mmØ IMC Pipe  including fittings ,;!</v>
          </cell>
          <cell r="AL423" t="str">
            <v>lm</v>
          </cell>
        </row>
        <row r="424">
          <cell r="AJ424" t="str">
            <v>ELECTRICAL,;!Roughing In ,;!25mmØ IMC Pipe  including fittings ,;!</v>
          </cell>
          <cell r="AL424" t="str">
            <v>lm</v>
          </cell>
        </row>
        <row r="425">
          <cell r="AJ425" t="str">
            <v>ELECTRICAL,;!Roughing In ,;!32mmØ IMC Pipe  including fittings ,;!</v>
          </cell>
          <cell r="AL425" t="str">
            <v>lm</v>
          </cell>
        </row>
        <row r="426">
          <cell r="AJ426" t="str">
            <v>ELECTRICAL,;!Roughing In ,;!50mmØ IMC Pipe  including fittings ,;!</v>
          </cell>
          <cell r="AL426" t="str">
            <v>lm</v>
          </cell>
        </row>
        <row r="427">
          <cell r="AJ427" t="str">
            <v>ELECTRICAL,;!Roughing In ,;!65mmØ IMC Pipe  including fittings ,;!</v>
          </cell>
          <cell r="AL427" t="str">
            <v>lm</v>
          </cell>
        </row>
        <row r="428">
          <cell r="AJ428" t="str">
            <v>ELECTRICAL,;!Roughing In ,;!80mmØ IMC Pipe  including fittings ,;!</v>
          </cell>
          <cell r="AL428" t="str">
            <v>lm</v>
          </cell>
        </row>
        <row r="429">
          <cell r="AJ429" t="str">
            <v>ELECTRICAL,;!Roughing In ,;!90mmØ IMC Pipe  including fittings ,;!</v>
          </cell>
          <cell r="AL429" t="str">
            <v>lm</v>
          </cell>
        </row>
        <row r="430">
          <cell r="AJ430" t="str">
            <v>ELECTRICAL,;!Roughing In ,;!100mmØ IMC Pipe  including fittings ,;!</v>
          </cell>
          <cell r="AL430" t="str">
            <v>lm</v>
          </cell>
        </row>
        <row r="431">
          <cell r="AJ431" t="str">
            <v>ELECTRICAL,;!Roughing In ,;!50mmØ EMT Pipe  including fittings ,;!</v>
          </cell>
          <cell r="AL431" t="str">
            <v>lm</v>
          </cell>
        </row>
        <row r="432">
          <cell r="AJ432" t="str">
            <v>ELECTRICAL,;!Roughing In ,;!25mmØ EMT Pipe  including fittings ,;!</v>
          </cell>
          <cell r="AL432" t="str">
            <v>lm</v>
          </cell>
        </row>
        <row r="433">
          <cell r="AJ433" t="str">
            <v>ELECTRICAL,;!Roughing In ,;!20mmØ PVC Pipe  including fittings ,;!</v>
          </cell>
          <cell r="AL433" t="str">
            <v>lm</v>
          </cell>
        </row>
        <row r="434">
          <cell r="AJ434" t="str">
            <v>ELECTRICAL,;!Roughing In ,;!25mmØ PVC Pipe  including fittings ,;!</v>
          </cell>
          <cell r="AL434" t="str">
            <v>lm</v>
          </cell>
        </row>
        <row r="435">
          <cell r="AJ435" t="str">
            <v>ELECTRICAL,;!Roughing In ,;!32mmØ PVC Pipe  including fittings ,;!</v>
          </cell>
          <cell r="AL435" t="str">
            <v>lm</v>
          </cell>
        </row>
        <row r="436">
          <cell r="AJ436" t="str">
            <v>ELECTRICAL,;!Roughing In ,;!80mmØ PVC Pipe  including fittings ,;!</v>
          </cell>
          <cell r="AL436" t="str">
            <v>lm</v>
          </cell>
        </row>
        <row r="437">
          <cell r="AJ437" t="str">
            <v>ELECTRICAL,;!Roughing In ,;!110mmØ PVC Pipe  including fittings ,;!</v>
          </cell>
          <cell r="AL437" t="str">
            <v>lm</v>
          </cell>
        </row>
        <row r="438">
          <cell r="AJ438" t="str">
            <v>ELECTRICAL,;!Roughing In ,;!32mmØ LFMC Pipe including fittings,;!</v>
          </cell>
          <cell r="AL438" t="str">
            <v>lm</v>
          </cell>
        </row>
        <row r="439">
          <cell r="AJ439" t="str">
            <v>ELECTRICAL,;!Roughing In ,;!20mmØ Liquidtigth Flexible Metal Conduit,;!</v>
          </cell>
          <cell r="AL439" t="str">
            <v>lm</v>
          </cell>
        </row>
        <row r="440">
          <cell r="AJ440" t="str">
            <v>ELECTRICAL,;!Roughing In ,;!40mmØ Liquidtigth Flexible Metal Conduit,;!</v>
          </cell>
          <cell r="AL440" t="str">
            <v>lm</v>
          </cell>
        </row>
        <row r="441">
          <cell r="AJ441" t="str">
            <v>ELECTRICAL,;!Roughing In ,;!2 x 4 Utility Box,;!</v>
          </cell>
          <cell r="AL441" t="str">
            <v>sets</v>
          </cell>
        </row>
        <row r="442">
          <cell r="AJ442" t="str">
            <v>ELECTRICAL,;!Roughing In ,;!4 x 4 Octagonal Junction Box,;!</v>
          </cell>
          <cell r="AL442" t="str">
            <v>sets</v>
          </cell>
        </row>
        <row r="443">
          <cell r="AJ443" t="str">
            <v>ELECTRICAL,;!Roughing In ,;!4 x 4 Square Box,;!</v>
          </cell>
          <cell r="AL443" t="str">
            <v>sets</v>
          </cell>
        </row>
        <row r="444">
          <cell r="AJ444" t="str">
            <v>ELECTRICAL,;!Roughing In ,;!Power Provisions/Junction Box, Exhaust Fan, TEF,;!</v>
          </cell>
          <cell r="AL444" t="str">
            <v>sets</v>
          </cell>
        </row>
        <row r="445">
          <cell r="AJ445" t="str">
            <v>ELECTRICAL,;!Roughing In ,;!Power Provisions/Junction Box, WH,;!</v>
          </cell>
          <cell r="AL445" t="str">
            <v>sets</v>
          </cell>
        </row>
        <row r="446">
          <cell r="AJ446" t="str">
            <v>ELECTRICAL,;!Wiring In,;!,;!</v>
          </cell>
          <cell r="AL446" t="str">
            <v>lot</v>
          </cell>
        </row>
        <row r="447">
          <cell r="AJ447" t="str">
            <v>ELECTRICAL,;!Wiring In,;!1.6mm2 THHN, Solid Copper,;!</v>
          </cell>
          <cell r="AL447" t="str">
            <v>lm</v>
          </cell>
        </row>
        <row r="448">
          <cell r="AJ448" t="str">
            <v>ELECTRICAL,;!Wiring In,;!2.0mm2 THHN, Solid Copper,;!</v>
          </cell>
          <cell r="AL448" t="str">
            <v>lm</v>
          </cell>
        </row>
        <row r="449">
          <cell r="AJ449" t="str">
            <v>ELECTRICAL,;!Wiring In,;!2.0mm2 THHN,;!</v>
          </cell>
          <cell r="AL449" t="str">
            <v>lm</v>
          </cell>
        </row>
        <row r="450">
          <cell r="AJ450" t="str">
            <v>ELECTRICAL,;!Wiring In,;!3.5mm2 THHN,;!</v>
          </cell>
          <cell r="AL450" t="str">
            <v>lm</v>
          </cell>
        </row>
        <row r="451">
          <cell r="AJ451" t="str">
            <v>ELECTRICAL,;!Wiring In,;!5.5mm2 THHN,;!</v>
          </cell>
          <cell r="AL451" t="str">
            <v>lm</v>
          </cell>
        </row>
        <row r="452">
          <cell r="AJ452" t="str">
            <v>ELECTRICAL,;!Wiring In,;!8.0mm2 THHN,;!</v>
          </cell>
          <cell r="AL452" t="str">
            <v>lm</v>
          </cell>
        </row>
        <row r="453">
          <cell r="AJ453" t="str">
            <v>ELECTRICAL,;!Wiring In,;!14mm2 THHN,;!</v>
          </cell>
          <cell r="AL453" t="str">
            <v>lm</v>
          </cell>
        </row>
        <row r="454">
          <cell r="AJ454" t="str">
            <v>ELECTRICAL,;!Wiring In,;!22mm2 THHN,;!</v>
          </cell>
          <cell r="AL454" t="str">
            <v>lm</v>
          </cell>
        </row>
        <row r="455">
          <cell r="AJ455" t="str">
            <v>ELECTRICAL,;!Wiring In,;!30mm2 THHN,;!</v>
          </cell>
          <cell r="AL455" t="str">
            <v>lm</v>
          </cell>
        </row>
        <row r="456">
          <cell r="AJ456" t="str">
            <v>ELECTRICAL,;!Wiring In,;!50mm2 THHN,;!</v>
          </cell>
          <cell r="AL456" t="str">
            <v>lm</v>
          </cell>
        </row>
        <row r="457">
          <cell r="AJ457" t="str">
            <v>ELECTRICAL,;!Wiring In,;!60mm2 THHN,;!</v>
          </cell>
          <cell r="AL457" t="str">
            <v>lm</v>
          </cell>
        </row>
        <row r="458">
          <cell r="AJ458" t="str">
            <v>ELECTRICAL,;!Wiring In,;!80mm2 THHN,;!</v>
          </cell>
          <cell r="AL458" t="str">
            <v>lm</v>
          </cell>
        </row>
        <row r="459">
          <cell r="AJ459" t="str">
            <v>ELECTRICAL,;!Wiring In,;!100mm2 THHN,;!</v>
          </cell>
          <cell r="AL459" t="str">
            <v>lm</v>
          </cell>
        </row>
        <row r="460">
          <cell r="AJ460" t="str">
            <v>ELECTRICAL,;!Wiring In,;!125mm2 THHN,;!</v>
          </cell>
          <cell r="AL460" t="str">
            <v>lm</v>
          </cell>
        </row>
        <row r="461">
          <cell r="AJ461" t="str">
            <v>ELECTRICAL,;!Wiring In,;!150mm2 THHN,;!</v>
          </cell>
          <cell r="AL461" t="str">
            <v>lm</v>
          </cell>
        </row>
        <row r="462">
          <cell r="AJ462" t="str">
            <v>ELECTRICAL,;!Wiring In,;!175mm2 THHN,;!</v>
          </cell>
          <cell r="AL462" t="str">
            <v>lm</v>
          </cell>
        </row>
        <row r="463">
          <cell r="AJ463" t="str">
            <v>ELECTRICAL,;!Wiring In,;!200mm2 THHN,;!</v>
          </cell>
          <cell r="AL463" t="str">
            <v>lm</v>
          </cell>
        </row>
        <row r="464">
          <cell r="AJ464" t="str">
            <v>ELECTRICAL,;!Wiring In,;!250mm2 THHN,;!</v>
          </cell>
          <cell r="AL464" t="str">
            <v>lm</v>
          </cell>
        </row>
        <row r="465">
          <cell r="AJ465" t="str">
            <v>ELECTRICAL,;!Wiring In,;!14mmsq. THHN, Aluminum,;!</v>
          </cell>
          <cell r="AL465" t="str">
            <v>lm</v>
          </cell>
        </row>
        <row r="466">
          <cell r="AJ466" t="str">
            <v>ELECTRICAL,;!Wiring In,;!22mmsq. THHN, Aluminum,;!</v>
          </cell>
          <cell r="AL466" t="str">
            <v>lm</v>
          </cell>
        </row>
        <row r="467">
          <cell r="AJ467" t="str">
            <v>ELECTRICAL,;!Wiring In,;!60mmsq. THHN Wire, Aluminum,;!</v>
          </cell>
          <cell r="AL467" t="str">
            <v>lm</v>
          </cell>
        </row>
        <row r="468">
          <cell r="AJ468" t="str">
            <v>ELECTRICAL,;!Wiring In,;!100mmsq. THHN Wire, Aluminum,;!</v>
          </cell>
          <cell r="AL468" t="str">
            <v>lm</v>
          </cell>
        </row>
        <row r="469">
          <cell r="AJ469" t="str">
            <v>ELECTRICAL,;!Wiring In,;!125mmsq. THHN Wire, Aluminum,;!</v>
          </cell>
          <cell r="AL469" t="str">
            <v>lm</v>
          </cell>
        </row>
        <row r="470">
          <cell r="AJ470" t="str">
            <v>ELECTRICAL,;!Wire Way,;!,;!</v>
          </cell>
          <cell r="AL470" t="str">
            <v>lot</v>
          </cell>
        </row>
        <row r="471">
          <cell r="AJ471" t="str">
            <v>ELECTRICAL,;!Wire Way,;!300mm x 50mm WIREWAY,;!</v>
          </cell>
          <cell r="AL471" t="str">
            <v>lm</v>
          </cell>
        </row>
        <row r="472">
          <cell r="AJ472" t="str">
            <v>ELECTRICAL,;!Wire Way,;!150mm x 50mm WIREWAY,;!</v>
          </cell>
          <cell r="AL472" t="str">
            <v>lm</v>
          </cell>
        </row>
        <row r="473">
          <cell r="AJ473" t="str">
            <v>ELECTRICAL,;!Wire Way,;!200mm X 75mm WIREWAY,;!</v>
          </cell>
          <cell r="AL473" t="str">
            <v>lm</v>
          </cell>
        </row>
        <row r="474">
          <cell r="AJ474" t="str">
            <v>ELECTRICAL,;!Wire Way,;!160mm x 50mm WIREWAY,;!</v>
          </cell>
          <cell r="AL474" t="str">
            <v>lm</v>
          </cell>
        </row>
        <row r="475">
          <cell r="AJ475" t="str">
            <v>ELECTRICAL,;!Wire Way,;!95mm X 50mm WIREWAY,;!</v>
          </cell>
          <cell r="AL475" t="str">
            <v>lm</v>
          </cell>
        </row>
        <row r="476">
          <cell r="AJ476" t="str">
            <v>ELECTRICAL,;!Wire Way,;!85mm X 50mm WIREWAY,;!</v>
          </cell>
          <cell r="AL476" t="str">
            <v>lm</v>
          </cell>
        </row>
        <row r="477">
          <cell r="AJ477" t="str">
            <v>ELECTRICAL,;!Devices,;!,;!</v>
          </cell>
          <cell r="AL477" t="str">
            <v>lot</v>
          </cell>
        </row>
        <row r="478">
          <cell r="AJ478" t="str">
            <v>ELECTRICAL,;!Devices,;!Single Convenience Outlet, Wall Mounted,;!</v>
          </cell>
          <cell r="AL478" t="str">
            <v>sets</v>
          </cell>
        </row>
        <row r="479">
          <cell r="AJ479" t="str">
            <v>ELECTRICAL,;!Devices,;!Duplex Convenience Outlet, Wall Mounted,;!</v>
          </cell>
          <cell r="AL479" t="str">
            <v>sets</v>
          </cell>
        </row>
        <row r="480">
          <cell r="AJ480" t="str">
            <v>ELECTRICAL,;!Devices,;!Duplex Convenience Outlet, Wall Mounted, Counter Top,;!</v>
          </cell>
          <cell r="AL480" t="str">
            <v>sets</v>
          </cell>
        </row>
        <row r="481">
          <cell r="AJ481" t="str">
            <v>ELECTRICAL,;!Devices,;!Single Convenience Outlet, Wall Mounted, Ref,;!</v>
          </cell>
          <cell r="AL481" t="str">
            <v>sets</v>
          </cell>
        </row>
        <row r="482">
          <cell r="AJ482" t="str">
            <v>ELECTRICAL,;!Devices,;!Single Convenience Outlet, Wall Mounted, Range,;!</v>
          </cell>
          <cell r="AL482" t="str">
            <v>sets</v>
          </cell>
        </row>
        <row r="483">
          <cell r="AJ483" t="str">
            <v>ELECTRICAL,;!Devices,;!Single Convenience Outlet, Wall Mounted, Rangehood,;!</v>
          </cell>
          <cell r="AL483" t="str">
            <v>sets</v>
          </cell>
        </row>
        <row r="484">
          <cell r="AJ484" t="str">
            <v>ELECTRICAL,;!Devices,;!Single Convenience Outlet, Wall Mounted, ACU,;!</v>
          </cell>
          <cell r="AL484" t="str">
            <v>sets</v>
          </cell>
        </row>
        <row r="485">
          <cell r="AJ485" t="str">
            <v>ELECTRICAL,;!Devices,;!Single Convenience Outlet, Wall Mounted, WH,;!</v>
          </cell>
          <cell r="AL485" t="str">
            <v>sets</v>
          </cell>
        </row>
        <row r="486">
          <cell r="AJ486" t="str">
            <v>ELECTRICAL,;!Devices,;!One-gang Switch,;!</v>
          </cell>
          <cell r="AL486" t="str">
            <v>sets</v>
          </cell>
        </row>
        <row r="487">
          <cell r="AJ487" t="str">
            <v>ELECTRICAL,;!Devices,;!Two-gang Switch,;!</v>
          </cell>
          <cell r="AL487" t="str">
            <v>sets</v>
          </cell>
        </row>
        <row r="488">
          <cell r="AJ488" t="str">
            <v>ELECTRICAL,;!Devices,;!Three-gang Switch,;!</v>
          </cell>
          <cell r="AL488" t="str">
            <v>sets</v>
          </cell>
        </row>
        <row r="489">
          <cell r="AJ489" t="str">
            <v>ELECTRICAL,;!Devices,;!Two-gang Three Way Switch,;!</v>
          </cell>
          <cell r="AL489" t="str">
            <v>sets</v>
          </cell>
        </row>
        <row r="490">
          <cell r="AJ490" t="str">
            <v>ELECTRICAL,;!Devices,;!Switchbank (15-2Gang Switch),;!</v>
          </cell>
          <cell r="AL490" t="str">
            <v>sets</v>
          </cell>
        </row>
        <row r="491">
          <cell r="AJ491" t="str">
            <v>ELECTRICAL,;!Devices,;!Swithbank 1, (Sab-exit stairs, Sz, Sxy) - for GF only,;!</v>
          </cell>
          <cell r="AL491" t="str">
            <v>sets</v>
          </cell>
        </row>
        <row r="492">
          <cell r="AJ492" t="str">
            <v>ELECTRICAL,;!Lighting Fixtures,;!,;!</v>
          </cell>
          <cell r="AL492" t="str">
            <v>lot</v>
          </cell>
        </row>
        <row r="493">
          <cell r="AJ493" t="str">
            <v>ELECTRICAL,;!Lighting Fixtures,;!Receptacle only,;!</v>
          </cell>
          <cell r="AL493" t="str">
            <v>sets</v>
          </cell>
        </row>
        <row r="494">
          <cell r="AJ494" t="str">
            <v>ELECTRICAL,;!Lighting Fixtures,;!48" Flourescent Tube Light, 23Watts LED,;!</v>
          </cell>
          <cell r="AL494" t="str">
            <v>sets</v>
          </cell>
        </row>
        <row r="495">
          <cell r="AJ495" t="str">
            <v>ELECTRICAL,;!Lighting Fixtures,;!1x36W Luminaire w/ Reflector,;!</v>
          </cell>
          <cell r="AL495" t="str">
            <v>sets</v>
          </cell>
        </row>
        <row r="496">
          <cell r="AJ496" t="str">
            <v>ELECTRICAL,;!Lighting Fixtures,;!18 Watts LED Surfaced Mounted Pinlight,;!</v>
          </cell>
          <cell r="AL496" t="str">
            <v>sets</v>
          </cell>
        </row>
        <row r="497">
          <cell r="AJ497" t="str">
            <v>ELECTRICAL,;!Lighting Fixtures,;!40 Watts LED Pole Mounted Outdoor Light,;!</v>
          </cell>
          <cell r="AL497" t="str">
            <v>sets</v>
          </cell>
        </row>
        <row r="498">
          <cell r="AJ498" t="str">
            <v>ELECTRICAL,;!Lighting Fixtures,;!Elevator Shaft Light,;!</v>
          </cell>
          <cell r="AL498" t="str">
            <v>sets</v>
          </cell>
        </row>
        <row r="499">
          <cell r="AJ499" t="str">
            <v>ELECTRICAL,;!Lighting Fixtures,;!Exit Sign, 2.4V, Battery Back-up,;!</v>
          </cell>
          <cell r="AL499" t="str">
            <v>sets</v>
          </cell>
        </row>
        <row r="500">
          <cell r="AJ500" t="str">
            <v>ELECTRICAL,;!Lighting Fixtures,;!Emergency Light w/ Battery Back-up,;!</v>
          </cell>
          <cell r="AL500" t="str">
            <v>sets</v>
          </cell>
        </row>
        <row r="501">
          <cell r="AJ501" t="str">
            <v>ELECTRICAL,;!Misc. &amp; Consumables,;!,;!</v>
          </cell>
          <cell r="AL501" t="str">
            <v>lot</v>
          </cell>
        </row>
        <row r="502">
          <cell r="AJ502" t="str">
            <v>ELECTRICAL,;!Hangers &amp; Supports,;!,;!</v>
          </cell>
          <cell r="AL502" t="str">
            <v>lot</v>
          </cell>
        </row>
        <row r="503">
          <cell r="AJ503" t="str">
            <v>ELECTRICAL,;!Block-out &amp; Pipe Sleeves,;!,;!</v>
          </cell>
          <cell r="AL503" t="str">
            <v>lot</v>
          </cell>
        </row>
        <row r="504">
          <cell r="AJ504" t="str">
            <v>ELECTRICAL,;!Testing &amp; Commissioning,;!,;!</v>
          </cell>
          <cell r="AL504" t="str">
            <v>lot</v>
          </cell>
        </row>
        <row r="505">
          <cell r="AJ505" t="str">
            <v>ELECTRICAL,;!General Requirements,;!,;!</v>
          </cell>
          <cell r="AL505" t="str">
            <v>lot</v>
          </cell>
        </row>
        <row r="506">
          <cell r="AJ506" t="str">
            <v>AUXILIARY,;!,;!,;!</v>
          </cell>
          <cell r="AL506" t="str">
            <v>lot</v>
          </cell>
        </row>
        <row r="507">
          <cell r="AJ507" t="str">
            <v>AUXILIARY,;!Telephone /Data,;!,;!</v>
          </cell>
          <cell r="AL507" t="str">
            <v>lot</v>
          </cell>
        </row>
        <row r="508">
          <cell r="AJ508" t="str">
            <v>AUXILIARY,;!Telephone /Data,;!Roughing In ,;!</v>
          </cell>
          <cell r="AL508" t="str">
            <v>lot</v>
          </cell>
        </row>
        <row r="509">
          <cell r="AJ509" t="str">
            <v>AUXILIARY,;!Telephone /Data,;!Roughing In ,;!20mmØ PVC Pipe  including fittings</v>
          </cell>
          <cell r="AL509" t="str">
            <v>lm</v>
          </cell>
        </row>
        <row r="510">
          <cell r="AJ510" t="str">
            <v>AUXILIARY,;!Telephone /Data,;!Roughing In ,;!50mmØ PVC Pipe  including fittings</v>
          </cell>
          <cell r="AL510" t="str">
            <v>lm</v>
          </cell>
        </row>
        <row r="511">
          <cell r="AJ511" t="str">
            <v>AUXILIARY,;!Telephone /Data,;!Roughing In ,;!Wire Way 100mnx50mm</v>
          </cell>
          <cell r="AL511" t="str">
            <v>lm</v>
          </cell>
        </row>
        <row r="512">
          <cell r="AJ512" t="str">
            <v>AUXILIARY,;!Telephone /Data,;!Roughing In ,;!Wire Way 50mnx50mm</v>
          </cell>
          <cell r="AL512" t="str">
            <v>lm</v>
          </cell>
        </row>
        <row r="513">
          <cell r="AJ513" t="str">
            <v>AUXILIARY,;!Telephone /Data,;!Roughing In ,;!Wire Way 300mnx100mm</v>
          </cell>
          <cell r="AL513" t="str">
            <v>lm</v>
          </cell>
        </row>
        <row r="514">
          <cell r="AJ514" t="str">
            <v>AUXILIARY,;!Telephone /Data,;!Roughing In ,;!Cable Ladder (200x100mm)</v>
          </cell>
          <cell r="AL514" t="str">
            <v>lm</v>
          </cell>
        </row>
        <row r="515">
          <cell r="AJ515" t="str">
            <v>AUXILIARY,;!Telephone /Data,;!Roughing In ,;!2 x 4 Utility Box</v>
          </cell>
          <cell r="AL515" t="str">
            <v>pcs</v>
          </cell>
        </row>
        <row r="516">
          <cell r="AJ516" t="str">
            <v>AUXILIARY,;!Telephone /Data,;!Roughing In ,;!4 x 4 Octagonal Junction Box</v>
          </cell>
          <cell r="AL516" t="str">
            <v>pcs</v>
          </cell>
        </row>
        <row r="517">
          <cell r="AJ517" t="str">
            <v>AUXILIARY,;!Telephone /Data,;!Roughing In ,;!TEL Pull Box</v>
          </cell>
          <cell r="AL517" t="str">
            <v>pcs</v>
          </cell>
        </row>
        <row r="518">
          <cell r="AJ518" t="str">
            <v>AUXILIARY,;!Telephone /Data,;!Wiring In,;!</v>
          </cell>
          <cell r="AL518" t="str">
            <v>lot</v>
          </cell>
        </row>
        <row r="519">
          <cell r="AJ519" t="str">
            <v>AUXILIARY,;!Telephone /Data,;!Wiring In,;!4-Pairs Cat 6 UTP Cable - By Service Provider</v>
          </cell>
          <cell r="AL519" t="str">
            <v>lm</v>
          </cell>
        </row>
        <row r="520">
          <cell r="AJ520" t="str">
            <v>AUXILIARY,;!Telephone /Data,;!Wiring In,;!Fiber Distribution Cable - By Service Provider</v>
          </cell>
          <cell r="AL520" t="str">
            <v>lm</v>
          </cell>
        </row>
        <row r="521">
          <cell r="AJ521" t="str">
            <v>AUXILIARY,;!Telephone /Data,;!Equipment/Devices,;!</v>
          </cell>
          <cell r="AL521" t="str">
            <v>lot</v>
          </cell>
        </row>
        <row r="522">
          <cell r="AJ522" t="str">
            <v>AUXILIARY,;!Telephone /Data,;!Equipment/Devices,;!Wall Mounted Telephone/Data Outlet</v>
          </cell>
          <cell r="AL522" t="str">
            <v>sets</v>
          </cell>
        </row>
        <row r="523">
          <cell r="AJ523" t="str">
            <v>AUXILIARY,;!Telephone /Data,;!Equipment/Devices,;!ONU - Optical Network Unit - By Service Provider</v>
          </cell>
          <cell r="AL523" t="str">
            <v>sets</v>
          </cell>
        </row>
        <row r="524">
          <cell r="AJ524" t="str">
            <v>AUXILIARY,;!Telephone /Data,;!Equipment/Devices,;!Fiber Distribution Panel - By Service Provider</v>
          </cell>
          <cell r="AL524" t="str">
            <v>sets</v>
          </cell>
        </row>
        <row r="525">
          <cell r="AJ525" t="str">
            <v>AUXILIARY,;!Telephone /Data,;!Equipment/Devices,;!NAP- Network Access Point Box - By Service Provider</v>
          </cell>
          <cell r="AL525" t="str">
            <v>sets</v>
          </cell>
        </row>
        <row r="526">
          <cell r="AJ526" t="str">
            <v>AUXILIARY,;!Telephone /Data,;!Equipment/Devices,;!FTTHTC - Fiber to the Home Terminal Cabinet - By Service Provider</v>
          </cell>
          <cell r="AL526" t="str">
            <v>sets</v>
          </cell>
        </row>
        <row r="527">
          <cell r="AJ527" t="str">
            <v>AUXILIARY,;!Closed Circuit Television System (CCTV),;!,;!</v>
          </cell>
          <cell r="AL527" t="str">
            <v>lot</v>
          </cell>
        </row>
        <row r="528">
          <cell r="AJ528" t="str">
            <v>AUXILIARY,;!Closed Circuit Television System (CCTV),;!Roughing In ,;!</v>
          </cell>
          <cell r="AL528" t="str">
            <v>lot</v>
          </cell>
        </row>
        <row r="529">
          <cell r="AJ529" t="str">
            <v>AUXILIARY,;!Closed Circuit Television System (CCTV),;!Roughing In ,;!20mmØ PVC Pipe  including fittings</v>
          </cell>
          <cell r="AL529" t="str">
            <v>lm</v>
          </cell>
        </row>
        <row r="530">
          <cell r="AJ530" t="str">
            <v>AUXILIARY,;!Closed Circuit Television System (CCTV),;!Roughing In ,;!32mm diameter PVC Pipe including fittings</v>
          </cell>
          <cell r="AL530" t="str">
            <v>lm</v>
          </cell>
        </row>
        <row r="531">
          <cell r="AJ531" t="str">
            <v>AUXILIARY,;!Closed Circuit Television System (CCTV),;!Roughing In ,;!2 x 4 Utility Box</v>
          </cell>
          <cell r="AL531" t="str">
            <v>pcs</v>
          </cell>
        </row>
        <row r="532">
          <cell r="AJ532" t="str">
            <v>AUXILIARY,;!Closed Circuit Television System (CCTV),;!Roughing In ,;!4 x 4 Octagonal Junction Box</v>
          </cell>
          <cell r="AL532" t="str">
            <v>pcs</v>
          </cell>
        </row>
        <row r="533">
          <cell r="AJ533" t="str">
            <v>AUXILIARY,;!Closed Circuit Television System (CCTV),;!Roughing In ,;!CCTV Pullbox</v>
          </cell>
          <cell r="AL533" t="str">
            <v>pcs</v>
          </cell>
        </row>
        <row r="534">
          <cell r="AJ534" t="str">
            <v>AUXILIARY,;!Closed Circuit Television System (CCTV),;!Wiring In,;!</v>
          </cell>
          <cell r="AL534" t="str">
            <v>lot</v>
          </cell>
        </row>
        <row r="535">
          <cell r="AJ535" t="str">
            <v>AUXILIARY,;!Closed Circuit Television System (CCTV),;!Wiring In,;!UTP Cable CAT5e 4 Pairs</v>
          </cell>
          <cell r="AL535" t="str">
            <v>lm</v>
          </cell>
        </row>
        <row r="536">
          <cell r="AJ536" t="str">
            <v>AUXILIARY,;!Closed Circuit Television System (CCTV),;!Wiring In,;!UTP Cable CAT6 4 Pairs</v>
          </cell>
          <cell r="AL536" t="str">
            <v>lm</v>
          </cell>
        </row>
        <row r="537">
          <cell r="AJ537" t="str">
            <v>AUXILIARY,;!Closed Circuit Television System (CCTV),;!Equipment/Devices,;!</v>
          </cell>
          <cell r="AL537" t="str">
            <v>lot</v>
          </cell>
        </row>
        <row r="538">
          <cell r="AJ538" t="str">
            <v>AUXILIARY,;!Closed Circuit Television System (CCTV),;!Equipment/Devices,;!Dome Type Camera</v>
          </cell>
          <cell r="AL538" t="str">
            <v>sets</v>
          </cell>
        </row>
        <row r="539">
          <cell r="AJ539" t="str">
            <v>AUXILIARY,;!Closed Circuit Television System (CCTV),;!Equipment/Devices,;!Power Over Ethernet Switch (POE-Swithch)</v>
          </cell>
          <cell r="AL539" t="str">
            <v>sets</v>
          </cell>
        </row>
        <row r="540">
          <cell r="AJ540" t="str">
            <v>AUXILIARY,;!Closed Circuit Television System (CCTV),;!Equipment/Devices,;!16 Port POE Switch</v>
          </cell>
          <cell r="AL540" t="str">
            <v>sets</v>
          </cell>
        </row>
        <row r="541">
          <cell r="AJ541" t="str">
            <v>AUXILIARY,;!Closed Circuit Television System (CCTV),;!Equipment/Devices,;!16 Port Patch Panel</v>
          </cell>
          <cell r="AL541" t="str">
            <v>sets</v>
          </cell>
        </row>
        <row r="542">
          <cell r="AJ542" t="str">
            <v>AUXILIARY,;!Closed Circuit Television System (CCTV),;!Equipment/Devices,;!Patch Cord</v>
          </cell>
          <cell r="AL542" t="str">
            <v>sets</v>
          </cell>
        </row>
        <row r="543">
          <cell r="AJ543" t="str">
            <v>AUXILIARY,;!Closed Circuit Television System (CCTV),;!Equipment/Devices,;!Core Switch</v>
          </cell>
          <cell r="AL543" t="str">
            <v>sets</v>
          </cell>
        </row>
        <row r="544">
          <cell r="AJ544" t="str">
            <v>AUXILIARY,;!Closed Circuit Television System (CCTV),;!Equipment/Devices,;!NVR</v>
          </cell>
          <cell r="AL544" t="str">
            <v>sets</v>
          </cell>
        </row>
        <row r="545">
          <cell r="AJ545" t="str">
            <v>AUXILIARY,;!Closed Circuit Television System (CCTV),;!Equipment/Devices,;!Workstation Keyboard + Cotntroller</v>
          </cell>
          <cell r="AL545" t="str">
            <v>sets</v>
          </cell>
        </row>
        <row r="546">
          <cell r="AJ546" t="str">
            <v>AUXILIARY,;!Closed Circuit Television System (CCTV),;!Equipment/Devices,;!CCTV Monitor</v>
          </cell>
          <cell r="AL546" t="str">
            <v>sets</v>
          </cell>
        </row>
        <row r="547">
          <cell r="AJ547" t="str">
            <v>AUXILIARY,;!Closed Circuit Television System (CCTV),;!Equipment/Devices,;!UPS-1Kva</v>
          </cell>
          <cell r="AL547" t="str">
            <v>sets</v>
          </cell>
        </row>
        <row r="548">
          <cell r="AJ548" t="str">
            <v>AUXILIARY,;!Closed Circuit Television System (CCTV),;!Equipment/Devices,;!Power Panel (30VAC/12V)</v>
          </cell>
          <cell r="AL548" t="str">
            <v>sets</v>
          </cell>
        </row>
        <row r="549">
          <cell r="AJ549" t="str">
            <v>AUXILIARY,;!Fire Detection and Alarm System (FDAS),;!,;!</v>
          </cell>
          <cell r="AL549" t="str">
            <v>lot</v>
          </cell>
        </row>
        <row r="550">
          <cell r="AJ550" t="str">
            <v>AUXILIARY,;!Fire Detection and Alarm System (FDAS),;!Roughing In ,;!</v>
          </cell>
          <cell r="AL550" t="str">
            <v>lot</v>
          </cell>
        </row>
        <row r="551">
          <cell r="AJ551" t="str">
            <v>AUXILIARY,;!Fire Detection and Alarm System (FDAS),;!Roughing In ,;!20mmØ PVC Pipe  including fittings</v>
          </cell>
          <cell r="AL551" t="str">
            <v>lm</v>
          </cell>
        </row>
        <row r="552">
          <cell r="AJ552" t="str">
            <v>AUXILIARY,;!Fire Detection and Alarm System (FDAS),;!Roughing In ,;!25mm diameter IMC including fittings</v>
          </cell>
          <cell r="AL552" t="str">
            <v>lm</v>
          </cell>
        </row>
        <row r="553">
          <cell r="AJ553" t="str">
            <v>AUXILIARY,;!Fire Detection and Alarm System (FDAS),;!Roughing In ,;!50mmØ IMC Pipe  including fittings</v>
          </cell>
          <cell r="AL553" t="str">
            <v>lm</v>
          </cell>
        </row>
        <row r="554">
          <cell r="AJ554" t="str">
            <v>AUXILIARY,;!Fire Detection and Alarm System (FDAS),;!Roughing In ,;!20mmØ Liquidtigth Flexible Metal Conduit</v>
          </cell>
          <cell r="AL554" t="str">
            <v>lm</v>
          </cell>
        </row>
        <row r="555">
          <cell r="AJ555" t="str">
            <v>AUXILIARY,;!Fire Detection and Alarm System (FDAS),;!Roughing In ,;!2 x 4 Utility Box</v>
          </cell>
          <cell r="AL555" t="str">
            <v>pcs</v>
          </cell>
        </row>
        <row r="556">
          <cell r="AJ556" t="str">
            <v>AUXILIARY,;!Fire Detection and Alarm System (FDAS),;!Roughing In ,;!4 x 4 Octagonal Junction Box</v>
          </cell>
          <cell r="AL556" t="str">
            <v>pcs</v>
          </cell>
        </row>
        <row r="557">
          <cell r="AJ557" t="str">
            <v>AUXILIARY,;!Fire Detection and Alarm System (FDAS),;!Roughing In ,;!4 x 4 Square Box</v>
          </cell>
          <cell r="AL557" t="str">
            <v>sets</v>
          </cell>
        </row>
        <row r="558">
          <cell r="AJ558" t="str">
            <v>AUXILIARY,;!Fire Detection and Alarm System (FDAS),;!Roughing In ,;!Fire Alarm Pullbox w/ cover &amp; terminal block for cable termination (300mmx300mmx200mm)</v>
          </cell>
          <cell r="AL558" t="str">
            <v>pcs</v>
          </cell>
        </row>
        <row r="559">
          <cell r="AJ559" t="str">
            <v>AUXILIARY,;!Fire Detection and Alarm System (FDAS),;!Wiring In,;!</v>
          </cell>
          <cell r="AL559" t="str">
            <v>lot</v>
          </cell>
        </row>
        <row r="560">
          <cell r="AJ560" t="str">
            <v>AUXILIARY,;!Fire Detection and Alarm System (FDAS),;!Wiring In,;!1.25mm2 Shielded Twisted Pair</v>
          </cell>
          <cell r="AL560" t="str">
            <v>lm</v>
          </cell>
        </row>
        <row r="561">
          <cell r="AJ561" t="str">
            <v>AUXILIARY,;!Fire Detection and Alarm System (FDAS),;!Wiring In,;!2.5mm sq. (14 AWG) Twisted Pair - TF Wire</v>
          </cell>
          <cell r="AL561" t="str">
            <v>lm</v>
          </cell>
        </row>
        <row r="562">
          <cell r="AJ562" t="str">
            <v>AUXILIARY,;!Fire Detection and Alarm System (FDAS),;!Wiring In,;!1.50mm sq. (16 AWG) Twisted Pair - TF Wire</v>
          </cell>
          <cell r="AL562" t="str">
            <v>lm</v>
          </cell>
        </row>
        <row r="563">
          <cell r="AJ563" t="str">
            <v>AUXILIARY,;!Fire Detection and Alarm System (FDAS),;!Wiring In,;!#16 AWG Shilded Twisted Pair</v>
          </cell>
          <cell r="AL563" t="str">
            <v>lm</v>
          </cell>
        </row>
        <row r="564">
          <cell r="AJ564" t="str">
            <v>AUXILIARY,;!Fire Detection and Alarm System (FDAS),;!Wiring In,;!#16 AWG TF Wire</v>
          </cell>
          <cell r="AL564" t="str">
            <v>lm</v>
          </cell>
        </row>
        <row r="565">
          <cell r="AJ565" t="str">
            <v>AUXILIARY,;!Fire Detection and Alarm System (FDAS),;!Equipment/Devices,;!</v>
          </cell>
          <cell r="AL565" t="str">
            <v>lot</v>
          </cell>
        </row>
        <row r="566">
          <cell r="AJ566" t="str">
            <v>AUXILIARY,;!Fire Detection and Alarm System (FDAS),;!Equipment/Devices,;!Coventional Smoke Detector</v>
          </cell>
          <cell r="AL566" t="str">
            <v>sets</v>
          </cell>
        </row>
        <row r="567">
          <cell r="AJ567" t="str">
            <v>AUXILIARY,;!Fire Detection and Alarm System (FDAS),;!Equipment/Devices,;!Addressable Smoke Detector</v>
          </cell>
          <cell r="AL567" t="str">
            <v>set/s</v>
          </cell>
        </row>
        <row r="568">
          <cell r="AJ568" t="str">
            <v>AUXILIARY,;!Fire Detection and Alarm System (FDAS),;!Equipment/Devices,;!Addressable Heat Detector</v>
          </cell>
          <cell r="AL568" t="str">
            <v>set/s</v>
          </cell>
        </row>
        <row r="569">
          <cell r="AJ569" t="str">
            <v>AUXILIARY,;!Fire Detection and Alarm System (FDAS),;!Equipment/Devices,;!Manual Pull Station</v>
          </cell>
          <cell r="AL569" t="str">
            <v>sets</v>
          </cell>
        </row>
        <row r="570">
          <cell r="AJ570" t="str">
            <v>AUXILIARY,;!Fire Detection and Alarm System (FDAS),;!Equipment/Devices,;!Speaker Horn Strobe</v>
          </cell>
          <cell r="AL570" t="str">
            <v>sets</v>
          </cell>
        </row>
        <row r="571">
          <cell r="AJ571" t="str">
            <v>AUXILIARY,;!Fire Detection and Alarm System (FDAS),;!Equipment/Devices,;!Graphic Annuciator</v>
          </cell>
          <cell r="AL571" t="str">
            <v>sets</v>
          </cell>
        </row>
        <row r="572">
          <cell r="AJ572" t="str">
            <v>AUXILIARY,;!Fire Detection and Alarm System (FDAS),;!Equipment/Devices,;!Firemans Telephone Jack</v>
          </cell>
          <cell r="AL572" t="str">
            <v>sets</v>
          </cell>
        </row>
        <row r="573">
          <cell r="AJ573" t="str">
            <v>AUXILIARY,;!Fire Detection and Alarm System (FDAS),;!Equipment/Devices,;!End of Line</v>
          </cell>
          <cell r="AL573" t="str">
            <v>sets</v>
          </cell>
        </row>
        <row r="574">
          <cell r="AJ574" t="str">
            <v>AUXILIARY,;!Fire Detection and Alarm System (FDAS),;!Equipment/Devices,;!Duct Smoke Detector</v>
          </cell>
          <cell r="AL574" t="str">
            <v>sets</v>
          </cell>
        </row>
        <row r="575">
          <cell r="AJ575" t="str">
            <v>AUXILIARY,;!Fire Detection and Alarm System (FDAS),;!Equipment/Devices,;!Addressable  Zone Module for Conventional Detectors</v>
          </cell>
          <cell r="AL575" t="str">
            <v>set/s</v>
          </cell>
        </row>
        <row r="576">
          <cell r="AJ576" t="str">
            <v>AUXILIARY,;!Fire Detection and Alarm System (FDAS),;!Equipment/Devices,;!Coventional Zone Module</v>
          </cell>
          <cell r="AL576" t="str">
            <v>set/s</v>
          </cell>
        </row>
        <row r="577">
          <cell r="AJ577" t="str">
            <v>AUXILIARY,;!Fire Detection and Alarm System (FDAS),;!Equipment/Devices,;!Monitor Module for Flow Switch</v>
          </cell>
          <cell r="AL577" t="str">
            <v>sets</v>
          </cell>
        </row>
        <row r="578">
          <cell r="AJ578" t="str">
            <v>AUXILIARY,;!Fire Detection and Alarm System (FDAS),;!Equipment/Devices,;!Monitor Module for Supervisory Switch</v>
          </cell>
          <cell r="AL578" t="str">
            <v>sets</v>
          </cell>
        </row>
        <row r="579">
          <cell r="AJ579" t="str">
            <v>AUXILIARY,;!Fire Detection and Alarm System (FDAS),;!Equipment/Devices,;!Monitor Module</v>
          </cell>
          <cell r="AL579" t="str">
            <v>sets</v>
          </cell>
        </row>
        <row r="580">
          <cell r="AJ580" t="str">
            <v>AUXILIARY,;!Fire Detection and Alarm System (FDAS),;!Equipment/Devices,;!Relay Module</v>
          </cell>
          <cell r="AL580" t="str">
            <v>sets</v>
          </cell>
        </row>
        <row r="581">
          <cell r="AJ581" t="str">
            <v>AUXILIARY,;!Fire Detection and Alarm System (FDAS),;!Equipment/Devices,;!UPS-1Kva</v>
          </cell>
          <cell r="AL581" t="str">
            <v>sets</v>
          </cell>
        </row>
        <row r="582">
          <cell r="AJ582" t="str">
            <v>AUXILIARY,;!Fire Detection and Alarm System (FDAS),;!Equipment/Devices,;!EVAC</v>
          </cell>
          <cell r="AL582" t="str">
            <v>sets</v>
          </cell>
        </row>
        <row r="583">
          <cell r="AJ583" t="str">
            <v>AUXILIARY,;!Fire Detection and Alarm System (FDAS),;!Equipment/Devices,;!Addressable Fire Alarm Control Panel (FACP)</v>
          </cell>
          <cell r="AL583" t="str">
            <v>sets</v>
          </cell>
        </row>
        <row r="584">
          <cell r="AJ584" t="str">
            <v>AUXILIARY,;!Misc. &amp; Consumables,;!,;!</v>
          </cell>
          <cell r="AL584" t="str">
            <v>lot</v>
          </cell>
        </row>
        <row r="585">
          <cell r="AJ585" t="str">
            <v>AUXILIARY,;!Hangers &amp; Supports,;!,;!</v>
          </cell>
          <cell r="AL585" t="str">
            <v>lot</v>
          </cell>
        </row>
        <row r="586">
          <cell r="AJ586" t="str">
            <v>AUXILIARY,;!Block-out &amp; Pipe Sleeves,;!,;!</v>
          </cell>
          <cell r="AL586" t="str">
            <v>lot</v>
          </cell>
        </row>
        <row r="587">
          <cell r="AJ587" t="str">
            <v>AUXILIARY,;!Testing &amp; Commissioning,;!,;!</v>
          </cell>
          <cell r="AL587" t="str">
            <v>lot</v>
          </cell>
        </row>
        <row r="588">
          <cell r="AJ588" t="str">
            <v>AUXILIARY,;!General Requirements,;!,;!</v>
          </cell>
          <cell r="AL588" t="str">
            <v>lot</v>
          </cell>
        </row>
        <row r="589">
          <cell r="AJ589" t="str">
            <v>PLUMBING,;!,;!,;!</v>
          </cell>
          <cell r="AL589" t="str">
            <v>lot</v>
          </cell>
        </row>
        <row r="590">
          <cell r="AJ590" t="str">
            <v>PLUMBING,;!Plumbing Fixtures ,;!,;!</v>
          </cell>
          <cell r="AL590" t="str">
            <v>lot</v>
          </cell>
        </row>
        <row r="591">
          <cell r="AJ591" t="str">
            <v>PLUMBING,;!Plumbing Fixtures ,;!Floor Mounted, Wall Discharge Water Closet with tank, 1 piece (Square-ish design) ,;!</v>
          </cell>
          <cell r="AL591" t="str">
            <v>set/s</v>
          </cell>
        </row>
        <row r="592">
          <cell r="AJ592" t="str">
            <v>PLUMBING,;!Plumbing Fixtures ,;!Wall Hung Lavatory (Square-ish design) with complete accessories,;!</v>
          </cell>
          <cell r="AL592" t="str">
            <v>set/s</v>
          </cell>
        </row>
        <row r="593">
          <cell r="AJ593" t="str">
            <v>PLUMBING,;!Plumbing Fixtures ,;!Single Lever, Single line Faucet SS satin or Chrome Finish,;!</v>
          </cell>
          <cell r="AL593" t="str">
            <v>set/s</v>
          </cell>
        </row>
        <row r="594">
          <cell r="AJ594" t="str">
            <v>PLUMBING,;!Plumbing Fixtures ,;!Bath Faucet with hand shower set, gunmetal finish,;!</v>
          </cell>
          <cell r="AL594" t="str">
            <v>set/s</v>
          </cell>
        </row>
        <row r="595">
          <cell r="AJ595" t="str">
            <v>PLUMBING,;!Plumbing Fixtures ,;!Spray Bidet, Stainless Steel Satin or Chrome finish,;!</v>
          </cell>
          <cell r="AL595" t="str">
            <v>set/s</v>
          </cell>
        </row>
        <row r="596">
          <cell r="AJ596" t="str">
            <v>PLUMBING,;!Plumbing Fixtures ,;!Toilet Paper Holder, Stainless Steel Satin or Chrome finish,;!</v>
          </cell>
          <cell r="AL596" t="str">
            <v>set/s</v>
          </cell>
        </row>
        <row r="597">
          <cell r="AJ597" t="str">
            <v>PLUMBING,;!Plumbing Fixtures ,;!Soapholder, Stainless Steel Satin or Chrome finish,;!</v>
          </cell>
          <cell r="AL597" t="str">
            <v>set/s</v>
          </cell>
        </row>
        <row r="598">
          <cell r="AJ598" t="str">
            <v>PLUMBING,;!Plumbing Fixtures ,;!Kitchen Sink w/ Faucet and accessories,;!</v>
          </cell>
          <cell r="AL598" t="str">
            <v>set/s</v>
          </cell>
        </row>
        <row r="599">
          <cell r="AJ599" t="str">
            <v>PLUMBING,;!Plumbing Fixtures ,;!Gully Trap 50mm,;!</v>
          </cell>
          <cell r="AL599" t="str">
            <v>set/s</v>
          </cell>
        </row>
        <row r="600">
          <cell r="AJ600" t="str">
            <v>PLUMBING,;!Plumbing Fixtures ,;!Grease Trap 5GPM ,;!</v>
          </cell>
          <cell r="AL600" t="str">
            <v>set/s</v>
          </cell>
        </row>
        <row r="601">
          <cell r="AJ601" t="str">
            <v>PLUMBING,;!Cold Water line Main Source ,;!,;!</v>
          </cell>
          <cell r="AL601" t="str">
            <v>lot</v>
          </cell>
        </row>
        <row r="602">
          <cell r="AJ602" t="str">
            <v>PLUMBING,;!Cold Water line Main Source ,;!PPR  Pipes (150mm) w/ fittings,;!</v>
          </cell>
          <cell r="AL602" t="str">
            <v>lm</v>
          </cell>
        </row>
        <row r="603">
          <cell r="AJ603" t="str">
            <v>PLUMBING,;!Cold Water line Upfeed ,;!,;!</v>
          </cell>
          <cell r="AL603" t="str">
            <v>lot</v>
          </cell>
        </row>
        <row r="604">
          <cell r="AJ604" t="str">
            <v>PLUMBING,;!Cold Water line Upfeed ,;!PPR  Pipes (150mm) w/ fittings,;!</v>
          </cell>
          <cell r="AL604" t="str">
            <v>lm</v>
          </cell>
        </row>
        <row r="605">
          <cell r="AJ605" t="str">
            <v>PLUMBING,;!Cold Water line Upfeed ,;!PPR  Pipes (100mm) w/ fittings,;!</v>
          </cell>
          <cell r="AL605" t="str">
            <v>lm</v>
          </cell>
        </row>
        <row r="606">
          <cell r="AJ606" t="str">
            <v>PLUMBING,;!Cold Water line Upfeed ,;!PPR  Pipes (75mm) w/ fittings,;!</v>
          </cell>
          <cell r="AL606" t="str">
            <v>lm</v>
          </cell>
        </row>
        <row r="607">
          <cell r="AJ607" t="str">
            <v>PLUMBING,;!Cold Water line Downfeed ,;!,;!</v>
          </cell>
          <cell r="AL607" t="str">
            <v>lot</v>
          </cell>
        </row>
        <row r="608">
          <cell r="AJ608" t="str">
            <v>PLUMBING,;!Cold Water line Downfeed ,;!PPR  Pipes (150mm) w/ fittings,;!</v>
          </cell>
          <cell r="AL608" t="str">
            <v>lm</v>
          </cell>
        </row>
        <row r="609">
          <cell r="AJ609" t="str">
            <v>PLUMBING,;!Cold Water line Downfeed ,;!PPR  Pipes (100mm) w/ fittings,;!</v>
          </cell>
          <cell r="AL609" t="str">
            <v>lm</v>
          </cell>
        </row>
        <row r="610">
          <cell r="AJ610" t="str">
            <v>PLUMBING,;!Cold Water line Downfeed ,;!PPR  Pipes (63mm) w/ fittings,;!</v>
          </cell>
          <cell r="AL610" t="str">
            <v>lm</v>
          </cell>
        </row>
        <row r="611">
          <cell r="AJ611" t="str">
            <v>PLUMBING,;!Cold Water line Downfeed ,;!PPR  Pipes (50mm) w/ fittings,;!</v>
          </cell>
          <cell r="AL611" t="str">
            <v>lm</v>
          </cell>
        </row>
        <row r="612">
          <cell r="AJ612" t="str">
            <v>PLUMBING,;!Cold Water line Downfeed ,;!PPR  Pipes (40mm) w/ fittings,;!</v>
          </cell>
          <cell r="AL612" t="str">
            <v>lm</v>
          </cell>
        </row>
        <row r="613">
          <cell r="AJ613" t="str">
            <v>PLUMBING,;!Cold Water line Downfeed ,;!PPR  Pipes (32mm) w/ fittings,;!</v>
          </cell>
          <cell r="AL613" t="str">
            <v>lm</v>
          </cell>
        </row>
        <row r="614">
          <cell r="AJ614" t="str">
            <v>PLUMBING,;!Cold Water line Downfeed ,;!PPR  Pipes (25mm) w/ fittings,;!</v>
          </cell>
          <cell r="AL614" t="str">
            <v>lm</v>
          </cell>
        </row>
        <row r="615">
          <cell r="AJ615" t="str">
            <v>PLUMBING,;!Cold Water line Downfeed ,;!PPR  Pipes (20mm) w/ fittings,;!</v>
          </cell>
          <cell r="AL615" t="str">
            <v>lm</v>
          </cell>
        </row>
        <row r="616">
          <cell r="AJ616" t="str">
            <v>PLUMBING,;!Cold water line branches - Hallway,;!,;!</v>
          </cell>
          <cell r="AL616" t="str">
            <v>lot</v>
          </cell>
        </row>
        <row r="617">
          <cell r="AJ617" t="str">
            <v>PLUMBING,;!Cold water line branches - Hallway,;!PPR  Pipes (150mm) w/ fittings,;!</v>
          </cell>
          <cell r="AL617" t="str">
            <v>lm</v>
          </cell>
        </row>
        <row r="618">
          <cell r="AJ618" t="str">
            <v>PLUMBING,;!Cold water line branches - Hallway,;!PPR  Pipes (100mm) w/ fittings,;!</v>
          </cell>
          <cell r="AL618" t="str">
            <v>lm</v>
          </cell>
        </row>
        <row r="619">
          <cell r="AJ619" t="str">
            <v>PLUMBING,;!Cold water line branches - Utilities ,;!,;!</v>
          </cell>
          <cell r="AL619" t="str">
            <v>lot</v>
          </cell>
        </row>
        <row r="620">
          <cell r="AJ620" t="str">
            <v>PLUMBING,;!Cold water line branches - Utilities ,;!PPR  Pipes (32mm) w/ fittings,;!</v>
          </cell>
          <cell r="AL620" t="str">
            <v>lm</v>
          </cell>
        </row>
        <row r="621">
          <cell r="AJ621" t="str">
            <v>PLUMBING,;!Cold water line branches - Utilities ,;!PPR  Pipes (25mm) w/ fittings,;!</v>
          </cell>
          <cell r="AL621" t="str">
            <v>lm</v>
          </cell>
        </row>
        <row r="622">
          <cell r="AJ622" t="str">
            <v>PLUMBING,;!Cold water line branches - Utilities ,;!PPR  Pipes (20mm) w/ fittings,;!</v>
          </cell>
          <cell r="AL622" t="str">
            <v>lm</v>
          </cell>
        </row>
        <row r="623">
          <cell r="AJ623" t="str">
            <v>PLUMBING,;!Cold water line Valves &amp; Accessories,;!,;!</v>
          </cell>
          <cell r="AL623" t="str">
            <v>lot</v>
          </cell>
        </row>
        <row r="624">
          <cell r="AJ624" t="str">
            <v>PLUMBING,;!Cold water line Valves &amp; Accessories,;!Gate Valve 15mm,;!</v>
          </cell>
          <cell r="AL624" t="str">
            <v>set/s</v>
          </cell>
        </row>
        <row r="625">
          <cell r="AJ625" t="str">
            <v>PLUMBING,;!Cold water line Valves &amp; Accessories,;!Gate Valve 20mm,;!</v>
          </cell>
          <cell r="AL625" t="str">
            <v>set/s</v>
          </cell>
        </row>
        <row r="626">
          <cell r="AJ626" t="str">
            <v>PLUMBING,;!Cold water line Valves &amp; Accessories,;!Gate Valve 25mm,;!</v>
          </cell>
          <cell r="AL626" t="str">
            <v>set/s</v>
          </cell>
        </row>
        <row r="627">
          <cell r="AJ627" t="str">
            <v>PLUMBING,;!Cold water line Valves &amp; Accessories,;!Water Meter 25mm,;!</v>
          </cell>
          <cell r="AL627" t="str">
            <v>set/s</v>
          </cell>
        </row>
        <row r="628">
          <cell r="AJ628" t="str">
            <v>PLUMBING,;!Cold water line Valves &amp; Accessories,;!Gate Valve 150mm,;!</v>
          </cell>
          <cell r="AL628" t="str">
            <v>set/s</v>
          </cell>
        </row>
        <row r="629">
          <cell r="AJ629" t="str">
            <v>PLUMBING,;!Cold water line Valves &amp; Accessories,;!Gate Valve 100mm,;!</v>
          </cell>
          <cell r="AL629" t="str">
            <v>set/s</v>
          </cell>
        </row>
        <row r="630">
          <cell r="AJ630" t="str">
            <v>PLUMBING,;!Cold water line Valves &amp; Accessories,;!Gate Valve 75mm,;!</v>
          </cell>
          <cell r="AL630" t="str">
            <v>set/s</v>
          </cell>
        </row>
        <row r="631">
          <cell r="AJ631" t="str">
            <v>PLUMBING,;!Cold water line Valves &amp; Accessories,;!Gate Valve 50mm,;!</v>
          </cell>
          <cell r="AL631" t="str">
            <v>set/s</v>
          </cell>
        </row>
        <row r="632">
          <cell r="AJ632" t="str">
            <v>PLUMBING,;!Cold water line Valves &amp; Accessories,;!Gate Valve 40mm,;!</v>
          </cell>
          <cell r="AL632" t="str">
            <v>set/s</v>
          </cell>
        </row>
        <row r="633">
          <cell r="AJ633" t="str">
            <v>PLUMBING,;!Cold water line Valves &amp; Accessories,;!Check Valve 100mm,;!</v>
          </cell>
          <cell r="AL633" t="str">
            <v>set/s</v>
          </cell>
        </row>
        <row r="634">
          <cell r="AJ634" t="str">
            <v>PLUMBING,;!Cold water line Valves &amp; Accessories,;!Water Meter 100mm,;!</v>
          </cell>
          <cell r="AL634" t="str">
            <v>set/s</v>
          </cell>
        </row>
        <row r="635">
          <cell r="AJ635" t="str">
            <v>PLUMBING,;!Cold water line Valves &amp; Accessories,;!Hose Bibb,;!</v>
          </cell>
          <cell r="AL635" t="str">
            <v>set/s</v>
          </cell>
        </row>
        <row r="636">
          <cell r="AJ636" t="str">
            <v>PLUMBING,;!Cold water line Valves &amp; Accessories,;!Equalizing Valve 100mm,;!</v>
          </cell>
          <cell r="AL636" t="str">
            <v>set/s</v>
          </cell>
        </row>
        <row r="637">
          <cell r="AJ637" t="str">
            <v>PLUMBING,;!Cold water line Valves &amp; Accessories,;!Y-Strainer 75mm,;!</v>
          </cell>
          <cell r="AL637" t="str">
            <v>set/s</v>
          </cell>
        </row>
        <row r="638">
          <cell r="AJ638" t="str">
            <v>PLUMBING,;!Cold water line Valves &amp; Accessories,;!Y-Strainer 100mm,;!</v>
          </cell>
          <cell r="AL638" t="str">
            <v>set/s</v>
          </cell>
        </row>
        <row r="639">
          <cell r="AJ639" t="str">
            <v>PLUMBING,;!Cold water line Valves &amp; Accessories,;!Flexible Connector 75mm,;!</v>
          </cell>
          <cell r="AL639" t="str">
            <v>set/s</v>
          </cell>
        </row>
        <row r="640">
          <cell r="AJ640" t="str">
            <v>PLUMBING,;!Cold water line Valves &amp; Accessories,;!Flexible Connector 100mm,;!</v>
          </cell>
          <cell r="AL640" t="str">
            <v>set/s</v>
          </cell>
        </row>
        <row r="641">
          <cell r="AJ641" t="str">
            <v>PLUMBING,;!Cold water line Valves &amp; Accessories,;!PRV 75mm,;!</v>
          </cell>
          <cell r="AL641" t="str">
            <v>set/s</v>
          </cell>
        </row>
        <row r="642">
          <cell r="AJ642" t="str">
            <v>PLUMBING,;!Cold water line Valves &amp; Accessories,;!Check Valve 150mm,;!</v>
          </cell>
          <cell r="AL642" t="str">
            <v>set/s</v>
          </cell>
        </row>
        <row r="643">
          <cell r="AJ643" t="str">
            <v>PLUMBING,;!Cold water line Valves &amp; Accessories,;!Float Valve 100mm,;!</v>
          </cell>
          <cell r="AL643" t="str">
            <v>set/s</v>
          </cell>
        </row>
        <row r="644">
          <cell r="AJ644" t="str">
            <v>PLUMBING,;!Cold water line Valves &amp; Accessories,;!Float Valve 150mm,;!</v>
          </cell>
          <cell r="AL644" t="str">
            <v>set/s</v>
          </cell>
        </row>
        <row r="645">
          <cell r="AJ645" t="str">
            <v>PLUMBING,;!Cold water line Valves &amp; Accessories,;!Pressure Relief Valve 100mm,;!</v>
          </cell>
          <cell r="AL645" t="str">
            <v>set/s</v>
          </cell>
        </row>
        <row r="646">
          <cell r="AJ646" t="str">
            <v>PLUMBING,;!Cold water line Valves &amp; Accessories,;!Pressure Gauge,;!</v>
          </cell>
          <cell r="AL646" t="str">
            <v>set/s</v>
          </cell>
        </row>
        <row r="647">
          <cell r="AJ647" t="str">
            <v>PLUMBING,;!Sanitary Drainage System,;!,;!</v>
          </cell>
          <cell r="AL647" t="str">
            <v>lot</v>
          </cell>
        </row>
        <row r="648">
          <cell r="AJ648" t="str">
            <v>PLUMBING,;!Sanitary Drainage System,;!Soil Stack Pipe - HDPE Pipe - 100mm w/ fittings,;!</v>
          </cell>
          <cell r="AL648" t="str">
            <v>lm</v>
          </cell>
        </row>
        <row r="649">
          <cell r="AJ649" t="str">
            <v>PLUMBING,;!Sanitary Drainage System,;!Sovent Aerator 100mm,;!</v>
          </cell>
          <cell r="AL649" t="str">
            <v>set/s</v>
          </cell>
        </row>
        <row r="650">
          <cell r="AJ650" t="str">
            <v>PLUMBING,;!Sanitary Drainage System,;!BottomTurn Bend 110mm (Supertube),;!</v>
          </cell>
          <cell r="AL650" t="str">
            <v>pcs</v>
          </cell>
        </row>
        <row r="651">
          <cell r="AJ651" t="str">
            <v>PLUMBING,;!Sanitary Drainage System,;!Soil Stack Pipe - PVC Pipe - 100mm w/ fittings,;!</v>
          </cell>
          <cell r="AL651" t="str">
            <v>lm</v>
          </cell>
        </row>
        <row r="652">
          <cell r="AJ652" t="str">
            <v>PLUMBING,;!Sanitary Drainage System,;!Soil Pipe - HDPE Pipe - 100mm w/ fittings,;!</v>
          </cell>
          <cell r="AL652" t="str">
            <v>lm</v>
          </cell>
        </row>
        <row r="653">
          <cell r="AJ653" t="str">
            <v>PLUMBING,;!Sanitary Drainage System,;!Soil Pipe - HDPE Pipe - 50mm w/ fittings,;!</v>
          </cell>
          <cell r="AL653" t="str">
            <v>lm</v>
          </cell>
        </row>
        <row r="654">
          <cell r="AJ654" t="str">
            <v>PLUMBING,;!Sanitary Drainage System,;!Soil Pipe - PVC Pipe - 300mm w/ fittings,;!</v>
          </cell>
          <cell r="AL654" t="str">
            <v>lm</v>
          </cell>
        </row>
        <row r="655">
          <cell r="AJ655" t="str">
            <v>PLUMBING,;!Sanitary Drainage System,;!Soil Pipe - PVC Pipe - 250mm w/ fittings,;!</v>
          </cell>
          <cell r="AL655" t="str">
            <v>lm</v>
          </cell>
        </row>
        <row r="656">
          <cell r="AJ656" t="str">
            <v>PLUMBING,;!Sanitary Drainage System,;!Soil Pipe - PVC Pipe - 200mm w/ fittings,;!</v>
          </cell>
          <cell r="AL656" t="str">
            <v>lm</v>
          </cell>
        </row>
        <row r="657">
          <cell r="AJ657" t="str">
            <v>PLUMBING,;!Sanitary Drainage System,;!Soil Pipe - PVC Pipe - 100mm w/ fittings,;!</v>
          </cell>
          <cell r="AL657" t="str">
            <v>lm</v>
          </cell>
        </row>
        <row r="658">
          <cell r="AJ658" t="str">
            <v>PLUMBING,;!Sanitary Drainage System,;!Soil Pipe - PVC Pipe - 50mm w/ fittings,;!</v>
          </cell>
          <cell r="AL658" t="str">
            <v>lm</v>
          </cell>
        </row>
        <row r="659">
          <cell r="AJ659" t="str">
            <v>PLUMBING,;!Storm Drainage System  ,;!,;!</v>
          </cell>
          <cell r="AL659" t="str">
            <v>lot</v>
          </cell>
        </row>
        <row r="660">
          <cell r="AJ660" t="str">
            <v>PLUMBING,;!Storm Drainage System  ,;!Downspout-  PVC Pipe - 150mm w/ fittings,;!</v>
          </cell>
          <cell r="AL660" t="str">
            <v>lm</v>
          </cell>
        </row>
        <row r="661">
          <cell r="AJ661" t="str">
            <v>PLUMBING,;!Storm Drainage System  ,;!Downspout-  PVC Pipe - 100mm w/ fittings,;!</v>
          </cell>
          <cell r="AL661" t="str">
            <v>lm</v>
          </cell>
        </row>
        <row r="662">
          <cell r="AJ662" t="str">
            <v>PLUMBING,;!Storm Drainage System  ,;!Downspout-  PVC Pipe - 75mm w/ fittings,;!</v>
          </cell>
          <cell r="AL662" t="str">
            <v>lm</v>
          </cell>
        </row>
        <row r="663">
          <cell r="AJ663" t="str">
            <v>PLUMBING,;!Storm Drainage System  ,;!Drain Pipe -  PVC Pipe - 250mm w/ fittings,;!</v>
          </cell>
          <cell r="AL663" t="str">
            <v>lm</v>
          </cell>
        </row>
        <row r="664">
          <cell r="AJ664" t="str">
            <v>PLUMBING,;!Storm Drainage System  ,;!Drain Pipe -  PVC Pipe - 200mm w/ fittings,;!</v>
          </cell>
          <cell r="AL664" t="str">
            <v>lm</v>
          </cell>
        </row>
        <row r="665">
          <cell r="AJ665" t="str">
            <v>PLUMBING,;!Storm Drainage System  ,;!Drain Pipe -  PVC Pipe - 150mm w/ fittings,;!</v>
          </cell>
          <cell r="AL665" t="str">
            <v>lm</v>
          </cell>
        </row>
        <row r="666">
          <cell r="AJ666" t="str">
            <v>PLUMBING,;!Storm Drainage System  ,;!Drain Pipe -  PVC Pipe - 100mm w/ fittings,;!</v>
          </cell>
          <cell r="AL666" t="str">
            <v>lm</v>
          </cell>
        </row>
        <row r="667">
          <cell r="AJ667" t="str">
            <v>PLUMBING,;!Storm Drainage System  ,;!Drain Pipe -  PVC Pipe - 75mm w/ fittings,;!</v>
          </cell>
          <cell r="AL667" t="str">
            <v>lm</v>
          </cell>
        </row>
        <row r="668">
          <cell r="AJ668" t="str">
            <v>PLUMBING,;!Storm Drainage System  ,;!Drain Pipe -  PVC Pipe -50mm w/ fittings,;!</v>
          </cell>
          <cell r="AL668" t="str">
            <v>lm</v>
          </cell>
        </row>
        <row r="669">
          <cell r="AJ669" t="str">
            <v>PLUMBING,;!Storm Drainage System  ,;!Drain Pipe -  PVC Pipe - 150mm w/ fittings - Perporated,;!</v>
          </cell>
          <cell r="AL669" t="str">
            <v>lm</v>
          </cell>
        </row>
        <row r="670">
          <cell r="AJ670" t="str">
            <v>PLUMBING,;!Storm Drainage System  ,;!Condensate Drain Stack -  PVC Pipe - 50mm w/ fittings ,;!</v>
          </cell>
          <cell r="AL670" t="str">
            <v>lm</v>
          </cell>
        </row>
        <row r="671">
          <cell r="AJ671" t="str">
            <v>PLUMBING,;!Storm Drainage System  ,;!Condensate Drain Pipe -  PVC Pipe - 50mm w/ fittings ,;!</v>
          </cell>
          <cell r="AL671" t="str">
            <v>lm</v>
          </cell>
        </row>
        <row r="672">
          <cell r="AJ672" t="str">
            <v>PLUMBING,;!Storm Drainage System  ,;!Condensate Drain Pipe -  PVC Pipe - 25mm w/ fittings and insulation,;!</v>
          </cell>
          <cell r="AL672" t="str">
            <v>lm</v>
          </cell>
        </row>
        <row r="673">
          <cell r="AJ673" t="str">
            <v>PLUMBING,;!Drain and Accessories ,;!,;!</v>
          </cell>
          <cell r="AL673" t="str">
            <v>lot</v>
          </cell>
        </row>
        <row r="674">
          <cell r="AJ674" t="str">
            <v>PLUMBING,;!Drain and Accessories ,;!Floor Drain 50mm,;!</v>
          </cell>
          <cell r="AL674" t="str">
            <v>set/s</v>
          </cell>
        </row>
        <row r="675">
          <cell r="AJ675" t="str">
            <v>PLUMBING,;!Drain and Accessories ,;!Floor Drain 100mm,;!</v>
          </cell>
          <cell r="AL675" t="str">
            <v>set/s</v>
          </cell>
        </row>
        <row r="676">
          <cell r="AJ676" t="str">
            <v>PLUMBING,;!Drain and Accessories ,;!Scupper Drain 100mm,;!</v>
          </cell>
          <cell r="AL676" t="str">
            <v>set/s</v>
          </cell>
        </row>
        <row r="677">
          <cell r="AJ677" t="str">
            <v>PLUMBING,;!Drain and Accessories ,;!Parking Drain 100mm,;!</v>
          </cell>
          <cell r="AL677" t="str">
            <v>set/s</v>
          </cell>
        </row>
        <row r="678">
          <cell r="AJ678" t="str">
            <v>PLUMBING,;!Drain and Accessories ,;!50mm AAV,;!</v>
          </cell>
          <cell r="AL678" t="str">
            <v>set/s</v>
          </cell>
        </row>
        <row r="679">
          <cell r="AJ679" t="str">
            <v>PLUMBING,;!Drain and Accessories ,;!Oil Interceptor 50 GPM,;!</v>
          </cell>
          <cell r="AL679" t="str">
            <v>set/s</v>
          </cell>
        </row>
        <row r="680">
          <cell r="AJ680" t="str">
            <v>PLUMBING,;!Drain and Accessories ,;!Catch Basin ,;!</v>
          </cell>
          <cell r="AL680" t="str">
            <v>set/s</v>
          </cell>
        </row>
        <row r="681">
          <cell r="AJ681" t="str">
            <v>PLUMBING,;!Pipe Vents System ,;!,;!</v>
          </cell>
          <cell r="AL681" t="str">
            <v>lot</v>
          </cell>
        </row>
        <row r="682">
          <cell r="AJ682" t="str">
            <v>PLUMBING,;!Pipe Vents System ,;!Vent Stack - HDPE Pipe 250mm w/ fittings,;!</v>
          </cell>
          <cell r="AL682" t="str">
            <v>lm</v>
          </cell>
        </row>
        <row r="683">
          <cell r="AJ683" t="str">
            <v>PLUMBING,;!Pipe Vents System ,;!Vent Stack - HDPE Pipe 200mm w/ fittings,;!</v>
          </cell>
          <cell r="AL683" t="str">
            <v>lm</v>
          </cell>
        </row>
        <row r="684">
          <cell r="AJ684" t="str">
            <v>PLUMBING,;!Pipe Vents System ,;!Vent Stack - HDPE Pipe 150mm w/ fittings,;!</v>
          </cell>
          <cell r="AL684" t="str">
            <v>lm</v>
          </cell>
        </row>
        <row r="685">
          <cell r="AJ685" t="str">
            <v>PLUMBING,;!Pipe Vents System ,;!Vent Stack - HDPE Pipe 100mm w/ fittings,;!</v>
          </cell>
          <cell r="AL685" t="str">
            <v>lm</v>
          </cell>
        </row>
        <row r="686">
          <cell r="AJ686" t="str">
            <v>PLUMBING,;!Pipe Vents System ,;!Vent Stack - PVC Pipe 75mm w/ fittings,;!</v>
          </cell>
          <cell r="AL686" t="str">
            <v>lm</v>
          </cell>
        </row>
        <row r="687">
          <cell r="AJ687" t="str">
            <v>PLUMBING,;!Pipe Vents System ,;!Vent Branches - HDPE Pipe 250mm w/ fittings,;!</v>
          </cell>
          <cell r="AL687" t="str">
            <v>lm</v>
          </cell>
        </row>
        <row r="688">
          <cell r="AJ688" t="str">
            <v>PLUMBING,;!Pipe Vents System ,;!Vent Branches - HDPE Pipe 200mm w/ fittings,;!</v>
          </cell>
          <cell r="AL688" t="str">
            <v>lm</v>
          </cell>
        </row>
        <row r="689">
          <cell r="AJ689" t="str">
            <v>PLUMBING,;!Pipe Vents System ,;!Vent Branches - HDPE Pipe 150mm w/ fittings,;!</v>
          </cell>
          <cell r="AL689" t="str">
            <v>lm</v>
          </cell>
        </row>
        <row r="690">
          <cell r="AJ690" t="str">
            <v>PLUMBING,;!Pipe Vents System ,;!Vent Branches - HDPE Pipe 100mm w/ fittings,;!</v>
          </cell>
          <cell r="AL690" t="str">
            <v>lm</v>
          </cell>
        </row>
        <row r="691">
          <cell r="AJ691" t="str">
            <v>PLUMBING,;!Pipe Vents System ,;!Vent Branches - HDPE Pipe 75mm w/ fittings,;!</v>
          </cell>
          <cell r="AL691" t="str">
            <v>lm</v>
          </cell>
        </row>
        <row r="692">
          <cell r="AJ692" t="str">
            <v>PLUMBING,;!Pipe Vents System ,;!Vent Branches - PVC Pipe 75mm w/ fittings,;!</v>
          </cell>
          <cell r="AL692" t="str">
            <v>lm</v>
          </cell>
        </row>
        <row r="693">
          <cell r="AJ693" t="str">
            <v>PLUMBING,;!Overhead Water Tank (OHP),;!,;!</v>
          </cell>
          <cell r="AL693" t="str">
            <v>lot</v>
          </cell>
        </row>
        <row r="694">
          <cell r="AJ694" t="str">
            <v>PLUMBING,;!Overhead Water Tank (OHP),;!Elevated Water Tank -64 cu.m,;!</v>
          </cell>
          <cell r="AL694" t="str">
            <v>set/s</v>
          </cell>
        </row>
        <row r="695">
          <cell r="AJ695" t="str">
            <v>PLUMBING,;!Plumbing Pump and accessories,;!,;!</v>
          </cell>
          <cell r="AL695" t="str">
            <v>lot</v>
          </cell>
        </row>
        <row r="696">
          <cell r="AJ696" t="str">
            <v>PLUMBING,;!Plumbing Pump and accessories,;!Transfer Pump - 325 gpm (each) @ 240Ft TDH,25hp, 400V, 3Ø, 60Hz, Triplex Type, w/ Controller &amp; accessories,;!</v>
          </cell>
          <cell r="AL696" t="str">
            <v>set/s</v>
          </cell>
        </row>
        <row r="697">
          <cell r="AJ697" t="str">
            <v>PLUMBING,;!Plumbing Pump and accessories,;!Booster Pump - 145 gpm (each) @ 160ft TDH, 75hp, 400V, 3Ø, 60Hz, 1 Set Triplex Type, w/ controller, bladder tank &amp; accessories,;!</v>
          </cell>
          <cell r="AL697" t="str">
            <v>set/s</v>
          </cell>
        </row>
        <row r="698">
          <cell r="AJ698" t="str">
            <v>PLUMBING,;!Plumbing Pump and accessories,;!Elevator Sump Pump - 50 gpm @ 30ft TDH , 1hp, 230V,1Ø,60Hz, (2 Set Simplex Type w/ controller &amp; accessories,;!</v>
          </cell>
          <cell r="AL698" t="str">
            <v>set/s</v>
          </cell>
        </row>
        <row r="699">
          <cell r="AJ699" t="str">
            <v>PLUMBING,;!Plumbing Controllers,;!,;!</v>
          </cell>
          <cell r="AL699" t="str">
            <v>set/s</v>
          </cell>
        </row>
        <row r="700">
          <cell r="AJ700" t="str">
            <v>PLUMBING,;!Misc. &amp; Consumables,;!,;!</v>
          </cell>
          <cell r="AL700" t="str">
            <v>lot</v>
          </cell>
        </row>
        <row r="701">
          <cell r="AJ701" t="str">
            <v>PLUMBING,;!Hangers &amp; Supports,;!,;!</v>
          </cell>
          <cell r="AL701" t="str">
            <v>lot</v>
          </cell>
        </row>
        <row r="702">
          <cell r="AJ702" t="str">
            <v>PLUMBING,;!Block-out &amp; Pipe Sleeves,;!,;!</v>
          </cell>
          <cell r="AL702" t="str">
            <v>lot</v>
          </cell>
        </row>
        <row r="703">
          <cell r="AJ703" t="str">
            <v>PLUMBING,;!Testing &amp; Commissioning,;!,;!</v>
          </cell>
          <cell r="AL703" t="str">
            <v>lot</v>
          </cell>
        </row>
        <row r="704">
          <cell r="AJ704" t="str">
            <v>PLUMBING,;!General Requirements,;!,;!</v>
          </cell>
          <cell r="AL704" t="str">
            <v>lot</v>
          </cell>
        </row>
        <row r="705">
          <cell r="AJ705" t="str">
            <v>FIRE PROTECTION,;!,;!,;!</v>
          </cell>
          <cell r="AL705" t="str">
            <v>lot</v>
          </cell>
        </row>
        <row r="706">
          <cell r="AJ706" t="str">
            <v>FIRE PROTECTION,;!Pumps,;!,;!</v>
          </cell>
          <cell r="AL706" t="str">
            <v>lot</v>
          </cell>
        </row>
        <row r="707">
          <cell r="AJ707" t="str">
            <v>FIRE PROTECTION,;!Pumps,;!Jockey Pump 20 GPM,;!</v>
          </cell>
          <cell r="AL707" t="str">
            <v>units</v>
          </cell>
        </row>
        <row r="708">
          <cell r="AJ708" t="str">
            <v>FIRE PROTECTION,;!Pumps,;!Fire Pump 1000 GPM,;!</v>
          </cell>
          <cell r="AL708" t="str">
            <v>units</v>
          </cell>
        </row>
        <row r="709">
          <cell r="AJ709" t="str">
            <v>FIRE PROTECTION,;!Pumps,;!Fire Pump 1000 GPM,;!150mm Alarm Check Valve</v>
          </cell>
          <cell r="AL709" t="str">
            <v>sets</v>
          </cell>
        </row>
        <row r="710">
          <cell r="AJ710" t="str">
            <v>FIRE PROTECTION,;!Pumps,;!Fire Pump 1000 GPM,;!100mm diameter Equalizing Valve</v>
          </cell>
          <cell r="AL710" t="str">
            <v>sets</v>
          </cell>
        </row>
        <row r="711">
          <cell r="AJ711" t="str">
            <v>FIRE PROTECTION,;!Pumps,;!Fire Pump 1000 GPM,;!150mm Braided Flexible Connector</v>
          </cell>
          <cell r="AL711" t="str">
            <v>sets</v>
          </cell>
        </row>
        <row r="712">
          <cell r="AJ712" t="str">
            <v>FIRE PROTECTION,;!Pumps,;!Fire Pump 1000 GPM,;!150mm Flow Meter</v>
          </cell>
          <cell r="AL712" t="str">
            <v>sets</v>
          </cell>
        </row>
        <row r="713">
          <cell r="AJ713" t="str">
            <v>FIRE PROTECTION,;!Pumps,;!Fire Pump 1000 GPM,;!150mm Pressure Relief Valve w/ Waste Cone</v>
          </cell>
          <cell r="AL713" t="str">
            <v>sets</v>
          </cell>
        </row>
        <row r="714">
          <cell r="AJ714" t="str">
            <v>FIRE PROTECTION,;!Pumps,;!Fire Pump 1000 GPM,;!150mm Wye Strainer</v>
          </cell>
          <cell r="AL714" t="str">
            <v>sets</v>
          </cell>
        </row>
        <row r="715">
          <cell r="AJ715" t="str">
            <v>FIRE PROTECTION,;!Pumps,;!Fire Pump 1000 GPM,;!200mm diameter OS&amp;Y Gate Valve</v>
          </cell>
          <cell r="AL715" t="str">
            <v>sets</v>
          </cell>
        </row>
        <row r="716">
          <cell r="AJ716" t="str">
            <v>FIRE PROTECTION,;!Pumps,;!Fire Pump 1000 GPM,;!25mm diameter Water Level Indicator w/ Sight Glass</v>
          </cell>
          <cell r="AL716" t="str">
            <v>sets</v>
          </cell>
        </row>
        <row r="717">
          <cell r="AJ717" t="str">
            <v>FIRE PROTECTION,;!Pumps,;!Fire Pump 1000 GPM,;!65mm Braided Flexible Connector</v>
          </cell>
          <cell r="AL717" t="str">
            <v>sets</v>
          </cell>
        </row>
        <row r="718">
          <cell r="AJ718" t="str">
            <v>FIRE PROTECTION,;!Pumps,;!Fire Pump 1000 GPM,;!65mm Pressure Relief Valve w/ Waste Cone</v>
          </cell>
          <cell r="AL718" t="str">
            <v>sets</v>
          </cell>
        </row>
        <row r="719">
          <cell r="AJ719" t="str">
            <v>FIRE PROTECTION,;!Pumps,;!Fire Pump 1000 GPM,;!65mm Wye Strainer</v>
          </cell>
          <cell r="AL719" t="str">
            <v>sets</v>
          </cell>
        </row>
        <row r="720">
          <cell r="AJ720" t="str">
            <v>FIRE PROTECTION,;!Pumps,;!Fire Pump 1000 GPM,;!Anti Vortex Plate(600x600x100x3mm Thick)</v>
          </cell>
          <cell r="AL720" t="str">
            <v>sets</v>
          </cell>
        </row>
        <row r="721">
          <cell r="AJ721" t="str">
            <v>FIRE PROTECTION,;!Pumps,;!Fire Pump 1000 GPM,;!20mm Air Release Vent</v>
          </cell>
          <cell r="AL721" t="str">
            <v>sets</v>
          </cell>
        </row>
        <row r="722">
          <cell r="AJ722" t="str">
            <v>FIRE PROTECTION,;!Pumps,;!Fire Pump 1000 GPM,;!20mm Ball Valve</v>
          </cell>
          <cell r="AL722" t="str">
            <v>sets</v>
          </cell>
        </row>
        <row r="723">
          <cell r="AJ723" t="str">
            <v>FIRE PROTECTION,;!Wet / Dry Stand Pipe Works,;!,;!</v>
          </cell>
          <cell r="AL723" t="str">
            <v>lot</v>
          </cell>
        </row>
        <row r="724">
          <cell r="AJ724" t="str">
            <v>FIRE PROTECTION,;!Wet / Dry Stand Pipe Works,;!Wet / Dry Stand Pipe Riser 200mm BI Pipes w/ fittings,;!</v>
          </cell>
          <cell r="AL724" t="str">
            <v>lm</v>
          </cell>
        </row>
        <row r="725">
          <cell r="AJ725" t="str">
            <v>FIRE PROTECTION,;!Wet / Dry Stand Pipe Works,;!Wet Stand Valves and accessories ,;!</v>
          </cell>
          <cell r="AL725" t="str">
            <v>lot</v>
          </cell>
        </row>
        <row r="726">
          <cell r="AJ726" t="str">
            <v>FIRE PROTECTION,;!Wet / Dry Stand Pipe Works,;!Wet Stand Valves and accessories ,;!65mm Pressure Reducing Fire Hose Valves w/ chain and cap (Brass)</v>
          </cell>
          <cell r="AL726" t="str">
            <v>sets</v>
          </cell>
        </row>
        <row r="727">
          <cell r="AJ727" t="str">
            <v>FIRE PROTECTION,;!Wet / Dry Stand Pipe Works,;!Wet Stand Valves and accessories ,;!3 x 65mm x 200mm Fire Department Connection</v>
          </cell>
          <cell r="AL727" t="str">
            <v>sets</v>
          </cell>
        </row>
        <row r="728">
          <cell r="AJ728" t="str">
            <v>FIRE PROTECTION,;!Wet / Dry Stand Pipe Works,;!Wet Stand Valves and accessories ,;!200mm dia Check Valve</v>
          </cell>
          <cell r="AL728" t="str">
            <v>sets</v>
          </cell>
        </row>
        <row r="729">
          <cell r="AJ729" t="str">
            <v>FIRE PROTECTION,;!Wet / Dry Stand Pipe Works,;!Wet Stand Valves and accessories ,;!200mm dia OS &amp; Y Gate Valve / Control Valve with Supervisory Switch</v>
          </cell>
          <cell r="AL729" t="str">
            <v>sets</v>
          </cell>
        </row>
        <row r="730">
          <cell r="AJ730" t="str">
            <v>FIRE PROTECTION,;!Wet / Dry Stand Pipe Works,;!Wet Stand Valves and accessories ,;!200mm Vertical Alarm Check Valve Assembly w/ Complete acc.</v>
          </cell>
          <cell r="AL730" t="str">
            <v>sets</v>
          </cell>
        </row>
        <row r="731">
          <cell r="AJ731" t="str">
            <v>FIRE PROTECTION,;!Wet / Dry Stand Pipe Works,;!Wet Stand Valves and accessories ,;!200mm AAV</v>
          </cell>
          <cell r="AL731" t="str">
            <v>sets</v>
          </cell>
        </row>
        <row r="732">
          <cell r="AJ732" t="str">
            <v>FIRE PROTECTION,;!Wet / Dry Stand Pipe Works,;!Wet Stand Valves and accessories ,;!65mm x 65mm x 200mm Roof Manifold</v>
          </cell>
          <cell r="AL732" t="str">
            <v>sets</v>
          </cell>
        </row>
        <row r="733">
          <cell r="AJ733" t="str">
            <v>FIRE PROTECTION,;!Feed Main,;!,;!</v>
          </cell>
          <cell r="AL733" t="str">
            <v>lot</v>
          </cell>
        </row>
        <row r="734">
          <cell r="AJ734" t="str">
            <v>FIRE PROTECTION,;!Feed Main,;!Feedmain 200mm BI Pipes w/ fittings,;!</v>
          </cell>
          <cell r="AL734" t="str">
            <v>lm</v>
          </cell>
        </row>
        <row r="735">
          <cell r="AJ735" t="str">
            <v>FIRE PROTECTION,;!Feed Main,;!Feedmain Valve and Assembly ,;!</v>
          </cell>
          <cell r="AL735" t="str">
            <v>lot</v>
          </cell>
        </row>
        <row r="736">
          <cell r="AJ736" t="str">
            <v>FIRE PROTECTION,;!Feed Main,;!Feedmain Valve and Assembly ,;!100mm diameter FCV, Butterfly Valve.Victaulic. Wafer Type with Built In Supervisory Swith and Tamper Switch.incl fittings</v>
          </cell>
          <cell r="AL736" t="str">
            <v>sets</v>
          </cell>
        </row>
        <row r="737">
          <cell r="AJ737" t="str">
            <v>FIRE PROTECTION,;!Feed Main,;!Feedmain Valve and Assembly ,;!100mm diameter Water Flow Swith</v>
          </cell>
          <cell r="AL737" t="str">
            <v>sets</v>
          </cell>
        </row>
        <row r="738">
          <cell r="AJ738" t="str">
            <v>FIRE PROTECTION,;!Feed Main,;!Feedmain Valve and Assembly ,;!100mm dia Check Valve</v>
          </cell>
          <cell r="AL738" t="str">
            <v>sets</v>
          </cell>
        </row>
        <row r="739">
          <cell r="AJ739" t="str">
            <v>FIRE PROTECTION,;!Feed Main,;!Feedmain Valve and Assembly ,;!Pressure gauge 300 psi connection including fittings</v>
          </cell>
          <cell r="AL739" t="str">
            <v>sets</v>
          </cell>
        </row>
        <row r="740">
          <cell r="AJ740" t="str">
            <v>FIRE PROTECTION,;!Feed Main,;!Feedmain Valve and Assembly ,;!25mm Ø Inspector's Test Connection Assembly</v>
          </cell>
          <cell r="AL740" t="str">
            <v>sets</v>
          </cell>
        </row>
        <row r="741">
          <cell r="AJ741" t="str">
            <v>FIRE PROTECTION,;!Feed Main,;!Feedmain Valve and Assembly ,;!25mm diameter Auxiliary drain inlcuding fittings</v>
          </cell>
          <cell r="AL741" t="str">
            <v>sets</v>
          </cell>
        </row>
        <row r="742">
          <cell r="AJ742" t="str">
            <v>FIRE PROTECTION,;!Crossmain,;!,;!</v>
          </cell>
          <cell r="AL742" t="str">
            <v>lot</v>
          </cell>
        </row>
        <row r="743">
          <cell r="AJ743" t="str">
            <v>FIRE PROTECTION,;!Crossmain,;!Cross Main 100mm BI Pipes w/ fittings,;!</v>
          </cell>
          <cell r="AL743" t="str">
            <v>lm</v>
          </cell>
        </row>
        <row r="744">
          <cell r="AJ744" t="str">
            <v>FIRE PROTECTION,;!Crossmain,;!Cross Main 80mm BI Pipes w/ fittings,;!</v>
          </cell>
          <cell r="AL744" t="str">
            <v>lm</v>
          </cell>
        </row>
        <row r="745">
          <cell r="AJ745" t="str">
            <v>FIRE PROTECTION,;!Crossmain,;!Cross Main 65mm BI Pipes w/ fittings,;!</v>
          </cell>
          <cell r="AL745" t="str">
            <v>lm</v>
          </cell>
        </row>
        <row r="746">
          <cell r="AJ746" t="str">
            <v>FIRE PROTECTION,;!Crossmain,;!Cross Main 50mm BI Pipes w/ fittings,;!</v>
          </cell>
          <cell r="AL746" t="str">
            <v>lm</v>
          </cell>
        </row>
        <row r="747">
          <cell r="AJ747" t="str">
            <v>FIRE PROTECTION,;!Branchline,;!,;!</v>
          </cell>
          <cell r="AL747" t="str">
            <v>lot</v>
          </cell>
        </row>
        <row r="748">
          <cell r="AJ748" t="str">
            <v>FIRE PROTECTION,;!Branchline,;!Branch Line 50mm CPVC Pipes w/ fittings,;!</v>
          </cell>
          <cell r="AL748" t="str">
            <v>lm</v>
          </cell>
        </row>
        <row r="749">
          <cell r="AJ749" t="str">
            <v>FIRE PROTECTION,;!Branchline,;!Branch Line 40mm CPVC Pipes w/ fittings,;!</v>
          </cell>
          <cell r="AL749" t="str">
            <v>lm</v>
          </cell>
        </row>
        <row r="750">
          <cell r="AJ750" t="str">
            <v>FIRE PROTECTION,;!Branchline,;!Branch Line 32mm CPVC Pipes w/ fittings,;!</v>
          </cell>
          <cell r="AL750" t="str">
            <v>lm</v>
          </cell>
        </row>
        <row r="751">
          <cell r="AJ751" t="str">
            <v>FIRE PROTECTION,;!Branchline,;!Branch Line 25mm CPVC Pipes w/ fittings,;!</v>
          </cell>
          <cell r="AL751" t="str">
            <v>lm</v>
          </cell>
        </row>
        <row r="752">
          <cell r="AJ752" t="str">
            <v>FIRE PROTECTION,;!Drain Pipe Works ,;!,;!</v>
          </cell>
          <cell r="AL752" t="str">
            <v>lot</v>
          </cell>
        </row>
        <row r="753">
          <cell r="AJ753" t="str">
            <v>FIRE PROTECTION,;!Drain Pipe Works ,;!Drain Pipe Riser 50mm w/ fittings,;!</v>
          </cell>
          <cell r="AL753" t="str">
            <v>lm</v>
          </cell>
        </row>
        <row r="754">
          <cell r="AJ754" t="str">
            <v>FIRE PROTECTION,;!Drain Pipe Works ,;!50mm Drain Valve,;!</v>
          </cell>
          <cell r="AL754" t="str">
            <v>set/s</v>
          </cell>
        </row>
        <row r="755">
          <cell r="AJ755" t="str">
            <v>FIRE PROTECTION,;!Equiptment and Accessories Works ,;!,;!</v>
          </cell>
          <cell r="AL755" t="str">
            <v>lot</v>
          </cell>
        </row>
        <row r="756">
          <cell r="AJ756" t="str">
            <v>FIRE PROTECTION,;!Equiptment and Accessories Works ,;!Upright Sprinkler Head 68°C,;!</v>
          </cell>
          <cell r="AL756" t="str">
            <v>sets</v>
          </cell>
        </row>
        <row r="757">
          <cell r="AJ757" t="str">
            <v>FIRE PROTECTION,;!Equiptment and Accessories Works ,;!Pendent Sprinkler Head 68°C,;!</v>
          </cell>
          <cell r="AL757" t="str">
            <v>sets</v>
          </cell>
        </row>
        <row r="758">
          <cell r="AJ758" t="str">
            <v>FIRE PROTECTION,;!Equiptment and Accessories Works ,;!Sidewall Sprinkler Head 68°C,;!</v>
          </cell>
          <cell r="AL758" t="str">
            <v>sets</v>
          </cell>
        </row>
        <row r="759">
          <cell r="AJ759" t="str">
            <v>FIRE PROTECTION,;!Equiptment and Accessories Works ,;!Sidewall Sprinkler Head 100°C,;!</v>
          </cell>
          <cell r="AL759" t="str">
            <v>sets</v>
          </cell>
        </row>
        <row r="760">
          <cell r="AJ760" t="str">
            <v>FIRE PROTECTION,;!Equiptment and Accessories Works ,;!FE-1, 4.5Kg. ABC Dry Chemical,;!</v>
          </cell>
          <cell r="AL760" t="str">
            <v>sets</v>
          </cell>
        </row>
        <row r="761">
          <cell r="AJ761" t="str">
            <v>FIRE PROTECTION,;!Equiptment and Accessories Works ,;!FE-2, 4.5Kg. Dry Chemical Purple K,;!</v>
          </cell>
          <cell r="AL761" t="str">
            <v>sets</v>
          </cell>
        </row>
        <row r="762">
          <cell r="AJ762" t="str">
            <v>FIRE PROTECTION,;!Equiptment and Accessories Works ,;!Fire Hose Cabinet complete with accessories ( Surfaced Mounted Type ),;!</v>
          </cell>
          <cell r="AL762" t="str">
            <v>sets</v>
          </cell>
        </row>
        <row r="763">
          <cell r="AJ763" t="str">
            <v>FIRE PROTECTION,;!Misc. &amp; Consumables,;!,;!</v>
          </cell>
          <cell r="AL763" t="str">
            <v>lot</v>
          </cell>
        </row>
        <row r="764">
          <cell r="AJ764" t="str">
            <v>FIRE PROTECTION,;!Hangers &amp; Supports,;!,;!</v>
          </cell>
          <cell r="AL764" t="str">
            <v>lot</v>
          </cell>
        </row>
        <row r="765">
          <cell r="AJ765" t="str">
            <v>FIRE PROTECTION,;!Block-out &amp; Pipe Sleeves,;!,;!</v>
          </cell>
          <cell r="AL765" t="str">
            <v>lot</v>
          </cell>
        </row>
        <row r="766">
          <cell r="AJ766" t="str">
            <v>FIRE PROTECTION,;!Testing &amp; Commissioning,;!,;!</v>
          </cell>
          <cell r="AL766" t="str">
            <v>lot</v>
          </cell>
        </row>
        <row r="767">
          <cell r="AJ767" t="str">
            <v>FIRE PROTECTION,;!General Requirements,;!,;!</v>
          </cell>
          <cell r="AL767" t="str">
            <v>lot</v>
          </cell>
        </row>
        <row r="768">
          <cell r="AJ768" t="str">
            <v>ALLIED SERVICES,;!,;!,;!</v>
          </cell>
          <cell r="AL768" t="str">
            <v>lot</v>
          </cell>
        </row>
        <row r="769">
          <cell r="AJ769" t="str">
            <v>ALLIED SERVICES,;!Elevators,;!,;!</v>
          </cell>
          <cell r="AL769" t="str">
            <v>lot</v>
          </cell>
        </row>
        <row r="770">
          <cell r="AJ770" t="str">
            <v>ALLIED SERVICES,;!Elevators,;!Passenger Elevator-01,;!</v>
          </cell>
          <cell r="AL770" t="str">
            <v>units</v>
          </cell>
        </row>
        <row r="771">
          <cell r="AJ771" t="str">
            <v>ALLIED SERVICES,;!Elevators,;!Passenger Elevator-02 (for Provision),;!</v>
          </cell>
          <cell r="AL771" t="str">
            <v>units</v>
          </cell>
        </row>
        <row r="772">
          <cell r="AJ772" t="str">
            <v>ALLIED SERVICES,;!Elevators,;!Factory Acceptance,  Testing and Commissioning,;!</v>
          </cell>
          <cell r="AL772" t="str">
            <v>units</v>
          </cell>
        </row>
        <row r="773">
          <cell r="AJ773" t="str">
            <v>ALLIED SERVICES,;!Transformer,;!,;!</v>
          </cell>
          <cell r="AL773" t="str">
            <v>lot</v>
          </cell>
        </row>
        <row r="774">
          <cell r="AJ774" t="str">
            <v>ALLIED SERVICES,;!Generator Set,;!,;!</v>
          </cell>
          <cell r="AL774" t="str">
            <v>lot</v>
          </cell>
        </row>
        <row r="775">
          <cell r="AJ775" t="str">
            <v>ALLIED SERVICES,;!Generator Set,;!Genset -350KVA, 3P, 4WIRE, 400V, 60Hz,;!</v>
          </cell>
          <cell r="AL775" t="str">
            <v>units</v>
          </cell>
        </row>
        <row r="776">
          <cell r="AJ776" t="str">
            <v>ALLIED SERVICES,;!,;!,;!</v>
          </cell>
        </row>
      </sheetData>
      <sheetData sheetId="5">
        <row r="10">
          <cell r="X10" t="str">
            <v>PMOBIDStart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PC. CAC. BID. BCB1"/>
    </sheetNames>
    <definedNames>
      <definedName name="Button4_Click" refersTo="#REF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tabColor theme="9"/>
    <outlinePr summaryBelow="0" summaryRight="0"/>
    <pageSetUpPr fitToPage="1"/>
  </sheetPr>
  <dimension ref="A1:AJ1272"/>
  <sheetViews>
    <sheetView showGridLines="0" tabSelected="1" zoomScale="55" zoomScaleNormal="55" zoomScaleSheetLayoutView="70" workbookViewId="0">
      <pane xSplit="6" ySplit="13" topLeftCell="G14" activePane="bottomRight" state="frozen"/>
      <selection pane="topRight"/>
      <selection pane="bottomLeft"/>
      <selection pane="bottomRight" activeCell="P661" sqref="P14 P81 P147 P237 P305 P445 P517 P617 P661"/>
    </sheetView>
  </sheetViews>
  <sheetFormatPr defaultColWidth="14.44140625" defaultRowHeight="19.95" customHeight="1" outlineLevelRow="2" outlineLevelCol="1"/>
  <cols>
    <col min="1" max="1" width="7.44140625" style="98" customWidth="1"/>
    <col min="2" max="2" width="12.77734375" style="99" customWidth="1"/>
    <col min="3" max="3" width="5.44140625" style="99" customWidth="1"/>
    <col min="4" max="4" width="5.44140625" style="100" customWidth="1"/>
    <col min="5" max="5" width="17.77734375" style="98" customWidth="1"/>
    <col min="6" max="6" width="100.5546875" style="101" customWidth="1"/>
    <col min="7" max="7" width="2.44140625" style="98" customWidth="1"/>
    <col min="8" max="8" width="17.5546875" style="102" customWidth="1"/>
    <col min="9" max="9" width="13.44140625" style="103" customWidth="1"/>
    <col min="10" max="10" width="22.44140625" style="104" customWidth="1"/>
    <col min="11" max="11" width="22.44140625" style="105" customWidth="1" outlineLevel="1"/>
    <col min="12" max="12" width="18" style="106" customWidth="1"/>
    <col min="13" max="13" width="22.44140625" style="105" customWidth="1" outlineLevel="1"/>
    <col min="14" max="14" width="20" style="104" customWidth="1"/>
    <col min="15" max="15" width="22.44140625" style="105" customWidth="1" outlineLevel="1"/>
    <col min="16" max="16" width="20.21875" style="107" customWidth="1"/>
    <col min="17" max="17" width="13.33203125" style="108" customWidth="1"/>
    <col min="18" max="18" width="19.77734375" style="109" customWidth="1"/>
    <col min="19" max="19" width="22.109375" style="102" customWidth="1"/>
    <col min="20" max="20" width="26.88671875" style="102" customWidth="1" outlineLevel="1"/>
    <col min="21" max="21" width="4.21875" style="110" customWidth="1"/>
    <col min="22" max="22" width="14.44140625" style="111" customWidth="1"/>
    <col min="23" max="23" width="14.44140625" style="98" hidden="1" customWidth="1"/>
    <col min="24" max="24" width="13.44140625" style="111" hidden="1" customWidth="1"/>
    <col min="25" max="30" width="14.44140625" style="111" hidden="1" customWidth="1"/>
    <col min="31" max="31" width="14.44140625" style="98" hidden="1" customWidth="1"/>
    <col min="32" max="33" width="14.44140625" style="111" hidden="1" customWidth="1"/>
    <col min="34" max="34" width="241.21875" style="111" hidden="1" customWidth="1"/>
    <col min="35" max="36" width="14.44140625" style="111" hidden="1" customWidth="1"/>
    <col min="37" max="16384" width="14.44140625" style="111"/>
  </cols>
  <sheetData>
    <row r="1" spans="1:36" s="89" customFormat="1" ht="22.5" customHeight="1">
      <c r="A1" s="112"/>
      <c r="B1" s="113"/>
      <c r="C1" s="113"/>
      <c r="D1" s="114"/>
      <c r="E1" s="112"/>
      <c r="F1" s="115"/>
      <c r="G1" s="112"/>
      <c r="H1" s="116"/>
      <c r="I1" s="117"/>
      <c r="J1" s="118"/>
      <c r="K1" s="119"/>
      <c r="L1" s="120"/>
      <c r="M1" s="119"/>
      <c r="N1" s="120"/>
      <c r="O1" s="119"/>
      <c r="P1" s="365"/>
      <c r="Q1" s="119"/>
      <c r="R1" s="119"/>
      <c r="S1" s="121"/>
      <c r="T1" s="121"/>
      <c r="U1" s="122"/>
      <c r="W1" s="112"/>
      <c r="X1" s="366"/>
      <c r="Y1" s="366"/>
      <c r="Z1" s="366"/>
      <c r="AA1" s="366"/>
      <c r="AB1" s="366"/>
      <c r="AC1" s="366"/>
      <c r="AD1" s="112"/>
      <c r="AE1" s="112"/>
      <c r="AF1" s="112"/>
      <c r="AG1" s="112"/>
      <c r="AH1" s="112"/>
      <c r="AI1" s="112"/>
      <c r="AJ1" s="112"/>
    </row>
    <row r="2" spans="1:36" s="89" customFormat="1" ht="9" customHeight="1">
      <c r="A2" s="112"/>
      <c r="B2" s="113"/>
      <c r="C2" s="113"/>
      <c r="D2" s="114"/>
      <c r="E2" s="112"/>
      <c r="F2" s="115"/>
      <c r="G2" s="112"/>
      <c r="H2" s="123"/>
      <c r="I2" s="117"/>
      <c r="J2" s="120"/>
      <c r="K2" s="119"/>
      <c r="L2" s="120"/>
      <c r="M2" s="119"/>
      <c r="N2" s="120"/>
      <c r="O2" s="119"/>
      <c r="P2" s="367"/>
      <c r="Q2" s="368"/>
      <c r="R2" s="119"/>
      <c r="S2" s="121"/>
      <c r="T2" s="121"/>
      <c r="U2" s="122"/>
      <c r="W2" s="112"/>
      <c r="X2" s="96"/>
      <c r="Y2" s="96"/>
      <c r="Z2" s="96"/>
      <c r="AA2" s="96"/>
      <c r="AB2" s="96"/>
      <c r="AC2" s="96"/>
      <c r="AD2" s="96">
        <f>IF(X2&lt;&gt;0,IF($X2&gt;=AD$12,AD1,""),Z2)</f>
        <v>0</v>
      </c>
      <c r="AE2" s="96">
        <f>IF(AA2=" ",IF($X2&gt;=AE$12,AE1,""),AA2)</f>
        <v>0</v>
      </c>
      <c r="AF2" s="96">
        <f>IF(AB2=" ",IF($X2&gt;=AF$12,AF1,""),AB2)</f>
        <v>0</v>
      </c>
      <c r="AG2" s="96">
        <f>IF(AC2=" ",IF($X2&gt;=AG$12,AG1,""),AC2)</f>
        <v>0</v>
      </c>
      <c r="AH2" s="211" t="str">
        <f>AD2&amp;",;!"&amp;AE2&amp;",;!"&amp;AF2&amp;",;!"&amp;AG2</f>
        <v>0,;!0,;!0,;!0</v>
      </c>
      <c r="AI2" s="211" t="e">
        <f>INDEX([1]Library!$AL:$AL,MATCH(AH2,[1]Library!$AJ:$AJ,0),1)</f>
        <v>#N/A</v>
      </c>
      <c r="AJ2" s="211" t="e">
        <f>TEXT(INDEX([1]Library!$W:$W,MATCH(AH2,[1]Library!$AJ:$AJ,0),1),"")</f>
        <v>#N/A</v>
      </c>
    </row>
    <row r="3" spans="1:36" s="90" customFormat="1" ht="30" customHeight="1">
      <c r="A3" s="124"/>
      <c r="B3" s="124"/>
      <c r="C3" s="124"/>
      <c r="D3" s="125" t="s">
        <v>0</v>
      </c>
      <c r="E3" s="124"/>
      <c r="F3" s="124"/>
      <c r="G3" s="126"/>
      <c r="H3" s="127"/>
      <c r="I3" s="128"/>
      <c r="J3" s="127"/>
      <c r="K3" s="128"/>
      <c r="L3" s="127"/>
      <c r="M3" s="128"/>
      <c r="N3" s="127"/>
      <c r="O3" s="128"/>
      <c r="P3" s="129"/>
      <c r="Q3" s="127"/>
      <c r="R3" s="128"/>
      <c r="S3" s="127"/>
      <c r="T3" s="127"/>
      <c r="U3" s="130"/>
      <c r="W3" s="131"/>
      <c r="X3" s="369"/>
      <c r="Y3" s="369"/>
      <c r="Z3" s="369"/>
      <c r="AA3" s="369"/>
      <c r="AB3" s="369"/>
      <c r="AC3" s="369"/>
      <c r="AD3" s="131"/>
      <c r="AE3" s="131"/>
      <c r="AF3" s="131"/>
      <c r="AG3" s="131"/>
      <c r="AH3" s="131"/>
      <c r="AI3" s="131"/>
      <c r="AJ3" s="131"/>
    </row>
    <row r="4" spans="1:36" s="91" customFormat="1" ht="13.2" customHeight="1" collapsed="1">
      <c r="A4" s="132"/>
      <c r="B4" s="133"/>
      <c r="C4" s="134" t="s">
        <v>1</v>
      </c>
      <c r="D4" s="134"/>
      <c r="E4" s="135"/>
      <c r="F4" s="135"/>
      <c r="G4" s="126"/>
      <c r="H4" s="132"/>
      <c r="I4" s="136"/>
      <c r="J4" s="132"/>
      <c r="K4" s="136"/>
      <c r="L4" s="132"/>
      <c r="M4" s="136"/>
      <c r="N4" s="132"/>
      <c r="O4" s="136"/>
      <c r="P4" s="137"/>
      <c r="Q4" s="132"/>
      <c r="R4" s="136"/>
      <c r="S4" s="132"/>
      <c r="T4" s="132"/>
      <c r="U4" s="138"/>
      <c r="W4" s="139"/>
      <c r="X4" s="370"/>
      <c r="Y4" s="370"/>
      <c r="Z4" s="370"/>
      <c r="AA4" s="370"/>
      <c r="AB4" s="370"/>
      <c r="AC4" s="370"/>
      <c r="AD4" s="139"/>
      <c r="AE4" s="139"/>
      <c r="AF4" s="139"/>
      <c r="AG4" s="139"/>
      <c r="AH4" s="139"/>
      <c r="AI4" s="139"/>
      <c r="AJ4" s="139"/>
    </row>
    <row r="5" spans="1:36" s="92" customFormat="1" ht="19.95" hidden="1" customHeight="1" outlineLevel="1">
      <c r="A5" s="140" t="s">
        <v>2</v>
      </c>
      <c r="B5" s="141"/>
      <c r="C5" s="141" t="s">
        <v>3</v>
      </c>
      <c r="D5" s="141"/>
      <c r="E5" s="142"/>
      <c r="F5" s="142"/>
      <c r="G5" s="126"/>
      <c r="H5" s="143" t="s">
        <v>4</v>
      </c>
      <c r="I5" s="144">
        <f>18641.6</f>
        <v>18641.599999999999</v>
      </c>
      <c r="J5" s="145" t="s">
        <v>5</v>
      </c>
      <c r="K5" s="146"/>
      <c r="L5" s="147"/>
      <c r="M5" s="146"/>
      <c r="N5" s="147"/>
      <c r="O5" s="148" t="s">
        <v>6</v>
      </c>
      <c r="P5" s="149"/>
      <c r="Q5" s="150"/>
      <c r="R5" s="146"/>
      <c r="S5" s="151"/>
      <c r="T5" s="151"/>
      <c r="U5" s="152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</row>
    <row r="6" spans="1:36" s="92" customFormat="1" ht="19.95" hidden="1" customHeight="1" outlineLevel="1">
      <c r="A6" s="140" t="s">
        <v>7</v>
      </c>
      <c r="B6" s="141"/>
      <c r="C6" s="141" t="s">
        <v>8</v>
      </c>
      <c r="D6" s="154"/>
      <c r="E6" s="155"/>
      <c r="F6" s="155"/>
      <c r="G6" s="126"/>
      <c r="H6" s="143" t="s">
        <v>9</v>
      </c>
      <c r="I6" s="144">
        <v>27</v>
      </c>
      <c r="J6" s="156" t="s">
        <v>10</v>
      </c>
      <c r="K6" s="157"/>
      <c r="L6" s="158"/>
      <c r="M6" s="157"/>
      <c r="N6" s="158"/>
      <c r="O6" s="148" t="s">
        <v>11</v>
      </c>
      <c r="P6" s="149"/>
      <c r="Q6" s="159"/>
      <c r="R6" s="157"/>
      <c r="S6" s="160"/>
      <c r="T6" s="160"/>
      <c r="U6" s="152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</row>
    <row r="7" spans="1:36" s="92" customFormat="1" ht="19.95" hidden="1" customHeight="1" outlineLevel="1">
      <c r="A7" s="140" t="s">
        <v>12</v>
      </c>
      <c r="B7" s="141"/>
      <c r="C7" s="141" t="s">
        <v>13</v>
      </c>
      <c r="D7" s="141"/>
      <c r="E7" s="142"/>
      <c r="F7" s="142"/>
      <c r="G7" s="126"/>
      <c r="H7" s="143" t="s">
        <v>14</v>
      </c>
      <c r="I7" s="144">
        <f>510</f>
        <v>510</v>
      </c>
      <c r="J7" s="161" t="s">
        <v>5</v>
      </c>
      <c r="K7" s="146"/>
      <c r="L7" s="147"/>
      <c r="M7" s="146"/>
      <c r="N7" s="147"/>
      <c r="O7" s="148" t="s">
        <v>15</v>
      </c>
      <c r="P7" s="149"/>
      <c r="Q7" s="150"/>
      <c r="R7" s="146"/>
      <c r="S7" s="151"/>
      <c r="T7" s="151"/>
      <c r="U7" s="152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</row>
    <row r="8" spans="1:36" s="92" customFormat="1" ht="19.95" hidden="1" customHeight="1" outlineLevel="1">
      <c r="A8" s="162"/>
      <c r="B8" s="141"/>
      <c r="C8" s="141"/>
      <c r="D8" s="141"/>
      <c r="E8" s="142"/>
      <c r="F8" s="142"/>
      <c r="G8" s="126"/>
      <c r="H8" s="143" t="s">
        <v>16</v>
      </c>
      <c r="I8" s="144">
        <v>4</v>
      </c>
      <c r="J8" s="147"/>
      <c r="K8" s="146"/>
      <c r="L8" s="147"/>
      <c r="M8" s="146"/>
      <c r="N8" s="147"/>
      <c r="O8" s="148" t="s">
        <v>15</v>
      </c>
      <c r="P8" s="149"/>
      <c r="Q8" s="150"/>
      <c r="R8" s="146"/>
      <c r="S8" s="151"/>
      <c r="T8" s="151"/>
      <c r="U8" s="152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</row>
    <row r="9" spans="1:36" s="92" customFormat="1" ht="23.25" hidden="1" customHeight="1" outlineLevel="1">
      <c r="A9" s="162"/>
      <c r="B9" s="141"/>
      <c r="C9" s="141"/>
      <c r="D9" s="141"/>
      <c r="E9" s="142"/>
      <c r="F9" s="142"/>
      <c r="G9" s="126"/>
      <c r="H9" s="163"/>
      <c r="I9" s="164"/>
      <c r="J9" s="147"/>
      <c r="K9" s="146"/>
      <c r="L9" s="147"/>
      <c r="M9" s="146"/>
      <c r="N9" s="147"/>
      <c r="O9" s="165"/>
      <c r="P9" s="149"/>
      <c r="Q9" s="150"/>
      <c r="R9" s="146"/>
      <c r="S9" s="151"/>
      <c r="T9" s="151"/>
      <c r="U9" s="152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</row>
    <row r="10" spans="1:36" s="92" customFormat="1" ht="23.25" hidden="1" customHeight="1" outlineLevel="1">
      <c r="A10" s="162"/>
      <c r="B10" s="141"/>
      <c r="C10" s="141"/>
      <c r="D10" s="141"/>
      <c r="E10" s="142"/>
      <c r="F10" s="142"/>
      <c r="G10" s="126"/>
      <c r="H10" s="166"/>
      <c r="I10" s="164"/>
      <c r="J10" s="147"/>
      <c r="K10" s="146"/>
      <c r="L10" s="147"/>
      <c r="M10" s="146"/>
      <c r="N10" s="147"/>
      <c r="O10" s="165"/>
      <c r="P10" s="149"/>
      <c r="Q10" s="150"/>
      <c r="R10" s="146"/>
      <c r="S10" s="167"/>
      <c r="T10" s="151"/>
      <c r="U10" s="152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</row>
    <row r="11" spans="1:36" s="93" customFormat="1" ht="23.25" customHeight="1">
      <c r="A11" s="168"/>
      <c r="B11" s="169"/>
      <c r="C11" s="169"/>
      <c r="D11" s="169"/>
      <c r="E11" s="169"/>
      <c r="F11" s="170"/>
      <c r="G11" s="171"/>
      <c r="H11" s="171"/>
      <c r="I11" s="171"/>
      <c r="J11" s="171"/>
      <c r="K11" s="171">
        <f>'BCB Breakdown'!$P$674/'BCB Breakdown'!$P$669</f>
        <v>1.22021759403804</v>
      </c>
      <c r="L11" s="171"/>
      <c r="M11" s="171"/>
      <c r="N11" s="171"/>
      <c r="O11" s="171"/>
      <c r="P11" s="172"/>
      <c r="Q11" s="171"/>
      <c r="R11" s="171"/>
      <c r="S11" s="171"/>
      <c r="T11" s="171"/>
      <c r="U11" s="171"/>
      <c r="W11" s="173"/>
      <c r="X11" s="371" t="str">
        <f>[1]Library!AX3</f>
        <v>'Library'!AX5:BC776</v>
      </c>
      <c r="Y11" s="371"/>
      <c r="Z11" s="371"/>
      <c r="AA11" s="371"/>
      <c r="AB11" s="371"/>
      <c r="AC11" s="371"/>
      <c r="AD11" s="173"/>
      <c r="AE11" s="173"/>
      <c r="AF11" s="173"/>
      <c r="AG11" s="173"/>
      <c r="AH11" s="173"/>
      <c r="AI11" s="173"/>
      <c r="AJ11" s="173"/>
    </row>
    <row r="12" spans="1:36" s="94" customFormat="1" ht="30" customHeight="1">
      <c r="A12" s="174"/>
      <c r="B12" s="175"/>
      <c r="C12" s="175"/>
      <c r="D12" s="175" t="s">
        <v>17</v>
      </c>
      <c r="E12" s="176"/>
      <c r="F12" s="177"/>
      <c r="G12" s="372"/>
      <c r="H12" s="373" t="s">
        <v>18</v>
      </c>
      <c r="I12" s="178" t="s">
        <v>19</v>
      </c>
      <c r="J12" s="179" t="s">
        <v>20</v>
      </c>
      <c r="K12" s="180" t="s">
        <v>21</v>
      </c>
      <c r="L12" s="179" t="s">
        <v>22</v>
      </c>
      <c r="M12" s="180" t="s">
        <v>23</v>
      </c>
      <c r="N12" s="179" t="s">
        <v>24</v>
      </c>
      <c r="O12" s="180" t="s">
        <v>25</v>
      </c>
      <c r="P12" s="179" t="s">
        <v>26</v>
      </c>
      <c r="Q12" s="181" t="s">
        <v>27</v>
      </c>
      <c r="R12" s="180" t="s">
        <v>28</v>
      </c>
      <c r="S12" s="179" t="s">
        <v>29</v>
      </c>
      <c r="T12" s="182" t="s">
        <v>30</v>
      </c>
      <c r="U12" s="183"/>
      <c r="W12" s="184"/>
      <c r="X12" s="374" t="e" cm="1">
        <f t="array" ref="X12" ca="1">RIGHT(CELL("filename",'[1]Built Up Rates'!X10),LEN(CELL("filename",'[1]Built Up Rates'!X10))-FIND(".xlsm]",CELL("filename",'[1]Built Up Rates'!X10))-5)</f>
        <v>#N/A</v>
      </c>
      <c r="Y12" s="374"/>
      <c r="Z12" s="374"/>
      <c r="AA12" s="374"/>
      <c r="AB12" s="374"/>
      <c r="AC12" s="374"/>
      <c r="AD12" s="184">
        <v>0</v>
      </c>
      <c r="AE12" s="184">
        <v>3</v>
      </c>
      <c r="AF12" s="184">
        <v>4</v>
      </c>
      <c r="AG12" s="184">
        <v>5</v>
      </c>
      <c r="AH12" s="184"/>
      <c r="AI12" s="184"/>
      <c r="AJ12" s="184"/>
    </row>
    <row r="13" spans="1:36" s="95" customFormat="1" ht="25.2" customHeight="1">
      <c r="A13" s="185"/>
      <c r="B13" s="186"/>
      <c r="C13" s="187"/>
      <c r="D13" s="187" t="s">
        <v>31</v>
      </c>
      <c r="E13" s="188"/>
      <c r="F13" s="189"/>
      <c r="G13" s="372"/>
      <c r="H13" s="375">
        <v>1</v>
      </c>
      <c r="I13" s="190" t="s">
        <v>32</v>
      </c>
      <c r="J13" s="191">
        <v>1127105576.5402901</v>
      </c>
      <c r="K13" s="192">
        <v>1127105576.5402901</v>
      </c>
      <c r="L13" s="191">
        <v>311992687.27376002</v>
      </c>
      <c r="M13" s="192">
        <v>311992687.27376002</v>
      </c>
      <c r="N13" s="191">
        <v>419925253.65637302</v>
      </c>
      <c r="O13" s="192">
        <v>419925253.65637302</v>
      </c>
      <c r="P13" s="193">
        <v>1859023517.4704199</v>
      </c>
      <c r="Q13" s="194">
        <f t="shared" ref="Q13:Q76" si="0">P13/P$13</f>
        <v>1</v>
      </c>
      <c r="R13" s="192">
        <f t="shared" ref="R13:R76" si="1">P13/I$5</f>
        <v>99724.461283925193</v>
      </c>
      <c r="S13" s="191">
        <f t="shared" ref="S13:S76" si="2">P13/I$7</f>
        <v>3645144.1519027799</v>
      </c>
      <c r="T13" s="195"/>
      <c r="U13" s="196"/>
      <c r="W13" s="197"/>
      <c r="X13" s="376" t="e">
        <f ca="1">ROWS(INDIRECT(X11))</f>
        <v>#REF!</v>
      </c>
      <c r="Y13" s="376" t="s">
        <v>33</v>
      </c>
      <c r="Z13" s="377" t="s">
        <v>34</v>
      </c>
      <c r="AA13" s="377" t="s">
        <v>35</v>
      </c>
      <c r="AB13" s="377" t="s">
        <v>36</v>
      </c>
      <c r="AC13" s="377" t="s">
        <v>37</v>
      </c>
      <c r="AD13" s="197" t="s">
        <v>34</v>
      </c>
      <c r="AE13" s="197" t="s">
        <v>35</v>
      </c>
      <c r="AF13" s="197" t="s">
        <v>36</v>
      </c>
      <c r="AG13" s="197" t="s">
        <v>37</v>
      </c>
      <c r="AH13" s="197" t="s">
        <v>38</v>
      </c>
      <c r="AI13" s="197" t="s">
        <v>19</v>
      </c>
      <c r="AJ13" s="197" t="s">
        <v>39</v>
      </c>
    </row>
    <row r="14" spans="1:36" s="96" customFormat="1" ht="25.2" customHeight="1" collapsed="1">
      <c r="A14" s="198" t="s">
        <v>40</v>
      </c>
      <c r="B14" s="199" t="s">
        <v>41</v>
      </c>
      <c r="C14" s="200"/>
      <c r="D14" s="200"/>
      <c r="E14" s="201"/>
      <c r="F14" s="202"/>
      <c r="G14" s="372"/>
      <c r="H14" s="378">
        <v>1</v>
      </c>
      <c r="I14" s="203" t="s">
        <v>32</v>
      </c>
      <c r="J14" s="204">
        <v>58227699.568830103</v>
      </c>
      <c r="K14" s="205">
        <v>58227699.568830103</v>
      </c>
      <c r="L14" s="204">
        <v>79689140.236927599</v>
      </c>
      <c r="M14" s="205">
        <v>79689140.236927599</v>
      </c>
      <c r="N14" s="204">
        <v>139413671.519555</v>
      </c>
      <c r="O14" s="205">
        <v>139413671.519555</v>
      </c>
      <c r="P14" s="206">
        <v>277330511.32531202</v>
      </c>
      <c r="Q14" s="207">
        <f t="shared" si="0"/>
        <v>0.14918074393307099</v>
      </c>
      <c r="R14" s="205">
        <f t="shared" si="1"/>
        <v>14876.9693226607</v>
      </c>
      <c r="S14" s="208">
        <f t="shared" si="2"/>
        <v>543785.31632414099</v>
      </c>
      <c r="T14" s="209"/>
      <c r="U14" s="210"/>
      <c r="V14" s="211"/>
      <c r="W14" s="212"/>
      <c r="X14" s="96" t="e" cm="1">
        <f t="array" ref="X14" ca="1">INDIRECT(X11)</f>
        <v>#REF!</v>
      </c>
      <c r="AD14" s="96" t="e">
        <f t="shared" ref="AD14:AD23" ca="1" si="3">IF(X14&lt;&gt;0,IF($X14&gt;=AD$12,AD13,""),Z14)</f>
        <v>#REF!</v>
      </c>
      <c r="AE14" s="96">
        <f t="shared" ref="AE14:AE23" si="4">IF(AA14=" ",IF($X14&gt;=AE$12,AE13,""),AA14)</f>
        <v>0</v>
      </c>
      <c r="AF14" s="96">
        <f t="shared" ref="AF14:AF23" si="5">IF(AB14=" ",IF($X14&gt;=AF$12,AF13,""),AB14)</f>
        <v>0</v>
      </c>
      <c r="AG14" s="96">
        <f t="shared" ref="AG14:AG23" si="6">IF(AC14=" ",IF($X14&gt;=AG$12,AG13,""),AC14)</f>
        <v>0</v>
      </c>
      <c r="AH14" s="211" t="e">
        <f t="shared" ref="AH14:AH77" ca="1" si="7">AD14&amp;",;!"&amp;AE14&amp;",;!"&amp;AF14&amp;",;!"&amp;AG14</f>
        <v>#REF!</v>
      </c>
      <c r="AI14" s="211" t="e">
        <f ca="1">INDEX([1]Library!$AL:$AL,MATCH(AH14,[1]Library!$AJ:$AJ,0),1)</f>
        <v>#REF!</v>
      </c>
      <c r="AJ14" s="211" t="e">
        <f ca="1">TEXT(INDEX([1]Library!$W:$W,MATCH(AH14,[1]Library!$AJ:$AJ,0),1),"")</f>
        <v>#REF!</v>
      </c>
    </row>
    <row r="15" spans="1:36" ht="25.2" hidden="1" customHeight="1" outlineLevel="1" collapsed="1">
      <c r="A15" s="213"/>
      <c r="B15" s="214"/>
      <c r="C15" s="215" t="s">
        <v>42</v>
      </c>
      <c r="D15" s="215"/>
      <c r="E15" s="216"/>
      <c r="F15" s="217"/>
      <c r="G15" s="379"/>
      <c r="H15" s="219">
        <v>1</v>
      </c>
      <c r="I15" s="218" t="s">
        <v>32</v>
      </c>
      <c r="J15" s="219">
        <v>837483.65398254199</v>
      </c>
      <c r="K15" s="219">
        <v>837483.65398254199</v>
      </c>
      <c r="L15" s="219">
        <v>0</v>
      </c>
      <c r="M15" s="219">
        <v>0</v>
      </c>
      <c r="N15" s="219">
        <v>451356.657883748</v>
      </c>
      <c r="O15" s="219">
        <v>451356.657883748</v>
      </c>
      <c r="P15" s="220">
        <v>1288840.3118662899</v>
      </c>
      <c r="Q15" s="221">
        <f t="shared" si="0"/>
        <v>6.9328886899721297E-4</v>
      </c>
      <c r="R15" s="222">
        <f t="shared" si="1"/>
        <v>69.137858974888999</v>
      </c>
      <c r="S15" s="223">
        <f t="shared" si="2"/>
        <v>2527.1378664044901</v>
      </c>
      <c r="T15" s="224"/>
      <c r="U15" s="225"/>
      <c r="V15" s="226"/>
      <c r="W15" s="227"/>
      <c r="X15" s="226"/>
      <c r="Y15" s="226"/>
      <c r="Z15" s="226"/>
      <c r="AA15" s="226"/>
      <c r="AB15" s="226"/>
      <c r="AC15" s="226"/>
      <c r="AD15" s="96">
        <f t="shared" si="3"/>
        <v>0</v>
      </c>
      <c r="AE15" s="96">
        <f t="shared" si="4"/>
        <v>0</v>
      </c>
      <c r="AF15" s="96">
        <f t="shared" si="5"/>
        <v>0</v>
      </c>
      <c r="AG15" s="96">
        <f t="shared" si="6"/>
        <v>0</v>
      </c>
      <c r="AH15" s="211" t="str">
        <f t="shared" si="7"/>
        <v>0,;!0,;!0,;!0</v>
      </c>
      <c r="AI15" s="211" t="e">
        <f>INDEX([1]Library!$AL:$AL,MATCH(AH15,[1]Library!$AJ:$AJ,0),1)</f>
        <v>#N/A</v>
      </c>
      <c r="AJ15" s="211" t="e">
        <f>TEXT(INDEX([1]Library!$W:$W,MATCH(AH15,[1]Library!$AJ:$AJ,0),1),"")</f>
        <v>#N/A</v>
      </c>
    </row>
    <row r="16" spans="1:36" ht="25.2" hidden="1" customHeight="1" outlineLevel="2">
      <c r="A16" s="228"/>
      <c r="B16" s="229"/>
      <c r="C16" s="230"/>
      <c r="D16" s="231" t="s">
        <v>43</v>
      </c>
      <c r="E16" s="232"/>
      <c r="F16" s="233"/>
      <c r="G16" s="379"/>
      <c r="H16" s="380">
        <v>1</v>
      </c>
      <c r="I16" s="234" t="s">
        <v>32</v>
      </c>
      <c r="J16" s="235">
        <v>536691.86277855199</v>
      </c>
      <c r="K16" s="236">
        <v>536691.86277855199</v>
      </c>
      <c r="L16" s="235">
        <v>0</v>
      </c>
      <c r="M16" s="236">
        <v>0</v>
      </c>
      <c r="N16" s="237">
        <v>0</v>
      </c>
      <c r="O16" s="236">
        <v>0</v>
      </c>
      <c r="P16" s="238">
        <v>536691.86277855199</v>
      </c>
      <c r="Q16" s="239">
        <f t="shared" si="0"/>
        <v>2.88695574711626E-4</v>
      </c>
      <c r="R16" s="236">
        <f t="shared" si="1"/>
        <v>28.790010663170101</v>
      </c>
      <c r="S16" s="240">
        <f t="shared" si="2"/>
        <v>1052.3369858403</v>
      </c>
      <c r="T16" s="241"/>
      <c r="U16" s="225"/>
      <c r="V16" s="226"/>
      <c r="W16" s="227"/>
      <c r="X16" s="226"/>
      <c r="Y16" s="226"/>
      <c r="Z16" s="226"/>
      <c r="AA16" s="226"/>
      <c r="AB16" s="226"/>
      <c r="AC16" s="226"/>
      <c r="AD16" s="96">
        <f t="shared" si="3"/>
        <v>0</v>
      </c>
      <c r="AE16" s="96">
        <f t="shared" si="4"/>
        <v>0</v>
      </c>
      <c r="AF16" s="96">
        <f t="shared" si="5"/>
        <v>0</v>
      </c>
      <c r="AG16" s="96">
        <f t="shared" si="6"/>
        <v>0</v>
      </c>
      <c r="AH16" s="211" t="str">
        <f t="shared" si="7"/>
        <v>0,;!0,;!0,;!0</v>
      </c>
      <c r="AI16" s="211" t="e">
        <f>INDEX([1]Library!$AL:$AL,MATCH(AH16,[1]Library!$AJ:$AJ,0),1)</f>
        <v>#N/A</v>
      </c>
      <c r="AJ16" s="211" t="e">
        <f>TEXT(INDEX([1]Library!$W:$W,MATCH(AH16,[1]Library!$AJ:$AJ,0),1),"")</f>
        <v>#N/A</v>
      </c>
    </row>
    <row r="17" spans="1:36" ht="25.2" hidden="1" customHeight="1" outlineLevel="2">
      <c r="A17" s="228"/>
      <c r="B17" s="229"/>
      <c r="C17" s="230"/>
      <c r="D17" s="231" t="s">
        <v>44</v>
      </c>
      <c r="E17" s="232"/>
      <c r="F17" s="233"/>
      <c r="G17" s="379"/>
      <c r="H17" s="380">
        <v>1</v>
      </c>
      <c r="I17" s="234" t="s">
        <v>32</v>
      </c>
      <c r="J17" s="235">
        <v>300791.79120399</v>
      </c>
      <c r="K17" s="236">
        <v>300791.79120399</v>
      </c>
      <c r="L17" s="235">
        <v>0</v>
      </c>
      <c r="M17" s="236">
        <v>0</v>
      </c>
      <c r="N17" s="237">
        <v>0</v>
      </c>
      <c r="O17" s="236">
        <v>0</v>
      </c>
      <c r="P17" s="238">
        <v>300791.79120399</v>
      </c>
      <c r="Q17" s="239">
        <f t="shared" si="0"/>
        <v>1.6180096076099E-4</v>
      </c>
      <c r="R17" s="236">
        <f t="shared" si="1"/>
        <v>16.135513647111299</v>
      </c>
      <c r="S17" s="240">
        <f t="shared" si="2"/>
        <v>589.78782589017601</v>
      </c>
      <c r="T17" s="241"/>
      <c r="U17" s="225"/>
      <c r="V17" s="226"/>
      <c r="W17" s="227"/>
      <c r="X17" s="226"/>
      <c r="Y17" s="226"/>
      <c r="Z17" s="226"/>
      <c r="AA17" s="226"/>
      <c r="AB17" s="226"/>
      <c r="AC17" s="226"/>
      <c r="AD17" s="96">
        <f t="shared" si="3"/>
        <v>0</v>
      </c>
      <c r="AE17" s="96">
        <f t="shared" si="4"/>
        <v>0</v>
      </c>
      <c r="AF17" s="96">
        <f t="shared" si="5"/>
        <v>0</v>
      </c>
      <c r="AG17" s="96">
        <f t="shared" si="6"/>
        <v>0</v>
      </c>
      <c r="AH17" s="211" t="str">
        <f t="shared" si="7"/>
        <v>0,;!0,;!0,;!0</v>
      </c>
      <c r="AI17" s="211" t="e">
        <f>INDEX([1]Library!$AL:$AL,MATCH(AH17,[1]Library!$AJ:$AJ,0),1)</f>
        <v>#N/A</v>
      </c>
      <c r="AJ17" s="211" t="e">
        <f>TEXT(INDEX([1]Library!$W:$W,MATCH(AH17,[1]Library!$AJ:$AJ,0),1),"")</f>
        <v>#N/A</v>
      </c>
    </row>
    <row r="18" spans="1:36" ht="25.2" hidden="1" customHeight="1" outlineLevel="2">
      <c r="A18" s="228"/>
      <c r="B18" s="229"/>
      <c r="C18" s="230"/>
      <c r="D18" s="231" t="s">
        <v>45</v>
      </c>
      <c r="E18" s="232"/>
      <c r="F18" s="233"/>
      <c r="G18" s="379"/>
      <c r="H18" s="380">
        <v>1</v>
      </c>
      <c r="I18" s="234" t="s">
        <v>32</v>
      </c>
      <c r="J18" s="235">
        <v>0</v>
      </c>
      <c r="K18" s="236">
        <v>0</v>
      </c>
      <c r="L18" s="235">
        <v>0</v>
      </c>
      <c r="M18" s="236">
        <v>0</v>
      </c>
      <c r="N18" s="237">
        <v>451356.657883748</v>
      </c>
      <c r="O18" s="236">
        <v>451356.657883748</v>
      </c>
      <c r="P18" s="238">
        <v>451356.657883748</v>
      </c>
      <c r="Q18" s="239">
        <f t="shared" si="0"/>
        <v>2.4279233352459699E-4</v>
      </c>
      <c r="R18" s="236">
        <f t="shared" si="1"/>
        <v>24.2123346646075</v>
      </c>
      <c r="S18" s="240">
        <f t="shared" si="2"/>
        <v>885.01305467401596</v>
      </c>
      <c r="T18" s="241"/>
      <c r="U18" s="225"/>
      <c r="V18" s="226"/>
      <c r="W18" s="227"/>
      <c r="X18" s="226"/>
      <c r="Y18" s="226"/>
      <c r="Z18" s="226"/>
      <c r="AA18" s="226"/>
      <c r="AB18" s="226"/>
      <c r="AC18" s="226"/>
      <c r="AD18" s="96">
        <f t="shared" si="3"/>
        <v>0</v>
      </c>
      <c r="AE18" s="96">
        <f t="shared" si="4"/>
        <v>0</v>
      </c>
      <c r="AF18" s="96">
        <f t="shared" si="5"/>
        <v>0</v>
      </c>
      <c r="AG18" s="96">
        <f t="shared" si="6"/>
        <v>0</v>
      </c>
      <c r="AH18" s="211" t="str">
        <f t="shared" si="7"/>
        <v>0,;!0,;!0,;!0</v>
      </c>
      <c r="AI18" s="211" t="e">
        <f>INDEX([1]Library!$AL:$AL,MATCH(AH18,[1]Library!$AJ:$AJ,0),1)</f>
        <v>#N/A</v>
      </c>
      <c r="AJ18" s="211" t="e">
        <f>TEXT(INDEX([1]Library!$W:$W,MATCH(AH18,[1]Library!$AJ:$AJ,0),1),"")</f>
        <v>#N/A</v>
      </c>
    </row>
    <row r="19" spans="1:36" ht="25.2" hidden="1" customHeight="1" outlineLevel="1" collapsed="1">
      <c r="A19" s="213"/>
      <c r="B19" s="214"/>
      <c r="C19" s="215" t="s">
        <v>46</v>
      </c>
      <c r="D19" s="215"/>
      <c r="E19" s="216"/>
      <c r="F19" s="217"/>
      <c r="G19" s="379"/>
      <c r="H19" s="219">
        <v>1</v>
      </c>
      <c r="I19" s="218" t="s">
        <v>32</v>
      </c>
      <c r="J19" s="219">
        <v>0</v>
      </c>
      <c r="K19" s="219">
        <v>0</v>
      </c>
      <c r="L19" s="219">
        <v>0</v>
      </c>
      <c r="M19" s="219">
        <v>0</v>
      </c>
      <c r="N19" s="219">
        <v>23919690.886130601</v>
      </c>
      <c r="O19" s="219">
        <v>23919690.886130601</v>
      </c>
      <c r="P19" s="220">
        <v>23919690.886130601</v>
      </c>
      <c r="Q19" s="221">
        <f t="shared" si="0"/>
        <v>1.28668038146597E-2</v>
      </c>
      <c r="R19" s="222">
        <f t="shared" si="1"/>
        <v>1283.1350788628999</v>
      </c>
      <c r="S19" s="223">
        <f t="shared" si="2"/>
        <v>46901.354678687501</v>
      </c>
      <c r="T19" s="224"/>
      <c r="U19" s="225"/>
      <c r="V19" s="226"/>
      <c r="W19" s="227"/>
      <c r="X19" s="226"/>
      <c r="Y19" s="226"/>
      <c r="Z19" s="226"/>
      <c r="AA19" s="226"/>
      <c r="AB19" s="226"/>
      <c r="AC19" s="226"/>
      <c r="AD19" s="96">
        <f t="shared" si="3"/>
        <v>0</v>
      </c>
      <c r="AE19" s="96">
        <f t="shared" si="4"/>
        <v>0</v>
      </c>
      <c r="AF19" s="96">
        <f t="shared" si="5"/>
        <v>0</v>
      </c>
      <c r="AG19" s="96">
        <f t="shared" si="6"/>
        <v>0</v>
      </c>
      <c r="AH19" s="211" t="str">
        <f t="shared" si="7"/>
        <v>0,;!0,;!0,;!0</v>
      </c>
      <c r="AI19" s="211" t="e">
        <f>INDEX([1]Library!$AL:$AL,MATCH(AH19,[1]Library!$AJ:$AJ,0),1)</f>
        <v>#N/A</v>
      </c>
      <c r="AJ19" s="211" t="e">
        <f>TEXT(INDEX([1]Library!$W:$W,MATCH(AH19,[1]Library!$AJ:$AJ,0),1),"")</f>
        <v>#N/A</v>
      </c>
    </row>
    <row r="20" spans="1:36" ht="25.2" hidden="1" customHeight="1" outlineLevel="2">
      <c r="A20" s="228"/>
      <c r="B20" s="229"/>
      <c r="C20" s="230"/>
      <c r="D20" s="231" t="s">
        <v>47</v>
      </c>
      <c r="E20" s="232"/>
      <c r="F20" s="233"/>
      <c r="G20" s="379"/>
      <c r="H20" s="380">
        <v>1</v>
      </c>
      <c r="I20" s="234" t="s">
        <v>32</v>
      </c>
      <c r="J20" s="235">
        <v>0</v>
      </c>
      <c r="K20" s="236">
        <v>0</v>
      </c>
      <c r="L20" s="235">
        <v>0</v>
      </c>
      <c r="M20" s="236">
        <v>0</v>
      </c>
      <c r="N20" s="237">
        <v>9152962.2703629192</v>
      </c>
      <c r="O20" s="236">
        <v>9152962.2703629192</v>
      </c>
      <c r="P20" s="238">
        <v>9152962.2703629192</v>
      </c>
      <c r="Q20" s="239">
        <f t="shared" si="0"/>
        <v>4.9235322653784297E-3</v>
      </c>
      <c r="R20" s="236">
        <f t="shared" si="1"/>
        <v>490.99660277888802</v>
      </c>
      <c r="S20" s="240">
        <f t="shared" si="2"/>
        <v>17946.984843848899</v>
      </c>
      <c r="T20" s="241"/>
      <c r="U20" s="225"/>
      <c r="V20" s="226"/>
      <c r="W20" s="227"/>
      <c r="X20" s="226"/>
      <c r="Y20" s="226"/>
      <c r="Z20" s="226"/>
      <c r="AA20" s="226"/>
      <c r="AB20" s="226"/>
      <c r="AC20" s="226"/>
      <c r="AD20" s="96">
        <f t="shared" si="3"/>
        <v>0</v>
      </c>
      <c r="AE20" s="96">
        <f t="shared" si="4"/>
        <v>0</v>
      </c>
      <c r="AF20" s="96">
        <f t="shared" si="5"/>
        <v>0</v>
      </c>
      <c r="AG20" s="96">
        <f t="shared" si="6"/>
        <v>0</v>
      </c>
      <c r="AH20" s="211" t="str">
        <f t="shared" si="7"/>
        <v>0,;!0,;!0,;!0</v>
      </c>
      <c r="AI20" s="211" t="e">
        <f>INDEX([1]Library!$AL:$AL,MATCH(AH20,[1]Library!$AJ:$AJ,0),1)</f>
        <v>#N/A</v>
      </c>
      <c r="AJ20" s="211" t="e">
        <f>TEXT(INDEX([1]Library!$W:$W,MATCH(AH20,[1]Library!$AJ:$AJ,0),1),"")</f>
        <v>#N/A</v>
      </c>
    </row>
    <row r="21" spans="1:36" ht="25.2" hidden="1" customHeight="1" outlineLevel="2">
      <c r="A21" s="228"/>
      <c r="B21" s="229"/>
      <c r="C21" s="230"/>
      <c r="D21" s="231" t="s">
        <v>48</v>
      </c>
      <c r="E21" s="232"/>
      <c r="F21" s="233"/>
      <c r="G21" s="379"/>
      <c r="H21" s="380">
        <v>1</v>
      </c>
      <c r="I21" s="234" t="s">
        <v>32</v>
      </c>
      <c r="J21" s="235">
        <v>0</v>
      </c>
      <c r="K21" s="236">
        <v>0</v>
      </c>
      <c r="L21" s="235">
        <v>0</v>
      </c>
      <c r="M21" s="236">
        <v>0</v>
      </c>
      <c r="N21" s="237">
        <v>3135828.9882771201</v>
      </c>
      <c r="O21" s="236">
        <v>3135828.9882771201</v>
      </c>
      <c r="P21" s="238">
        <v>3135828.9882771201</v>
      </c>
      <c r="Q21" s="239">
        <f t="shared" si="0"/>
        <v>1.68681512568709E-3</v>
      </c>
      <c r="R21" s="236">
        <f t="shared" si="1"/>
        <v>168.21672969472101</v>
      </c>
      <c r="S21" s="240">
        <f t="shared" si="2"/>
        <v>6148.6842907394503</v>
      </c>
      <c r="T21" s="241"/>
      <c r="U21" s="225"/>
      <c r="V21" s="226"/>
      <c r="W21" s="227"/>
      <c r="X21" s="226"/>
      <c r="Y21" s="226"/>
      <c r="Z21" s="226"/>
      <c r="AA21" s="226"/>
      <c r="AB21" s="226"/>
      <c r="AC21" s="226"/>
      <c r="AD21" s="96">
        <f t="shared" si="3"/>
        <v>0</v>
      </c>
      <c r="AE21" s="96">
        <f t="shared" si="4"/>
        <v>0</v>
      </c>
      <c r="AF21" s="96">
        <f t="shared" si="5"/>
        <v>0</v>
      </c>
      <c r="AG21" s="96">
        <f t="shared" si="6"/>
        <v>0</v>
      </c>
      <c r="AH21" s="211" t="str">
        <f t="shared" si="7"/>
        <v>0,;!0,;!0,;!0</v>
      </c>
      <c r="AI21" s="211" t="e">
        <f>INDEX([1]Library!$AL:$AL,MATCH(AH21,[1]Library!$AJ:$AJ,0),1)</f>
        <v>#N/A</v>
      </c>
      <c r="AJ21" s="211" t="e">
        <f>TEXT(INDEX([1]Library!$W:$W,MATCH(AH21,[1]Library!$AJ:$AJ,0),1),"")</f>
        <v>#N/A</v>
      </c>
    </row>
    <row r="22" spans="1:36" ht="25.2" hidden="1" customHeight="1" outlineLevel="2">
      <c r="A22" s="228"/>
      <c r="B22" s="229"/>
      <c r="C22" s="230"/>
      <c r="D22" s="231" t="s">
        <v>49</v>
      </c>
      <c r="E22" s="232"/>
      <c r="F22" s="233"/>
      <c r="G22" s="379"/>
      <c r="H22" s="380">
        <v>1</v>
      </c>
      <c r="I22" s="234" t="s">
        <v>32</v>
      </c>
      <c r="J22" s="235">
        <v>0</v>
      </c>
      <c r="K22" s="236">
        <v>0</v>
      </c>
      <c r="L22" s="235">
        <v>0</v>
      </c>
      <c r="M22" s="236">
        <v>0</v>
      </c>
      <c r="N22" s="237">
        <v>8437262.4782085996</v>
      </c>
      <c r="O22" s="236">
        <v>8437262.4782085996</v>
      </c>
      <c r="P22" s="238">
        <v>8437262.4782085996</v>
      </c>
      <c r="Q22" s="239">
        <f t="shared" si="0"/>
        <v>4.5385453163546896E-3</v>
      </c>
      <c r="R22" s="236">
        <f t="shared" si="1"/>
        <v>452.60398668615397</v>
      </c>
      <c r="S22" s="240">
        <f t="shared" si="2"/>
        <v>16543.651918056101</v>
      </c>
      <c r="T22" s="241"/>
      <c r="U22" s="225"/>
      <c r="V22" s="226"/>
      <c r="W22" s="227"/>
      <c r="X22" s="226"/>
      <c r="Y22" s="226"/>
      <c r="Z22" s="226"/>
      <c r="AA22" s="226"/>
      <c r="AB22" s="226"/>
      <c r="AC22" s="226"/>
      <c r="AD22" s="96">
        <f t="shared" si="3"/>
        <v>0</v>
      </c>
      <c r="AE22" s="96">
        <f t="shared" si="4"/>
        <v>0</v>
      </c>
      <c r="AF22" s="96">
        <f t="shared" si="5"/>
        <v>0</v>
      </c>
      <c r="AG22" s="96">
        <f t="shared" si="6"/>
        <v>0</v>
      </c>
      <c r="AH22" s="211" t="str">
        <f t="shared" si="7"/>
        <v>0,;!0,;!0,;!0</v>
      </c>
      <c r="AI22" s="211" t="e">
        <f>INDEX([1]Library!$AL:$AL,MATCH(AH22,[1]Library!$AJ:$AJ,0),1)</f>
        <v>#N/A</v>
      </c>
      <c r="AJ22" s="211" t="e">
        <f>TEXT(INDEX([1]Library!$W:$W,MATCH(AH22,[1]Library!$AJ:$AJ,0),1),"")</f>
        <v>#N/A</v>
      </c>
    </row>
    <row r="23" spans="1:36" ht="25.2" hidden="1" customHeight="1" outlineLevel="2">
      <c r="A23" s="228"/>
      <c r="B23" s="229"/>
      <c r="C23" s="230"/>
      <c r="D23" s="231" t="s">
        <v>50</v>
      </c>
      <c r="E23" s="232"/>
      <c r="F23" s="233"/>
      <c r="G23" s="379"/>
      <c r="H23" s="380">
        <v>1</v>
      </c>
      <c r="I23" s="234" t="s">
        <v>32</v>
      </c>
      <c r="J23" s="235">
        <v>0</v>
      </c>
      <c r="K23" s="236">
        <v>0</v>
      </c>
      <c r="L23" s="235">
        <v>0</v>
      </c>
      <c r="M23" s="236">
        <v>0</v>
      </c>
      <c r="N23" s="237">
        <v>3193637.1492819199</v>
      </c>
      <c r="O23" s="236">
        <v>3193637.1492819199</v>
      </c>
      <c r="P23" s="238">
        <v>3193637.1492819199</v>
      </c>
      <c r="Q23" s="239">
        <f t="shared" si="0"/>
        <v>1.7179111072395199E-3</v>
      </c>
      <c r="R23" s="236">
        <f t="shared" si="1"/>
        <v>171.31775970313299</v>
      </c>
      <c r="S23" s="240">
        <f t="shared" si="2"/>
        <v>6262.0336260429804</v>
      </c>
      <c r="T23" s="241"/>
      <c r="U23" s="225"/>
      <c r="V23" s="226"/>
      <c r="W23" s="227"/>
      <c r="X23" s="226"/>
      <c r="Y23" s="226"/>
      <c r="Z23" s="226"/>
      <c r="AA23" s="226"/>
      <c r="AB23" s="226"/>
      <c r="AC23" s="226"/>
      <c r="AD23" s="96">
        <f t="shared" si="3"/>
        <v>0</v>
      </c>
      <c r="AE23" s="96">
        <f t="shared" si="4"/>
        <v>0</v>
      </c>
      <c r="AF23" s="96">
        <f t="shared" si="5"/>
        <v>0</v>
      </c>
      <c r="AG23" s="96">
        <f t="shared" si="6"/>
        <v>0</v>
      </c>
      <c r="AH23" s="211" t="str">
        <f t="shared" si="7"/>
        <v>0,;!0,;!0,;!0</v>
      </c>
      <c r="AI23" s="211" t="e">
        <f>INDEX([1]Library!$AL:$AL,MATCH(AH23,[1]Library!$AJ:$AJ,0),1)</f>
        <v>#N/A</v>
      </c>
      <c r="AJ23" s="211" t="e">
        <f>TEXT(INDEX([1]Library!$W:$W,MATCH(AH23,[1]Library!$AJ:$AJ,0),1),"")</f>
        <v>#N/A</v>
      </c>
    </row>
    <row r="24" spans="1:36" ht="25.2" hidden="1" customHeight="1" outlineLevel="1" collapsed="1">
      <c r="A24" s="213"/>
      <c r="B24" s="214"/>
      <c r="C24" s="215" t="s">
        <v>51</v>
      </c>
      <c r="D24" s="215"/>
      <c r="E24" s="216"/>
      <c r="F24" s="217"/>
      <c r="G24" s="379"/>
      <c r="H24" s="219">
        <v>1</v>
      </c>
      <c r="I24" s="218" t="s">
        <v>32</v>
      </c>
      <c r="J24" s="219">
        <v>5732518.5298350397</v>
      </c>
      <c r="K24" s="219">
        <v>5732518.5298350397</v>
      </c>
      <c r="L24" s="219">
        <v>0</v>
      </c>
      <c r="M24" s="219">
        <v>0</v>
      </c>
      <c r="N24" s="219">
        <v>0</v>
      </c>
      <c r="O24" s="219">
        <v>0</v>
      </c>
      <c r="P24" s="220">
        <v>5732518.5298350397</v>
      </c>
      <c r="Q24" s="221">
        <f t="shared" si="0"/>
        <v>3.0836180801172902E-3</v>
      </c>
      <c r="R24" s="222">
        <f t="shared" si="1"/>
        <v>307.51215184506901</v>
      </c>
      <c r="S24" s="223">
        <f t="shared" si="2"/>
        <v>11240.2324114413</v>
      </c>
      <c r="T24" s="224"/>
      <c r="U24" s="225"/>
      <c r="V24" s="226"/>
      <c r="W24" s="227"/>
      <c r="X24" s="226"/>
      <c r="Y24" s="226"/>
      <c r="Z24" s="226"/>
      <c r="AA24" s="226"/>
      <c r="AB24" s="226"/>
      <c r="AC24" s="226"/>
      <c r="AD24" s="96">
        <f>IF(X24&lt;&gt;0,IF($X24&gt;=AD$12,#REF!,""),Z24)</f>
        <v>0</v>
      </c>
      <c r="AE24" s="96">
        <f>IF(AA24=" ",IF($X24&gt;=AE$12,#REF!,""),AA24)</f>
        <v>0</v>
      </c>
      <c r="AF24" s="96">
        <f>IF(AB24=" ",IF($X24&gt;=AF$12,#REF!,""),AB24)</f>
        <v>0</v>
      </c>
      <c r="AG24" s="96">
        <f>IF(AC24=" ",IF($X24&gt;=AG$12,#REF!,""),AC24)</f>
        <v>0</v>
      </c>
      <c r="AH24" s="211" t="str">
        <f t="shared" si="7"/>
        <v>0,;!0,;!0,;!0</v>
      </c>
      <c r="AI24" s="211" t="e">
        <f>INDEX([1]Library!$AL:$AL,MATCH(AH24,[1]Library!$AJ:$AJ,0),1)</f>
        <v>#N/A</v>
      </c>
      <c r="AJ24" s="211" t="e">
        <f>TEXT(INDEX([1]Library!$W:$W,MATCH(AH24,[1]Library!$AJ:$AJ,0),1),"")</f>
        <v>#N/A</v>
      </c>
    </row>
    <row r="25" spans="1:36" ht="25.2" hidden="1" customHeight="1" outlineLevel="2">
      <c r="A25" s="228"/>
      <c r="B25" s="229"/>
      <c r="C25" s="230"/>
      <c r="D25" s="231" t="s">
        <v>52</v>
      </c>
      <c r="E25" s="232"/>
      <c r="F25" s="233"/>
      <c r="G25" s="379"/>
      <c r="H25" s="380">
        <v>1</v>
      </c>
      <c r="I25" s="234" t="s">
        <v>32</v>
      </c>
      <c r="J25" s="235">
        <v>1960448.92452704</v>
      </c>
      <c r="K25" s="236">
        <v>1960448.92452704</v>
      </c>
      <c r="L25" s="235">
        <v>0</v>
      </c>
      <c r="M25" s="236">
        <v>0</v>
      </c>
      <c r="N25" s="237">
        <v>0</v>
      </c>
      <c r="O25" s="236">
        <v>0</v>
      </c>
      <c r="P25" s="238">
        <v>1960448.92452704</v>
      </c>
      <c r="Q25" s="239">
        <f t="shared" si="0"/>
        <v>1.05455843140415E-3</v>
      </c>
      <c r="R25" s="236">
        <f t="shared" si="1"/>
        <v>105.165271464201</v>
      </c>
      <c r="S25" s="240">
        <f t="shared" si="2"/>
        <v>3844.01749907263</v>
      </c>
      <c r="T25" s="241"/>
      <c r="U25" s="225"/>
      <c r="V25" s="226"/>
      <c r="W25" s="227"/>
      <c r="X25" s="226"/>
      <c r="Y25" s="226"/>
      <c r="Z25" s="226"/>
      <c r="AA25" s="226"/>
      <c r="AB25" s="226"/>
      <c r="AC25" s="226"/>
      <c r="AD25" s="96">
        <f t="shared" ref="AD25:AD65" si="8">IF(X25&lt;&gt;0,IF($X25&gt;=AD$12,AD24,""),Z25)</f>
        <v>0</v>
      </c>
      <c r="AE25" s="96">
        <f t="shared" ref="AE25:AE65" si="9">IF(AA25=" ",IF($X25&gt;=AE$12,AE24,""),AA25)</f>
        <v>0</v>
      </c>
      <c r="AF25" s="96">
        <f t="shared" ref="AF25:AF65" si="10">IF(AB25=" ",IF($X25&gt;=AF$12,AF24,""),AB25)</f>
        <v>0</v>
      </c>
      <c r="AG25" s="96">
        <f t="shared" ref="AG25:AG65" si="11">IF(AC25=" ",IF($X25&gt;=AG$12,AG24,""),AC25)</f>
        <v>0</v>
      </c>
      <c r="AH25" s="211" t="str">
        <f t="shared" si="7"/>
        <v>0,;!0,;!0,;!0</v>
      </c>
      <c r="AI25" s="211" t="e">
        <f>INDEX([1]Library!$AL:$AL,MATCH(AH25,[1]Library!$AJ:$AJ,0),1)</f>
        <v>#N/A</v>
      </c>
      <c r="AJ25" s="211" t="e">
        <f>TEXT(INDEX([1]Library!$W:$W,MATCH(AH25,[1]Library!$AJ:$AJ,0),1),"")</f>
        <v>#N/A</v>
      </c>
    </row>
    <row r="26" spans="1:36" ht="25.2" hidden="1" customHeight="1" outlineLevel="2">
      <c r="A26" s="228"/>
      <c r="B26" s="229"/>
      <c r="C26" s="230"/>
      <c r="D26" s="231" t="s">
        <v>53</v>
      </c>
      <c r="E26" s="232"/>
      <c r="F26" s="233"/>
      <c r="G26" s="379"/>
      <c r="H26" s="380">
        <v>1</v>
      </c>
      <c r="I26" s="234" t="s">
        <v>32</v>
      </c>
      <c r="J26" s="235">
        <v>3665145.9031410199</v>
      </c>
      <c r="K26" s="236">
        <v>3665145.9031410199</v>
      </c>
      <c r="L26" s="235">
        <v>0</v>
      </c>
      <c r="M26" s="236">
        <v>0</v>
      </c>
      <c r="N26" s="237">
        <v>0</v>
      </c>
      <c r="O26" s="236">
        <v>0</v>
      </c>
      <c r="P26" s="238">
        <v>3665145.9031410199</v>
      </c>
      <c r="Q26" s="239">
        <f t="shared" si="0"/>
        <v>1.97154359194347E-3</v>
      </c>
      <c r="R26" s="236">
        <f t="shared" si="1"/>
        <v>196.61112260433799</v>
      </c>
      <c r="S26" s="240">
        <f t="shared" si="2"/>
        <v>7186.56059439416</v>
      </c>
      <c r="T26" s="241"/>
      <c r="U26" s="225"/>
      <c r="V26" s="226"/>
      <c r="W26" s="227"/>
      <c r="X26" s="226"/>
      <c r="Y26" s="226"/>
      <c r="Z26" s="226"/>
      <c r="AA26" s="226"/>
      <c r="AB26" s="226"/>
      <c r="AC26" s="226"/>
      <c r="AD26" s="96">
        <f t="shared" si="8"/>
        <v>0</v>
      </c>
      <c r="AE26" s="96">
        <f t="shared" si="9"/>
        <v>0</v>
      </c>
      <c r="AF26" s="96">
        <f t="shared" si="10"/>
        <v>0</v>
      </c>
      <c r="AG26" s="96">
        <f t="shared" si="11"/>
        <v>0</v>
      </c>
      <c r="AH26" s="211" t="str">
        <f t="shared" si="7"/>
        <v>0,;!0,;!0,;!0</v>
      </c>
      <c r="AI26" s="211" t="e">
        <f>INDEX([1]Library!$AL:$AL,MATCH(AH26,[1]Library!$AJ:$AJ,0),1)</f>
        <v>#N/A</v>
      </c>
      <c r="AJ26" s="211" t="e">
        <f>TEXT(INDEX([1]Library!$W:$W,MATCH(AH26,[1]Library!$AJ:$AJ,0),1),"")</f>
        <v>#N/A</v>
      </c>
    </row>
    <row r="27" spans="1:36" ht="25.2" hidden="1" customHeight="1" outlineLevel="2">
      <c r="A27" s="228"/>
      <c r="B27" s="229"/>
      <c r="C27" s="230"/>
      <c r="D27" s="231" t="s">
        <v>54</v>
      </c>
      <c r="E27" s="232"/>
      <c r="F27" s="233"/>
      <c r="G27" s="379"/>
      <c r="H27" s="380">
        <v>1</v>
      </c>
      <c r="I27" s="234" t="s">
        <v>32</v>
      </c>
      <c r="J27" s="235">
        <v>106923.702166979</v>
      </c>
      <c r="K27" s="236">
        <v>106923.702166979</v>
      </c>
      <c r="L27" s="235">
        <v>0</v>
      </c>
      <c r="M27" s="236">
        <v>0</v>
      </c>
      <c r="N27" s="237">
        <v>0</v>
      </c>
      <c r="O27" s="236">
        <v>0</v>
      </c>
      <c r="P27" s="238">
        <v>106923.702166979</v>
      </c>
      <c r="Q27" s="239">
        <f t="shared" si="0"/>
        <v>5.7516056769669297E-5</v>
      </c>
      <c r="R27" s="236">
        <f t="shared" si="1"/>
        <v>5.7357577765309298</v>
      </c>
      <c r="S27" s="240">
        <f t="shared" si="2"/>
        <v>209.654317974469</v>
      </c>
      <c r="T27" s="241"/>
      <c r="U27" s="225"/>
      <c r="V27" s="226"/>
      <c r="W27" s="227"/>
      <c r="X27" s="226"/>
      <c r="Y27" s="226"/>
      <c r="Z27" s="226"/>
      <c r="AA27" s="226"/>
      <c r="AB27" s="226"/>
      <c r="AC27" s="226"/>
      <c r="AD27" s="96">
        <f t="shared" si="8"/>
        <v>0</v>
      </c>
      <c r="AE27" s="96">
        <f t="shared" si="9"/>
        <v>0</v>
      </c>
      <c r="AF27" s="96">
        <f t="shared" si="10"/>
        <v>0</v>
      </c>
      <c r="AG27" s="96">
        <f t="shared" si="11"/>
        <v>0</v>
      </c>
      <c r="AH27" s="211" t="str">
        <f t="shared" si="7"/>
        <v>0,;!0,;!0,;!0</v>
      </c>
      <c r="AI27" s="211" t="e">
        <f>INDEX([1]Library!$AL:$AL,MATCH(AH27,[1]Library!$AJ:$AJ,0),1)</f>
        <v>#N/A</v>
      </c>
      <c r="AJ27" s="211" t="e">
        <f>TEXT(INDEX([1]Library!$W:$W,MATCH(AH27,[1]Library!$AJ:$AJ,0),1),"")</f>
        <v>#N/A</v>
      </c>
    </row>
    <row r="28" spans="1:36" ht="25.2" hidden="1" customHeight="1" outlineLevel="1" collapsed="1">
      <c r="A28" s="213"/>
      <c r="B28" s="214"/>
      <c r="C28" s="215" t="s">
        <v>55</v>
      </c>
      <c r="D28" s="215"/>
      <c r="E28" s="216"/>
      <c r="F28" s="217"/>
      <c r="G28" s="379"/>
      <c r="H28" s="219">
        <v>1</v>
      </c>
      <c r="I28" s="218" t="s">
        <v>32</v>
      </c>
      <c r="J28" s="219">
        <v>3968163.6952462001</v>
      </c>
      <c r="K28" s="219">
        <v>3968163.6952462001</v>
      </c>
      <c r="L28" s="219">
        <v>0</v>
      </c>
      <c r="M28" s="219">
        <v>0</v>
      </c>
      <c r="N28" s="219">
        <v>0</v>
      </c>
      <c r="O28" s="219">
        <v>0</v>
      </c>
      <c r="P28" s="220">
        <v>3968163.6952462001</v>
      </c>
      <c r="Q28" s="221">
        <f t="shared" si="0"/>
        <v>2.13454195600801E-3</v>
      </c>
      <c r="R28" s="222">
        <f t="shared" si="1"/>
        <v>212.86604665083499</v>
      </c>
      <c r="S28" s="223">
        <f t="shared" si="2"/>
        <v>7780.71312793373</v>
      </c>
      <c r="T28" s="224"/>
      <c r="U28" s="225"/>
      <c r="V28" s="226"/>
      <c r="W28" s="227"/>
      <c r="X28" s="226"/>
      <c r="Y28" s="226"/>
      <c r="Z28" s="226"/>
      <c r="AA28" s="226"/>
      <c r="AB28" s="226"/>
      <c r="AC28" s="226"/>
      <c r="AD28" s="96">
        <f t="shared" si="8"/>
        <v>0</v>
      </c>
      <c r="AE28" s="96">
        <f t="shared" si="9"/>
        <v>0</v>
      </c>
      <c r="AF28" s="96">
        <f t="shared" si="10"/>
        <v>0</v>
      </c>
      <c r="AG28" s="96">
        <f t="shared" si="11"/>
        <v>0</v>
      </c>
      <c r="AH28" s="211" t="str">
        <f t="shared" si="7"/>
        <v>0,;!0,;!0,;!0</v>
      </c>
      <c r="AI28" s="211" t="e">
        <f>INDEX([1]Library!$AL:$AL,MATCH(AH28,[1]Library!$AJ:$AJ,0),1)</f>
        <v>#N/A</v>
      </c>
      <c r="AJ28" s="211" t="e">
        <f>TEXT(INDEX([1]Library!$W:$W,MATCH(AH28,[1]Library!$AJ:$AJ,0),1),"")</f>
        <v>#N/A</v>
      </c>
    </row>
    <row r="29" spans="1:36" ht="25.2" hidden="1" customHeight="1" outlineLevel="2">
      <c r="A29" s="228"/>
      <c r="B29" s="229"/>
      <c r="C29" s="230"/>
      <c r="D29" s="231" t="s">
        <v>56</v>
      </c>
      <c r="E29" s="232"/>
      <c r="F29" s="233"/>
      <c r="G29" s="379"/>
      <c r="H29" s="380">
        <v>1</v>
      </c>
      <c r="I29" s="234" t="s">
        <v>32</v>
      </c>
      <c r="J29" s="235">
        <v>1745437.46293089</v>
      </c>
      <c r="K29" s="236">
        <v>1745437.46293089</v>
      </c>
      <c r="L29" s="235">
        <v>0</v>
      </c>
      <c r="M29" s="236">
        <v>0</v>
      </c>
      <c r="N29" s="237">
        <v>0</v>
      </c>
      <c r="O29" s="236">
        <v>0</v>
      </c>
      <c r="P29" s="238">
        <v>1745437.46293089</v>
      </c>
      <c r="Q29" s="239">
        <f t="shared" si="0"/>
        <v>9.3890015189582599E-4</v>
      </c>
      <c r="R29" s="236">
        <f t="shared" si="1"/>
        <v>93.631311847206803</v>
      </c>
      <c r="S29" s="240">
        <f t="shared" si="2"/>
        <v>3422.42639790371</v>
      </c>
      <c r="T29" s="241"/>
      <c r="U29" s="225"/>
      <c r="V29" s="226"/>
      <c r="W29" s="227"/>
      <c r="X29" s="226"/>
      <c r="Y29" s="226"/>
      <c r="Z29" s="226"/>
      <c r="AA29" s="226"/>
      <c r="AB29" s="226"/>
      <c r="AC29" s="226"/>
      <c r="AD29" s="96">
        <f t="shared" si="8"/>
        <v>0</v>
      </c>
      <c r="AE29" s="96">
        <f t="shared" si="9"/>
        <v>0</v>
      </c>
      <c r="AF29" s="96">
        <f t="shared" si="10"/>
        <v>0</v>
      </c>
      <c r="AG29" s="96">
        <f t="shared" si="11"/>
        <v>0</v>
      </c>
      <c r="AH29" s="211" t="str">
        <f t="shared" si="7"/>
        <v>0,;!0,;!0,;!0</v>
      </c>
      <c r="AI29" s="211" t="e">
        <f>INDEX([1]Library!$AL:$AL,MATCH(AH29,[1]Library!$AJ:$AJ,0),1)</f>
        <v>#N/A</v>
      </c>
      <c r="AJ29" s="211" t="e">
        <f>TEXT(INDEX([1]Library!$W:$W,MATCH(AH29,[1]Library!$AJ:$AJ,0),1),"")</f>
        <v>#N/A</v>
      </c>
    </row>
    <row r="30" spans="1:36" ht="25.2" hidden="1" customHeight="1" outlineLevel="2">
      <c r="A30" s="228"/>
      <c r="B30" s="229"/>
      <c r="C30" s="230"/>
      <c r="D30" s="231" t="s">
        <v>57</v>
      </c>
      <c r="E30" s="232"/>
      <c r="F30" s="233"/>
      <c r="G30" s="379"/>
      <c r="H30" s="380">
        <v>1</v>
      </c>
      <c r="I30" s="234" t="s">
        <v>32</v>
      </c>
      <c r="J30" s="235">
        <v>205990.15152498599</v>
      </c>
      <c r="K30" s="236">
        <v>205990.15152498599</v>
      </c>
      <c r="L30" s="235">
        <v>0</v>
      </c>
      <c r="M30" s="236">
        <v>0</v>
      </c>
      <c r="N30" s="237">
        <v>0</v>
      </c>
      <c r="O30" s="236">
        <v>0</v>
      </c>
      <c r="P30" s="238">
        <v>205990.15152498599</v>
      </c>
      <c r="Q30" s="239">
        <f t="shared" si="0"/>
        <v>1.10805565173956E-4</v>
      </c>
      <c r="R30" s="236">
        <f t="shared" si="1"/>
        <v>11.0500252942337</v>
      </c>
      <c r="S30" s="240">
        <f t="shared" si="2"/>
        <v>403.902257892129</v>
      </c>
      <c r="T30" s="241"/>
      <c r="U30" s="225"/>
      <c r="V30" s="226"/>
      <c r="W30" s="227"/>
      <c r="X30" s="226"/>
      <c r="Y30" s="226"/>
      <c r="Z30" s="226"/>
      <c r="AA30" s="226"/>
      <c r="AB30" s="226"/>
      <c r="AC30" s="226"/>
      <c r="AD30" s="96">
        <f t="shared" si="8"/>
        <v>0</v>
      </c>
      <c r="AE30" s="96">
        <f t="shared" si="9"/>
        <v>0</v>
      </c>
      <c r="AF30" s="96">
        <f t="shared" si="10"/>
        <v>0</v>
      </c>
      <c r="AG30" s="96">
        <f t="shared" si="11"/>
        <v>0</v>
      </c>
      <c r="AH30" s="211" t="str">
        <f t="shared" si="7"/>
        <v>0,;!0,;!0,;!0</v>
      </c>
      <c r="AI30" s="211" t="e">
        <f>INDEX([1]Library!$AL:$AL,MATCH(AH30,[1]Library!$AJ:$AJ,0),1)</f>
        <v>#N/A</v>
      </c>
      <c r="AJ30" s="211" t="e">
        <f>TEXT(INDEX([1]Library!$W:$W,MATCH(AH30,[1]Library!$AJ:$AJ,0),1),"")</f>
        <v>#N/A</v>
      </c>
    </row>
    <row r="31" spans="1:36" ht="25.2" hidden="1" customHeight="1" outlineLevel="2">
      <c r="A31" s="228"/>
      <c r="B31" s="229"/>
      <c r="C31" s="230"/>
      <c r="D31" s="231" t="s">
        <v>58</v>
      </c>
      <c r="E31" s="232"/>
      <c r="F31" s="233"/>
      <c r="G31" s="379"/>
      <c r="H31" s="380">
        <v>1</v>
      </c>
      <c r="I31" s="234" t="s">
        <v>32</v>
      </c>
      <c r="J31" s="235">
        <v>532912.20490063203</v>
      </c>
      <c r="K31" s="236">
        <v>532912.20490063203</v>
      </c>
      <c r="L31" s="235">
        <v>0</v>
      </c>
      <c r="M31" s="236">
        <v>0</v>
      </c>
      <c r="N31" s="237">
        <v>0</v>
      </c>
      <c r="O31" s="236">
        <v>0</v>
      </c>
      <c r="P31" s="238">
        <v>532912.20490063203</v>
      </c>
      <c r="Q31" s="239">
        <f t="shared" si="0"/>
        <v>2.8666243320351698E-4</v>
      </c>
      <c r="R31" s="236">
        <f t="shared" si="1"/>
        <v>28.587256721559999</v>
      </c>
      <c r="S31" s="240">
        <f t="shared" si="2"/>
        <v>1044.9258919620199</v>
      </c>
      <c r="T31" s="241"/>
      <c r="U31" s="225"/>
      <c r="V31" s="226"/>
      <c r="W31" s="227"/>
      <c r="X31" s="226"/>
      <c r="Y31" s="226"/>
      <c r="Z31" s="226"/>
      <c r="AA31" s="226"/>
      <c r="AB31" s="226"/>
      <c r="AC31" s="226"/>
      <c r="AD31" s="96">
        <f t="shared" si="8"/>
        <v>0</v>
      </c>
      <c r="AE31" s="96">
        <f t="shared" si="9"/>
        <v>0</v>
      </c>
      <c r="AF31" s="96">
        <f t="shared" si="10"/>
        <v>0</v>
      </c>
      <c r="AG31" s="96">
        <f t="shared" si="11"/>
        <v>0</v>
      </c>
      <c r="AH31" s="211" t="str">
        <f t="shared" si="7"/>
        <v>0,;!0,;!0,;!0</v>
      </c>
      <c r="AI31" s="211" t="e">
        <f>INDEX([1]Library!$AL:$AL,MATCH(AH31,[1]Library!$AJ:$AJ,0),1)</f>
        <v>#N/A</v>
      </c>
      <c r="AJ31" s="211" t="e">
        <f>TEXT(INDEX([1]Library!$W:$W,MATCH(AH31,[1]Library!$AJ:$AJ,0),1),"")</f>
        <v>#N/A</v>
      </c>
    </row>
    <row r="32" spans="1:36" ht="25.2" hidden="1" customHeight="1" outlineLevel="2">
      <c r="A32" s="228"/>
      <c r="B32" s="229"/>
      <c r="C32" s="230"/>
      <c r="D32" s="231" t="s">
        <v>59</v>
      </c>
      <c r="E32" s="232"/>
      <c r="F32" s="233"/>
      <c r="G32" s="379"/>
      <c r="H32" s="380">
        <v>1</v>
      </c>
      <c r="I32" s="234" t="s">
        <v>32</v>
      </c>
      <c r="J32" s="235">
        <v>1483823.8758896899</v>
      </c>
      <c r="K32" s="236">
        <v>1483823.8758896899</v>
      </c>
      <c r="L32" s="235">
        <v>0</v>
      </c>
      <c r="M32" s="236">
        <v>0</v>
      </c>
      <c r="N32" s="237">
        <v>0</v>
      </c>
      <c r="O32" s="236">
        <v>0</v>
      </c>
      <c r="P32" s="238">
        <v>1483823.8758896899</v>
      </c>
      <c r="Q32" s="239">
        <f t="shared" si="0"/>
        <v>7.9817380573470899E-4</v>
      </c>
      <c r="R32" s="236">
        <f t="shared" si="1"/>
        <v>79.5974527878342</v>
      </c>
      <c r="S32" s="240">
        <f t="shared" si="2"/>
        <v>2909.4585801758599</v>
      </c>
      <c r="T32" s="241"/>
      <c r="U32" s="225"/>
      <c r="V32" s="226"/>
      <c r="W32" s="227"/>
      <c r="X32" s="226"/>
      <c r="Y32" s="226"/>
      <c r="Z32" s="226"/>
      <c r="AA32" s="226"/>
      <c r="AB32" s="226"/>
      <c r="AC32" s="226"/>
      <c r="AD32" s="96">
        <f t="shared" si="8"/>
        <v>0</v>
      </c>
      <c r="AE32" s="96">
        <f t="shared" si="9"/>
        <v>0</v>
      </c>
      <c r="AF32" s="96">
        <f t="shared" si="10"/>
        <v>0</v>
      </c>
      <c r="AG32" s="96">
        <f t="shared" si="11"/>
        <v>0</v>
      </c>
      <c r="AH32" s="211" t="str">
        <f t="shared" si="7"/>
        <v>0,;!0,;!0,;!0</v>
      </c>
      <c r="AI32" s="211" t="e">
        <f>INDEX([1]Library!$AL:$AL,MATCH(AH32,[1]Library!$AJ:$AJ,0),1)</f>
        <v>#N/A</v>
      </c>
      <c r="AJ32" s="211" t="e">
        <f>TEXT(INDEX([1]Library!$W:$W,MATCH(AH32,[1]Library!$AJ:$AJ,0),1),"")</f>
        <v>#N/A</v>
      </c>
    </row>
    <row r="33" spans="1:36" ht="25.2" hidden="1" customHeight="1" outlineLevel="1" collapsed="1">
      <c r="A33" s="213"/>
      <c r="B33" s="214"/>
      <c r="C33" s="215" t="s">
        <v>60</v>
      </c>
      <c r="D33" s="215"/>
      <c r="E33" s="216"/>
      <c r="F33" s="217"/>
      <c r="G33" s="379"/>
      <c r="H33" s="219">
        <v>1</v>
      </c>
      <c r="I33" s="218" t="s">
        <v>32</v>
      </c>
      <c r="J33" s="219">
        <v>0</v>
      </c>
      <c r="K33" s="219">
        <v>0</v>
      </c>
      <c r="L33" s="219">
        <v>56196719.072283201</v>
      </c>
      <c r="M33" s="219">
        <v>56196719.072283201</v>
      </c>
      <c r="N33" s="219">
        <v>0</v>
      </c>
      <c r="O33" s="219">
        <v>0</v>
      </c>
      <c r="P33" s="220">
        <v>56196719.072283201</v>
      </c>
      <c r="Q33" s="221">
        <f t="shared" si="0"/>
        <v>3.0229159848795401E-2</v>
      </c>
      <c r="R33" s="222">
        <f t="shared" si="1"/>
        <v>3014.5866809867798</v>
      </c>
      <c r="S33" s="223">
        <f t="shared" si="2"/>
        <v>110189.64523977099</v>
      </c>
      <c r="T33" s="224"/>
      <c r="U33" s="225"/>
      <c r="V33" s="226"/>
      <c r="W33" s="227"/>
      <c r="X33" s="226"/>
      <c r="Y33" s="226"/>
      <c r="Z33" s="226"/>
      <c r="AA33" s="226"/>
      <c r="AB33" s="226"/>
      <c r="AC33" s="226"/>
      <c r="AD33" s="96">
        <f t="shared" si="8"/>
        <v>0</v>
      </c>
      <c r="AE33" s="96">
        <f t="shared" si="9"/>
        <v>0</v>
      </c>
      <c r="AF33" s="96">
        <f t="shared" si="10"/>
        <v>0</v>
      </c>
      <c r="AG33" s="96">
        <f t="shared" si="11"/>
        <v>0</v>
      </c>
      <c r="AH33" s="211" t="str">
        <f t="shared" si="7"/>
        <v>0,;!0,;!0,;!0</v>
      </c>
      <c r="AI33" s="211" t="e">
        <f>INDEX([1]Library!$AL:$AL,MATCH(AH33,[1]Library!$AJ:$AJ,0),1)</f>
        <v>#N/A</v>
      </c>
      <c r="AJ33" s="211" t="e">
        <f>TEXT(INDEX([1]Library!$W:$W,MATCH(AH33,[1]Library!$AJ:$AJ,0),1),"")</f>
        <v>#N/A</v>
      </c>
    </row>
    <row r="34" spans="1:36" ht="25.2" hidden="1" customHeight="1" outlineLevel="2">
      <c r="A34" s="228"/>
      <c r="B34" s="229"/>
      <c r="C34" s="230"/>
      <c r="D34" s="231" t="s">
        <v>60</v>
      </c>
      <c r="E34" s="232"/>
      <c r="F34" s="233"/>
      <c r="G34" s="379"/>
      <c r="H34" s="380">
        <v>1</v>
      </c>
      <c r="I34" s="234" t="s">
        <v>61</v>
      </c>
      <c r="J34" s="235">
        <v>0</v>
      </c>
      <c r="K34" s="236">
        <v>0</v>
      </c>
      <c r="L34" s="235">
        <v>56196719.072283201</v>
      </c>
      <c r="M34" s="236">
        <v>56196719.072283201</v>
      </c>
      <c r="N34" s="237">
        <v>0</v>
      </c>
      <c r="O34" s="236">
        <v>0</v>
      </c>
      <c r="P34" s="238">
        <v>56196719.072283201</v>
      </c>
      <c r="Q34" s="239">
        <f t="shared" si="0"/>
        <v>3.0229159848795401E-2</v>
      </c>
      <c r="R34" s="236">
        <f t="shared" si="1"/>
        <v>3014.5866809867798</v>
      </c>
      <c r="S34" s="240">
        <f t="shared" si="2"/>
        <v>110189.64523977099</v>
      </c>
      <c r="T34" s="241"/>
      <c r="U34" s="225"/>
      <c r="V34" s="226"/>
      <c r="W34" s="227"/>
      <c r="X34" s="226"/>
      <c r="Y34" s="226"/>
      <c r="Z34" s="226"/>
      <c r="AA34" s="226"/>
      <c r="AB34" s="226"/>
      <c r="AC34" s="226"/>
      <c r="AD34" s="96">
        <f t="shared" si="8"/>
        <v>0</v>
      </c>
      <c r="AE34" s="96">
        <f t="shared" si="9"/>
        <v>0</v>
      </c>
      <c r="AF34" s="96">
        <f t="shared" si="10"/>
        <v>0</v>
      </c>
      <c r="AG34" s="96">
        <f t="shared" si="11"/>
        <v>0</v>
      </c>
      <c r="AH34" s="211" t="str">
        <f t="shared" si="7"/>
        <v>0,;!0,;!0,;!0</v>
      </c>
      <c r="AI34" s="211" t="e">
        <f>INDEX([1]Library!$AL:$AL,MATCH(AH34,[1]Library!$AJ:$AJ,0),1)</f>
        <v>#N/A</v>
      </c>
      <c r="AJ34" s="211" t="e">
        <f>TEXT(INDEX([1]Library!$W:$W,MATCH(AH34,[1]Library!$AJ:$AJ,0),1),"")</f>
        <v>#N/A</v>
      </c>
    </row>
    <row r="35" spans="1:36" ht="25.2" hidden="1" customHeight="1" outlineLevel="1" collapsed="1">
      <c r="A35" s="213"/>
      <c r="B35" s="214"/>
      <c r="C35" s="215" t="s">
        <v>62</v>
      </c>
      <c r="D35" s="215"/>
      <c r="E35" s="216"/>
      <c r="F35" s="217"/>
      <c r="G35" s="379"/>
      <c r="H35" s="219">
        <v>1</v>
      </c>
      <c r="I35" s="218" t="s">
        <v>32</v>
      </c>
      <c r="J35" s="219">
        <v>0</v>
      </c>
      <c r="K35" s="219">
        <v>0</v>
      </c>
      <c r="L35" s="219">
        <v>10931681.649142399</v>
      </c>
      <c r="M35" s="219">
        <v>10931681.649142399</v>
      </c>
      <c r="N35" s="219">
        <v>0</v>
      </c>
      <c r="O35" s="219">
        <v>0</v>
      </c>
      <c r="P35" s="220">
        <v>10931681.649142399</v>
      </c>
      <c r="Q35" s="221">
        <f t="shared" si="0"/>
        <v>5.8803353192740703E-3</v>
      </c>
      <c r="R35" s="222">
        <f t="shared" si="1"/>
        <v>586.41327188344303</v>
      </c>
      <c r="S35" s="223">
        <f t="shared" si="2"/>
        <v>21434.669900279201</v>
      </c>
      <c r="T35" s="224"/>
      <c r="U35" s="225"/>
      <c r="V35" s="226"/>
      <c r="W35" s="227"/>
      <c r="X35" s="226"/>
      <c r="Y35" s="226"/>
      <c r="Z35" s="226"/>
      <c r="AA35" s="226"/>
      <c r="AB35" s="226"/>
      <c r="AC35" s="226"/>
      <c r="AD35" s="96">
        <f t="shared" si="8"/>
        <v>0</v>
      </c>
      <c r="AE35" s="96">
        <f t="shared" si="9"/>
        <v>0</v>
      </c>
      <c r="AF35" s="96">
        <f t="shared" si="10"/>
        <v>0</v>
      </c>
      <c r="AG35" s="96">
        <f t="shared" si="11"/>
        <v>0</v>
      </c>
      <c r="AH35" s="211" t="str">
        <f t="shared" si="7"/>
        <v>0,;!0,;!0,;!0</v>
      </c>
      <c r="AI35" s="211" t="e">
        <f>INDEX([1]Library!$AL:$AL,MATCH(AH35,[1]Library!$AJ:$AJ,0),1)</f>
        <v>#N/A</v>
      </c>
      <c r="AJ35" s="211" t="e">
        <f>TEXT(INDEX([1]Library!$W:$W,MATCH(AH35,[1]Library!$AJ:$AJ,0),1),"")</f>
        <v>#N/A</v>
      </c>
    </row>
    <row r="36" spans="1:36" ht="25.2" hidden="1" customHeight="1" outlineLevel="2">
      <c r="A36" s="228"/>
      <c r="B36" s="229"/>
      <c r="C36" s="230"/>
      <c r="D36" s="231" t="s">
        <v>63</v>
      </c>
      <c r="E36" s="232"/>
      <c r="F36" s="233"/>
      <c r="G36" s="379"/>
      <c r="H36" s="380">
        <v>1</v>
      </c>
      <c r="I36" s="234" t="s">
        <v>32</v>
      </c>
      <c r="J36" s="235">
        <v>0</v>
      </c>
      <c r="K36" s="236">
        <v>0</v>
      </c>
      <c r="L36" s="235">
        <v>5294482.6168567603</v>
      </c>
      <c r="M36" s="236">
        <v>5294482.6168567603</v>
      </c>
      <c r="N36" s="237">
        <v>0</v>
      </c>
      <c r="O36" s="236">
        <v>0</v>
      </c>
      <c r="P36" s="238">
        <v>5294482.6168567603</v>
      </c>
      <c r="Q36" s="239">
        <f t="shared" si="0"/>
        <v>2.8479911991974001E-3</v>
      </c>
      <c r="R36" s="236">
        <f t="shared" si="1"/>
        <v>284.01438808132099</v>
      </c>
      <c r="S36" s="240">
        <f t="shared" si="2"/>
        <v>10381.338464425</v>
      </c>
      <c r="T36" s="241"/>
      <c r="U36" s="225"/>
      <c r="V36" s="226"/>
      <c r="W36" s="227"/>
      <c r="X36" s="226"/>
      <c r="Y36" s="226"/>
      <c r="Z36" s="226"/>
      <c r="AA36" s="226"/>
      <c r="AB36" s="226"/>
      <c r="AC36" s="226"/>
      <c r="AD36" s="96">
        <f t="shared" si="8"/>
        <v>0</v>
      </c>
      <c r="AE36" s="96">
        <f t="shared" si="9"/>
        <v>0</v>
      </c>
      <c r="AF36" s="96">
        <f t="shared" si="10"/>
        <v>0</v>
      </c>
      <c r="AG36" s="96">
        <f t="shared" si="11"/>
        <v>0</v>
      </c>
      <c r="AH36" s="211" t="str">
        <f t="shared" si="7"/>
        <v>0,;!0,;!0,;!0</v>
      </c>
      <c r="AI36" s="211" t="e">
        <f>INDEX([1]Library!$AL:$AL,MATCH(AH36,[1]Library!$AJ:$AJ,0),1)</f>
        <v>#N/A</v>
      </c>
      <c r="AJ36" s="211" t="e">
        <f>TEXT(INDEX([1]Library!$W:$W,MATCH(AH36,[1]Library!$AJ:$AJ,0),1),"")</f>
        <v>#N/A</v>
      </c>
    </row>
    <row r="37" spans="1:36" ht="25.2" hidden="1" customHeight="1" outlineLevel="2">
      <c r="A37" s="228"/>
      <c r="B37" s="229"/>
      <c r="C37" s="230"/>
      <c r="D37" s="231" t="s">
        <v>64</v>
      </c>
      <c r="E37" s="232"/>
      <c r="F37" s="233"/>
      <c r="G37" s="379"/>
      <c r="H37" s="380">
        <v>1</v>
      </c>
      <c r="I37" s="234" t="s">
        <v>32</v>
      </c>
      <c r="J37" s="235">
        <v>0</v>
      </c>
      <c r="K37" s="236">
        <v>0</v>
      </c>
      <c r="L37" s="235">
        <v>5637199.0322856801</v>
      </c>
      <c r="M37" s="236">
        <v>5637199.0322856801</v>
      </c>
      <c r="N37" s="237">
        <v>0</v>
      </c>
      <c r="O37" s="236">
        <v>0</v>
      </c>
      <c r="P37" s="238">
        <v>5637199.0322856801</v>
      </c>
      <c r="Q37" s="239">
        <f t="shared" si="0"/>
        <v>3.0323441200766701E-3</v>
      </c>
      <c r="R37" s="236">
        <f t="shared" si="1"/>
        <v>302.39888380212398</v>
      </c>
      <c r="S37" s="240">
        <f t="shared" si="2"/>
        <v>11053.331435854299</v>
      </c>
      <c r="T37" s="241"/>
      <c r="U37" s="225"/>
      <c r="V37" s="226"/>
      <c r="W37" s="227"/>
      <c r="X37" s="226"/>
      <c r="Y37" s="226"/>
      <c r="Z37" s="226"/>
      <c r="AA37" s="226"/>
      <c r="AB37" s="226"/>
      <c r="AC37" s="226"/>
      <c r="AD37" s="96">
        <f t="shared" si="8"/>
        <v>0</v>
      </c>
      <c r="AE37" s="96">
        <f t="shared" si="9"/>
        <v>0</v>
      </c>
      <c r="AF37" s="96">
        <f t="shared" si="10"/>
        <v>0</v>
      </c>
      <c r="AG37" s="96">
        <f t="shared" si="11"/>
        <v>0</v>
      </c>
      <c r="AH37" s="211" t="str">
        <f t="shared" si="7"/>
        <v>0,;!0,;!0,;!0</v>
      </c>
      <c r="AI37" s="211" t="e">
        <f>INDEX([1]Library!$AL:$AL,MATCH(AH37,[1]Library!$AJ:$AJ,0),1)</f>
        <v>#N/A</v>
      </c>
      <c r="AJ37" s="211" t="e">
        <f>TEXT(INDEX([1]Library!$W:$W,MATCH(AH37,[1]Library!$AJ:$AJ,0),1),"")</f>
        <v>#N/A</v>
      </c>
    </row>
    <row r="38" spans="1:36" ht="25.2" hidden="1" customHeight="1" outlineLevel="1" collapsed="1">
      <c r="A38" s="213"/>
      <c r="B38" s="214"/>
      <c r="C38" s="215" t="s">
        <v>65</v>
      </c>
      <c r="D38" s="215"/>
      <c r="E38" s="216"/>
      <c r="F38" s="217"/>
      <c r="G38" s="379"/>
      <c r="H38" s="219">
        <v>1</v>
      </c>
      <c r="I38" s="218" t="s">
        <v>61</v>
      </c>
      <c r="J38" s="219">
        <v>0</v>
      </c>
      <c r="K38" s="219">
        <v>0</v>
      </c>
      <c r="L38" s="219">
        <v>0</v>
      </c>
      <c r="M38" s="219">
        <v>0</v>
      </c>
      <c r="N38" s="219">
        <v>8377732.8252593502</v>
      </c>
      <c r="O38" s="219">
        <v>8377732.8252593502</v>
      </c>
      <c r="P38" s="220">
        <v>8377732.8252593502</v>
      </c>
      <c r="Q38" s="221">
        <f t="shared" si="0"/>
        <v>4.5065233153472701E-3</v>
      </c>
      <c r="R38" s="222">
        <f t="shared" si="1"/>
        <v>449.41060988645597</v>
      </c>
      <c r="S38" s="223">
        <f t="shared" si="2"/>
        <v>16426.927108351701</v>
      </c>
      <c r="T38" s="224"/>
      <c r="U38" s="225"/>
      <c r="V38" s="226"/>
      <c r="W38" s="227"/>
      <c r="X38" s="226"/>
      <c r="Y38" s="226"/>
      <c r="Z38" s="226"/>
      <c r="AA38" s="226"/>
      <c r="AB38" s="226"/>
      <c r="AC38" s="226"/>
      <c r="AD38" s="96">
        <f t="shared" si="8"/>
        <v>0</v>
      </c>
      <c r="AE38" s="96">
        <f t="shared" si="9"/>
        <v>0</v>
      </c>
      <c r="AF38" s="96">
        <f t="shared" si="10"/>
        <v>0</v>
      </c>
      <c r="AG38" s="96">
        <f t="shared" si="11"/>
        <v>0</v>
      </c>
      <c r="AH38" s="211" t="str">
        <f t="shared" si="7"/>
        <v>0,;!0,;!0,;!0</v>
      </c>
      <c r="AI38" s="211" t="e">
        <f>INDEX([1]Library!$AL:$AL,MATCH(AH38,[1]Library!$AJ:$AJ,0),1)</f>
        <v>#N/A</v>
      </c>
      <c r="AJ38" s="211" t="e">
        <f>TEXT(INDEX([1]Library!$W:$W,MATCH(AH38,[1]Library!$AJ:$AJ,0),1),"")</f>
        <v>#N/A</v>
      </c>
    </row>
    <row r="39" spans="1:36" ht="25.2" hidden="1" customHeight="1" outlineLevel="2">
      <c r="A39" s="228"/>
      <c r="B39" s="229"/>
      <c r="C39" s="230"/>
      <c r="D39" s="231" t="s">
        <v>66</v>
      </c>
      <c r="E39" s="232"/>
      <c r="F39" s="233"/>
      <c r="G39" s="379"/>
      <c r="H39" s="380">
        <v>1</v>
      </c>
      <c r="I39" s="234" t="s">
        <v>32</v>
      </c>
      <c r="J39" s="235">
        <v>0</v>
      </c>
      <c r="K39" s="236">
        <v>0</v>
      </c>
      <c r="L39" s="235">
        <v>0</v>
      </c>
      <c r="M39" s="236">
        <v>0</v>
      </c>
      <c r="N39" s="237">
        <v>5208593.2966879196</v>
      </c>
      <c r="O39" s="236">
        <v>5208593.2966879196</v>
      </c>
      <c r="P39" s="238">
        <v>5208593.2966879196</v>
      </c>
      <c r="Q39" s="239">
        <f t="shared" si="0"/>
        <v>2.8017898900898602E-3</v>
      </c>
      <c r="R39" s="236">
        <f t="shared" si="1"/>
        <v>279.40698741995999</v>
      </c>
      <c r="S39" s="240">
        <f t="shared" si="2"/>
        <v>10212.9280327214</v>
      </c>
      <c r="T39" s="241"/>
      <c r="U39" s="225"/>
      <c r="V39" s="226"/>
      <c r="W39" s="227"/>
      <c r="X39" s="226"/>
      <c r="Y39" s="226"/>
      <c r="Z39" s="226"/>
      <c r="AA39" s="226"/>
      <c r="AB39" s="226"/>
      <c r="AC39" s="226"/>
      <c r="AD39" s="96">
        <f t="shared" si="8"/>
        <v>0</v>
      </c>
      <c r="AE39" s="96">
        <f t="shared" si="9"/>
        <v>0</v>
      </c>
      <c r="AF39" s="96">
        <f t="shared" si="10"/>
        <v>0</v>
      </c>
      <c r="AG39" s="96">
        <f t="shared" si="11"/>
        <v>0</v>
      </c>
      <c r="AH39" s="211" t="str">
        <f t="shared" si="7"/>
        <v>0,;!0,;!0,;!0</v>
      </c>
      <c r="AI39" s="211" t="e">
        <f>INDEX([1]Library!$AL:$AL,MATCH(AH39,[1]Library!$AJ:$AJ,0),1)</f>
        <v>#N/A</v>
      </c>
      <c r="AJ39" s="211" t="e">
        <f>TEXT(INDEX([1]Library!$W:$W,MATCH(AH39,[1]Library!$AJ:$AJ,0),1),"")</f>
        <v>#N/A</v>
      </c>
    </row>
    <row r="40" spans="1:36" ht="25.2" hidden="1" customHeight="1" outlineLevel="2">
      <c r="A40" s="228"/>
      <c r="B40" s="229"/>
      <c r="C40" s="230"/>
      <c r="D40" s="231" t="s">
        <v>67</v>
      </c>
      <c r="E40" s="232"/>
      <c r="F40" s="233"/>
      <c r="G40" s="379"/>
      <c r="H40" s="380">
        <v>1</v>
      </c>
      <c r="I40" s="234" t="s">
        <v>32</v>
      </c>
      <c r="J40" s="235">
        <v>0</v>
      </c>
      <c r="K40" s="236">
        <v>0</v>
      </c>
      <c r="L40" s="235">
        <v>0</v>
      </c>
      <c r="M40" s="236">
        <v>0</v>
      </c>
      <c r="N40" s="237">
        <v>1173039.81428571</v>
      </c>
      <c r="O40" s="236">
        <v>1173039.81428571</v>
      </c>
      <c r="P40" s="238">
        <v>1173039.81428571</v>
      </c>
      <c r="Q40" s="239">
        <f t="shared" si="0"/>
        <v>6.3099783475674799E-4</v>
      </c>
      <c r="R40" s="236">
        <f t="shared" si="1"/>
        <v>62.925919142440002</v>
      </c>
      <c r="S40" s="240">
        <f t="shared" si="2"/>
        <v>2300.0780672268802</v>
      </c>
      <c r="T40" s="241"/>
      <c r="U40" s="225"/>
      <c r="V40" s="226"/>
      <c r="W40" s="227"/>
      <c r="X40" s="226"/>
      <c r="Y40" s="226"/>
      <c r="Z40" s="226"/>
      <c r="AA40" s="226"/>
      <c r="AB40" s="226"/>
      <c r="AC40" s="226"/>
      <c r="AD40" s="96">
        <f t="shared" si="8"/>
        <v>0</v>
      </c>
      <c r="AE40" s="96">
        <f t="shared" si="9"/>
        <v>0</v>
      </c>
      <c r="AF40" s="96">
        <f t="shared" si="10"/>
        <v>0</v>
      </c>
      <c r="AG40" s="96">
        <f t="shared" si="11"/>
        <v>0</v>
      </c>
      <c r="AH40" s="211" t="str">
        <f t="shared" si="7"/>
        <v>0,;!0,;!0,;!0</v>
      </c>
      <c r="AI40" s="211" t="e">
        <f>INDEX([1]Library!$AL:$AL,MATCH(AH40,[1]Library!$AJ:$AJ,0),1)</f>
        <v>#N/A</v>
      </c>
      <c r="AJ40" s="211" t="e">
        <f>TEXT(INDEX([1]Library!$W:$W,MATCH(AH40,[1]Library!$AJ:$AJ,0),1),"")</f>
        <v>#N/A</v>
      </c>
    </row>
    <row r="41" spans="1:36" ht="25.2" hidden="1" customHeight="1" outlineLevel="2">
      <c r="A41" s="228"/>
      <c r="B41" s="229"/>
      <c r="C41" s="230"/>
      <c r="D41" s="231" t="s">
        <v>68</v>
      </c>
      <c r="E41" s="232"/>
      <c r="F41" s="233"/>
      <c r="G41" s="379"/>
      <c r="H41" s="380">
        <v>1</v>
      </c>
      <c r="I41" s="234" t="s">
        <v>32</v>
      </c>
      <c r="J41" s="235">
        <v>0</v>
      </c>
      <c r="K41" s="236">
        <v>0</v>
      </c>
      <c r="L41" s="235">
        <v>0</v>
      </c>
      <c r="M41" s="236">
        <v>0</v>
      </c>
      <c r="N41" s="237">
        <v>1786099.7142857199</v>
      </c>
      <c r="O41" s="236">
        <v>1786099.7142857199</v>
      </c>
      <c r="P41" s="238">
        <v>1786099.7142857199</v>
      </c>
      <c r="Q41" s="239">
        <f t="shared" si="0"/>
        <v>9.6077306042694399E-4</v>
      </c>
      <c r="R41" s="236">
        <f t="shared" si="1"/>
        <v>95.812575867185203</v>
      </c>
      <c r="S41" s="240">
        <f t="shared" si="2"/>
        <v>3502.1563025210198</v>
      </c>
      <c r="T41" s="241"/>
      <c r="U41" s="225"/>
      <c r="V41" s="226"/>
      <c r="W41" s="227"/>
      <c r="X41" s="226"/>
      <c r="Y41" s="226"/>
      <c r="Z41" s="226"/>
      <c r="AA41" s="226"/>
      <c r="AB41" s="226"/>
      <c r="AC41" s="226"/>
      <c r="AD41" s="96">
        <f t="shared" si="8"/>
        <v>0</v>
      </c>
      <c r="AE41" s="96">
        <f t="shared" si="9"/>
        <v>0</v>
      </c>
      <c r="AF41" s="96">
        <f t="shared" si="10"/>
        <v>0</v>
      </c>
      <c r="AG41" s="96">
        <f t="shared" si="11"/>
        <v>0</v>
      </c>
      <c r="AH41" s="211" t="str">
        <f t="shared" si="7"/>
        <v>0,;!0,;!0,;!0</v>
      </c>
      <c r="AI41" s="211" t="e">
        <f>INDEX([1]Library!$AL:$AL,MATCH(AH41,[1]Library!$AJ:$AJ,0),1)</f>
        <v>#N/A</v>
      </c>
      <c r="AJ41" s="211" t="e">
        <f>TEXT(INDEX([1]Library!$W:$W,MATCH(AH41,[1]Library!$AJ:$AJ,0),1),"")</f>
        <v>#N/A</v>
      </c>
    </row>
    <row r="42" spans="1:36" ht="25.2" hidden="1" customHeight="1" outlineLevel="2">
      <c r="A42" s="228"/>
      <c r="B42" s="229"/>
      <c r="C42" s="230"/>
      <c r="D42" s="231" t="s">
        <v>69</v>
      </c>
      <c r="E42" s="232"/>
      <c r="F42" s="233"/>
      <c r="G42" s="379"/>
      <c r="H42" s="380">
        <v>1</v>
      </c>
      <c r="I42" s="234" t="s">
        <v>32</v>
      </c>
      <c r="J42" s="235">
        <v>0</v>
      </c>
      <c r="K42" s="236">
        <v>0</v>
      </c>
      <c r="L42" s="235">
        <v>0</v>
      </c>
      <c r="M42" s="236">
        <v>0</v>
      </c>
      <c r="N42" s="237">
        <v>210000</v>
      </c>
      <c r="O42" s="236">
        <v>210000</v>
      </c>
      <c r="P42" s="238">
        <v>210000</v>
      </c>
      <c r="Q42" s="239">
        <f t="shared" si="0"/>
        <v>1.12962530073717E-4</v>
      </c>
      <c r="R42" s="236">
        <f t="shared" si="1"/>
        <v>11.265127456870699</v>
      </c>
      <c r="S42" s="240">
        <f t="shared" si="2"/>
        <v>411.76470588235298</v>
      </c>
      <c r="T42" s="241"/>
      <c r="U42" s="225"/>
      <c r="V42" s="226"/>
      <c r="W42" s="227"/>
      <c r="X42" s="226"/>
      <c r="Y42" s="226"/>
      <c r="Z42" s="226"/>
      <c r="AA42" s="226"/>
      <c r="AB42" s="226"/>
      <c r="AC42" s="226"/>
      <c r="AD42" s="96">
        <f t="shared" si="8"/>
        <v>0</v>
      </c>
      <c r="AE42" s="96">
        <f t="shared" si="9"/>
        <v>0</v>
      </c>
      <c r="AF42" s="96">
        <f t="shared" si="10"/>
        <v>0</v>
      </c>
      <c r="AG42" s="96">
        <f t="shared" si="11"/>
        <v>0</v>
      </c>
      <c r="AH42" s="211" t="str">
        <f t="shared" si="7"/>
        <v>0,;!0,;!0,;!0</v>
      </c>
      <c r="AI42" s="211" t="e">
        <f>INDEX([1]Library!$AL:$AL,MATCH(AH42,[1]Library!$AJ:$AJ,0),1)</f>
        <v>#N/A</v>
      </c>
      <c r="AJ42" s="211" t="e">
        <f>TEXT(INDEX([1]Library!$W:$W,MATCH(AH42,[1]Library!$AJ:$AJ,0),1),"")</f>
        <v>#N/A</v>
      </c>
    </row>
    <row r="43" spans="1:36" ht="25.2" hidden="1" customHeight="1" outlineLevel="1" collapsed="1">
      <c r="A43" s="213"/>
      <c r="B43" s="214"/>
      <c r="C43" s="215" t="s">
        <v>70</v>
      </c>
      <c r="D43" s="215"/>
      <c r="E43" s="216"/>
      <c r="F43" s="217"/>
      <c r="G43" s="379"/>
      <c r="H43" s="219">
        <v>1</v>
      </c>
      <c r="I43" s="218" t="s">
        <v>32</v>
      </c>
      <c r="J43" s="219">
        <v>0</v>
      </c>
      <c r="K43" s="219">
        <v>0</v>
      </c>
      <c r="L43" s="219">
        <v>8420887.7465007193</v>
      </c>
      <c r="M43" s="219">
        <v>8420887.7465007193</v>
      </c>
      <c r="N43" s="219">
        <v>0</v>
      </c>
      <c r="O43" s="219">
        <v>0</v>
      </c>
      <c r="P43" s="220">
        <v>8420887.7465007193</v>
      </c>
      <c r="Q43" s="221">
        <f t="shared" si="0"/>
        <v>4.52973707291183E-3</v>
      </c>
      <c r="R43" s="222">
        <f t="shared" si="1"/>
        <v>451.72558935395699</v>
      </c>
      <c r="S43" s="223">
        <f t="shared" si="2"/>
        <v>16511.544600981801</v>
      </c>
      <c r="T43" s="224"/>
      <c r="U43" s="225"/>
      <c r="V43" s="226"/>
      <c r="W43" s="227"/>
      <c r="X43" s="226"/>
      <c r="Y43" s="226"/>
      <c r="Z43" s="226"/>
      <c r="AA43" s="226"/>
      <c r="AB43" s="226"/>
      <c r="AC43" s="226"/>
      <c r="AD43" s="96">
        <f t="shared" si="8"/>
        <v>0</v>
      </c>
      <c r="AE43" s="96">
        <f t="shared" si="9"/>
        <v>0</v>
      </c>
      <c r="AF43" s="96">
        <f t="shared" si="10"/>
        <v>0</v>
      </c>
      <c r="AG43" s="96">
        <f t="shared" si="11"/>
        <v>0</v>
      </c>
      <c r="AH43" s="211" t="str">
        <f t="shared" si="7"/>
        <v>0,;!0,;!0,;!0</v>
      </c>
      <c r="AI43" s="211" t="e">
        <f>INDEX([1]Library!$AL:$AL,MATCH(AH43,[1]Library!$AJ:$AJ,0),1)</f>
        <v>#N/A</v>
      </c>
      <c r="AJ43" s="211" t="e">
        <f>TEXT(INDEX([1]Library!$W:$W,MATCH(AH43,[1]Library!$AJ:$AJ,0),1),"")</f>
        <v>#N/A</v>
      </c>
    </row>
    <row r="44" spans="1:36" ht="25.2" hidden="1" customHeight="1" outlineLevel="2">
      <c r="A44" s="228"/>
      <c r="B44" s="229"/>
      <c r="C44" s="230"/>
      <c r="D44" s="231" t="s">
        <v>71</v>
      </c>
      <c r="E44" s="232"/>
      <c r="F44" s="233"/>
      <c r="G44" s="379"/>
      <c r="H44" s="380">
        <v>1</v>
      </c>
      <c r="I44" s="234" t="s">
        <v>32</v>
      </c>
      <c r="J44" s="235">
        <v>0</v>
      </c>
      <c r="K44" s="236">
        <v>0</v>
      </c>
      <c r="L44" s="235">
        <v>8420887.7465007193</v>
      </c>
      <c r="M44" s="236">
        <v>8420887.7465007193</v>
      </c>
      <c r="N44" s="237">
        <v>0</v>
      </c>
      <c r="O44" s="236">
        <v>0</v>
      </c>
      <c r="P44" s="238">
        <v>8420887.7465007193</v>
      </c>
      <c r="Q44" s="239">
        <f t="shared" si="0"/>
        <v>4.52973707291183E-3</v>
      </c>
      <c r="R44" s="236">
        <f t="shared" si="1"/>
        <v>451.72558935395699</v>
      </c>
      <c r="S44" s="240">
        <f t="shared" si="2"/>
        <v>16511.544600981801</v>
      </c>
      <c r="T44" s="241"/>
      <c r="U44" s="225"/>
      <c r="V44" s="226"/>
      <c r="W44" s="227"/>
      <c r="X44" s="226"/>
      <c r="Y44" s="226"/>
      <c r="Z44" s="226"/>
      <c r="AA44" s="226"/>
      <c r="AB44" s="226"/>
      <c r="AC44" s="226"/>
      <c r="AD44" s="96">
        <f t="shared" si="8"/>
        <v>0</v>
      </c>
      <c r="AE44" s="96">
        <f t="shared" si="9"/>
        <v>0</v>
      </c>
      <c r="AF44" s="96">
        <f t="shared" si="10"/>
        <v>0</v>
      </c>
      <c r="AG44" s="96">
        <f t="shared" si="11"/>
        <v>0</v>
      </c>
      <c r="AH44" s="211" t="str">
        <f t="shared" si="7"/>
        <v>0,;!0,;!0,;!0</v>
      </c>
      <c r="AI44" s="211" t="e">
        <f>INDEX([1]Library!$AL:$AL,MATCH(AH44,[1]Library!$AJ:$AJ,0),1)</f>
        <v>#N/A</v>
      </c>
      <c r="AJ44" s="211" t="e">
        <f>TEXT(INDEX([1]Library!$W:$W,MATCH(AH44,[1]Library!$AJ:$AJ,0),1),"")</f>
        <v>#N/A</v>
      </c>
    </row>
    <row r="45" spans="1:36" ht="25.2" hidden="1" customHeight="1" outlineLevel="1" collapsed="1">
      <c r="A45" s="213"/>
      <c r="B45" s="214"/>
      <c r="C45" s="215" t="s">
        <v>72</v>
      </c>
      <c r="D45" s="215"/>
      <c r="E45" s="216"/>
      <c r="F45" s="217"/>
      <c r="G45" s="379"/>
      <c r="H45" s="219">
        <v>1</v>
      </c>
      <c r="I45" s="218" t="s">
        <v>32</v>
      </c>
      <c r="J45" s="219">
        <v>0</v>
      </c>
      <c r="K45" s="219">
        <v>0</v>
      </c>
      <c r="L45" s="219">
        <v>3771124.5019547902</v>
      </c>
      <c r="M45" s="219">
        <v>3771124.5019547902</v>
      </c>
      <c r="N45" s="219">
        <v>0</v>
      </c>
      <c r="O45" s="219">
        <v>0</v>
      </c>
      <c r="P45" s="220">
        <v>3771124.5019547902</v>
      </c>
      <c r="Q45" s="221">
        <f t="shared" si="0"/>
        <v>2.0285512617323801E-3</v>
      </c>
      <c r="R45" s="222">
        <f t="shared" si="1"/>
        <v>202.29618176308799</v>
      </c>
      <c r="S45" s="223">
        <f t="shared" si="2"/>
        <v>7394.3617685387999</v>
      </c>
      <c r="T45" s="224"/>
      <c r="U45" s="225"/>
      <c r="V45" s="226"/>
      <c r="W45" s="227"/>
      <c r="X45" s="226"/>
      <c r="Y45" s="226"/>
      <c r="Z45" s="226"/>
      <c r="AA45" s="226"/>
      <c r="AB45" s="226"/>
      <c r="AC45" s="226"/>
      <c r="AD45" s="96">
        <f t="shared" si="8"/>
        <v>0</v>
      </c>
      <c r="AE45" s="96">
        <f t="shared" si="9"/>
        <v>0</v>
      </c>
      <c r="AF45" s="96">
        <f t="shared" si="10"/>
        <v>0</v>
      </c>
      <c r="AG45" s="96">
        <f t="shared" si="11"/>
        <v>0</v>
      </c>
      <c r="AH45" s="211" t="str">
        <f t="shared" si="7"/>
        <v>0,;!0,;!0,;!0</v>
      </c>
      <c r="AI45" s="211" t="e">
        <f>INDEX([1]Library!$AL:$AL,MATCH(AH45,[1]Library!$AJ:$AJ,0),1)</f>
        <v>#N/A</v>
      </c>
      <c r="AJ45" s="211" t="e">
        <f>TEXT(INDEX([1]Library!$W:$W,MATCH(AH45,[1]Library!$AJ:$AJ,0),1),"")</f>
        <v>#N/A</v>
      </c>
    </row>
    <row r="46" spans="1:36" ht="25.2" hidden="1" customHeight="1" outlineLevel="2">
      <c r="A46" s="228"/>
      <c r="B46" s="229"/>
      <c r="C46" s="230"/>
      <c r="D46" s="231" t="s">
        <v>73</v>
      </c>
      <c r="E46" s="232"/>
      <c r="F46" s="233"/>
      <c r="G46" s="379"/>
      <c r="H46" s="380">
        <v>1</v>
      </c>
      <c r="I46" s="234" t="s">
        <v>32</v>
      </c>
      <c r="J46" s="235">
        <v>0</v>
      </c>
      <c r="K46" s="236">
        <v>0</v>
      </c>
      <c r="L46" s="235">
        <v>464252.562394712</v>
      </c>
      <c r="M46" s="236">
        <v>464252.562394712</v>
      </c>
      <c r="N46" s="237">
        <v>0</v>
      </c>
      <c r="O46" s="236">
        <v>0</v>
      </c>
      <c r="P46" s="238">
        <v>464252.562394712</v>
      </c>
      <c r="Q46" s="239">
        <f t="shared" si="0"/>
        <v>2.4972925733958499E-4</v>
      </c>
      <c r="R46" s="236">
        <f t="shared" si="1"/>
        <v>24.904115655024899</v>
      </c>
      <c r="S46" s="240">
        <f t="shared" si="2"/>
        <v>910.29914195041601</v>
      </c>
      <c r="T46" s="241"/>
      <c r="U46" s="225"/>
      <c r="V46" s="226"/>
      <c r="W46" s="227"/>
      <c r="X46" s="226"/>
      <c r="Y46" s="226"/>
      <c r="Z46" s="226"/>
      <c r="AA46" s="226"/>
      <c r="AB46" s="226"/>
      <c r="AC46" s="226"/>
      <c r="AD46" s="96">
        <f t="shared" si="8"/>
        <v>0</v>
      </c>
      <c r="AE46" s="96">
        <f t="shared" si="9"/>
        <v>0</v>
      </c>
      <c r="AF46" s="96">
        <f t="shared" si="10"/>
        <v>0</v>
      </c>
      <c r="AG46" s="96">
        <f t="shared" si="11"/>
        <v>0</v>
      </c>
      <c r="AH46" s="211" t="str">
        <f t="shared" si="7"/>
        <v>0,;!0,;!0,;!0</v>
      </c>
      <c r="AI46" s="211" t="e">
        <f>INDEX([1]Library!$AL:$AL,MATCH(AH46,[1]Library!$AJ:$AJ,0),1)</f>
        <v>#N/A</v>
      </c>
      <c r="AJ46" s="211" t="e">
        <f>TEXT(INDEX([1]Library!$W:$W,MATCH(AH46,[1]Library!$AJ:$AJ,0),1),"")</f>
        <v>#N/A</v>
      </c>
    </row>
    <row r="47" spans="1:36" ht="25.2" hidden="1" customHeight="1" outlineLevel="2">
      <c r="A47" s="228"/>
      <c r="B47" s="229"/>
      <c r="C47" s="230"/>
      <c r="D47" s="231" t="s">
        <v>74</v>
      </c>
      <c r="E47" s="232"/>
      <c r="F47" s="233"/>
      <c r="G47" s="379"/>
      <c r="H47" s="380">
        <v>1</v>
      </c>
      <c r="I47" s="234" t="s">
        <v>32</v>
      </c>
      <c r="J47" s="235">
        <v>0</v>
      </c>
      <c r="K47" s="236">
        <v>0</v>
      </c>
      <c r="L47" s="235">
        <v>2321262.8119735699</v>
      </c>
      <c r="M47" s="236">
        <v>2321262.8119735699</v>
      </c>
      <c r="N47" s="237">
        <v>0</v>
      </c>
      <c r="O47" s="236">
        <v>0</v>
      </c>
      <c r="P47" s="238">
        <v>2321262.8119735699</v>
      </c>
      <c r="Q47" s="239">
        <f t="shared" si="0"/>
        <v>1.2486462866979299E-3</v>
      </c>
      <c r="R47" s="236">
        <f t="shared" si="1"/>
        <v>124.520578275125</v>
      </c>
      <c r="S47" s="240">
        <f t="shared" si="2"/>
        <v>4551.4957097521001</v>
      </c>
      <c r="T47" s="241"/>
      <c r="U47" s="225"/>
      <c r="V47" s="226"/>
      <c r="W47" s="227"/>
      <c r="X47" s="226"/>
      <c r="Y47" s="226"/>
      <c r="Z47" s="226"/>
      <c r="AA47" s="226"/>
      <c r="AB47" s="226"/>
      <c r="AC47" s="226"/>
      <c r="AD47" s="96">
        <f t="shared" si="8"/>
        <v>0</v>
      </c>
      <c r="AE47" s="96">
        <f t="shared" si="9"/>
        <v>0</v>
      </c>
      <c r="AF47" s="96">
        <f t="shared" si="10"/>
        <v>0</v>
      </c>
      <c r="AG47" s="96">
        <f t="shared" si="11"/>
        <v>0</v>
      </c>
      <c r="AH47" s="211" t="str">
        <f t="shared" si="7"/>
        <v>0,;!0,;!0,;!0</v>
      </c>
      <c r="AI47" s="211" t="e">
        <f>INDEX([1]Library!$AL:$AL,MATCH(AH47,[1]Library!$AJ:$AJ,0),1)</f>
        <v>#N/A</v>
      </c>
      <c r="AJ47" s="211" t="e">
        <f>TEXT(INDEX([1]Library!$W:$W,MATCH(AH47,[1]Library!$AJ:$AJ,0),1),"")</f>
        <v>#N/A</v>
      </c>
    </row>
    <row r="48" spans="1:36" ht="25.2" hidden="1" customHeight="1" outlineLevel="2">
      <c r="A48" s="228"/>
      <c r="B48" s="229"/>
      <c r="C48" s="230"/>
      <c r="D48" s="231" t="s">
        <v>75</v>
      </c>
      <c r="E48" s="232"/>
      <c r="F48" s="233"/>
      <c r="G48" s="379"/>
      <c r="H48" s="380">
        <v>1</v>
      </c>
      <c r="I48" s="234" t="s">
        <v>32</v>
      </c>
      <c r="J48" s="235">
        <v>0</v>
      </c>
      <c r="K48" s="236">
        <v>0</v>
      </c>
      <c r="L48" s="235">
        <v>519962.86988208001</v>
      </c>
      <c r="M48" s="236">
        <v>519962.86988208001</v>
      </c>
      <c r="N48" s="237">
        <v>0</v>
      </c>
      <c r="O48" s="236">
        <v>0</v>
      </c>
      <c r="P48" s="238">
        <v>519962.86988208001</v>
      </c>
      <c r="Q48" s="239">
        <f t="shared" si="0"/>
        <v>2.7969676822033702E-4</v>
      </c>
      <c r="R48" s="236">
        <f t="shared" si="1"/>
        <v>27.892609533628001</v>
      </c>
      <c r="S48" s="240">
        <f t="shared" si="2"/>
        <v>1019.53503898447</v>
      </c>
      <c r="T48" s="241"/>
      <c r="U48" s="225"/>
      <c r="V48" s="226"/>
      <c r="W48" s="227"/>
      <c r="X48" s="226"/>
      <c r="Y48" s="226"/>
      <c r="Z48" s="226"/>
      <c r="AA48" s="226"/>
      <c r="AB48" s="226"/>
      <c r="AC48" s="226"/>
      <c r="AD48" s="96">
        <f t="shared" si="8"/>
        <v>0</v>
      </c>
      <c r="AE48" s="96">
        <f t="shared" si="9"/>
        <v>0</v>
      </c>
      <c r="AF48" s="96">
        <f t="shared" si="10"/>
        <v>0</v>
      </c>
      <c r="AG48" s="96">
        <f t="shared" si="11"/>
        <v>0</v>
      </c>
      <c r="AH48" s="211" t="str">
        <f t="shared" si="7"/>
        <v>0,;!0,;!0,;!0</v>
      </c>
      <c r="AI48" s="211" t="e">
        <f>INDEX([1]Library!$AL:$AL,MATCH(AH48,[1]Library!$AJ:$AJ,0),1)</f>
        <v>#N/A</v>
      </c>
      <c r="AJ48" s="211" t="e">
        <f>TEXT(INDEX([1]Library!$W:$W,MATCH(AH48,[1]Library!$AJ:$AJ,0),1),"")</f>
        <v>#N/A</v>
      </c>
    </row>
    <row r="49" spans="1:36" ht="25.2" hidden="1" customHeight="1" outlineLevel="2">
      <c r="A49" s="228"/>
      <c r="B49" s="229"/>
      <c r="C49" s="230"/>
      <c r="D49" s="231" t="s">
        <v>76</v>
      </c>
      <c r="E49" s="232"/>
      <c r="F49" s="233"/>
      <c r="G49" s="379"/>
      <c r="H49" s="380">
        <v>1</v>
      </c>
      <c r="I49" s="234" t="s">
        <v>32</v>
      </c>
      <c r="J49" s="235">
        <v>0</v>
      </c>
      <c r="K49" s="236">
        <v>0</v>
      </c>
      <c r="L49" s="235">
        <v>465646.25770442799</v>
      </c>
      <c r="M49" s="236">
        <v>465646.25770442799</v>
      </c>
      <c r="N49" s="237">
        <v>0</v>
      </c>
      <c r="O49" s="236">
        <v>0</v>
      </c>
      <c r="P49" s="238">
        <v>465646.25770442799</v>
      </c>
      <c r="Q49" s="239">
        <f t="shared" si="0"/>
        <v>2.5047894947452499E-4</v>
      </c>
      <c r="R49" s="236">
        <f t="shared" si="1"/>
        <v>24.978878299310601</v>
      </c>
      <c r="S49" s="240">
        <f t="shared" si="2"/>
        <v>913.03187785182001</v>
      </c>
      <c r="T49" s="241"/>
      <c r="U49" s="225"/>
      <c r="V49" s="226"/>
      <c r="W49" s="227"/>
      <c r="X49" s="226"/>
      <c r="Y49" s="226"/>
      <c r="Z49" s="226"/>
      <c r="AA49" s="226"/>
      <c r="AB49" s="226"/>
      <c r="AC49" s="226"/>
      <c r="AD49" s="96">
        <f t="shared" si="8"/>
        <v>0</v>
      </c>
      <c r="AE49" s="96">
        <f t="shared" si="9"/>
        <v>0</v>
      </c>
      <c r="AF49" s="96">
        <f t="shared" si="10"/>
        <v>0</v>
      </c>
      <c r="AG49" s="96">
        <f t="shared" si="11"/>
        <v>0</v>
      </c>
      <c r="AH49" s="211" t="str">
        <f t="shared" si="7"/>
        <v>0,;!0,;!0,;!0</v>
      </c>
      <c r="AI49" s="211" t="e">
        <f>INDEX([1]Library!$AL:$AL,MATCH(AH49,[1]Library!$AJ:$AJ,0),1)</f>
        <v>#N/A</v>
      </c>
      <c r="AJ49" s="211" t="e">
        <f>TEXT(INDEX([1]Library!$W:$W,MATCH(AH49,[1]Library!$AJ:$AJ,0),1),"")</f>
        <v>#N/A</v>
      </c>
    </row>
    <row r="50" spans="1:36" ht="25.2" hidden="1" customHeight="1" outlineLevel="1" collapsed="1">
      <c r="A50" s="213"/>
      <c r="B50" s="214"/>
      <c r="C50" s="215" t="s">
        <v>77</v>
      </c>
      <c r="D50" s="215"/>
      <c r="E50" s="216"/>
      <c r="F50" s="217"/>
      <c r="G50" s="379"/>
      <c r="H50" s="219">
        <v>1</v>
      </c>
      <c r="I50" s="218" t="s">
        <v>32</v>
      </c>
      <c r="J50" s="219">
        <v>15107660.937142899</v>
      </c>
      <c r="K50" s="219">
        <v>15107660.937142899</v>
      </c>
      <c r="L50" s="219">
        <v>368727.26704643399</v>
      </c>
      <c r="M50" s="219">
        <v>368727.26704643399</v>
      </c>
      <c r="N50" s="219">
        <v>67066636.155714303</v>
      </c>
      <c r="O50" s="219">
        <v>67066636.155714303</v>
      </c>
      <c r="P50" s="220">
        <v>82543024.359903604</v>
      </c>
      <c r="Q50" s="221">
        <f t="shared" si="0"/>
        <v>4.4401280341100802E-2</v>
      </c>
      <c r="R50" s="222">
        <f t="shared" si="1"/>
        <v>4427.8937623328302</v>
      </c>
      <c r="S50" s="223">
        <f t="shared" si="2"/>
        <v>161849.06737236</v>
      </c>
      <c r="T50" s="224"/>
      <c r="U50" s="225"/>
      <c r="V50" s="226"/>
      <c r="W50" s="227"/>
      <c r="X50" s="226"/>
      <c r="Y50" s="226"/>
      <c r="Z50" s="226"/>
      <c r="AA50" s="226"/>
      <c r="AB50" s="226"/>
      <c r="AC50" s="226"/>
      <c r="AD50" s="96">
        <f t="shared" si="8"/>
        <v>0</v>
      </c>
      <c r="AE50" s="96">
        <f t="shared" si="9"/>
        <v>0</v>
      </c>
      <c r="AF50" s="96">
        <f t="shared" si="10"/>
        <v>0</v>
      </c>
      <c r="AG50" s="96">
        <f t="shared" si="11"/>
        <v>0</v>
      </c>
      <c r="AH50" s="211" t="str">
        <f t="shared" si="7"/>
        <v>0,;!0,;!0,;!0</v>
      </c>
      <c r="AI50" s="211" t="e">
        <f>INDEX([1]Library!$AL:$AL,MATCH(AH50,[1]Library!$AJ:$AJ,0),1)</f>
        <v>#N/A</v>
      </c>
      <c r="AJ50" s="211" t="e">
        <f>TEXT(INDEX([1]Library!$W:$W,MATCH(AH50,[1]Library!$AJ:$AJ,0),1),"")</f>
        <v>#N/A</v>
      </c>
    </row>
    <row r="51" spans="1:36" ht="25.2" hidden="1" customHeight="1" outlineLevel="2">
      <c r="A51" s="228"/>
      <c r="B51" s="229"/>
      <c r="C51" s="230"/>
      <c r="D51" s="231" t="s">
        <v>78</v>
      </c>
      <c r="E51" s="232"/>
      <c r="F51" s="233"/>
      <c r="G51" s="379"/>
      <c r="H51" s="380">
        <v>1</v>
      </c>
      <c r="I51" s="234" t="s">
        <v>32</v>
      </c>
      <c r="J51" s="235">
        <v>3267731.5428571398</v>
      </c>
      <c r="K51" s="236">
        <v>3267731.5428571398</v>
      </c>
      <c r="L51" s="235">
        <v>368727.26704643399</v>
      </c>
      <c r="M51" s="236">
        <v>368727.26704643399</v>
      </c>
      <c r="N51" s="237">
        <v>39939798.960000001</v>
      </c>
      <c r="O51" s="236">
        <v>39939798.960000001</v>
      </c>
      <c r="P51" s="238">
        <v>43576257.7699036</v>
      </c>
      <c r="Q51" s="239">
        <f t="shared" si="0"/>
        <v>2.3440401565870399E-2</v>
      </c>
      <c r="R51" s="236">
        <f t="shared" si="1"/>
        <v>2337.5814184353098</v>
      </c>
      <c r="S51" s="240">
        <f t="shared" si="2"/>
        <v>85443.642686085499</v>
      </c>
      <c r="T51" s="241"/>
      <c r="U51" s="225"/>
      <c r="V51" s="226"/>
      <c r="W51" s="227"/>
      <c r="X51" s="226"/>
      <c r="Y51" s="226"/>
      <c r="Z51" s="226"/>
      <c r="AA51" s="226"/>
      <c r="AB51" s="226"/>
      <c r="AC51" s="226"/>
      <c r="AD51" s="96">
        <f t="shared" si="8"/>
        <v>0</v>
      </c>
      <c r="AE51" s="96">
        <f t="shared" si="9"/>
        <v>0</v>
      </c>
      <c r="AF51" s="96">
        <f t="shared" si="10"/>
        <v>0</v>
      </c>
      <c r="AG51" s="96">
        <f t="shared" si="11"/>
        <v>0</v>
      </c>
      <c r="AH51" s="211" t="str">
        <f t="shared" si="7"/>
        <v>0,;!0,;!0,;!0</v>
      </c>
      <c r="AI51" s="211" t="e">
        <f>INDEX([1]Library!$AL:$AL,MATCH(AH51,[1]Library!$AJ:$AJ,0),1)</f>
        <v>#N/A</v>
      </c>
      <c r="AJ51" s="211" t="e">
        <f>TEXT(INDEX([1]Library!$W:$W,MATCH(AH51,[1]Library!$AJ:$AJ,0),1),"")</f>
        <v>#N/A</v>
      </c>
    </row>
    <row r="52" spans="1:36" ht="25.2" hidden="1" customHeight="1" outlineLevel="2">
      <c r="A52" s="228"/>
      <c r="B52" s="229"/>
      <c r="C52" s="230"/>
      <c r="D52" s="231" t="s">
        <v>79</v>
      </c>
      <c r="E52" s="232"/>
      <c r="F52" s="233"/>
      <c r="G52" s="379"/>
      <c r="H52" s="380">
        <v>1</v>
      </c>
      <c r="I52" s="234" t="s">
        <v>32</v>
      </c>
      <c r="J52" s="235">
        <v>1980901.9857142901</v>
      </c>
      <c r="K52" s="236">
        <v>1980901.9857142901</v>
      </c>
      <c r="L52" s="235">
        <v>0</v>
      </c>
      <c r="M52" s="236">
        <v>0</v>
      </c>
      <c r="N52" s="237">
        <v>0</v>
      </c>
      <c r="O52" s="236">
        <v>0</v>
      </c>
      <c r="P52" s="238">
        <v>1980901.9857142901</v>
      </c>
      <c r="Q52" s="239">
        <f t="shared" si="0"/>
        <v>1.0655604768301701E-3</v>
      </c>
      <c r="R52" s="236">
        <f t="shared" si="1"/>
        <v>106.262444517332</v>
      </c>
      <c r="S52" s="240">
        <f t="shared" si="2"/>
        <v>3884.1215406162601</v>
      </c>
      <c r="T52" s="241"/>
      <c r="U52" s="225"/>
      <c r="V52" s="226"/>
      <c r="W52" s="227"/>
      <c r="X52" s="226"/>
      <c r="Y52" s="226"/>
      <c r="Z52" s="226"/>
      <c r="AA52" s="226"/>
      <c r="AB52" s="226"/>
      <c r="AC52" s="226"/>
      <c r="AD52" s="96">
        <f t="shared" si="8"/>
        <v>0</v>
      </c>
      <c r="AE52" s="96">
        <f t="shared" si="9"/>
        <v>0</v>
      </c>
      <c r="AF52" s="96">
        <f t="shared" si="10"/>
        <v>0</v>
      </c>
      <c r="AG52" s="96">
        <f t="shared" si="11"/>
        <v>0</v>
      </c>
      <c r="AH52" s="211" t="str">
        <f t="shared" si="7"/>
        <v>0,;!0,;!0,;!0</v>
      </c>
      <c r="AI52" s="211" t="e">
        <f>INDEX([1]Library!$AL:$AL,MATCH(AH52,[1]Library!$AJ:$AJ,0),1)</f>
        <v>#N/A</v>
      </c>
      <c r="AJ52" s="211" t="e">
        <f>TEXT(INDEX([1]Library!$W:$W,MATCH(AH52,[1]Library!$AJ:$AJ,0),1),"")</f>
        <v>#N/A</v>
      </c>
    </row>
    <row r="53" spans="1:36" ht="25.2" hidden="1" customHeight="1" outlineLevel="2">
      <c r="A53" s="228"/>
      <c r="B53" s="229"/>
      <c r="C53" s="230"/>
      <c r="D53" s="231" t="s">
        <v>80</v>
      </c>
      <c r="E53" s="232"/>
      <c r="F53" s="233"/>
      <c r="G53" s="379"/>
      <c r="H53" s="380">
        <v>1</v>
      </c>
      <c r="I53" s="234" t="s">
        <v>32</v>
      </c>
      <c r="J53" s="235">
        <v>9859027.4085714296</v>
      </c>
      <c r="K53" s="236">
        <v>9859027.4085714296</v>
      </c>
      <c r="L53" s="235">
        <v>0</v>
      </c>
      <c r="M53" s="236">
        <v>0</v>
      </c>
      <c r="N53" s="237">
        <v>7563900</v>
      </c>
      <c r="O53" s="236">
        <v>7563900</v>
      </c>
      <c r="P53" s="238">
        <v>17422927.4085714</v>
      </c>
      <c r="Q53" s="239">
        <f t="shared" si="0"/>
        <v>9.3720855302997196E-3</v>
      </c>
      <c r="R53" s="236">
        <f t="shared" si="1"/>
        <v>934.62618061600904</v>
      </c>
      <c r="S53" s="240">
        <f t="shared" si="2"/>
        <v>34162.602761904702</v>
      </c>
      <c r="T53" s="241"/>
      <c r="U53" s="225"/>
      <c r="V53" s="226"/>
      <c r="W53" s="227"/>
      <c r="X53" s="226"/>
      <c r="Y53" s="226"/>
      <c r="Z53" s="226"/>
      <c r="AA53" s="226"/>
      <c r="AB53" s="226"/>
      <c r="AC53" s="226"/>
      <c r="AD53" s="96">
        <f t="shared" si="8"/>
        <v>0</v>
      </c>
      <c r="AE53" s="96">
        <f t="shared" si="9"/>
        <v>0</v>
      </c>
      <c r="AF53" s="96">
        <f t="shared" si="10"/>
        <v>0</v>
      </c>
      <c r="AG53" s="96">
        <f t="shared" si="11"/>
        <v>0</v>
      </c>
      <c r="AH53" s="211" t="str">
        <f t="shared" si="7"/>
        <v>0,;!0,;!0,;!0</v>
      </c>
      <c r="AI53" s="211" t="e">
        <f>INDEX([1]Library!$AL:$AL,MATCH(AH53,[1]Library!$AJ:$AJ,0),1)</f>
        <v>#N/A</v>
      </c>
      <c r="AJ53" s="211" t="e">
        <f>TEXT(INDEX([1]Library!$W:$W,MATCH(AH53,[1]Library!$AJ:$AJ,0),1),"")</f>
        <v>#N/A</v>
      </c>
    </row>
    <row r="54" spans="1:36" ht="25.2" hidden="1" customHeight="1" outlineLevel="2">
      <c r="A54" s="228"/>
      <c r="B54" s="229"/>
      <c r="C54" s="230"/>
      <c r="D54" s="231" t="s">
        <v>81</v>
      </c>
      <c r="E54" s="232"/>
      <c r="F54" s="233"/>
      <c r="G54" s="379"/>
      <c r="H54" s="380">
        <v>1</v>
      </c>
      <c r="I54" s="234" t="s">
        <v>32</v>
      </c>
      <c r="J54" s="235">
        <v>0</v>
      </c>
      <c r="K54" s="236">
        <v>0</v>
      </c>
      <c r="L54" s="235">
        <v>0</v>
      </c>
      <c r="M54" s="236">
        <v>0</v>
      </c>
      <c r="N54" s="237">
        <v>8868000</v>
      </c>
      <c r="O54" s="236">
        <v>8868000</v>
      </c>
      <c r="P54" s="238">
        <v>8868000</v>
      </c>
      <c r="Q54" s="239">
        <f t="shared" si="0"/>
        <v>4.7702462699701102E-3</v>
      </c>
      <c r="R54" s="236">
        <f t="shared" si="1"/>
        <v>475.71023946442398</v>
      </c>
      <c r="S54" s="240">
        <f t="shared" si="2"/>
        <v>17388.2352941176</v>
      </c>
      <c r="T54" s="241"/>
      <c r="U54" s="225"/>
      <c r="V54" s="226"/>
      <c r="W54" s="227"/>
      <c r="X54" s="226"/>
      <c r="Y54" s="226"/>
      <c r="Z54" s="226"/>
      <c r="AA54" s="226"/>
      <c r="AB54" s="226"/>
      <c r="AC54" s="226"/>
      <c r="AD54" s="96">
        <f t="shared" si="8"/>
        <v>0</v>
      </c>
      <c r="AE54" s="96">
        <f t="shared" si="9"/>
        <v>0</v>
      </c>
      <c r="AF54" s="96">
        <f t="shared" si="10"/>
        <v>0</v>
      </c>
      <c r="AG54" s="96">
        <f t="shared" si="11"/>
        <v>0</v>
      </c>
      <c r="AH54" s="211" t="str">
        <f t="shared" si="7"/>
        <v>0,;!0,;!0,;!0</v>
      </c>
      <c r="AI54" s="211" t="e">
        <f>INDEX([1]Library!$AL:$AL,MATCH(AH54,[1]Library!$AJ:$AJ,0),1)</f>
        <v>#N/A</v>
      </c>
      <c r="AJ54" s="211" t="e">
        <f>TEXT(INDEX([1]Library!$W:$W,MATCH(AH54,[1]Library!$AJ:$AJ,0),1),"")</f>
        <v>#N/A</v>
      </c>
    </row>
    <row r="55" spans="1:36" ht="25.2" hidden="1" customHeight="1" outlineLevel="2">
      <c r="A55" s="228"/>
      <c r="B55" s="229"/>
      <c r="C55" s="230"/>
      <c r="D55" s="231" t="s">
        <v>82</v>
      </c>
      <c r="E55" s="232"/>
      <c r="F55" s="233"/>
      <c r="G55" s="379"/>
      <c r="H55" s="380">
        <v>1</v>
      </c>
      <c r="I55" s="234" t="s">
        <v>32</v>
      </c>
      <c r="J55" s="235">
        <v>0</v>
      </c>
      <c r="K55" s="236">
        <v>0</v>
      </c>
      <c r="L55" s="235">
        <v>0</v>
      </c>
      <c r="M55" s="236">
        <v>0</v>
      </c>
      <c r="N55" s="237">
        <v>4395289.0199999996</v>
      </c>
      <c r="O55" s="236">
        <v>4395289.0199999996</v>
      </c>
      <c r="P55" s="238">
        <v>4395289.0199999996</v>
      </c>
      <c r="Q55" s="239">
        <f t="shared" si="0"/>
        <v>2.36429984811633E-3</v>
      </c>
      <c r="R55" s="236">
        <f t="shared" si="1"/>
        <v>235.77852866706701</v>
      </c>
      <c r="S55" s="240">
        <f t="shared" si="2"/>
        <v>8618.2137647058807</v>
      </c>
      <c r="T55" s="241"/>
      <c r="U55" s="225"/>
      <c r="V55" s="226"/>
      <c r="W55" s="227"/>
      <c r="X55" s="226"/>
      <c r="Y55" s="226"/>
      <c r="Z55" s="226"/>
      <c r="AA55" s="226"/>
      <c r="AB55" s="226"/>
      <c r="AC55" s="226"/>
      <c r="AD55" s="96">
        <f t="shared" si="8"/>
        <v>0</v>
      </c>
      <c r="AE55" s="96">
        <f t="shared" si="9"/>
        <v>0</v>
      </c>
      <c r="AF55" s="96">
        <f t="shared" si="10"/>
        <v>0</v>
      </c>
      <c r="AG55" s="96">
        <f t="shared" si="11"/>
        <v>0</v>
      </c>
      <c r="AH55" s="211" t="str">
        <f t="shared" si="7"/>
        <v>0,;!0,;!0,;!0</v>
      </c>
      <c r="AI55" s="211" t="e">
        <f>INDEX([1]Library!$AL:$AL,MATCH(AH55,[1]Library!$AJ:$AJ,0),1)</f>
        <v>#N/A</v>
      </c>
      <c r="AJ55" s="211" t="e">
        <f>TEXT(INDEX([1]Library!$W:$W,MATCH(AH55,[1]Library!$AJ:$AJ,0),1),"")</f>
        <v>#N/A</v>
      </c>
    </row>
    <row r="56" spans="1:36" ht="25.2" hidden="1" customHeight="1" outlineLevel="2">
      <c r="A56" s="228"/>
      <c r="B56" s="229"/>
      <c r="C56" s="230"/>
      <c r="D56" s="231" t="s">
        <v>83</v>
      </c>
      <c r="E56" s="232"/>
      <c r="F56" s="233"/>
      <c r="G56" s="379"/>
      <c r="H56" s="380">
        <v>1</v>
      </c>
      <c r="I56" s="234" t="s">
        <v>32</v>
      </c>
      <c r="J56" s="235">
        <v>0</v>
      </c>
      <c r="K56" s="236">
        <v>0</v>
      </c>
      <c r="L56" s="235">
        <v>0</v>
      </c>
      <c r="M56" s="236">
        <v>0</v>
      </c>
      <c r="N56" s="237">
        <v>2873933.89</v>
      </c>
      <c r="O56" s="236">
        <v>2873933.89</v>
      </c>
      <c r="P56" s="238">
        <v>2873933.89</v>
      </c>
      <c r="Q56" s="239">
        <f t="shared" si="0"/>
        <v>1.5459373499000001E-3</v>
      </c>
      <c r="R56" s="236">
        <f t="shared" si="1"/>
        <v>154.167769397477</v>
      </c>
      <c r="S56" s="240">
        <f t="shared" si="2"/>
        <v>5635.1644901960799</v>
      </c>
      <c r="T56" s="241"/>
      <c r="U56" s="225"/>
      <c r="V56" s="226"/>
      <c r="W56" s="227"/>
      <c r="X56" s="226"/>
      <c r="Y56" s="226"/>
      <c r="Z56" s="226"/>
      <c r="AA56" s="226"/>
      <c r="AB56" s="226"/>
      <c r="AC56" s="226"/>
      <c r="AD56" s="96">
        <f t="shared" si="8"/>
        <v>0</v>
      </c>
      <c r="AE56" s="96">
        <f t="shared" si="9"/>
        <v>0</v>
      </c>
      <c r="AF56" s="96">
        <f t="shared" si="10"/>
        <v>0</v>
      </c>
      <c r="AG56" s="96">
        <f t="shared" si="11"/>
        <v>0</v>
      </c>
      <c r="AH56" s="211" t="str">
        <f t="shared" si="7"/>
        <v>0,;!0,;!0,;!0</v>
      </c>
      <c r="AI56" s="211" t="e">
        <f>INDEX([1]Library!$AL:$AL,MATCH(AH56,[1]Library!$AJ:$AJ,0),1)</f>
        <v>#N/A</v>
      </c>
      <c r="AJ56" s="211" t="e">
        <f>TEXT(INDEX([1]Library!$W:$W,MATCH(AH56,[1]Library!$AJ:$AJ,0),1),"")</f>
        <v>#N/A</v>
      </c>
    </row>
    <row r="57" spans="1:36" ht="25.2" hidden="1" customHeight="1" outlineLevel="2">
      <c r="A57" s="228"/>
      <c r="B57" s="229"/>
      <c r="C57" s="230"/>
      <c r="D57" s="231" t="s">
        <v>84</v>
      </c>
      <c r="E57" s="232"/>
      <c r="F57" s="233"/>
      <c r="G57" s="379"/>
      <c r="H57" s="380">
        <v>1</v>
      </c>
      <c r="I57" s="234" t="s">
        <v>32</v>
      </c>
      <c r="J57" s="235">
        <v>0</v>
      </c>
      <c r="K57" s="236">
        <v>0</v>
      </c>
      <c r="L57" s="235">
        <v>0</v>
      </c>
      <c r="M57" s="236">
        <v>0</v>
      </c>
      <c r="N57" s="237">
        <v>3425714.2857142901</v>
      </c>
      <c r="O57" s="236">
        <v>3425714.2857142901</v>
      </c>
      <c r="P57" s="238">
        <v>3425714.2857142901</v>
      </c>
      <c r="Q57" s="239">
        <f t="shared" si="0"/>
        <v>1.8427493001141101E-3</v>
      </c>
      <c r="R57" s="236">
        <f t="shared" si="1"/>
        <v>183.76718123520999</v>
      </c>
      <c r="S57" s="240">
        <f t="shared" si="2"/>
        <v>6717.0868347339001</v>
      </c>
      <c r="T57" s="241"/>
      <c r="U57" s="225"/>
      <c r="V57" s="226"/>
      <c r="W57" s="227"/>
      <c r="X57" s="226"/>
      <c r="Y57" s="226"/>
      <c r="Z57" s="226"/>
      <c r="AA57" s="226"/>
      <c r="AB57" s="226"/>
      <c r="AC57" s="226"/>
      <c r="AD57" s="96">
        <f t="shared" si="8"/>
        <v>0</v>
      </c>
      <c r="AE57" s="96">
        <f t="shared" si="9"/>
        <v>0</v>
      </c>
      <c r="AF57" s="96">
        <f t="shared" si="10"/>
        <v>0</v>
      </c>
      <c r="AG57" s="96">
        <f t="shared" si="11"/>
        <v>0</v>
      </c>
      <c r="AH57" s="211" t="str">
        <f t="shared" si="7"/>
        <v>0,;!0,;!0,;!0</v>
      </c>
      <c r="AI57" s="211" t="e">
        <f>INDEX([1]Library!$AL:$AL,MATCH(AH57,[1]Library!$AJ:$AJ,0),1)</f>
        <v>#N/A</v>
      </c>
      <c r="AJ57" s="211" t="e">
        <f>TEXT(INDEX([1]Library!$W:$W,MATCH(AH57,[1]Library!$AJ:$AJ,0),1),"")</f>
        <v>#N/A</v>
      </c>
    </row>
    <row r="58" spans="1:36" ht="25.2" hidden="1" customHeight="1" outlineLevel="1" collapsed="1">
      <c r="A58" s="213"/>
      <c r="B58" s="214"/>
      <c r="C58" s="215" t="s">
        <v>85</v>
      </c>
      <c r="D58" s="215"/>
      <c r="E58" s="216"/>
      <c r="F58" s="217"/>
      <c r="G58" s="379"/>
      <c r="H58" s="219">
        <v>1</v>
      </c>
      <c r="I58" s="218" t="s">
        <v>32</v>
      </c>
      <c r="J58" s="219">
        <v>6613995</v>
      </c>
      <c r="K58" s="219">
        <v>6613995</v>
      </c>
      <c r="L58" s="219">
        <v>0</v>
      </c>
      <c r="M58" s="219">
        <v>0</v>
      </c>
      <c r="N58" s="219">
        <v>0</v>
      </c>
      <c r="O58" s="219">
        <v>0</v>
      </c>
      <c r="P58" s="220">
        <v>6613995</v>
      </c>
      <c r="Q58" s="221">
        <f t="shared" si="0"/>
        <v>3.55777909092817E-3</v>
      </c>
      <c r="R58" s="222">
        <f t="shared" si="1"/>
        <v>354.79760321002499</v>
      </c>
      <c r="S58" s="223">
        <f t="shared" si="2"/>
        <v>12968.6176470588</v>
      </c>
      <c r="T58" s="224"/>
      <c r="U58" s="225"/>
      <c r="V58" s="226"/>
      <c r="W58" s="227"/>
      <c r="X58" s="226"/>
      <c r="Y58" s="226"/>
      <c r="Z58" s="226"/>
      <c r="AA58" s="226"/>
      <c r="AB58" s="226"/>
      <c r="AC58" s="226"/>
      <c r="AD58" s="96">
        <f t="shared" si="8"/>
        <v>0</v>
      </c>
      <c r="AE58" s="96">
        <f t="shared" si="9"/>
        <v>0</v>
      </c>
      <c r="AF58" s="96">
        <f t="shared" si="10"/>
        <v>0</v>
      </c>
      <c r="AG58" s="96">
        <f t="shared" si="11"/>
        <v>0</v>
      </c>
      <c r="AH58" s="211" t="str">
        <f t="shared" si="7"/>
        <v>0,;!0,;!0,;!0</v>
      </c>
      <c r="AI58" s="211" t="e">
        <f>INDEX([1]Library!$AL:$AL,MATCH(AH58,[1]Library!$AJ:$AJ,0),1)</f>
        <v>#N/A</v>
      </c>
      <c r="AJ58" s="211" t="e">
        <f>TEXT(INDEX([1]Library!$W:$W,MATCH(AH58,[1]Library!$AJ:$AJ,0),1),"")</f>
        <v>#N/A</v>
      </c>
    </row>
    <row r="59" spans="1:36" ht="25.2" hidden="1" customHeight="1" outlineLevel="2">
      <c r="A59" s="228"/>
      <c r="B59" s="229"/>
      <c r="C59" s="230"/>
      <c r="D59" s="231" t="s">
        <v>86</v>
      </c>
      <c r="E59" s="232"/>
      <c r="F59" s="233"/>
      <c r="G59" s="379"/>
      <c r="H59" s="380">
        <v>95855</v>
      </c>
      <c r="I59" s="234" t="s">
        <v>87</v>
      </c>
      <c r="J59" s="235">
        <v>69</v>
      </c>
      <c r="K59" s="236">
        <v>6613995</v>
      </c>
      <c r="L59" s="235">
        <v>0</v>
      </c>
      <c r="M59" s="236">
        <v>0</v>
      </c>
      <c r="N59" s="237">
        <v>0</v>
      </c>
      <c r="O59" s="236">
        <v>0</v>
      </c>
      <c r="P59" s="238">
        <v>6613995</v>
      </c>
      <c r="Q59" s="239">
        <f t="shared" si="0"/>
        <v>3.55777909092817E-3</v>
      </c>
      <c r="R59" s="236">
        <f t="shared" si="1"/>
        <v>354.79760321002499</v>
      </c>
      <c r="S59" s="240">
        <f t="shared" si="2"/>
        <v>12968.6176470588</v>
      </c>
      <c r="T59" s="241"/>
      <c r="U59" s="225"/>
      <c r="V59" s="226"/>
      <c r="W59" s="227"/>
      <c r="X59" s="226"/>
      <c r="Y59" s="226"/>
      <c r="Z59" s="226"/>
      <c r="AA59" s="226"/>
      <c r="AB59" s="226"/>
      <c r="AC59" s="226"/>
      <c r="AD59" s="96">
        <f t="shared" si="8"/>
        <v>0</v>
      </c>
      <c r="AE59" s="96">
        <f t="shared" si="9"/>
        <v>0</v>
      </c>
      <c r="AF59" s="96">
        <f t="shared" si="10"/>
        <v>0</v>
      </c>
      <c r="AG59" s="96">
        <f t="shared" si="11"/>
        <v>0</v>
      </c>
      <c r="AH59" s="211" t="str">
        <f t="shared" si="7"/>
        <v>0,;!0,;!0,;!0</v>
      </c>
      <c r="AI59" s="211" t="e">
        <f>INDEX([1]Library!$AL:$AL,MATCH(AH59,[1]Library!$AJ:$AJ,0),1)</f>
        <v>#N/A</v>
      </c>
      <c r="AJ59" s="211" t="e">
        <f>TEXT(INDEX([1]Library!$W:$W,MATCH(AH59,[1]Library!$AJ:$AJ,0),1),"")</f>
        <v>#N/A</v>
      </c>
    </row>
    <row r="60" spans="1:36" ht="25.2" hidden="1" customHeight="1" outlineLevel="1" collapsed="1">
      <c r="A60" s="213"/>
      <c r="B60" s="214"/>
      <c r="C60" s="215" t="s">
        <v>88</v>
      </c>
      <c r="D60" s="215"/>
      <c r="E60" s="216"/>
      <c r="F60" s="217"/>
      <c r="G60" s="379"/>
      <c r="H60" s="219">
        <v>1</v>
      </c>
      <c r="I60" s="218" t="s">
        <v>32</v>
      </c>
      <c r="J60" s="219">
        <v>24027044.123723399</v>
      </c>
      <c r="K60" s="219">
        <v>24027044.123723399</v>
      </c>
      <c r="L60" s="219">
        <v>0</v>
      </c>
      <c r="M60" s="219">
        <v>0</v>
      </c>
      <c r="N60" s="219">
        <v>0</v>
      </c>
      <c r="O60" s="219">
        <v>0</v>
      </c>
      <c r="P60" s="220">
        <v>24027044.123723399</v>
      </c>
      <c r="Q60" s="221">
        <f t="shared" si="0"/>
        <v>1.2924550925755399E-2</v>
      </c>
      <c r="R60" s="222">
        <f t="shared" si="1"/>
        <v>1288.8938784076199</v>
      </c>
      <c r="S60" s="223">
        <f t="shared" si="2"/>
        <v>47111.851222987098</v>
      </c>
      <c r="T60" s="224"/>
      <c r="U60" s="225"/>
      <c r="V60" s="226"/>
      <c r="W60" s="227"/>
      <c r="X60" s="226"/>
      <c r="Y60" s="226"/>
      <c r="Z60" s="226"/>
      <c r="AA60" s="226"/>
      <c r="AB60" s="226"/>
      <c r="AC60" s="226"/>
      <c r="AD60" s="96">
        <f t="shared" si="8"/>
        <v>0</v>
      </c>
      <c r="AE60" s="96">
        <f t="shared" si="9"/>
        <v>0</v>
      </c>
      <c r="AF60" s="96">
        <f t="shared" si="10"/>
        <v>0</v>
      </c>
      <c r="AG60" s="96">
        <f t="shared" si="11"/>
        <v>0</v>
      </c>
      <c r="AH60" s="211" t="str">
        <f t="shared" si="7"/>
        <v>0,;!0,;!0,;!0</v>
      </c>
      <c r="AI60" s="211" t="e">
        <f>INDEX([1]Library!$AL:$AL,MATCH(AH60,[1]Library!$AJ:$AJ,0),1)</f>
        <v>#N/A</v>
      </c>
      <c r="AJ60" s="211" t="e">
        <f>TEXT(INDEX([1]Library!$W:$W,MATCH(AH60,[1]Library!$AJ:$AJ,0),1),"")</f>
        <v>#N/A</v>
      </c>
    </row>
    <row r="61" spans="1:36" ht="25.2" hidden="1" customHeight="1" outlineLevel="2">
      <c r="A61" s="228"/>
      <c r="B61" s="229"/>
      <c r="C61" s="230"/>
      <c r="D61" s="231" t="s">
        <v>89</v>
      </c>
      <c r="E61" s="232"/>
      <c r="F61" s="233"/>
      <c r="G61" s="379"/>
      <c r="H61" s="380">
        <v>1</v>
      </c>
      <c r="I61" s="234" t="s">
        <v>32</v>
      </c>
      <c r="J61" s="235">
        <v>22762316.170529999</v>
      </c>
      <c r="K61" s="236">
        <v>22762316.170529999</v>
      </c>
      <c r="L61" s="235">
        <v>0</v>
      </c>
      <c r="M61" s="236">
        <v>0</v>
      </c>
      <c r="N61" s="237">
        <v>0</v>
      </c>
      <c r="O61" s="236">
        <v>0</v>
      </c>
      <c r="P61" s="238">
        <v>22762316.170529999</v>
      </c>
      <c r="Q61" s="239">
        <f t="shared" si="0"/>
        <v>1.2244232499814101E-2</v>
      </c>
      <c r="R61" s="236">
        <f t="shared" si="1"/>
        <v>1221.0494898790901</v>
      </c>
      <c r="S61" s="240">
        <f t="shared" si="2"/>
        <v>44631.992491235302</v>
      </c>
      <c r="T61" s="241"/>
      <c r="U61" s="225"/>
      <c r="V61" s="226"/>
      <c r="W61" s="227"/>
      <c r="X61" s="226"/>
      <c r="Y61" s="226"/>
      <c r="Z61" s="226"/>
      <c r="AA61" s="226"/>
      <c r="AB61" s="226"/>
      <c r="AC61" s="226"/>
      <c r="AD61" s="96">
        <f t="shared" si="8"/>
        <v>0</v>
      </c>
      <c r="AE61" s="96">
        <f t="shared" si="9"/>
        <v>0</v>
      </c>
      <c r="AF61" s="96">
        <f t="shared" si="10"/>
        <v>0</v>
      </c>
      <c r="AG61" s="96">
        <f t="shared" si="11"/>
        <v>0</v>
      </c>
      <c r="AH61" s="211" t="str">
        <f t="shared" si="7"/>
        <v>0,;!0,;!0,;!0</v>
      </c>
      <c r="AI61" s="211" t="e">
        <f>INDEX([1]Library!$AL:$AL,MATCH(AH61,[1]Library!$AJ:$AJ,0),1)</f>
        <v>#N/A</v>
      </c>
      <c r="AJ61" s="211" t="e">
        <f>TEXT(INDEX([1]Library!$W:$W,MATCH(AH61,[1]Library!$AJ:$AJ,0),1),"")</f>
        <v>#N/A</v>
      </c>
    </row>
    <row r="62" spans="1:36" ht="25.2" hidden="1" customHeight="1" outlineLevel="2">
      <c r="A62" s="228"/>
      <c r="B62" s="229"/>
      <c r="C62" s="230"/>
      <c r="D62" s="231" t="s">
        <v>90</v>
      </c>
      <c r="E62" s="232"/>
      <c r="F62" s="233"/>
      <c r="G62" s="379"/>
      <c r="H62" s="380">
        <v>1</v>
      </c>
      <c r="I62" s="234" t="s">
        <v>32</v>
      </c>
      <c r="J62" s="235">
        <v>1264727.95319332</v>
      </c>
      <c r="K62" s="236">
        <v>1264727.95319332</v>
      </c>
      <c r="L62" s="235">
        <v>0</v>
      </c>
      <c r="M62" s="236">
        <v>0</v>
      </c>
      <c r="N62" s="237">
        <v>0</v>
      </c>
      <c r="O62" s="236">
        <v>0</v>
      </c>
      <c r="P62" s="238">
        <v>1264727.95319332</v>
      </c>
      <c r="Q62" s="239">
        <f t="shared" si="0"/>
        <v>6.8031842594129099E-4</v>
      </c>
      <c r="R62" s="236">
        <f t="shared" si="1"/>
        <v>67.844388528523297</v>
      </c>
      <c r="S62" s="240">
        <f t="shared" si="2"/>
        <v>2479.8587317516099</v>
      </c>
      <c r="T62" s="241"/>
      <c r="U62" s="225"/>
      <c r="V62" s="226"/>
      <c r="W62" s="227"/>
      <c r="X62" s="226"/>
      <c r="Y62" s="226"/>
      <c r="Z62" s="226"/>
      <c r="AA62" s="226"/>
      <c r="AB62" s="226"/>
      <c r="AC62" s="226"/>
      <c r="AD62" s="96">
        <f t="shared" si="8"/>
        <v>0</v>
      </c>
      <c r="AE62" s="96">
        <f t="shared" si="9"/>
        <v>0</v>
      </c>
      <c r="AF62" s="96">
        <f t="shared" si="10"/>
        <v>0</v>
      </c>
      <c r="AG62" s="96">
        <f t="shared" si="11"/>
        <v>0</v>
      </c>
      <c r="AH62" s="211" t="str">
        <f t="shared" si="7"/>
        <v>0,;!0,;!0,;!0</v>
      </c>
      <c r="AI62" s="211" t="e">
        <f>INDEX([1]Library!$AL:$AL,MATCH(AH62,[1]Library!$AJ:$AJ,0),1)</f>
        <v>#N/A</v>
      </c>
      <c r="AJ62" s="211" t="e">
        <f>TEXT(INDEX([1]Library!$W:$W,MATCH(AH62,[1]Library!$AJ:$AJ,0),1),"")</f>
        <v>#N/A</v>
      </c>
    </row>
    <row r="63" spans="1:36" ht="25.2" hidden="1" customHeight="1" outlineLevel="1">
      <c r="A63" s="213"/>
      <c r="B63" s="214"/>
      <c r="C63" s="215" t="s">
        <v>91</v>
      </c>
      <c r="D63" s="215"/>
      <c r="E63" s="216"/>
      <c r="F63" s="217"/>
      <c r="G63" s="379"/>
      <c r="H63" s="219">
        <v>1</v>
      </c>
      <c r="I63" s="218" t="s">
        <v>32</v>
      </c>
      <c r="J63" s="219">
        <v>0</v>
      </c>
      <c r="K63" s="219">
        <v>0</v>
      </c>
      <c r="L63" s="219">
        <v>0</v>
      </c>
      <c r="M63" s="219">
        <v>0</v>
      </c>
      <c r="N63" s="219">
        <v>29155334.707061999</v>
      </c>
      <c r="O63" s="219">
        <v>29155334.707061999</v>
      </c>
      <c r="P63" s="220">
        <v>29155334.707061999</v>
      </c>
      <c r="Q63" s="221">
        <f t="shared" si="0"/>
        <v>1.5683144636456099E-2</v>
      </c>
      <c r="R63" s="222">
        <f t="shared" si="1"/>
        <v>1563.99315010847</v>
      </c>
      <c r="S63" s="223">
        <f t="shared" si="2"/>
        <v>57167.322955023497</v>
      </c>
      <c r="T63" s="224"/>
      <c r="U63" s="225"/>
      <c r="V63" s="226"/>
      <c r="W63" s="227"/>
      <c r="X63" s="226"/>
      <c r="Y63" s="226"/>
      <c r="Z63" s="226"/>
      <c r="AA63" s="226"/>
      <c r="AB63" s="226"/>
      <c r="AC63" s="226"/>
      <c r="AD63" s="96">
        <f t="shared" si="8"/>
        <v>0</v>
      </c>
      <c r="AE63" s="96">
        <f t="shared" si="9"/>
        <v>0</v>
      </c>
      <c r="AF63" s="96">
        <f t="shared" si="10"/>
        <v>0</v>
      </c>
      <c r="AG63" s="96">
        <f t="shared" si="11"/>
        <v>0</v>
      </c>
      <c r="AH63" s="211" t="str">
        <f t="shared" si="7"/>
        <v>0,;!0,;!0,;!0</v>
      </c>
      <c r="AI63" s="211" t="e">
        <f>INDEX([1]Library!$AL:$AL,MATCH(AH63,[1]Library!$AJ:$AJ,0),1)</f>
        <v>#N/A</v>
      </c>
      <c r="AJ63" s="211" t="e">
        <f>TEXT(INDEX([1]Library!$W:$W,MATCH(AH63,[1]Library!$AJ:$AJ,0),1),"")</f>
        <v>#N/A</v>
      </c>
    </row>
    <row r="64" spans="1:36" ht="25.2" hidden="1" customHeight="1" outlineLevel="1" collapsed="1">
      <c r="A64" s="213"/>
      <c r="B64" s="214"/>
      <c r="C64" s="215" t="s">
        <v>92</v>
      </c>
      <c r="D64" s="215"/>
      <c r="E64" s="216"/>
      <c r="F64" s="217"/>
      <c r="G64" s="379"/>
      <c r="H64" s="219">
        <v>1</v>
      </c>
      <c r="I64" s="218" t="s">
        <v>32</v>
      </c>
      <c r="J64" s="219">
        <v>0</v>
      </c>
      <c r="K64" s="219">
        <v>0</v>
      </c>
      <c r="L64" s="219">
        <v>0</v>
      </c>
      <c r="M64" s="219">
        <v>0</v>
      </c>
      <c r="N64" s="219">
        <v>10016416.1834656</v>
      </c>
      <c r="O64" s="219">
        <v>10016416.1834656</v>
      </c>
      <c r="P64" s="220">
        <v>10016416.1834656</v>
      </c>
      <c r="Q64" s="221">
        <f t="shared" si="0"/>
        <v>5.3879986397885604E-3</v>
      </c>
      <c r="R64" s="222">
        <f t="shared" si="1"/>
        <v>537.31526175143802</v>
      </c>
      <c r="S64" s="223">
        <f t="shared" si="2"/>
        <v>19640.031732285501</v>
      </c>
      <c r="T64" s="224"/>
      <c r="U64" s="225"/>
      <c r="V64" s="226"/>
      <c r="W64" s="227"/>
      <c r="X64" s="226"/>
      <c r="Y64" s="226"/>
      <c r="Z64" s="226"/>
      <c r="AA64" s="226"/>
      <c r="AB64" s="226"/>
      <c r="AC64" s="226"/>
      <c r="AD64" s="96">
        <f t="shared" si="8"/>
        <v>0</v>
      </c>
      <c r="AE64" s="96">
        <f t="shared" si="9"/>
        <v>0</v>
      </c>
      <c r="AF64" s="96">
        <f t="shared" si="10"/>
        <v>0</v>
      </c>
      <c r="AG64" s="96">
        <f t="shared" si="11"/>
        <v>0</v>
      </c>
      <c r="AH64" s="211" t="str">
        <f t="shared" si="7"/>
        <v>0,;!0,;!0,;!0</v>
      </c>
      <c r="AI64" s="211" t="e">
        <f>INDEX([1]Library!$AL:$AL,MATCH(AH64,[1]Library!$AJ:$AJ,0),1)</f>
        <v>#N/A</v>
      </c>
      <c r="AJ64" s="211" t="e">
        <f>TEXT(INDEX([1]Library!$W:$W,MATCH(AH64,[1]Library!$AJ:$AJ,0),1),"")</f>
        <v>#N/A</v>
      </c>
    </row>
    <row r="65" spans="1:36" ht="25.2" hidden="1" customHeight="1" outlineLevel="2">
      <c r="A65" s="228"/>
      <c r="B65" s="229"/>
      <c r="C65" s="230"/>
      <c r="D65" s="231" t="s">
        <v>93</v>
      </c>
      <c r="E65" s="232"/>
      <c r="F65" s="233"/>
      <c r="G65" s="379"/>
      <c r="H65" s="380">
        <v>1</v>
      </c>
      <c r="I65" s="234" t="s">
        <v>32</v>
      </c>
      <c r="J65" s="235">
        <v>0</v>
      </c>
      <c r="K65" s="236">
        <v>0</v>
      </c>
      <c r="L65" s="235">
        <v>0</v>
      </c>
      <c r="M65" s="236">
        <v>0</v>
      </c>
      <c r="N65" s="237">
        <v>7584242.4891798804</v>
      </c>
      <c r="O65" s="236">
        <v>7584242.4891798804</v>
      </c>
      <c r="P65" s="238">
        <v>7584242.4891798804</v>
      </c>
      <c r="Q65" s="239">
        <f t="shared" si="0"/>
        <v>4.0796915250968799E-3</v>
      </c>
      <c r="R65" s="236">
        <f t="shared" si="1"/>
        <v>406.84503954488201</v>
      </c>
      <c r="S65" s="240">
        <f t="shared" si="2"/>
        <v>14871.0637042743</v>
      </c>
      <c r="T65" s="241"/>
      <c r="U65" s="225"/>
      <c r="V65" s="226"/>
      <c r="W65" s="227"/>
      <c r="X65" s="226"/>
      <c r="Y65" s="226"/>
      <c r="Z65" s="226"/>
      <c r="AA65" s="226"/>
      <c r="AB65" s="226"/>
      <c r="AC65" s="226"/>
      <c r="AD65" s="96">
        <f t="shared" si="8"/>
        <v>0</v>
      </c>
      <c r="AE65" s="96">
        <f t="shared" si="9"/>
        <v>0</v>
      </c>
      <c r="AF65" s="96">
        <f t="shared" si="10"/>
        <v>0</v>
      </c>
      <c r="AG65" s="96">
        <f t="shared" si="11"/>
        <v>0</v>
      </c>
      <c r="AH65" s="211" t="str">
        <f t="shared" si="7"/>
        <v>0,;!0,;!0,;!0</v>
      </c>
      <c r="AI65" s="211" t="e">
        <f>INDEX([1]Library!$AL:$AL,MATCH(AH65,[1]Library!$AJ:$AJ,0),1)</f>
        <v>#N/A</v>
      </c>
      <c r="AJ65" s="211" t="e">
        <f>TEXT(INDEX([1]Library!$W:$W,MATCH(AH65,[1]Library!$AJ:$AJ,0),1),"")</f>
        <v>#N/A</v>
      </c>
    </row>
    <row r="66" spans="1:36" ht="25.2" hidden="1" customHeight="1" outlineLevel="2">
      <c r="A66" s="228"/>
      <c r="B66" s="229"/>
      <c r="C66" s="230"/>
      <c r="D66" s="231" t="s">
        <v>94</v>
      </c>
      <c r="E66" s="232"/>
      <c r="F66" s="233"/>
      <c r="G66" s="379"/>
      <c r="H66" s="380">
        <v>1</v>
      </c>
      <c r="I66" s="234" t="s">
        <v>32</v>
      </c>
      <c r="J66" s="235">
        <v>0</v>
      </c>
      <c r="K66" s="236">
        <v>0</v>
      </c>
      <c r="L66" s="235">
        <v>0</v>
      </c>
      <c r="M66" s="236">
        <v>0</v>
      </c>
      <c r="N66" s="237">
        <v>192857.14285714299</v>
      </c>
      <c r="O66" s="236">
        <v>192857.14285714299</v>
      </c>
      <c r="P66" s="238">
        <v>192857.14285714299</v>
      </c>
      <c r="Q66" s="239">
        <f t="shared" si="0"/>
        <v>1.0374109904729099E-4</v>
      </c>
      <c r="R66" s="236">
        <f t="shared" si="1"/>
        <v>10.345525215493501</v>
      </c>
      <c r="S66" s="240">
        <f t="shared" si="2"/>
        <v>378.15126050420201</v>
      </c>
      <c r="T66" s="241"/>
      <c r="U66" s="225"/>
      <c r="V66" s="226"/>
      <c r="W66" s="227"/>
      <c r="X66" s="226"/>
      <c r="Y66" s="226"/>
      <c r="Z66" s="226"/>
      <c r="AA66" s="226"/>
      <c r="AB66" s="226"/>
      <c r="AC66" s="226"/>
      <c r="AD66" s="96">
        <f>IF(X66&lt;&gt;0,IF($X66&gt;=AD$12,#REF!,""),Z66)</f>
        <v>0</v>
      </c>
      <c r="AE66" s="96">
        <f>IF(AA66=" ",IF($X66&gt;=AE$12,#REF!,""),AA66)</f>
        <v>0</v>
      </c>
      <c r="AF66" s="96">
        <f>IF(AB66=" ",IF($X66&gt;=AF$12,#REF!,""),AB66)</f>
        <v>0</v>
      </c>
      <c r="AG66" s="96">
        <f>IF(AC66=" ",IF($X66&gt;=AG$12,#REF!,""),AC66)</f>
        <v>0</v>
      </c>
      <c r="AH66" s="211" t="str">
        <f t="shared" si="7"/>
        <v>0,;!0,;!0,;!0</v>
      </c>
      <c r="AI66" s="211" t="e">
        <f>INDEX([1]Library!$AL:$AL,MATCH(AH66,[1]Library!$AJ:$AJ,0),1)</f>
        <v>#N/A</v>
      </c>
      <c r="AJ66" s="211" t="e">
        <f>TEXT(INDEX([1]Library!$W:$W,MATCH(AH66,[1]Library!$AJ:$AJ,0),1),"")</f>
        <v>#N/A</v>
      </c>
    </row>
    <row r="67" spans="1:36" ht="25.2" hidden="1" customHeight="1" outlineLevel="2">
      <c r="A67" s="228"/>
      <c r="B67" s="229"/>
      <c r="C67" s="230"/>
      <c r="D67" s="231" t="s">
        <v>95</v>
      </c>
      <c r="E67" s="232"/>
      <c r="F67" s="233"/>
      <c r="G67" s="379"/>
      <c r="H67" s="380">
        <v>1</v>
      </c>
      <c r="I67" s="234" t="s">
        <v>32</v>
      </c>
      <c r="J67" s="235">
        <v>0</v>
      </c>
      <c r="K67" s="236">
        <v>0</v>
      </c>
      <c r="L67" s="235">
        <v>0</v>
      </c>
      <c r="M67" s="236">
        <v>0</v>
      </c>
      <c r="N67" s="237">
        <v>142857.14285714299</v>
      </c>
      <c r="O67" s="236">
        <v>142857.14285714299</v>
      </c>
      <c r="P67" s="238">
        <v>142857.14285714299</v>
      </c>
      <c r="Q67" s="239">
        <f t="shared" si="0"/>
        <v>7.6845258553549095E-5</v>
      </c>
      <c r="R67" s="236">
        <f t="shared" si="1"/>
        <v>7.6633520114766398</v>
      </c>
      <c r="S67" s="240">
        <f t="shared" si="2"/>
        <v>280.11204481792703</v>
      </c>
      <c r="T67" s="241"/>
      <c r="U67" s="225"/>
      <c r="V67" s="226"/>
      <c r="W67" s="227"/>
      <c r="X67" s="226"/>
      <c r="Y67" s="226"/>
      <c r="Z67" s="226"/>
      <c r="AA67" s="226"/>
      <c r="AB67" s="226"/>
      <c r="AC67" s="226"/>
      <c r="AD67" s="96">
        <f t="shared" ref="AD67:AD76" si="12">IF(X67&lt;&gt;0,IF($X67&gt;=AD$12,AD66,""),Z67)</f>
        <v>0</v>
      </c>
      <c r="AE67" s="96">
        <f t="shared" ref="AE67:AE76" si="13">IF(AA67=" ",IF($X67&gt;=AE$12,AE66,""),AA67)</f>
        <v>0</v>
      </c>
      <c r="AF67" s="96">
        <f t="shared" ref="AF67:AF76" si="14">IF(AB67=" ",IF($X67&gt;=AF$12,AF66,""),AB67)</f>
        <v>0</v>
      </c>
      <c r="AG67" s="96">
        <f t="shared" ref="AG67:AG76" si="15">IF(AC67=" ",IF($X67&gt;=AG$12,AG66,""),AC67)</f>
        <v>0</v>
      </c>
      <c r="AH67" s="211" t="str">
        <f t="shared" si="7"/>
        <v>0,;!0,;!0,;!0</v>
      </c>
      <c r="AI67" s="211" t="e">
        <f>INDEX([1]Library!$AL:$AL,MATCH(AH67,[1]Library!$AJ:$AJ,0),1)</f>
        <v>#N/A</v>
      </c>
      <c r="AJ67" s="211" t="e">
        <f>TEXT(INDEX([1]Library!$W:$W,MATCH(AH67,[1]Library!$AJ:$AJ,0),1),"")</f>
        <v>#N/A</v>
      </c>
    </row>
    <row r="68" spans="1:36" ht="25.2" hidden="1" customHeight="1" outlineLevel="2">
      <c r="A68" s="228"/>
      <c r="B68" s="229"/>
      <c r="C68" s="230"/>
      <c r="D68" s="231" t="s">
        <v>96</v>
      </c>
      <c r="E68" s="232"/>
      <c r="F68" s="233"/>
      <c r="G68" s="379"/>
      <c r="H68" s="380">
        <v>1</v>
      </c>
      <c r="I68" s="234" t="s">
        <v>32</v>
      </c>
      <c r="J68" s="235">
        <v>0</v>
      </c>
      <c r="K68" s="236">
        <v>0</v>
      </c>
      <c r="L68" s="235">
        <v>0</v>
      </c>
      <c r="M68" s="236">
        <v>0</v>
      </c>
      <c r="N68" s="237">
        <v>35714.285714285703</v>
      </c>
      <c r="O68" s="236">
        <v>35714.285714285703</v>
      </c>
      <c r="P68" s="238">
        <v>35714.285714285703</v>
      </c>
      <c r="Q68" s="239">
        <f t="shared" si="0"/>
        <v>1.9211314638387301E-5</v>
      </c>
      <c r="R68" s="236">
        <f t="shared" si="1"/>
        <v>1.91583800286916</v>
      </c>
      <c r="S68" s="240">
        <f t="shared" si="2"/>
        <v>70.0280112044818</v>
      </c>
      <c r="T68" s="241"/>
      <c r="U68" s="225"/>
      <c r="V68" s="226"/>
      <c r="W68" s="227"/>
      <c r="X68" s="226"/>
      <c r="Y68" s="226"/>
      <c r="Z68" s="226"/>
      <c r="AA68" s="226"/>
      <c r="AB68" s="226"/>
      <c r="AC68" s="226"/>
      <c r="AD68" s="96">
        <f t="shared" si="12"/>
        <v>0</v>
      </c>
      <c r="AE68" s="96">
        <f t="shared" si="13"/>
        <v>0</v>
      </c>
      <c r="AF68" s="96">
        <f t="shared" si="14"/>
        <v>0</v>
      </c>
      <c r="AG68" s="96">
        <f t="shared" si="15"/>
        <v>0</v>
      </c>
      <c r="AH68" s="211" t="str">
        <f t="shared" si="7"/>
        <v>0,;!0,;!0,;!0</v>
      </c>
      <c r="AI68" s="211" t="e">
        <f>INDEX([1]Library!$AL:$AL,MATCH(AH68,[1]Library!$AJ:$AJ,0),1)</f>
        <v>#N/A</v>
      </c>
      <c r="AJ68" s="211" t="e">
        <f>TEXT(INDEX([1]Library!$W:$W,MATCH(AH68,[1]Library!$AJ:$AJ,0),1),"")</f>
        <v>#N/A</v>
      </c>
    </row>
    <row r="69" spans="1:36" ht="25.2" hidden="1" customHeight="1" outlineLevel="2">
      <c r="A69" s="228"/>
      <c r="B69" s="229"/>
      <c r="C69" s="230"/>
      <c r="D69" s="231" t="s">
        <v>97</v>
      </c>
      <c r="E69" s="232"/>
      <c r="F69" s="233"/>
      <c r="G69" s="379"/>
      <c r="H69" s="380">
        <v>1</v>
      </c>
      <c r="I69" s="234" t="s">
        <v>32</v>
      </c>
      <c r="J69" s="235">
        <v>0</v>
      </c>
      <c r="K69" s="236">
        <v>0</v>
      </c>
      <c r="L69" s="235">
        <v>0</v>
      </c>
      <c r="M69" s="236">
        <v>0</v>
      </c>
      <c r="N69" s="237">
        <v>987857.14285714296</v>
      </c>
      <c r="O69" s="236">
        <v>987857.14285714296</v>
      </c>
      <c r="P69" s="238">
        <v>987857.14285714296</v>
      </c>
      <c r="Q69" s="239">
        <f t="shared" si="0"/>
        <v>5.3138496289779197E-4</v>
      </c>
      <c r="R69" s="236">
        <f t="shared" si="1"/>
        <v>52.992079159360898</v>
      </c>
      <c r="S69" s="240">
        <f t="shared" si="2"/>
        <v>1936.97478991597</v>
      </c>
      <c r="T69" s="241"/>
      <c r="U69" s="225"/>
      <c r="V69" s="226"/>
      <c r="W69" s="227"/>
      <c r="X69" s="226"/>
      <c r="Y69" s="226"/>
      <c r="Z69" s="226"/>
      <c r="AA69" s="226"/>
      <c r="AB69" s="226"/>
      <c r="AC69" s="226"/>
      <c r="AD69" s="96">
        <f t="shared" si="12"/>
        <v>0</v>
      </c>
      <c r="AE69" s="96">
        <f t="shared" si="13"/>
        <v>0</v>
      </c>
      <c r="AF69" s="96">
        <f t="shared" si="14"/>
        <v>0</v>
      </c>
      <c r="AG69" s="96">
        <f t="shared" si="15"/>
        <v>0</v>
      </c>
      <c r="AH69" s="211" t="str">
        <f t="shared" si="7"/>
        <v>0,;!0,;!0,;!0</v>
      </c>
      <c r="AI69" s="211" t="e">
        <f>INDEX([1]Library!$AL:$AL,MATCH(AH69,[1]Library!$AJ:$AJ,0),1)</f>
        <v>#N/A</v>
      </c>
      <c r="AJ69" s="211" t="e">
        <f>TEXT(INDEX([1]Library!$W:$W,MATCH(AH69,[1]Library!$AJ:$AJ,0),1),"")</f>
        <v>#N/A</v>
      </c>
    </row>
    <row r="70" spans="1:36" ht="25.2" hidden="1" customHeight="1" outlineLevel="2">
      <c r="A70" s="228"/>
      <c r="B70" s="229"/>
      <c r="C70" s="230"/>
      <c r="D70" s="231" t="s">
        <v>98</v>
      </c>
      <c r="E70" s="232"/>
      <c r="F70" s="233"/>
      <c r="G70" s="379"/>
      <c r="H70" s="380">
        <v>1</v>
      </c>
      <c r="I70" s="234" t="s">
        <v>32</v>
      </c>
      <c r="J70" s="235">
        <v>0</v>
      </c>
      <c r="K70" s="236">
        <v>0</v>
      </c>
      <c r="L70" s="235">
        <v>0</v>
      </c>
      <c r="M70" s="236">
        <v>0</v>
      </c>
      <c r="N70" s="237">
        <v>401785.71428571403</v>
      </c>
      <c r="O70" s="236">
        <v>401785.71428571403</v>
      </c>
      <c r="P70" s="238">
        <v>401785.71428571403</v>
      </c>
      <c r="Q70" s="239">
        <f t="shared" si="0"/>
        <v>2.1612728968185699E-4</v>
      </c>
      <c r="R70" s="236">
        <f t="shared" si="1"/>
        <v>21.553177532277999</v>
      </c>
      <c r="S70" s="240">
        <f t="shared" si="2"/>
        <v>787.81512605041996</v>
      </c>
      <c r="T70" s="241"/>
      <c r="U70" s="225"/>
      <c r="V70" s="226"/>
      <c r="W70" s="227"/>
      <c r="X70" s="226"/>
      <c r="Y70" s="226"/>
      <c r="Z70" s="226"/>
      <c r="AA70" s="226"/>
      <c r="AB70" s="226"/>
      <c r="AC70" s="226"/>
      <c r="AD70" s="96">
        <f t="shared" si="12"/>
        <v>0</v>
      </c>
      <c r="AE70" s="96">
        <f t="shared" si="13"/>
        <v>0</v>
      </c>
      <c r="AF70" s="96">
        <f t="shared" si="14"/>
        <v>0</v>
      </c>
      <c r="AG70" s="96">
        <f t="shared" si="15"/>
        <v>0</v>
      </c>
      <c r="AH70" s="211" t="str">
        <f t="shared" si="7"/>
        <v>0,;!0,;!0,;!0</v>
      </c>
      <c r="AI70" s="211" t="e">
        <f>INDEX([1]Library!$AL:$AL,MATCH(AH70,[1]Library!$AJ:$AJ,0),1)</f>
        <v>#N/A</v>
      </c>
      <c r="AJ70" s="211" t="e">
        <f>TEXT(INDEX([1]Library!$W:$W,MATCH(AH70,[1]Library!$AJ:$AJ,0),1),"")</f>
        <v>#N/A</v>
      </c>
    </row>
    <row r="71" spans="1:36" ht="25.2" hidden="1" customHeight="1" outlineLevel="2">
      <c r="A71" s="228"/>
      <c r="B71" s="229"/>
      <c r="C71" s="230"/>
      <c r="D71" s="231" t="s">
        <v>99</v>
      </c>
      <c r="E71" s="232"/>
      <c r="F71" s="233"/>
      <c r="G71" s="379"/>
      <c r="H71" s="380">
        <v>1</v>
      </c>
      <c r="I71" s="234" t="s">
        <v>32</v>
      </c>
      <c r="J71" s="235">
        <v>0</v>
      </c>
      <c r="K71" s="236">
        <v>0</v>
      </c>
      <c r="L71" s="235">
        <v>0</v>
      </c>
      <c r="M71" s="236">
        <v>0</v>
      </c>
      <c r="N71" s="237">
        <v>581816.55142856506</v>
      </c>
      <c r="O71" s="236">
        <v>581816.55142856506</v>
      </c>
      <c r="P71" s="238">
        <v>581816.55142856506</v>
      </c>
      <c r="Q71" s="239">
        <f t="shared" si="0"/>
        <v>3.1296890327683701E-4</v>
      </c>
      <c r="R71" s="236">
        <f t="shared" si="1"/>
        <v>31.210655277903498</v>
      </c>
      <c r="S71" s="240">
        <f t="shared" si="2"/>
        <v>1140.8167675069899</v>
      </c>
      <c r="T71" s="241"/>
      <c r="U71" s="225"/>
      <c r="V71" s="226"/>
      <c r="W71" s="227"/>
      <c r="X71" s="226"/>
      <c r="Y71" s="226"/>
      <c r="Z71" s="226"/>
      <c r="AA71" s="226"/>
      <c r="AB71" s="226"/>
      <c r="AC71" s="226"/>
      <c r="AD71" s="96">
        <f t="shared" si="12"/>
        <v>0</v>
      </c>
      <c r="AE71" s="96">
        <f t="shared" si="13"/>
        <v>0</v>
      </c>
      <c r="AF71" s="96">
        <f t="shared" si="14"/>
        <v>0</v>
      </c>
      <c r="AG71" s="96">
        <f t="shared" si="15"/>
        <v>0</v>
      </c>
      <c r="AH71" s="211" t="str">
        <f t="shared" si="7"/>
        <v>0,;!0,;!0,;!0</v>
      </c>
      <c r="AI71" s="211" t="e">
        <f>INDEX([1]Library!$AL:$AL,MATCH(AH71,[1]Library!$AJ:$AJ,0),1)</f>
        <v>#N/A</v>
      </c>
      <c r="AJ71" s="211" t="e">
        <f>TEXT(INDEX([1]Library!$W:$W,MATCH(AH71,[1]Library!$AJ:$AJ,0),1),"")</f>
        <v>#N/A</v>
      </c>
    </row>
    <row r="72" spans="1:36" ht="25.2" hidden="1" customHeight="1" outlineLevel="2">
      <c r="A72" s="228"/>
      <c r="B72" s="229"/>
      <c r="C72" s="230"/>
      <c r="D72" s="231" t="s">
        <v>100</v>
      </c>
      <c r="E72" s="232"/>
      <c r="F72" s="233"/>
      <c r="G72" s="379"/>
      <c r="H72" s="380">
        <v>1</v>
      </c>
      <c r="I72" s="234" t="s">
        <v>32</v>
      </c>
      <c r="J72" s="235">
        <v>0</v>
      </c>
      <c r="K72" s="236">
        <v>0</v>
      </c>
      <c r="L72" s="235">
        <v>0</v>
      </c>
      <c r="M72" s="236">
        <v>0</v>
      </c>
      <c r="N72" s="237">
        <v>89285.714285714304</v>
      </c>
      <c r="O72" s="236">
        <v>89285.714285714304</v>
      </c>
      <c r="P72" s="238">
        <v>89285.714285714304</v>
      </c>
      <c r="Q72" s="239">
        <f t="shared" si="0"/>
        <v>4.8028286595968198E-5</v>
      </c>
      <c r="R72" s="236">
        <f t="shared" si="1"/>
        <v>4.7895950071728999</v>
      </c>
      <c r="S72" s="240">
        <f t="shared" si="2"/>
        <v>175.07002801120501</v>
      </c>
      <c r="T72" s="241"/>
      <c r="U72" s="225"/>
      <c r="V72" s="226"/>
      <c r="W72" s="227"/>
      <c r="X72" s="226"/>
      <c r="Y72" s="226"/>
      <c r="Z72" s="226"/>
      <c r="AA72" s="226"/>
      <c r="AB72" s="226"/>
      <c r="AC72" s="226"/>
      <c r="AD72" s="96">
        <f t="shared" si="12"/>
        <v>0</v>
      </c>
      <c r="AE72" s="96">
        <f t="shared" si="13"/>
        <v>0</v>
      </c>
      <c r="AF72" s="96">
        <f t="shared" si="14"/>
        <v>0</v>
      </c>
      <c r="AG72" s="96">
        <f t="shared" si="15"/>
        <v>0</v>
      </c>
      <c r="AH72" s="211" t="str">
        <f t="shared" si="7"/>
        <v>0,;!0,;!0,;!0</v>
      </c>
      <c r="AI72" s="211" t="e">
        <f>INDEX([1]Library!$AL:$AL,MATCH(AH72,[1]Library!$AJ:$AJ,0),1)</f>
        <v>#N/A</v>
      </c>
      <c r="AJ72" s="211" t="e">
        <f>TEXT(INDEX([1]Library!$W:$W,MATCH(AH72,[1]Library!$AJ:$AJ,0),1),"")</f>
        <v>#N/A</v>
      </c>
    </row>
    <row r="73" spans="1:36" ht="25.2" hidden="1" customHeight="1" outlineLevel="1" collapsed="1">
      <c r="A73" s="213"/>
      <c r="B73" s="214"/>
      <c r="C73" s="215" t="s">
        <v>101</v>
      </c>
      <c r="D73" s="215"/>
      <c r="E73" s="216"/>
      <c r="F73" s="217"/>
      <c r="G73" s="379"/>
      <c r="H73" s="219">
        <v>1</v>
      </c>
      <c r="I73" s="218" t="s">
        <v>32</v>
      </c>
      <c r="J73" s="219">
        <v>0</v>
      </c>
      <c r="K73" s="219">
        <v>0</v>
      </c>
      <c r="L73" s="219">
        <v>0</v>
      </c>
      <c r="M73" s="219">
        <v>0</v>
      </c>
      <c r="N73" s="219">
        <v>426504.10403913102</v>
      </c>
      <c r="O73" s="219">
        <v>426504.10403913102</v>
      </c>
      <c r="P73" s="220">
        <v>426504.10403913102</v>
      </c>
      <c r="Q73" s="221">
        <f t="shared" si="0"/>
        <v>2.2942372704325801E-4</v>
      </c>
      <c r="R73" s="222">
        <f t="shared" si="1"/>
        <v>22.8791575851392</v>
      </c>
      <c r="S73" s="223">
        <f t="shared" si="2"/>
        <v>836.28255693947301</v>
      </c>
      <c r="T73" s="224"/>
      <c r="U73" s="225"/>
      <c r="V73" s="226"/>
      <c r="W73" s="227"/>
      <c r="X73" s="226"/>
      <c r="Y73" s="226"/>
      <c r="Z73" s="226"/>
      <c r="AA73" s="226"/>
      <c r="AB73" s="226"/>
      <c r="AC73" s="226"/>
      <c r="AD73" s="96">
        <f t="shared" si="12"/>
        <v>0</v>
      </c>
      <c r="AE73" s="96">
        <f t="shared" si="13"/>
        <v>0</v>
      </c>
      <c r="AF73" s="96">
        <f t="shared" si="14"/>
        <v>0</v>
      </c>
      <c r="AG73" s="96">
        <f t="shared" si="15"/>
        <v>0</v>
      </c>
      <c r="AH73" s="211" t="str">
        <f t="shared" si="7"/>
        <v>0,;!0,;!0,;!0</v>
      </c>
      <c r="AI73" s="211" t="e">
        <f>INDEX([1]Library!$AL:$AL,MATCH(AH73,[1]Library!$AJ:$AJ,0),1)</f>
        <v>#N/A</v>
      </c>
      <c r="AJ73" s="211" t="e">
        <f>TEXT(INDEX([1]Library!$W:$W,MATCH(AH73,[1]Library!$AJ:$AJ,0),1),"")</f>
        <v>#N/A</v>
      </c>
    </row>
    <row r="74" spans="1:36" ht="25.2" hidden="1" customHeight="1" outlineLevel="2">
      <c r="A74" s="228"/>
      <c r="B74" s="229"/>
      <c r="C74" s="230"/>
      <c r="D74" s="231" t="s">
        <v>102</v>
      </c>
      <c r="E74" s="232"/>
      <c r="F74" s="233"/>
      <c r="G74" s="379"/>
      <c r="H74" s="380">
        <v>1</v>
      </c>
      <c r="I74" s="234" t="s">
        <v>32</v>
      </c>
      <c r="J74" s="235">
        <v>0</v>
      </c>
      <c r="K74" s="236">
        <v>0</v>
      </c>
      <c r="L74" s="235">
        <v>0</v>
      </c>
      <c r="M74" s="236">
        <v>0</v>
      </c>
      <c r="N74" s="237">
        <v>210755.621570699</v>
      </c>
      <c r="O74" s="236">
        <v>210755.621570699</v>
      </c>
      <c r="P74" s="238">
        <v>210755.621570699</v>
      </c>
      <c r="Q74" s="239">
        <f t="shared" si="0"/>
        <v>1.133689916185E-4</v>
      </c>
      <c r="R74" s="236">
        <f t="shared" si="1"/>
        <v>11.305661615456801</v>
      </c>
      <c r="S74" s="240">
        <f t="shared" si="2"/>
        <v>413.246316805292</v>
      </c>
      <c r="T74" s="241"/>
      <c r="U74" s="225"/>
      <c r="V74" s="226"/>
      <c r="W74" s="227"/>
      <c r="X74" s="226"/>
      <c r="Y74" s="226"/>
      <c r="Z74" s="226"/>
      <c r="AA74" s="226"/>
      <c r="AB74" s="226"/>
      <c r="AC74" s="226"/>
      <c r="AD74" s="96">
        <f t="shared" si="12"/>
        <v>0</v>
      </c>
      <c r="AE74" s="96">
        <f t="shared" si="13"/>
        <v>0</v>
      </c>
      <c r="AF74" s="96">
        <f t="shared" si="14"/>
        <v>0</v>
      </c>
      <c r="AG74" s="96">
        <f t="shared" si="15"/>
        <v>0</v>
      </c>
      <c r="AH74" s="211" t="str">
        <f t="shared" si="7"/>
        <v>0,;!0,;!0,;!0</v>
      </c>
      <c r="AI74" s="211" t="e">
        <f>INDEX([1]Library!$AL:$AL,MATCH(AH74,[1]Library!$AJ:$AJ,0),1)</f>
        <v>#N/A</v>
      </c>
      <c r="AJ74" s="211" t="e">
        <f>TEXT(INDEX([1]Library!$W:$W,MATCH(AH74,[1]Library!$AJ:$AJ,0),1),"")</f>
        <v>#N/A</v>
      </c>
    </row>
    <row r="75" spans="1:36" ht="25.2" hidden="1" customHeight="1" outlineLevel="2">
      <c r="A75" s="228"/>
      <c r="B75" s="229"/>
      <c r="C75" s="230"/>
      <c r="D75" s="231" t="s">
        <v>103</v>
      </c>
      <c r="E75" s="232"/>
      <c r="F75" s="233"/>
      <c r="G75" s="379"/>
      <c r="H75" s="380">
        <v>1</v>
      </c>
      <c r="I75" s="234" t="s">
        <v>32</v>
      </c>
      <c r="J75" s="235">
        <v>0</v>
      </c>
      <c r="K75" s="236">
        <v>0</v>
      </c>
      <c r="L75" s="235">
        <v>0</v>
      </c>
      <c r="M75" s="236">
        <v>0</v>
      </c>
      <c r="N75" s="237">
        <v>62287.218787957201</v>
      </c>
      <c r="O75" s="236">
        <v>62287.218787957201</v>
      </c>
      <c r="P75" s="238">
        <v>62287.218787957201</v>
      </c>
      <c r="Q75" s="239">
        <f t="shared" si="0"/>
        <v>3.3505342026394401E-5</v>
      </c>
      <c r="R75" s="236">
        <f t="shared" si="1"/>
        <v>3.3413021837158401</v>
      </c>
      <c r="S75" s="240">
        <f t="shared" si="2"/>
        <v>122.131801545014</v>
      </c>
      <c r="T75" s="241"/>
      <c r="U75" s="225"/>
      <c r="V75" s="226"/>
      <c r="W75" s="227"/>
      <c r="X75" s="226"/>
      <c r="Y75" s="226"/>
      <c r="Z75" s="226"/>
      <c r="AA75" s="226"/>
      <c r="AB75" s="226"/>
      <c r="AC75" s="226"/>
      <c r="AD75" s="96">
        <f t="shared" si="12"/>
        <v>0</v>
      </c>
      <c r="AE75" s="96">
        <f t="shared" si="13"/>
        <v>0</v>
      </c>
      <c r="AF75" s="96">
        <f t="shared" si="14"/>
        <v>0</v>
      </c>
      <c r="AG75" s="96">
        <f t="shared" si="15"/>
        <v>0</v>
      </c>
      <c r="AH75" s="211" t="str">
        <f t="shared" si="7"/>
        <v>0,;!0,;!0,;!0</v>
      </c>
      <c r="AI75" s="211" t="e">
        <f>INDEX([1]Library!$AL:$AL,MATCH(AH75,[1]Library!$AJ:$AJ,0),1)</f>
        <v>#N/A</v>
      </c>
      <c r="AJ75" s="211" t="e">
        <f>TEXT(INDEX([1]Library!$W:$W,MATCH(AH75,[1]Library!$AJ:$AJ,0),1),"")</f>
        <v>#N/A</v>
      </c>
    </row>
    <row r="76" spans="1:36" ht="25.2" hidden="1" customHeight="1" outlineLevel="2">
      <c r="A76" s="228"/>
      <c r="B76" s="229"/>
      <c r="C76" s="230"/>
      <c r="D76" s="231" t="s">
        <v>104</v>
      </c>
      <c r="E76" s="232"/>
      <c r="F76" s="233"/>
      <c r="G76" s="379"/>
      <c r="H76" s="380">
        <v>1</v>
      </c>
      <c r="I76" s="234" t="s">
        <v>32</v>
      </c>
      <c r="J76" s="235">
        <v>0</v>
      </c>
      <c r="K76" s="236">
        <v>0</v>
      </c>
      <c r="L76" s="235">
        <v>0</v>
      </c>
      <c r="M76" s="236">
        <v>0</v>
      </c>
      <c r="N76" s="237">
        <v>153461.26368047501</v>
      </c>
      <c r="O76" s="236">
        <v>153461.26368047501</v>
      </c>
      <c r="P76" s="238">
        <v>153461.26368047501</v>
      </c>
      <c r="Q76" s="239">
        <f t="shared" si="0"/>
        <v>8.25493933983632E-5</v>
      </c>
      <c r="R76" s="236">
        <f t="shared" si="1"/>
        <v>8.2321937859666008</v>
      </c>
      <c r="S76" s="240">
        <f t="shared" si="2"/>
        <v>300.904438589167</v>
      </c>
      <c r="T76" s="241"/>
      <c r="U76" s="225"/>
      <c r="V76" s="226"/>
      <c r="W76" s="227"/>
      <c r="X76" s="226"/>
      <c r="Y76" s="226"/>
      <c r="Z76" s="226"/>
      <c r="AA76" s="226"/>
      <c r="AB76" s="226"/>
      <c r="AC76" s="226"/>
      <c r="AD76" s="96">
        <f t="shared" si="12"/>
        <v>0</v>
      </c>
      <c r="AE76" s="96">
        <f t="shared" si="13"/>
        <v>0</v>
      </c>
      <c r="AF76" s="96">
        <f t="shared" si="14"/>
        <v>0</v>
      </c>
      <c r="AG76" s="96">
        <f t="shared" si="15"/>
        <v>0</v>
      </c>
      <c r="AH76" s="211" t="str">
        <f t="shared" si="7"/>
        <v>0,;!0,;!0,;!0</v>
      </c>
      <c r="AI76" s="211" t="e">
        <f>INDEX([1]Library!$AL:$AL,MATCH(AH76,[1]Library!$AJ:$AJ,0),1)</f>
        <v>#N/A</v>
      </c>
      <c r="AJ76" s="211" t="e">
        <f>TEXT(INDEX([1]Library!$W:$W,MATCH(AH76,[1]Library!$AJ:$AJ,0),1),"")</f>
        <v>#N/A</v>
      </c>
    </row>
    <row r="77" spans="1:36" ht="25.2" hidden="1" customHeight="1" outlineLevel="1" collapsed="1">
      <c r="A77" s="213"/>
      <c r="B77" s="214"/>
      <c r="C77" s="215" t="s">
        <v>105</v>
      </c>
      <c r="D77" s="215"/>
      <c r="E77" s="216"/>
      <c r="F77" s="217"/>
      <c r="G77" s="379"/>
      <c r="H77" s="219">
        <v>1</v>
      </c>
      <c r="I77" s="218" t="s">
        <v>32</v>
      </c>
      <c r="J77" s="219">
        <v>1940833.62890012</v>
      </c>
      <c r="K77" s="219">
        <v>1940833.62890012</v>
      </c>
      <c r="L77" s="219">
        <v>0</v>
      </c>
      <c r="M77" s="219">
        <v>0</v>
      </c>
      <c r="N77" s="219">
        <v>0</v>
      </c>
      <c r="O77" s="219">
        <v>0</v>
      </c>
      <c r="P77" s="220">
        <v>1940833.62890012</v>
      </c>
      <c r="Q77" s="221">
        <f t="shared" ref="Q77:Q140" si="16">P77/P$13</f>
        <v>1.04400703415577E-3</v>
      </c>
      <c r="R77" s="222">
        <f t="shared" ref="R77:R140" si="17">P77/I$5</f>
        <v>104.113039057813</v>
      </c>
      <c r="S77" s="223">
        <f t="shared" ref="S77:S140" si="18">P77/I$7</f>
        <v>3805.5561350982698</v>
      </c>
      <c r="T77" s="224"/>
      <c r="U77" s="225"/>
      <c r="V77" s="226"/>
      <c r="W77" s="227"/>
      <c r="X77" s="226"/>
      <c r="Y77" s="226"/>
      <c r="Z77" s="226"/>
      <c r="AA77" s="226"/>
      <c r="AB77" s="226"/>
      <c r="AC77" s="226"/>
      <c r="AD77" s="96">
        <f>IF(X77&lt;&gt;0,IF($X77&gt;=AD$12,#REF!,""),Z77)</f>
        <v>0</v>
      </c>
      <c r="AE77" s="96">
        <f>IF(AA77=" ",IF($X77&gt;=AE$12,#REF!,""),AA77)</f>
        <v>0</v>
      </c>
      <c r="AF77" s="96">
        <f>IF(AB77=" ",IF($X77&gt;=AF$12,#REF!,""),AB77)</f>
        <v>0</v>
      </c>
      <c r="AG77" s="96">
        <f>IF(AC77=" ",IF($X77&gt;=AG$12,#REF!,""),AC77)</f>
        <v>0</v>
      </c>
      <c r="AH77" s="211" t="str">
        <f t="shared" si="7"/>
        <v>0,;!0,;!0,;!0</v>
      </c>
      <c r="AI77" s="211" t="e">
        <f>INDEX([1]Library!$AL:$AL,MATCH(AH77,[1]Library!$AJ:$AJ,0),1)</f>
        <v>#N/A</v>
      </c>
      <c r="AJ77" s="211" t="e">
        <f>TEXT(INDEX([1]Library!$W:$W,MATCH(AH77,[1]Library!$AJ:$AJ,0),1),"")</f>
        <v>#N/A</v>
      </c>
    </row>
    <row r="78" spans="1:36" ht="25.2" hidden="1" customHeight="1" outlineLevel="2">
      <c r="A78" s="228"/>
      <c r="B78" s="229"/>
      <c r="C78" s="230"/>
      <c r="D78" s="231" t="s">
        <v>106</v>
      </c>
      <c r="E78" s="232"/>
      <c r="F78" s="233"/>
      <c r="G78" s="379"/>
      <c r="H78" s="380">
        <v>1</v>
      </c>
      <c r="I78" s="234" t="s">
        <v>32</v>
      </c>
      <c r="J78" s="235">
        <v>1263798.6420745</v>
      </c>
      <c r="K78" s="236">
        <v>1263798.6420745</v>
      </c>
      <c r="L78" s="235">
        <v>0</v>
      </c>
      <c r="M78" s="236">
        <v>0</v>
      </c>
      <c r="N78" s="237">
        <v>0</v>
      </c>
      <c r="O78" s="236">
        <v>0</v>
      </c>
      <c r="P78" s="238">
        <v>1263798.6420745</v>
      </c>
      <c r="Q78" s="239">
        <f t="shared" si="16"/>
        <v>6.7981853386887196E-4</v>
      </c>
      <c r="R78" s="236">
        <f t="shared" si="17"/>
        <v>67.794537060901405</v>
      </c>
      <c r="S78" s="240">
        <f t="shared" si="18"/>
        <v>2478.03655308726</v>
      </c>
      <c r="T78" s="241"/>
      <c r="U78" s="225"/>
      <c r="V78" s="226"/>
      <c r="W78" s="227"/>
      <c r="X78" s="226"/>
      <c r="Y78" s="226"/>
      <c r="Z78" s="226"/>
      <c r="AA78" s="226"/>
      <c r="AB78" s="226"/>
      <c r="AC78" s="226"/>
      <c r="AD78" s="96">
        <f>IF(X78&lt;&gt;0,IF($X78&gt;=AD$12,AD77,""),Z78)</f>
        <v>0</v>
      </c>
      <c r="AE78" s="96">
        <f>IF(AA78=" ",IF($X78&gt;=AE$12,AE77,""),AA78)</f>
        <v>0</v>
      </c>
      <c r="AF78" s="96">
        <f>IF(AB78=" ",IF($X78&gt;=AF$12,AF77,""),AB78)</f>
        <v>0</v>
      </c>
      <c r="AG78" s="96">
        <f>IF(AC78=" ",IF($X78&gt;=AG$12,AG77,""),AC78)</f>
        <v>0</v>
      </c>
      <c r="AH78" s="211" t="str">
        <f t="shared" ref="AH78:AH141" si="19">AD78&amp;",;!"&amp;AE78&amp;",;!"&amp;AF78&amp;",;!"&amp;AG78</f>
        <v>0,;!0,;!0,;!0</v>
      </c>
      <c r="AI78" s="211" t="e">
        <f>INDEX([1]Library!$AL:$AL,MATCH(AH78,[1]Library!$AJ:$AJ,0),1)</f>
        <v>#N/A</v>
      </c>
      <c r="AJ78" s="211" t="e">
        <f>TEXT(INDEX([1]Library!$W:$W,MATCH(AH78,[1]Library!$AJ:$AJ,0),1),"")</f>
        <v>#N/A</v>
      </c>
    </row>
    <row r="79" spans="1:36" ht="25.2" hidden="1" customHeight="1" outlineLevel="2">
      <c r="A79" s="228"/>
      <c r="B79" s="229"/>
      <c r="C79" s="230"/>
      <c r="D79" s="231" t="s">
        <v>107</v>
      </c>
      <c r="E79" s="232"/>
      <c r="F79" s="233"/>
      <c r="G79" s="379"/>
      <c r="H79" s="380">
        <v>1</v>
      </c>
      <c r="I79" s="234" t="s">
        <v>32</v>
      </c>
      <c r="J79" s="235">
        <v>315949.660518624</v>
      </c>
      <c r="K79" s="236">
        <v>315949.660518624</v>
      </c>
      <c r="L79" s="235">
        <v>0</v>
      </c>
      <c r="M79" s="236">
        <v>0</v>
      </c>
      <c r="N79" s="237">
        <v>0</v>
      </c>
      <c r="O79" s="236">
        <v>0</v>
      </c>
      <c r="P79" s="238">
        <v>315949.660518624</v>
      </c>
      <c r="Q79" s="239">
        <f t="shared" si="16"/>
        <v>1.6995463346721799E-4</v>
      </c>
      <c r="R79" s="236">
        <f t="shared" si="17"/>
        <v>16.948634265225301</v>
      </c>
      <c r="S79" s="240">
        <f t="shared" si="18"/>
        <v>619.50913827181205</v>
      </c>
      <c r="T79" s="241"/>
      <c r="U79" s="225"/>
      <c r="V79" s="226"/>
      <c r="W79" s="227"/>
      <c r="X79" s="226"/>
      <c r="Y79" s="226"/>
      <c r="Z79" s="226"/>
      <c r="AA79" s="226"/>
      <c r="AB79" s="226"/>
      <c r="AC79" s="226"/>
      <c r="AD79" s="96">
        <f>IF(X79&lt;&gt;0,IF($X79&gt;=AD$12,#REF!,""),Z79)</f>
        <v>0</v>
      </c>
      <c r="AE79" s="96">
        <f>IF(AA79=" ",IF($X79&gt;=AE$12,#REF!,""),AA79)</f>
        <v>0</v>
      </c>
      <c r="AF79" s="96">
        <f>IF(AB79=" ",IF($X79&gt;=AF$12,#REF!,""),AB79)</f>
        <v>0</v>
      </c>
      <c r="AG79" s="96">
        <f>IF(AC79=" ",IF($X79&gt;=AG$12,#REF!,""),AC79)</f>
        <v>0</v>
      </c>
      <c r="AH79" s="211" t="str">
        <f t="shared" si="19"/>
        <v>0,;!0,;!0,;!0</v>
      </c>
      <c r="AI79" s="211" t="e">
        <f>INDEX([1]Library!$AL:$AL,MATCH(AH79,[1]Library!$AJ:$AJ,0),1)</f>
        <v>#N/A</v>
      </c>
      <c r="AJ79" s="211" t="e">
        <f>TEXT(INDEX([1]Library!$W:$W,MATCH(AH79,[1]Library!$AJ:$AJ,0),1),"")</f>
        <v>#N/A</v>
      </c>
    </row>
    <row r="80" spans="1:36" ht="25.2" hidden="1" customHeight="1" outlineLevel="2">
      <c r="A80" s="228"/>
      <c r="B80" s="229"/>
      <c r="C80" s="230"/>
      <c r="D80" s="231" t="s">
        <v>108</v>
      </c>
      <c r="E80" s="232"/>
      <c r="F80" s="233"/>
      <c r="G80" s="379"/>
      <c r="H80" s="380">
        <v>1</v>
      </c>
      <c r="I80" s="234" t="s">
        <v>32</v>
      </c>
      <c r="J80" s="235">
        <v>361085.32630699902</v>
      </c>
      <c r="K80" s="236">
        <v>361085.32630699902</v>
      </c>
      <c r="L80" s="235">
        <v>0</v>
      </c>
      <c r="M80" s="236">
        <v>0</v>
      </c>
      <c r="N80" s="237">
        <v>0</v>
      </c>
      <c r="O80" s="236">
        <v>0</v>
      </c>
      <c r="P80" s="238">
        <v>361085.32630699902</v>
      </c>
      <c r="Q80" s="239">
        <f t="shared" si="16"/>
        <v>1.94233866819678E-4</v>
      </c>
      <c r="R80" s="236">
        <f t="shared" si="17"/>
        <v>19.369867731686099</v>
      </c>
      <c r="S80" s="240">
        <f t="shared" si="18"/>
        <v>708.010443739214</v>
      </c>
      <c r="T80" s="241"/>
      <c r="U80" s="225"/>
      <c r="V80" s="226"/>
      <c r="W80" s="227"/>
      <c r="X80" s="226"/>
      <c r="Y80" s="226"/>
      <c r="Z80" s="226"/>
      <c r="AA80" s="226"/>
      <c r="AB80" s="226"/>
      <c r="AC80" s="226"/>
      <c r="AD80" s="96">
        <f>IF(X80&lt;&gt;0,IF($X80&gt;=AD$12,AD79,""),Z80)</f>
        <v>0</v>
      </c>
      <c r="AE80" s="96">
        <f t="shared" ref="AE80:AG84" si="20">IF(AA80=" ",IF($X80&gt;=AE$12,AE79,""),AA80)</f>
        <v>0</v>
      </c>
      <c r="AF80" s="96">
        <f t="shared" si="20"/>
        <v>0</v>
      </c>
      <c r="AG80" s="96">
        <f t="shared" si="20"/>
        <v>0</v>
      </c>
      <c r="AH80" s="211" t="str">
        <f t="shared" si="19"/>
        <v>0,;!0,;!0,;!0</v>
      </c>
      <c r="AI80" s="211" t="e">
        <f>INDEX([1]Library!$AL:$AL,MATCH(AH80,[1]Library!$AJ:$AJ,0),1)</f>
        <v>#N/A</v>
      </c>
      <c r="AJ80" s="211" t="e">
        <f>TEXT(INDEX([1]Library!$W:$W,MATCH(AH80,[1]Library!$AJ:$AJ,0),1),"")</f>
        <v>#N/A</v>
      </c>
    </row>
    <row r="81" spans="1:36" ht="25.2" customHeight="1" collapsed="1">
      <c r="A81" s="198" t="s">
        <v>109</v>
      </c>
      <c r="B81" s="199" t="s">
        <v>110</v>
      </c>
      <c r="C81" s="200"/>
      <c r="D81" s="200"/>
      <c r="E81" s="201"/>
      <c r="F81" s="202"/>
      <c r="G81" s="379"/>
      <c r="H81" s="378">
        <v>1</v>
      </c>
      <c r="I81" s="203" t="s">
        <v>32</v>
      </c>
      <c r="J81" s="204">
        <v>661897941.57872999</v>
      </c>
      <c r="K81" s="205">
        <v>661897941.57872999</v>
      </c>
      <c r="L81" s="204">
        <v>66692049.397936501</v>
      </c>
      <c r="M81" s="205">
        <v>66692049.397936501</v>
      </c>
      <c r="N81" s="204">
        <v>978021</v>
      </c>
      <c r="O81" s="205">
        <v>978021</v>
      </c>
      <c r="P81" s="206">
        <v>729568011.97666705</v>
      </c>
      <c r="Q81" s="207">
        <f t="shared" si="16"/>
        <v>0.39244689758922002</v>
      </c>
      <c r="R81" s="205">
        <f t="shared" si="17"/>
        <v>39136.555444632802</v>
      </c>
      <c r="S81" s="208">
        <f t="shared" si="18"/>
        <v>1430525.51367974</v>
      </c>
      <c r="T81" s="209"/>
      <c r="U81" s="225"/>
      <c r="V81" s="226"/>
      <c r="W81" s="227"/>
      <c r="X81" s="226"/>
      <c r="Y81" s="226"/>
      <c r="Z81" s="226"/>
      <c r="AA81" s="226"/>
      <c r="AB81" s="226"/>
      <c r="AC81" s="226"/>
      <c r="AD81" s="96">
        <f>IF(X81&lt;&gt;0,IF($X81&gt;=AD$12,AD80,""),Z81)</f>
        <v>0</v>
      </c>
      <c r="AE81" s="96">
        <f t="shared" si="20"/>
        <v>0</v>
      </c>
      <c r="AF81" s="96">
        <f t="shared" si="20"/>
        <v>0</v>
      </c>
      <c r="AG81" s="96">
        <f t="shared" si="20"/>
        <v>0</v>
      </c>
      <c r="AH81" s="211" t="str">
        <f t="shared" si="19"/>
        <v>0,;!0,;!0,;!0</v>
      </c>
      <c r="AI81" s="211" t="e">
        <f>INDEX([1]Library!$AL:$AL,MATCH(AH81,[1]Library!$AJ:$AJ,0),1)</f>
        <v>#N/A</v>
      </c>
      <c r="AJ81" s="211" t="e">
        <f>TEXT(INDEX([1]Library!$W:$W,MATCH(AH81,[1]Library!$AJ:$AJ,0),1),"")</f>
        <v>#N/A</v>
      </c>
    </row>
    <row r="82" spans="1:36" ht="25.2" hidden="1" customHeight="1" outlineLevel="1" collapsed="1">
      <c r="A82" s="213"/>
      <c r="B82" s="214"/>
      <c r="C82" s="215" t="s">
        <v>111</v>
      </c>
      <c r="D82" s="215"/>
      <c r="E82" s="216"/>
      <c r="F82" s="217"/>
      <c r="G82" s="379"/>
      <c r="H82" s="219">
        <v>1</v>
      </c>
      <c r="I82" s="218" t="s">
        <v>32</v>
      </c>
      <c r="J82" s="219">
        <v>11745277.142857101</v>
      </c>
      <c r="K82" s="219">
        <v>11745277.142857101</v>
      </c>
      <c r="L82" s="219">
        <v>17243592</v>
      </c>
      <c r="M82" s="219">
        <v>17243592</v>
      </c>
      <c r="N82" s="219">
        <v>978021</v>
      </c>
      <c r="O82" s="219">
        <v>978021</v>
      </c>
      <c r="P82" s="220">
        <v>29966890.142857101</v>
      </c>
      <c r="Q82" s="221">
        <f t="shared" si="16"/>
        <v>1.6119693947515602E-2</v>
      </c>
      <c r="R82" s="222">
        <f t="shared" si="17"/>
        <v>1607.5277949777401</v>
      </c>
      <c r="S82" s="223">
        <f t="shared" si="18"/>
        <v>58758.6081232492</v>
      </c>
      <c r="T82" s="224"/>
      <c r="U82" s="225"/>
      <c r="V82" s="226"/>
      <c r="W82" s="227"/>
      <c r="X82" s="226"/>
      <c r="Y82" s="226"/>
      <c r="Z82" s="226"/>
      <c r="AA82" s="226"/>
      <c r="AB82" s="226"/>
      <c r="AC82" s="226"/>
      <c r="AD82" s="96">
        <f>IF(X82&lt;&gt;0,IF($X82&gt;=AD$12,AD81,""),Z82)</f>
        <v>0</v>
      </c>
      <c r="AE82" s="96">
        <f t="shared" si="20"/>
        <v>0</v>
      </c>
      <c r="AF82" s="96">
        <f t="shared" si="20"/>
        <v>0</v>
      </c>
      <c r="AG82" s="96">
        <f t="shared" si="20"/>
        <v>0</v>
      </c>
      <c r="AH82" s="211" t="str">
        <f t="shared" si="19"/>
        <v>0,;!0,;!0,;!0</v>
      </c>
      <c r="AI82" s="211" t="e">
        <f>INDEX([1]Library!$AL:$AL,MATCH(AH82,[1]Library!$AJ:$AJ,0),1)</f>
        <v>#N/A</v>
      </c>
      <c r="AJ82" s="211" t="e">
        <f>TEXT(INDEX([1]Library!$W:$W,MATCH(AH82,[1]Library!$AJ:$AJ,0),1),"")</f>
        <v>#N/A</v>
      </c>
    </row>
    <row r="83" spans="1:36" ht="25.2" hidden="1" customHeight="1" outlineLevel="2">
      <c r="A83" s="228"/>
      <c r="B83" s="229"/>
      <c r="C83" s="230"/>
      <c r="D83" s="231" t="s">
        <v>112</v>
      </c>
      <c r="E83" s="232"/>
      <c r="F83" s="233"/>
      <c r="G83" s="379"/>
      <c r="H83" s="380">
        <v>22632</v>
      </c>
      <c r="I83" s="234" t="s">
        <v>113</v>
      </c>
      <c r="J83" s="235">
        <v>0</v>
      </c>
      <c r="K83" s="236">
        <v>0</v>
      </c>
      <c r="L83" s="235">
        <v>323.55</v>
      </c>
      <c r="M83" s="236">
        <v>7322583.5999999996</v>
      </c>
      <c r="N83" s="237">
        <v>0</v>
      </c>
      <c r="O83" s="236">
        <v>0</v>
      </c>
      <c r="P83" s="238">
        <v>7322583.5999999996</v>
      </c>
      <c r="Q83" s="239">
        <f t="shared" si="16"/>
        <v>3.9389408101538504E-3</v>
      </c>
      <c r="R83" s="236">
        <f t="shared" si="17"/>
        <v>392.808750321861</v>
      </c>
      <c r="S83" s="240">
        <f t="shared" si="18"/>
        <v>14358.007058823499</v>
      </c>
      <c r="T83" s="241"/>
      <c r="U83" s="225"/>
      <c r="V83" s="226"/>
      <c r="W83" s="227"/>
      <c r="X83" s="226"/>
      <c r="Y83" s="226"/>
      <c r="Z83" s="226"/>
      <c r="AA83" s="226"/>
      <c r="AB83" s="226"/>
      <c r="AC83" s="226"/>
      <c r="AD83" s="96">
        <f>IF(X83&lt;&gt;0,IF($X83&gt;=AD$12,AD82,""),Z83)</f>
        <v>0</v>
      </c>
      <c r="AE83" s="96">
        <f t="shared" si="20"/>
        <v>0</v>
      </c>
      <c r="AF83" s="96">
        <f t="shared" si="20"/>
        <v>0</v>
      </c>
      <c r="AG83" s="96">
        <f t="shared" si="20"/>
        <v>0</v>
      </c>
      <c r="AH83" s="211" t="str">
        <f t="shared" si="19"/>
        <v>0,;!0,;!0,;!0</v>
      </c>
      <c r="AI83" s="211" t="e">
        <f>INDEX([1]Library!$AL:$AL,MATCH(AH83,[1]Library!$AJ:$AJ,0),1)</f>
        <v>#N/A</v>
      </c>
      <c r="AJ83" s="211" t="e">
        <f>TEXT(INDEX([1]Library!$W:$W,MATCH(AH83,[1]Library!$AJ:$AJ,0),1),"")</f>
        <v>#N/A</v>
      </c>
    </row>
    <row r="84" spans="1:36" ht="25.2" hidden="1" customHeight="1" outlineLevel="2">
      <c r="A84" s="228"/>
      <c r="B84" s="229"/>
      <c r="C84" s="230"/>
      <c r="D84" s="231" t="s">
        <v>114</v>
      </c>
      <c r="E84" s="232"/>
      <c r="F84" s="233"/>
      <c r="G84" s="379"/>
      <c r="H84" s="380">
        <v>27826.16</v>
      </c>
      <c r="I84" s="234" t="s">
        <v>113</v>
      </c>
      <c r="J84" s="235">
        <v>392.857142857143</v>
      </c>
      <c r="K84" s="236">
        <v>10931705.7142857</v>
      </c>
      <c r="L84" s="235">
        <v>312.5</v>
      </c>
      <c r="M84" s="236">
        <v>8695675</v>
      </c>
      <c r="N84" s="237">
        <v>0</v>
      </c>
      <c r="O84" s="236">
        <v>0</v>
      </c>
      <c r="P84" s="238">
        <v>19627380.714285702</v>
      </c>
      <c r="Q84" s="239">
        <f t="shared" si="16"/>
        <v>1.0557898020027601E-2</v>
      </c>
      <c r="R84" s="236">
        <f t="shared" si="17"/>
        <v>1052.88069233787</v>
      </c>
      <c r="S84" s="240">
        <f t="shared" si="18"/>
        <v>38485.060224089597</v>
      </c>
      <c r="T84" s="241"/>
      <c r="U84" s="225"/>
      <c r="V84" s="226"/>
      <c r="W84" s="227"/>
      <c r="X84" s="226"/>
      <c r="Y84" s="226"/>
      <c r="Z84" s="226"/>
      <c r="AA84" s="226"/>
      <c r="AB84" s="226"/>
      <c r="AC84" s="226"/>
      <c r="AD84" s="96">
        <f>IF(X84&lt;&gt;0,IF($X84&gt;=AD$12,AD83,""),Z84)</f>
        <v>0</v>
      </c>
      <c r="AE84" s="96">
        <f t="shared" si="20"/>
        <v>0</v>
      </c>
      <c r="AF84" s="96">
        <f t="shared" si="20"/>
        <v>0</v>
      </c>
      <c r="AG84" s="96">
        <f t="shared" si="20"/>
        <v>0</v>
      </c>
      <c r="AH84" s="211" t="str">
        <f t="shared" si="19"/>
        <v>0,;!0,;!0,;!0</v>
      </c>
      <c r="AI84" s="211" t="e">
        <f>INDEX([1]Library!$AL:$AL,MATCH(AH84,[1]Library!$AJ:$AJ,0),1)</f>
        <v>#N/A</v>
      </c>
      <c r="AJ84" s="211" t="e">
        <f>TEXT(INDEX([1]Library!$W:$W,MATCH(AH84,[1]Library!$AJ:$AJ,0),1),"")</f>
        <v>#N/A</v>
      </c>
    </row>
    <row r="85" spans="1:36" ht="25.2" hidden="1" customHeight="1" outlineLevel="2">
      <c r="A85" s="228"/>
      <c r="B85" s="229"/>
      <c r="C85" s="230"/>
      <c r="D85" s="231" t="s">
        <v>115</v>
      </c>
      <c r="E85" s="232"/>
      <c r="F85" s="233"/>
      <c r="G85" s="379"/>
      <c r="H85" s="380">
        <v>536</v>
      </c>
      <c r="I85" s="234" t="s">
        <v>113</v>
      </c>
      <c r="J85" s="235">
        <v>1517.8571428571399</v>
      </c>
      <c r="K85" s="236">
        <v>813571.42857142899</v>
      </c>
      <c r="L85" s="235">
        <v>295.52499999999998</v>
      </c>
      <c r="M85" s="236">
        <v>158401.4</v>
      </c>
      <c r="N85" s="237">
        <v>0</v>
      </c>
      <c r="O85" s="236">
        <v>0</v>
      </c>
      <c r="P85" s="238">
        <v>971972.82857142901</v>
      </c>
      <c r="Q85" s="239">
        <f t="shared" si="16"/>
        <v>5.22840523230171E-4</v>
      </c>
      <c r="R85" s="236">
        <f t="shared" si="17"/>
        <v>52.139989516534499</v>
      </c>
      <c r="S85" s="240">
        <f t="shared" si="18"/>
        <v>1905.8290756302499</v>
      </c>
      <c r="T85" s="241"/>
      <c r="U85" s="225"/>
      <c r="V85" s="226"/>
      <c r="W85" s="227"/>
      <c r="X85" s="226"/>
      <c r="Y85" s="226"/>
      <c r="Z85" s="226"/>
      <c r="AA85" s="226"/>
      <c r="AB85" s="226"/>
      <c r="AC85" s="226"/>
      <c r="AD85" s="96">
        <f>IF(X85&lt;&gt;0,IF($X85&gt;=AD$12,#REF!,""),Z85)</f>
        <v>0</v>
      </c>
      <c r="AE85" s="96">
        <f>IF(AA85=" ",IF($X85&gt;=AE$12,#REF!,""),AA85)</f>
        <v>0</v>
      </c>
      <c r="AF85" s="96">
        <f>IF(AB85=" ",IF($X85&gt;=AF$12,#REF!,""),AB85)</f>
        <v>0</v>
      </c>
      <c r="AG85" s="96">
        <f>IF(AC85=" ",IF($X85&gt;=AG$12,#REF!,""),AC85)</f>
        <v>0</v>
      </c>
      <c r="AH85" s="211" t="str">
        <f t="shared" si="19"/>
        <v>0,;!0,;!0,;!0</v>
      </c>
      <c r="AI85" s="211" t="e">
        <f>INDEX([1]Library!$AL:$AL,MATCH(AH85,[1]Library!$AJ:$AJ,0),1)</f>
        <v>#N/A</v>
      </c>
      <c r="AJ85" s="211" t="e">
        <f>TEXT(INDEX([1]Library!$W:$W,MATCH(AH85,[1]Library!$AJ:$AJ,0),1),"")</f>
        <v>#N/A</v>
      </c>
    </row>
    <row r="86" spans="1:36" ht="25.2" hidden="1" customHeight="1" outlineLevel="2">
      <c r="A86" s="228"/>
      <c r="B86" s="229"/>
      <c r="C86" s="230"/>
      <c r="D86" s="231" t="s">
        <v>116</v>
      </c>
      <c r="E86" s="232"/>
      <c r="F86" s="233"/>
      <c r="G86" s="379"/>
      <c r="H86" s="380">
        <v>9483.84</v>
      </c>
      <c r="I86" s="234" t="s">
        <v>117</v>
      </c>
      <c r="J86" s="235">
        <v>0</v>
      </c>
      <c r="K86" s="236">
        <v>0</v>
      </c>
      <c r="L86" s="235">
        <v>112.5</v>
      </c>
      <c r="M86" s="236">
        <v>1066932</v>
      </c>
      <c r="N86" s="237">
        <v>0</v>
      </c>
      <c r="O86" s="236">
        <v>0</v>
      </c>
      <c r="P86" s="238">
        <v>1066932</v>
      </c>
      <c r="Q86" s="239">
        <f t="shared" si="16"/>
        <v>5.7392065779338596E-4</v>
      </c>
      <c r="R86" s="236">
        <f t="shared" si="17"/>
        <v>57.233928418161497</v>
      </c>
      <c r="S86" s="240">
        <f t="shared" si="18"/>
        <v>2092.0235294117601</v>
      </c>
      <c r="T86" s="241"/>
      <c r="U86" s="225"/>
      <c r="V86" s="226"/>
      <c r="W86" s="227"/>
      <c r="X86" s="226"/>
      <c r="Y86" s="226"/>
      <c r="Z86" s="226"/>
      <c r="AA86" s="226"/>
      <c r="AB86" s="226"/>
      <c r="AC86" s="226"/>
      <c r="AD86" s="96">
        <f>IF(X86&lt;&gt;0,IF($X86&gt;=AD$12,#REF!,""),Z86)</f>
        <v>0</v>
      </c>
      <c r="AE86" s="96">
        <f>IF(AA86=" ",IF($X86&gt;=AE$12,#REF!,""),AA86)</f>
        <v>0</v>
      </c>
      <c r="AF86" s="96">
        <f>IF(AB86=" ",IF($X86&gt;=AF$12,#REF!,""),AB86)</f>
        <v>0</v>
      </c>
      <c r="AG86" s="96">
        <f>IF(AC86=" ",IF($X86&gt;=AG$12,#REF!,""),AC86)</f>
        <v>0</v>
      </c>
      <c r="AH86" s="211" t="str">
        <f t="shared" si="19"/>
        <v>0,;!0,;!0,;!0</v>
      </c>
      <c r="AI86" s="211" t="e">
        <f>INDEX([1]Library!$AL:$AL,MATCH(AH86,[1]Library!$AJ:$AJ,0),1)</f>
        <v>#N/A</v>
      </c>
      <c r="AJ86" s="211" t="e">
        <f>TEXT(INDEX([1]Library!$W:$W,MATCH(AH86,[1]Library!$AJ:$AJ,0),1),"")</f>
        <v>#N/A</v>
      </c>
    </row>
    <row r="87" spans="1:36" ht="25.2" hidden="1" customHeight="1" outlineLevel="2">
      <c r="A87" s="228"/>
      <c r="B87" s="229"/>
      <c r="C87" s="230"/>
      <c r="D87" s="231" t="s">
        <v>118</v>
      </c>
      <c r="E87" s="232"/>
      <c r="F87" s="233"/>
      <c r="G87" s="379"/>
      <c r="H87" s="380">
        <v>9483.84</v>
      </c>
      <c r="I87" s="234" t="s">
        <v>117</v>
      </c>
      <c r="J87" s="235">
        <v>0</v>
      </c>
      <c r="K87" s="236">
        <v>0</v>
      </c>
      <c r="L87" s="235">
        <v>0</v>
      </c>
      <c r="M87" s="236">
        <v>0</v>
      </c>
      <c r="N87" s="237">
        <v>103.125</v>
      </c>
      <c r="O87" s="236">
        <v>978021</v>
      </c>
      <c r="P87" s="238">
        <v>978021</v>
      </c>
      <c r="Q87" s="239">
        <f t="shared" si="16"/>
        <v>5.2609393631060397E-4</v>
      </c>
      <c r="R87" s="236">
        <f t="shared" si="17"/>
        <v>52.464434383314703</v>
      </c>
      <c r="S87" s="240">
        <f t="shared" si="18"/>
        <v>1917.68823529412</v>
      </c>
      <c r="T87" s="241"/>
      <c r="U87" s="225"/>
      <c r="V87" s="226"/>
      <c r="W87" s="227"/>
      <c r="X87" s="226"/>
      <c r="Y87" s="226"/>
      <c r="Z87" s="226"/>
      <c r="AA87" s="226"/>
      <c r="AB87" s="226"/>
      <c r="AC87" s="226"/>
      <c r="AD87" s="96">
        <f t="shared" ref="AD87:AD99" si="21">IF(X87&lt;&gt;0,IF($X87&gt;=AD$12,AD86,""),Z87)</f>
        <v>0</v>
      </c>
      <c r="AE87" s="96">
        <f t="shared" ref="AE87:AE99" si="22">IF(AA87=" ",IF($X87&gt;=AE$12,AE86,""),AA87)</f>
        <v>0</v>
      </c>
      <c r="AF87" s="96">
        <f t="shared" ref="AF87:AF99" si="23">IF(AB87=" ",IF($X87&gt;=AF$12,AF86,""),AB87)</f>
        <v>0</v>
      </c>
      <c r="AG87" s="96">
        <f t="shared" ref="AG87:AG99" si="24">IF(AC87=" ",IF($X87&gt;=AG$12,AG86,""),AC87)</f>
        <v>0</v>
      </c>
      <c r="AH87" s="211" t="str">
        <f t="shared" si="19"/>
        <v>0,;!0,;!0,;!0</v>
      </c>
      <c r="AI87" s="211" t="e">
        <f>INDEX([1]Library!$AL:$AL,MATCH(AH87,[1]Library!$AJ:$AJ,0),1)</f>
        <v>#N/A</v>
      </c>
      <c r="AJ87" s="211" t="e">
        <f>TEXT(INDEX([1]Library!$W:$W,MATCH(AH87,[1]Library!$AJ:$AJ,0),1),"")</f>
        <v>#N/A</v>
      </c>
    </row>
    <row r="88" spans="1:36" ht="25.2" hidden="1" customHeight="1" outlineLevel="1" collapsed="1">
      <c r="A88" s="213"/>
      <c r="B88" s="214"/>
      <c r="C88" s="215" t="s">
        <v>119</v>
      </c>
      <c r="D88" s="215"/>
      <c r="E88" s="216"/>
      <c r="F88" s="217"/>
      <c r="G88" s="379"/>
      <c r="H88" s="219">
        <v>1</v>
      </c>
      <c r="I88" s="218" t="s">
        <v>32</v>
      </c>
      <c r="J88" s="219">
        <v>86884750.191428497</v>
      </c>
      <c r="K88" s="219">
        <v>86884750.191428497</v>
      </c>
      <c r="L88" s="219">
        <v>8740503.2857142892</v>
      </c>
      <c r="M88" s="219">
        <v>8740503.2857142892</v>
      </c>
      <c r="N88" s="219">
        <v>0</v>
      </c>
      <c r="O88" s="219">
        <v>0</v>
      </c>
      <c r="P88" s="220">
        <v>95625253.477142796</v>
      </c>
      <c r="Q88" s="221">
        <f t="shared" si="16"/>
        <v>5.1438431293897899E-2</v>
      </c>
      <c r="R88" s="222">
        <f t="shared" si="17"/>
        <v>5129.6698500741804</v>
      </c>
      <c r="S88" s="223">
        <f t="shared" si="18"/>
        <v>187500.497014005</v>
      </c>
      <c r="T88" s="224"/>
      <c r="U88" s="225"/>
      <c r="V88" s="226"/>
      <c r="W88" s="227"/>
      <c r="X88" s="226"/>
      <c r="Y88" s="226"/>
      <c r="Z88" s="226"/>
      <c r="AA88" s="226"/>
      <c r="AB88" s="226"/>
      <c r="AC88" s="226"/>
      <c r="AD88" s="96">
        <f t="shared" si="21"/>
        <v>0</v>
      </c>
      <c r="AE88" s="96">
        <f t="shared" si="22"/>
        <v>0</v>
      </c>
      <c r="AF88" s="96">
        <f t="shared" si="23"/>
        <v>0</v>
      </c>
      <c r="AG88" s="96">
        <f t="shared" si="24"/>
        <v>0</v>
      </c>
      <c r="AH88" s="211" t="str">
        <f t="shared" si="19"/>
        <v>0,;!0,;!0,;!0</v>
      </c>
      <c r="AI88" s="211" t="e">
        <f>INDEX([1]Library!$AL:$AL,MATCH(AH88,[1]Library!$AJ:$AJ,0),1)</f>
        <v>#N/A</v>
      </c>
      <c r="AJ88" s="211" t="e">
        <f>TEXT(INDEX([1]Library!$W:$W,MATCH(AH88,[1]Library!$AJ:$AJ,0),1),"")</f>
        <v>#N/A</v>
      </c>
    </row>
    <row r="89" spans="1:36" ht="25.2" hidden="1" customHeight="1" outlineLevel="2">
      <c r="A89" s="228"/>
      <c r="B89" s="229"/>
      <c r="C89" s="230"/>
      <c r="D89" s="231" t="s">
        <v>120</v>
      </c>
      <c r="E89" s="232"/>
      <c r="F89" s="233"/>
      <c r="G89" s="379"/>
      <c r="H89" s="380">
        <v>442164.4</v>
      </c>
      <c r="I89" s="234" t="s">
        <v>121</v>
      </c>
      <c r="J89" s="235">
        <v>35.151785714285701</v>
      </c>
      <c r="K89" s="236">
        <v>15542868.2392857</v>
      </c>
      <c r="L89" s="235">
        <v>4.0178571428571397</v>
      </c>
      <c r="M89" s="236">
        <v>1776553.3928571399</v>
      </c>
      <c r="N89" s="237">
        <v>0</v>
      </c>
      <c r="O89" s="236">
        <v>0</v>
      </c>
      <c r="P89" s="238">
        <v>17319421.632142901</v>
      </c>
      <c r="Q89" s="239">
        <f t="shared" si="16"/>
        <v>9.3164080332396402E-3</v>
      </c>
      <c r="R89" s="236">
        <f t="shared" si="17"/>
        <v>929.07377221605998</v>
      </c>
      <c r="S89" s="240">
        <f t="shared" si="18"/>
        <v>33959.650259103699</v>
      </c>
      <c r="T89" s="241"/>
      <c r="U89" s="225"/>
      <c r="V89" s="226"/>
      <c r="W89" s="227"/>
      <c r="X89" s="226"/>
      <c r="Y89" s="226"/>
      <c r="Z89" s="226"/>
      <c r="AA89" s="226"/>
      <c r="AB89" s="226"/>
      <c r="AC89" s="226"/>
      <c r="AD89" s="96">
        <f t="shared" si="21"/>
        <v>0</v>
      </c>
      <c r="AE89" s="96">
        <f t="shared" si="22"/>
        <v>0</v>
      </c>
      <c r="AF89" s="96">
        <f t="shared" si="23"/>
        <v>0</v>
      </c>
      <c r="AG89" s="96">
        <f t="shared" si="24"/>
        <v>0</v>
      </c>
      <c r="AH89" s="211" t="str">
        <f t="shared" si="19"/>
        <v>0,;!0,;!0,;!0</v>
      </c>
      <c r="AI89" s="211" t="e">
        <f>INDEX([1]Library!$AL:$AL,MATCH(AH89,[1]Library!$AJ:$AJ,0),1)</f>
        <v>#N/A</v>
      </c>
      <c r="AJ89" s="211" t="e">
        <f>TEXT(INDEX([1]Library!$W:$W,MATCH(AH89,[1]Library!$AJ:$AJ,0),1),"")</f>
        <v>#N/A</v>
      </c>
    </row>
    <row r="90" spans="1:36" ht="25.2" hidden="1" customHeight="1" outlineLevel="2">
      <c r="A90" s="228"/>
      <c r="B90" s="229"/>
      <c r="C90" s="230"/>
      <c r="D90" s="231" t="s">
        <v>122</v>
      </c>
      <c r="E90" s="232"/>
      <c r="F90" s="233"/>
      <c r="G90" s="379"/>
      <c r="H90" s="380">
        <v>8303.6</v>
      </c>
      <c r="I90" s="234" t="s">
        <v>121</v>
      </c>
      <c r="J90" s="235">
        <v>35.151785714285701</v>
      </c>
      <c r="K90" s="236">
        <v>291886.36785714299</v>
      </c>
      <c r="L90" s="235">
        <v>4.0178571428571397</v>
      </c>
      <c r="M90" s="236">
        <v>33362.678571428602</v>
      </c>
      <c r="N90" s="237">
        <v>0</v>
      </c>
      <c r="O90" s="236">
        <v>0</v>
      </c>
      <c r="P90" s="238">
        <v>325249.04642857099</v>
      </c>
      <c r="Q90" s="239">
        <f t="shared" si="16"/>
        <v>1.7495692946969201E-4</v>
      </c>
      <c r="R90" s="236">
        <f t="shared" si="17"/>
        <v>17.4474855392547</v>
      </c>
      <c r="S90" s="240">
        <f t="shared" si="18"/>
        <v>637.74322829131597</v>
      </c>
      <c r="T90" s="241"/>
      <c r="U90" s="225"/>
      <c r="V90" s="226"/>
      <c r="W90" s="227"/>
      <c r="X90" s="226"/>
      <c r="Y90" s="226"/>
      <c r="Z90" s="226"/>
      <c r="AA90" s="226"/>
      <c r="AB90" s="226"/>
      <c r="AC90" s="226"/>
      <c r="AD90" s="96">
        <f t="shared" si="21"/>
        <v>0</v>
      </c>
      <c r="AE90" s="96">
        <f t="shared" si="22"/>
        <v>0</v>
      </c>
      <c r="AF90" s="96">
        <f t="shared" si="23"/>
        <v>0</v>
      </c>
      <c r="AG90" s="96">
        <f t="shared" si="24"/>
        <v>0</v>
      </c>
      <c r="AH90" s="211" t="str">
        <f t="shared" si="19"/>
        <v>0,;!0,;!0,;!0</v>
      </c>
      <c r="AI90" s="211" t="e">
        <f>INDEX([1]Library!$AL:$AL,MATCH(AH90,[1]Library!$AJ:$AJ,0),1)</f>
        <v>#N/A</v>
      </c>
      <c r="AJ90" s="211" t="e">
        <f>TEXT(INDEX([1]Library!$W:$W,MATCH(AH90,[1]Library!$AJ:$AJ,0),1),"")</f>
        <v>#N/A</v>
      </c>
    </row>
    <row r="91" spans="1:36" ht="25.2" hidden="1" customHeight="1" outlineLevel="2">
      <c r="A91" s="228"/>
      <c r="B91" s="229"/>
      <c r="C91" s="230"/>
      <c r="D91" s="231" t="s">
        <v>123</v>
      </c>
      <c r="E91" s="232"/>
      <c r="F91" s="233"/>
      <c r="G91" s="379"/>
      <c r="H91" s="380">
        <v>43147.64</v>
      </c>
      <c r="I91" s="234" t="s">
        <v>121</v>
      </c>
      <c r="J91" s="235">
        <v>35.151785714285701</v>
      </c>
      <c r="K91" s="236">
        <v>1516716.5953571401</v>
      </c>
      <c r="L91" s="235">
        <v>4.0178571428571397</v>
      </c>
      <c r="M91" s="236">
        <v>173361.05357142899</v>
      </c>
      <c r="N91" s="237">
        <v>0</v>
      </c>
      <c r="O91" s="236">
        <v>0</v>
      </c>
      <c r="P91" s="238">
        <v>1690077.6489285701</v>
      </c>
      <c r="Q91" s="239">
        <f t="shared" si="16"/>
        <v>9.0912117735243302E-4</v>
      </c>
      <c r="R91" s="236">
        <f t="shared" si="17"/>
        <v>90.661619653279203</v>
      </c>
      <c r="S91" s="240">
        <f t="shared" si="18"/>
        <v>3313.8777429972001</v>
      </c>
      <c r="T91" s="241"/>
      <c r="U91" s="225"/>
      <c r="V91" s="226"/>
      <c r="W91" s="227"/>
      <c r="X91" s="226"/>
      <c r="Y91" s="226"/>
      <c r="Z91" s="226"/>
      <c r="AA91" s="226"/>
      <c r="AB91" s="226"/>
      <c r="AC91" s="226"/>
      <c r="AD91" s="96">
        <f t="shared" si="21"/>
        <v>0</v>
      </c>
      <c r="AE91" s="96">
        <f t="shared" si="22"/>
        <v>0</v>
      </c>
      <c r="AF91" s="96">
        <f t="shared" si="23"/>
        <v>0</v>
      </c>
      <c r="AG91" s="96">
        <f t="shared" si="24"/>
        <v>0</v>
      </c>
      <c r="AH91" s="211" t="str">
        <f t="shared" si="19"/>
        <v>0,;!0,;!0,;!0</v>
      </c>
      <c r="AI91" s="211" t="e">
        <f>INDEX([1]Library!$AL:$AL,MATCH(AH91,[1]Library!$AJ:$AJ,0),1)</f>
        <v>#N/A</v>
      </c>
      <c r="AJ91" s="211" t="e">
        <f>TEXT(INDEX([1]Library!$W:$W,MATCH(AH91,[1]Library!$AJ:$AJ,0),1),"")</f>
        <v>#N/A</v>
      </c>
    </row>
    <row r="92" spans="1:36" ht="25.2" hidden="1" customHeight="1" outlineLevel="2">
      <c r="A92" s="228"/>
      <c r="B92" s="229"/>
      <c r="C92" s="230"/>
      <c r="D92" s="231" t="s">
        <v>124</v>
      </c>
      <c r="E92" s="232"/>
      <c r="F92" s="233"/>
      <c r="G92" s="379"/>
      <c r="H92" s="380">
        <v>30615.68</v>
      </c>
      <c r="I92" s="234" t="s">
        <v>121</v>
      </c>
      <c r="J92" s="235">
        <v>35.151785714285701</v>
      </c>
      <c r="K92" s="236">
        <v>1076195.8228571401</v>
      </c>
      <c r="L92" s="235">
        <v>4.0178571428571397</v>
      </c>
      <c r="M92" s="236">
        <v>123009.428571429</v>
      </c>
      <c r="N92" s="237">
        <v>0</v>
      </c>
      <c r="O92" s="236">
        <v>0</v>
      </c>
      <c r="P92" s="238">
        <v>1199205.2514285699</v>
      </c>
      <c r="Q92" s="239">
        <f t="shared" si="16"/>
        <v>6.4507266323361701E-4</v>
      </c>
      <c r="R92" s="236">
        <f t="shared" si="17"/>
        <v>64.3295238299593</v>
      </c>
      <c r="S92" s="240">
        <f t="shared" si="18"/>
        <v>2351.3828459383699</v>
      </c>
      <c r="T92" s="241"/>
      <c r="U92" s="225"/>
      <c r="V92" s="226"/>
      <c r="W92" s="227"/>
      <c r="X92" s="226"/>
      <c r="Y92" s="226"/>
      <c r="Z92" s="226"/>
      <c r="AA92" s="226"/>
      <c r="AB92" s="226"/>
      <c r="AC92" s="226"/>
      <c r="AD92" s="96">
        <f t="shared" si="21"/>
        <v>0</v>
      </c>
      <c r="AE92" s="96">
        <f t="shared" si="22"/>
        <v>0</v>
      </c>
      <c r="AF92" s="96">
        <f t="shared" si="23"/>
        <v>0</v>
      </c>
      <c r="AG92" s="96">
        <f t="shared" si="24"/>
        <v>0</v>
      </c>
      <c r="AH92" s="211" t="str">
        <f t="shared" si="19"/>
        <v>0,;!0,;!0,;!0</v>
      </c>
      <c r="AI92" s="211" t="e">
        <f>INDEX([1]Library!$AL:$AL,MATCH(AH92,[1]Library!$AJ:$AJ,0),1)</f>
        <v>#N/A</v>
      </c>
      <c r="AJ92" s="211" t="e">
        <f>TEXT(INDEX([1]Library!$W:$W,MATCH(AH92,[1]Library!$AJ:$AJ,0),1),"")</f>
        <v>#N/A</v>
      </c>
    </row>
    <row r="93" spans="1:36" ht="25.2" hidden="1" customHeight="1" outlineLevel="2">
      <c r="A93" s="228"/>
      <c r="B93" s="229"/>
      <c r="C93" s="230"/>
      <c r="D93" s="231" t="s">
        <v>125</v>
      </c>
      <c r="E93" s="232"/>
      <c r="F93" s="233"/>
      <c r="G93" s="379"/>
      <c r="H93" s="380">
        <v>529082.31999999995</v>
      </c>
      <c r="I93" s="234" t="s">
        <v>121</v>
      </c>
      <c r="J93" s="235">
        <v>35.151785714285701</v>
      </c>
      <c r="K93" s="236">
        <v>18598188.337857101</v>
      </c>
      <c r="L93" s="235">
        <v>4.0178571428571397</v>
      </c>
      <c r="M93" s="236">
        <v>2125777.17857143</v>
      </c>
      <c r="N93" s="237">
        <v>0</v>
      </c>
      <c r="O93" s="236">
        <v>0</v>
      </c>
      <c r="P93" s="238">
        <v>20723965.516428601</v>
      </c>
      <c r="Q93" s="239">
        <f t="shared" si="16"/>
        <v>1.1147769418553499E-2</v>
      </c>
      <c r="R93" s="236">
        <f t="shared" si="17"/>
        <v>1111.70529978267</v>
      </c>
      <c r="S93" s="240">
        <f t="shared" si="18"/>
        <v>40635.226502801197</v>
      </c>
      <c r="T93" s="241"/>
      <c r="U93" s="225"/>
      <c r="V93" s="226"/>
      <c r="W93" s="227"/>
      <c r="X93" s="226"/>
      <c r="Y93" s="226"/>
      <c r="Z93" s="226"/>
      <c r="AA93" s="226"/>
      <c r="AB93" s="226"/>
      <c r="AC93" s="226"/>
      <c r="AD93" s="96">
        <f t="shared" si="21"/>
        <v>0</v>
      </c>
      <c r="AE93" s="96">
        <f t="shared" si="22"/>
        <v>0</v>
      </c>
      <c r="AF93" s="96">
        <f t="shared" si="23"/>
        <v>0</v>
      </c>
      <c r="AG93" s="96">
        <f t="shared" si="24"/>
        <v>0</v>
      </c>
      <c r="AH93" s="211" t="str">
        <f t="shared" si="19"/>
        <v>0,;!0,;!0,;!0</v>
      </c>
      <c r="AI93" s="211" t="e">
        <f>INDEX([1]Library!$AL:$AL,MATCH(AH93,[1]Library!$AJ:$AJ,0),1)</f>
        <v>#N/A</v>
      </c>
      <c r="AJ93" s="211" t="e">
        <f>TEXT(INDEX([1]Library!$W:$W,MATCH(AH93,[1]Library!$AJ:$AJ,0),1),"")</f>
        <v>#N/A</v>
      </c>
    </row>
    <row r="94" spans="1:36" ht="25.2" hidden="1" customHeight="1" outlineLevel="2">
      <c r="A94" s="228"/>
      <c r="B94" s="229"/>
      <c r="C94" s="230"/>
      <c r="D94" s="231" t="s">
        <v>126</v>
      </c>
      <c r="E94" s="232"/>
      <c r="F94" s="233"/>
      <c r="G94" s="379"/>
      <c r="H94" s="380">
        <v>9531.2000000000007</v>
      </c>
      <c r="I94" s="234" t="s">
        <v>121</v>
      </c>
      <c r="J94" s="235">
        <v>35.151785714285701</v>
      </c>
      <c r="K94" s="236">
        <v>335038.7</v>
      </c>
      <c r="L94" s="235">
        <v>4.0178571428571397</v>
      </c>
      <c r="M94" s="236">
        <v>38295</v>
      </c>
      <c r="N94" s="237">
        <v>0</v>
      </c>
      <c r="O94" s="236">
        <v>0</v>
      </c>
      <c r="P94" s="238">
        <v>373333.7</v>
      </c>
      <c r="Q94" s="239">
        <f t="shared" si="16"/>
        <v>2.0082247292277201E-4</v>
      </c>
      <c r="R94" s="236">
        <f t="shared" si="17"/>
        <v>20.0269129259291</v>
      </c>
      <c r="S94" s="240">
        <f t="shared" si="18"/>
        <v>732.02686274509801</v>
      </c>
      <c r="T94" s="241"/>
      <c r="U94" s="225"/>
      <c r="V94" s="226"/>
      <c r="W94" s="227"/>
      <c r="X94" s="226"/>
      <c r="Y94" s="226"/>
      <c r="Z94" s="226"/>
      <c r="AA94" s="226"/>
      <c r="AB94" s="226"/>
      <c r="AC94" s="226"/>
      <c r="AD94" s="96">
        <f t="shared" si="21"/>
        <v>0</v>
      </c>
      <c r="AE94" s="96">
        <f t="shared" si="22"/>
        <v>0</v>
      </c>
      <c r="AF94" s="96">
        <f t="shared" si="23"/>
        <v>0</v>
      </c>
      <c r="AG94" s="96">
        <f t="shared" si="24"/>
        <v>0</v>
      </c>
      <c r="AH94" s="211" t="str">
        <f t="shared" si="19"/>
        <v>0,;!0,;!0,;!0</v>
      </c>
      <c r="AI94" s="211" t="e">
        <f>INDEX([1]Library!$AL:$AL,MATCH(AH94,[1]Library!$AJ:$AJ,0),1)</f>
        <v>#N/A</v>
      </c>
      <c r="AJ94" s="211" t="e">
        <f>TEXT(INDEX([1]Library!$W:$W,MATCH(AH94,[1]Library!$AJ:$AJ,0),1),"")</f>
        <v>#N/A</v>
      </c>
    </row>
    <row r="95" spans="1:36" ht="25.2" hidden="1" customHeight="1" outlineLevel="2">
      <c r="A95" s="228"/>
      <c r="B95" s="229"/>
      <c r="C95" s="230"/>
      <c r="D95" s="231" t="s">
        <v>127</v>
      </c>
      <c r="E95" s="232"/>
      <c r="F95" s="233"/>
      <c r="G95" s="379"/>
      <c r="H95" s="380">
        <v>74484.92</v>
      </c>
      <c r="I95" s="234" t="s">
        <v>121</v>
      </c>
      <c r="J95" s="235">
        <v>35.151785714285701</v>
      </c>
      <c r="K95" s="236">
        <v>2618277.9467857098</v>
      </c>
      <c r="L95" s="235">
        <v>4.0178571428571397</v>
      </c>
      <c r="M95" s="236">
        <v>299269.76785714302</v>
      </c>
      <c r="N95" s="237">
        <v>0</v>
      </c>
      <c r="O95" s="236">
        <v>0</v>
      </c>
      <c r="P95" s="238">
        <v>2917547.71464286</v>
      </c>
      <c r="Q95" s="239">
        <f t="shared" si="16"/>
        <v>1.56939795931833E-3</v>
      </c>
      <c r="R95" s="236">
        <f t="shared" si="17"/>
        <v>156.50736603311199</v>
      </c>
      <c r="S95" s="240">
        <f t="shared" si="18"/>
        <v>5720.6817934173696</v>
      </c>
      <c r="T95" s="241"/>
      <c r="U95" s="225"/>
      <c r="V95" s="226"/>
      <c r="W95" s="227"/>
      <c r="X95" s="226"/>
      <c r="Y95" s="226"/>
      <c r="Z95" s="226"/>
      <c r="AA95" s="226"/>
      <c r="AB95" s="226"/>
      <c r="AC95" s="226"/>
      <c r="AD95" s="96">
        <f t="shared" si="21"/>
        <v>0</v>
      </c>
      <c r="AE95" s="96">
        <f t="shared" si="22"/>
        <v>0</v>
      </c>
      <c r="AF95" s="96">
        <f t="shared" si="23"/>
        <v>0</v>
      </c>
      <c r="AG95" s="96">
        <f t="shared" si="24"/>
        <v>0</v>
      </c>
      <c r="AH95" s="211" t="str">
        <f t="shared" si="19"/>
        <v>0,;!0,;!0,;!0</v>
      </c>
      <c r="AI95" s="211" t="e">
        <f>INDEX([1]Library!$AL:$AL,MATCH(AH95,[1]Library!$AJ:$AJ,0),1)</f>
        <v>#N/A</v>
      </c>
      <c r="AJ95" s="211" t="e">
        <f>TEXT(INDEX([1]Library!$W:$W,MATCH(AH95,[1]Library!$AJ:$AJ,0),1),"")</f>
        <v>#N/A</v>
      </c>
    </row>
    <row r="96" spans="1:36" ht="25.2" hidden="1" customHeight="1" outlineLevel="2">
      <c r="A96" s="228"/>
      <c r="B96" s="229"/>
      <c r="C96" s="230"/>
      <c r="D96" s="231" t="s">
        <v>128</v>
      </c>
      <c r="E96" s="232"/>
      <c r="F96" s="233"/>
      <c r="G96" s="379"/>
      <c r="H96" s="380">
        <v>52012.52</v>
      </c>
      <c r="I96" s="234" t="s">
        <v>121</v>
      </c>
      <c r="J96" s="235">
        <v>35.151785714285701</v>
      </c>
      <c r="K96" s="236">
        <v>1828332.9575</v>
      </c>
      <c r="L96" s="235">
        <v>4.0178571428571397</v>
      </c>
      <c r="M96" s="236">
        <v>208978.875</v>
      </c>
      <c r="N96" s="237">
        <v>0</v>
      </c>
      <c r="O96" s="236">
        <v>0</v>
      </c>
      <c r="P96" s="238">
        <v>2037311.8325</v>
      </c>
      <c r="Q96" s="239">
        <f t="shared" si="16"/>
        <v>1.0959042816586701E-3</v>
      </c>
      <c r="R96" s="236">
        <f t="shared" si="17"/>
        <v>109.28846410715801</v>
      </c>
      <c r="S96" s="240">
        <f t="shared" si="18"/>
        <v>3994.72908333333</v>
      </c>
      <c r="T96" s="241"/>
      <c r="U96" s="225"/>
      <c r="V96" s="226"/>
      <c r="W96" s="227"/>
      <c r="X96" s="226"/>
      <c r="Y96" s="226"/>
      <c r="Z96" s="226"/>
      <c r="AA96" s="226"/>
      <c r="AB96" s="226"/>
      <c r="AC96" s="226"/>
      <c r="AD96" s="96">
        <f t="shared" si="21"/>
        <v>0</v>
      </c>
      <c r="AE96" s="96">
        <f t="shared" si="22"/>
        <v>0</v>
      </c>
      <c r="AF96" s="96">
        <f t="shared" si="23"/>
        <v>0</v>
      </c>
      <c r="AG96" s="96">
        <f t="shared" si="24"/>
        <v>0</v>
      </c>
      <c r="AH96" s="211" t="str">
        <f t="shared" si="19"/>
        <v>0,;!0,;!0,;!0</v>
      </c>
      <c r="AI96" s="211" t="e">
        <f>INDEX([1]Library!$AL:$AL,MATCH(AH96,[1]Library!$AJ:$AJ,0),1)</f>
        <v>#N/A</v>
      </c>
      <c r="AJ96" s="211" t="e">
        <f>TEXT(INDEX([1]Library!$W:$W,MATCH(AH96,[1]Library!$AJ:$AJ,0),1),"")</f>
        <v>#N/A</v>
      </c>
    </row>
    <row r="97" spans="1:36" ht="25.2" hidden="1" customHeight="1" outlineLevel="2">
      <c r="A97" s="228"/>
      <c r="B97" s="229"/>
      <c r="C97" s="230"/>
      <c r="D97" s="231" t="s">
        <v>129</v>
      </c>
      <c r="E97" s="232"/>
      <c r="F97" s="233"/>
      <c r="G97" s="379"/>
      <c r="H97" s="380">
        <v>824699.84</v>
      </c>
      <c r="I97" s="234" t="s">
        <v>121</v>
      </c>
      <c r="J97" s="235">
        <v>35.151785714285701</v>
      </c>
      <c r="K97" s="236">
        <v>28989672.054285701</v>
      </c>
      <c r="L97" s="235">
        <v>4.0178571428571397</v>
      </c>
      <c r="M97" s="236">
        <v>3313526.1428571399</v>
      </c>
      <c r="N97" s="237">
        <v>0</v>
      </c>
      <c r="O97" s="236">
        <v>0</v>
      </c>
      <c r="P97" s="238">
        <v>32303198.197142798</v>
      </c>
      <c r="Q97" s="239">
        <f t="shared" si="16"/>
        <v>1.73764333229619E-2</v>
      </c>
      <c r="R97" s="236">
        <f t="shared" si="17"/>
        <v>1732.85545216842</v>
      </c>
      <c r="S97" s="240">
        <f t="shared" si="18"/>
        <v>63339.604308123096</v>
      </c>
      <c r="T97" s="241"/>
      <c r="U97" s="225"/>
      <c r="V97" s="226"/>
      <c r="W97" s="227"/>
      <c r="X97" s="226"/>
      <c r="Y97" s="226"/>
      <c r="Z97" s="226"/>
      <c r="AA97" s="226"/>
      <c r="AB97" s="226"/>
      <c r="AC97" s="226"/>
      <c r="AD97" s="96">
        <f t="shared" si="21"/>
        <v>0</v>
      </c>
      <c r="AE97" s="96">
        <f t="shared" si="22"/>
        <v>0</v>
      </c>
      <c r="AF97" s="96">
        <f t="shared" si="23"/>
        <v>0</v>
      </c>
      <c r="AG97" s="96">
        <f t="shared" si="24"/>
        <v>0</v>
      </c>
      <c r="AH97" s="211" t="str">
        <f t="shared" si="19"/>
        <v>0,;!0,;!0,;!0</v>
      </c>
      <c r="AI97" s="211" t="e">
        <f>INDEX([1]Library!$AL:$AL,MATCH(AH97,[1]Library!$AJ:$AJ,0),1)</f>
        <v>#N/A</v>
      </c>
      <c r="AJ97" s="211" t="e">
        <f>TEXT(INDEX([1]Library!$W:$W,MATCH(AH97,[1]Library!$AJ:$AJ,0),1),"")</f>
        <v>#N/A</v>
      </c>
    </row>
    <row r="98" spans="1:36" ht="25.2" hidden="1" customHeight="1" outlineLevel="2">
      <c r="A98" s="228"/>
      <c r="B98" s="229"/>
      <c r="C98" s="230"/>
      <c r="D98" s="231" t="s">
        <v>130</v>
      </c>
      <c r="E98" s="232"/>
      <c r="F98" s="233"/>
      <c r="G98" s="379"/>
      <c r="H98" s="380">
        <v>1513.92</v>
      </c>
      <c r="I98" s="234" t="s">
        <v>121</v>
      </c>
      <c r="J98" s="235">
        <v>35.151785714285701</v>
      </c>
      <c r="K98" s="236">
        <v>53216.991428571397</v>
      </c>
      <c r="L98" s="235">
        <v>4.0178571428571397</v>
      </c>
      <c r="M98" s="236">
        <v>6082.7142857142899</v>
      </c>
      <c r="N98" s="237">
        <v>0</v>
      </c>
      <c r="O98" s="236">
        <v>0</v>
      </c>
      <c r="P98" s="238">
        <v>59299.705714285701</v>
      </c>
      <c r="Q98" s="239">
        <f t="shared" si="16"/>
        <v>3.1898308524345603E-5</v>
      </c>
      <c r="R98" s="236">
        <f t="shared" si="17"/>
        <v>3.1810416334588099</v>
      </c>
      <c r="S98" s="240">
        <f t="shared" si="18"/>
        <v>116.273932773109</v>
      </c>
      <c r="T98" s="241"/>
      <c r="U98" s="225"/>
      <c r="V98" s="226"/>
      <c r="W98" s="227"/>
      <c r="X98" s="226"/>
      <c r="Y98" s="226"/>
      <c r="Z98" s="226"/>
      <c r="AA98" s="226"/>
      <c r="AB98" s="226"/>
      <c r="AC98" s="226"/>
      <c r="AD98" s="96">
        <f t="shared" si="21"/>
        <v>0</v>
      </c>
      <c r="AE98" s="96">
        <f t="shared" si="22"/>
        <v>0</v>
      </c>
      <c r="AF98" s="96">
        <f t="shared" si="23"/>
        <v>0</v>
      </c>
      <c r="AG98" s="96">
        <f t="shared" si="24"/>
        <v>0</v>
      </c>
      <c r="AH98" s="211" t="str">
        <f t="shared" si="19"/>
        <v>0,;!0,;!0,;!0</v>
      </c>
      <c r="AI98" s="211" t="e">
        <f>INDEX([1]Library!$AL:$AL,MATCH(AH98,[1]Library!$AJ:$AJ,0),1)</f>
        <v>#N/A</v>
      </c>
      <c r="AJ98" s="211" t="e">
        <f>TEXT(INDEX([1]Library!$W:$W,MATCH(AH98,[1]Library!$AJ:$AJ,0),1),"")</f>
        <v>#N/A</v>
      </c>
    </row>
    <row r="99" spans="1:36" ht="25.2" hidden="1" customHeight="1" outlineLevel="2">
      <c r="A99" s="228"/>
      <c r="B99" s="229"/>
      <c r="C99" s="230"/>
      <c r="D99" s="231" t="s">
        <v>131</v>
      </c>
      <c r="E99" s="232"/>
      <c r="F99" s="233"/>
      <c r="G99" s="379"/>
      <c r="H99" s="380">
        <v>1547</v>
      </c>
      <c r="I99" s="234" t="s">
        <v>121</v>
      </c>
      <c r="J99" s="235">
        <v>35.151785714285701</v>
      </c>
      <c r="K99" s="236">
        <v>54379.8125</v>
      </c>
      <c r="L99" s="235">
        <v>4.0178571428571397</v>
      </c>
      <c r="M99" s="236">
        <v>6215.625</v>
      </c>
      <c r="N99" s="237">
        <v>0</v>
      </c>
      <c r="O99" s="236">
        <v>0</v>
      </c>
      <c r="P99" s="238">
        <v>60595.4375</v>
      </c>
      <c r="Q99" s="239">
        <f t="shared" si="16"/>
        <v>3.25953044329705E-5</v>
      </c>
      <c r="R99" s="236">
        <f t="shared" si="17"/>
        <v>3.25054917496352</v>
      </c>
      <c r="S99" s="240">
        <f t="shared" si="18"/>
        <v>118.814583333333</v>
      </c>
      <c r="T99" s="241"/>
      <c r="U99" s="225"/>
      <c r="V99" s="226"/>
      <c r="W99" s="227"/>
      <c r="X99" s="226"/>
      <c r="Y99" s="226"/>
      <c r="Z99" s="226"/>
      <c r="AA99" s="226"/>
      <c r="AB99" s="226"/>
      <c r="AC99" s="226"/>
      <c r="AD99" s="96">
        <f t="shared" si="21"/>
        <v>0</v>
      </c>
      <c r="AE99" s="96">
        <f t="shared" si="22"/>
        <v>0</v>
      </c>
      <c r="AF99" s="96">
        <f t="shared" si="23"/>
        <v>0</v>
      </c>
      <c r="AG99" s="96">
        <f t="shared" si="24"/>
        <v>0</v>
      </c>
      <c r="AH99" s="211" t="str">
        <f t="shared" si="19"/>
        <v>0,;!0,;!0,;!0</v>
      </c>
      <c r="AI99" s="211" t="e">
        <f>INDEX([1]Library!$AL:$AL,MATCH(AH99,[1]Library!$AJ:$AJ,0),1)</f>
        <v>#N/A</v>
      </c>
      <c r="AJ99" s="211" t="e">
        <f>TEXT(INDEX([1]Library!$W:$W,MATCH(AH99,[1]Library!$AJ:$AJ,0),1),"")</f>
        <v>#N/A</v>
      </c>
    </row>
    <row r="100" spans="1:36" ht="25.2" hidden="1" customHeight="1" outlineLevel="2">
      <c r="A100" s="228"/>
      <c r="B100" s="229"/>
      <c r="C100" s="230"/>
      <c r="D100" s="231" t="s">
        <v>132</v>
      </c>
      <c r="E100" s="232"/>
      <c r="F100" s="233"/>
      <c r="G100" s="379"/>
      <c r="H100" s="380">
        <v>2017103.04</v>
      </c>
      <c r="I100" s="234" t="s">
        <v>121</v>
      </c>
      <c r="J100" s="235">
        <v>2</v>
      </c>
      <c r="K100" s="236">
        <v>4034206.08</v>
      </c>
      <c r="L100" s="235">
        <v>0</v>
      </c>
      <c r="M100" s="236">
        <v>0</v>
      </c>
      <c r="N100" s="237">
        <v>0</v>
      </c>
      <c r="O100" s="236">
        <v>0</v>
      </c>
      <c r="P100" s="238">
        <v>4034206.08</v>
      </c>
      <c r="Q100" s="239">
        <f t="shared" si="16"/>
        <v>2.1700672649312999E-3</v>
      </c>
      <c r="R100" s="236">
        <f t="shared" si="17"/>
        <v>216.40878894515501</v>
      </c>
      <c r="S100" s="240">
        <f t="shared" si="18"/>
        <v>7910.2079999999996</v>
      </c>
      <c r="T100" s="241"/>
      <c r="U100" s="225"/>
      <c r="V100" s="226"/>
      <c r="W100" s="227"/>
      <c r="X100" s="226"/>
      <c r="Y100" s="226"/>
      <c r="Z100" s="226"/>
      <c r="AA100" s="226"/>
      <c r="AB100" s="226"/>
      <c r="AC100" s="226"/>
      <c r="AD100" s="96">
        <f>IF(X100&lt;&gt;0,IF($X100&gt;=AD$12,#REF!,""),Z100)</f>
        <v>0</v>
      </c>
      <c r="AE100" s="96">
        <f>IF(AA100=" ",IF($X100&gt;=AE$12,#REF!,""),AA100)</f>
        <v>0</v>
      </c>
      <c r="AF100" s="96">
        <f>IF(AB100=" ",IF($X100&gt;=AF$12,#REF!,""),AB100)</f>
        <v>0</v>
      </c>
      <c r="AG100" s="96">
        <f>IF(AC100=" ",IF($X100&gt;=AG$12,#REF!,""),AC100)</f>
        <v>0</v>
      </c>
      <c r="AH100" s="211" t="str">
        <f t="shared" si="19"/>
        <v>0,;!0,;!0,;!0</v>
      </c>
      <c r="AI100" s="211" t="e">
        <f>INDEX([1]Library!$AL:$AL,MATCH(AH100,[1]Library!$AJ:$AJ,0),1)</f>
        <v>#N/A</v>
      </c>
      <c r="AJ100" s="211" t="e">
        <f>TEXT(INDEX([1]Library!$W:$W,MATCH(AH100,[1]Library!$AJ:$AJ,0),1),"")</f>
        <v>#N/A</v>
      </c>
    </row>
    <row r="101" spans="1:36" ht="25.2" hidden="1" customHeight="1" outlineLevel="2">
      <c r="A101" s="228"/>
      <c r="B101" s="229"/>
      <c r="C101" s="230"/>
      <c r="D101" s="231" t="s">
        <v>133</v>
      </c>
      <c r="E101" s="232"/>
      <c r="F101" s="233"/>
      <c r="G101" s="379"/>
      <c r="H101" s="380">
        <v>9760</v>
      </c>
      <c r="I101" s="234" t="s">
        <v>134</v>
      </c>
      <c r="J101" s="235">
        <v>632.142857142857</v>
      </c>
      <c r="K101" s="236">
        <v>6169714.2857142901</v>
      </c>
      <c r="L101" s="235">
        <v>44.642857142857103</v>
      </c>
      <c r="M101" s="236">
        <v>435714.28571428597</v>
      </c>
      <c r="N101" s="237">
        <v>0</v>
      </c>
      <c r="O101" s="236">
        <v>0</v>
      </c>
      <c r="P101" s="238">
        <v>6605428.57142857</v>
      </c>
      <c r="Q101" s="239">
        <f t="shared" si="16"/>
        <v>3.553171064999E-3</v>
      </c>
      <c r="R101" s="236">
        <f t="shared" si="17"/>
        <v>354.33807030665702</v>
      </c>
      <c r="S101" s="240">
        <f t="shared" si="18"/>
        <v>12951.820728291301</v>
      </c>
      <c r="T101" s="241"/>
      <c r="U101" s="225"/>
      <c r="V101" s="226"/>
      <c r="W101" s="227"/>
      <c r="X101" s="226"/>
      <c r="Y101" s="226"/>
      <c r="Z101" s="226"/>
      <c r="AA101" s="226"/>
      <c r="AB101" s="226"/>
      <c r="AC101" s="226"/>
      <c r="AD101" s="96">
        <f t="shared" ref="AD101:AD111" si="25">IF(X101&lt;&gt;0,IF($X101&gt;=AD$12,AD100,""),Z101)</f>
        <v>0</v>
      </c>
      <c r="AE101" s="96">
        <f t="shared" ref="AE101:AE111" si="26">IF(AA101=" ",IF($X101&gt;=AE$12,AE100,""),AA101)</f>
        <v>0</v>
      </c>
      <c r="AF101" s="96">
        <f t="shared" ref="AF101:AF111" si="27">IF(AB101=" ",IF($X101&gt;=AF$12,AF100,""),AB101)</f>
        <v>0</v>
      </c>
      <c r="AG101" s="96">
        <f t="shared" ref="AG101:AG111" si="28">IF(AC101=" ",IF($X101&gt;=AG$12,AG100,""),AC101)</f>
        <v>0</v>
      </c>
      <c r="AH101" s="211" t="str">
        <f t="shared" si="19"/>
        <v>0,;!0,;!0,;!0</v>
      </c>
      <c r="AI101" s="211" t="e">
        <f>INDEX([1]Library!$AL:$AL,MATCH(AH101,[1]Library!$AJ:$AJ,0),1)</f>
        <v>#N/A</v>
      </c>
      <c r="AJ101" s="211" t="e">
        <f>TEXT(INDEX([1]Library!$W:$W,MATCH(AH101,[1]Library!$AJ:$AJ,0),1),"")</f>
        <v>#N/A</v>
      </c>
    </row>
    <row r="102" spans="1:36" ht="25.2" hidden="1" customHeight="1" outlineLevel="2">
      <c r="A102" s="228"/>
      <c r="B102" s="229"/>
      <c r="C102" s="230"/>
      <c r="D102" s="231" t="s">
        <v>135</v>
      </c>
      <c r="E102" s="232"/>
      <c r="F102" s="233"/>
      <c r="G102" s="379"/>
      <c r="H102" s="380">
        <v>2244</v>
      </c>
      <c r="I102" s="234" t="s">
        <v>136</v>
      </c>
      <c r="J102" s="235">
        <v>2574</v>
      </c>
      <c r="K102" s="236">
        <v>5776056</v>
      </c>
      <c r="L102" s="235">
        <v>89.285714285714306</v>
      </c>
      <c r="M102" s="236">
        <v>200357.14285714299</v>
      </c>
      <c r="N102" s="237">
        <v>0</v>
      </c>
      <c r="O102" s="236">
        <v>0</v>
      </c>
      <c r="P102" s="238">
        <v>5976413.1428571399</v>
      </c>
      <c r="Q102" s="239">
        <f t="shared" si="16"/>
        <v>3.2148130922998001E-3</v>
      </c>
      <c r="R102" s="236">
        <f t="shared" si="17"/>
        <v>320.59550375810801</v>
      </c>
      <c r="S102" s="240">
        <f t="shared" si="18"/>
        <v>11718.4571428571</v>
      </c>
      <c r="T102" s="241"/>
      <c r="U102" s="225"/>
      <c r="V102" s="226"/>
      <c r="W102" s="227"/>
      <c r="X102" s="226"/>
      <c r="Y102" s="226"/>
      <c r="Z102" s="226"/>
      <c r="AA102" s="226"/>
      <c r="AB102" s="226"/>
      <c r="AC102" s="226"/>
      <c r="AD102" s="96">
        <f t="shared" si="25"/>
        <v>0</v>
      </c>
      <c r="AE102" s="96">
        <f t="shared" si="26"/>
        <v>0</v>
      </c>
      <c r="AF102" s="96">
        <f t="shared" si="27"/>
        <v>0</v>
      </c>
      <c r="AG102" s="96">
        <f t="shared" si="28"/>
        <v>0</v>
      </c>
      <c r="AH102" s="211" t="str">
        <f t="shared" si="19"/>
        <v>0,;!0,;!0,;!0</v>
      </c>
      <c r="AI102" s="211" t="e">
        <f>INDEX([1]Library!$AL:$AL,MATCH(AH102,[1]Library!$AJ:$AJ,0),1)</f>
        <v>#N/A</v>
      </c>
      <c r="AJ102" s="211" t="e">
        <f>TEXT(INDEX([1]Library!$W:$W,MATCH(AH102,[1]Library!$AJ:$AJ,0),1),"")</f>
        <v>#N/A</v>
      </c>
    </row>
    <row r="103" spans="1:36" ht="25.2" hidden="1" customHeight="1" outlineLevel="1" collapsed="1">
      <c r="A103" s="213"/>
      <c r="B103" s="214"/>
      <c r="C103" s="215" t="s">
        <v>137</v>
      </c>
      <c r="D103" s="215"/>
      <c r="E103" s="216"/>
      <c r="F103" s="217"/>
      <c r="G103" s="379"/>
      <c r="H103" s="219">
        <v>1</v>
      </c>
      <c r="I103" s="218" t="s">
        <v>32</v>
      </c>
      <c r="J103" s="219">
        <v>17476185.142857101</v>
      </c>
      <c r="K103" s="219">
        <v>17476185.142857101</v>
      </c>
      <c r="L103" s="219">
        <v>6643064.2857142799</v>
      </c>
      <c r="M103" s="219">
        <v>6643064.2857142799</v>
      </c>
      <c r="N103" s="219">
        <v>0</v>
      </c>
      <c r="O103" s="219">
        <v>0</v>
      </c>
      <c r="P103" s="220">
        <v>24119249.428571399</v>
      </c>
      <c r="Q103" s="221">
        <f t="shared" si="16"/>
        <v>1.2974149709192801E-2</v>
      </c>
      <c r="R103" s="222">
        <f t="shared" si="17"/>
        <v>1293.84009036625</v>
      </c>
      <c r="S103" s="223">
        <f t="shared" si="18"/>
        <v>47292.645938375303</v>
      </c>
      <c r="T103" s="224"/>
      <c r="U103" s="225"/>
      <c r="V103" s="226"/>
      <c r="W103" s="227"/>
      <c r="X103" s="226"/>
      <c r="Y103" s="226"/>
      <c r="Z103" s="226"/>
      <c r="AA103" s="226"/>
      <c r="AB103" s="226"/>
      <c r="AC103" s="226"/>
      <c r="AD103" s="96">
        <f t="shared" si="25"/>
        <v>0</v>
      </c>
      <c r="AE103" s="96">
        <f t="shared" si="26"/>
        <v>0</v>
      </c>
      <c r="AF103" s="96">
        <f t="shared" si="27"/>
        <v>0</v>
      </c>
      <c r="AG103" s="96">
        <f t="shared" si="28"/>
        <v>0</v>
      </c>
      <c r="AH103" s="211" t="str">
        <f t="shared" si="19"/>
        <v>0,;!0,;!0,;!0</v>
      </c>
      <c r="AI103" s="211" t="e">
        <f>INDEX([1]Library!$AL:$AL,MATCH(AH103,[1]Library!$AJ:$AJ,0),1)</f>
        <v>#N/A</v>
      </c>
      <c r="AJ103" s="211" t="e">
        <f>TEXT(INDEX([1]Library!$W:$W,MATCH(AH103,[1]Library!$AJ:$AJ,0),1),"")</f>
        <v>#N/A</v>
      </c>
    </row>
    <row r="104" spans="1:36" ht="25.2" hidden="1" customHeight="1" outlineLevel="2">
      <c r="A104" s="228"/>
      <c r="B104" s="229"/>
      <c r="C104" s="230"/>
      <c r="D104" s="231" t="s">
        <v>120</v>
      </c>
      <c r="E104" s="232"/>
      <c r="F104" s="233"/>
      <c r="G104" s="379"/>
      <c r="H104" s="380">
        <v>2435.1999999999998</v>
      </c>
      <c r="I104" s="234" t="s">
        <v>117</v>
      </c>
      <c r="J104" s="235">
        <v>200</v>
      </c>
      <c r="K104" s="236">
        <v>487040</v>
      </c>
      <c r="L104" s="235">
        <v>178.57142857142901</v>
      </c>
      <c r="M104" s="236">
        <v>434857.14285714302</v>
      </c>
      <c r="N104" s="237">
        <v>0</v>
      </c>
      <c r="O104" s="236">
        <v>0</v>
      </c>
      <c r="P104" s="238">
        <v>921897.14285714296</v>
      </c>
      <c r="Q104" s="239">
        <f t="shared" si="16"/>
        <v>4.9590397011844696E-4</v>
      </c>
      <c r="R104" s="236">
        <f t="shared" si="17"/>
        <v>49.453756268622001</v>
      </c>
      <c r="S104" s="240">
        <f t="shared" si="18"/>
        <v>1807.6414565826301</v>
      </c>
      <c r="T104" s="241"/>
      <c r="U104" s="225"/>
      <c r="V104" s="226"/>
      <c r="W104" s="227"/>
      <c r="X104" s="226"/>
      <c r="Y104" s="226"/>
      <c r="Z104" s="226"/>
      <c r="AA104" s="226"/>
      <c r="AB104" s="226"/>
      <c r="AC104" s="226"/>
      <c r="AD104" s="96">
        <f t="shared" si="25"/>
        <v>0</v>
      </c>
      <c r="AE104" s="96">
        <f t="shared" si="26"/>
        <v>0</v>
      </c>
      <c r="AF104" s="96">
        <f t="shared" si="27"/>
        <v>0</v>
      </c>
      <c r="AG104" s="96">
        <f t="shared" si="28"/>
        <v>0</v>
      </c>
      <c r="AH104" s="211" t="str">
        <f t="shared" si="19"/>
        <v>0,;!0,;!0,;!0</v>
      </c>
      <c r="AI104" s="211" t="e">
        <f>INDEX([1]Library!$AL:$AL,MATCH(AH104,[1]Library!$AJ:$AJ,0),1)</f>
        <v>#N/A</v>
      </c>
      <c r="AJ104" s="211" t="e">
        <f>TEXT(INDEX([1]Library!$W:$W,MATCH(AH104,[1]Library!$AJ:$AJ,0),1),"")</f>
        <v>#N/A</v>
      </c>
    </row>
    <row r="105" spans="1:36" ht="25.2" hidden="1" customHeight="1" outlineLevel="2">
      <c r="A105" s="228"/>
      <c r="B105" s="229"/>
      <c r="C105" s="230"/>
      <c r="D105" s="231" t="s">
        <v>122</v>
      </c>
      <c r="E105" s="232"/>
      <c r="F105" s="233"/>
      <c r="G105" s="379"/>
      <c r="H105" s="380">
        <v>545.28</v>
      </c>
      <c r="I105" s="234" t="s">
        <v>117</v>
      </c>
      <c r="J105" s="235">
        <v>200</v>
      </c>
      <c r="K105" s="236">
        <v>109056</v>
      </c>
      <c r="L105" s="235">
        <v>178.57142857142901</v>
      </c>
      <c r="M105" s="236">
        <v>97371.428571428594</v>
      </c>
      <c r="N105" s="237">
        <v>0</v>
      </c>
      <c r="O105" s="236">
        <v>0</v>
      </c>
      <c r="P105" s="238">
        <v>206427.42857142899</v>
      </c>
      <c r="Q105" s="239">
        <f t="shared" si="16"/>
        <v>1.1104078384781E-4</v>
      </c>
      <c r="R105" s="236">
        <f t="shared" si="17"/>
        <v>11.0734823497677</v>
      </c>
      <c r="S105" s="240">
        <f t="shared" si="18"/>
        <v>404.759663865547</v>
      </c>
      <c r="T105" s="241"/>
      <c r="U105" s="225"/>
      <c r="V105" s="226"/>
      <c r="W105" s="227"/>
      <c r="X105" s="226"/>
      <c r="Y105" s="226"/>
      <c r="Z105" s="226"/>
      <c r="AA105" s="226"/>
      <c r="AB105" s="226"/>
      <c r="AC105" s="226"/>
      <c r="AD105" s="96">
        <f t="shared" si="25"/>
        <v>0</v>
      </c>
      <c r="AE105" s="96">
        <f t="shared" si="26"/>
        <v>0</v>
      </c>
      <c r="AF105" s="96">
        <f t="shared" si="27"/>
        <v>0</v>
      </c>
      <c r="AG105" s="96">
        <f t="shared" si="28"/>
        <v>0</v>
      </c>
      <c r="AH105" s="211" t="str">
        <f t="shared" si="19"/>
        <v>0,;!0,;!0,;!0</v>
      </c>
      <c r="AI105" s="211" t="e">
        <f>INDEX([1]Library!$AL:$AL,MATCH(AH105,[1]Library!$AJ:$AJ,0),1)</f>
        <v>#N/A</v>
      </c>
      <c r="AJ105" s="211" t="e">
        <f>TEXT(INDEX([1]Library!$W:$W,MATCH(AH105,[1]Library!$AJ:$AJ,0),1),"")</f>
        <v>#N/A</v>
      </c>
    </row>
    <row r="106" spans="1:36" ht="25.2" hidden="1" customHeight="1" outlineLevel="2">
      <c r="A106" s="228"/>
      <c r="B106" s="229"/>
      <c r="C106" s="230"/>
      <c r="D106" s="231" t="s">
        <v>123</v>
      </c>
      <c r="E106" s="232"/>
      <c r="F106" s="233"/>
      <c r="G106" s="379"/>
      <c r="H106" s="380">
        <v>1889.36</v>
      </c>
      <c r="I106" s="234" t="s">
        <v>117</v>
      </c>
      <c r="J106" s="235">
        <v>200</v>
      </c>
      <c r="K106" s="236">
        <v>377872</v>
      </c>
      <c r="L106" s="235">
        <v>178.57142857142901</v>
      </c>
      <c r="M106" s="236">
        <v>337385.71428571403</v>
      </c>
      <c r="N106" s="237">
        <v>0</v>
      </c>
      <c r="O106" s="236">
        <v>0</v>
      </c>
      <c r="P106" s="238">
        <v>715257.71428571397</v>
      </c>
      <c r="Q106" s="239">
        <f t="shared" si="16"/>
        <v>3.84749147906944E-4</v>
      </c>
      <c r="R106" s="236">
        <f t="shared" si="17"/>
        <v>38.3689015044692</v>
      </c>
      <c r="S106" s="240">
        <f t="shared" si="18"/>
        <v>1402.46610644258</v>
      </c>
      <c r="T106" s="241"/>
      <c r="U106" s="225"/>
      <c r="V106" s="226"/>
      <c r="W106" s="227"/>
      <c r="X106" s="226"/>
      <c r="Y106" s="226"/>
      <c r="Z106" s="226"/>
      <c r="AA106" s="226"/>
      <c r="AB106" s="226"/>
      <c r="AC106" s="226"/>
      <c r="AD106" s="96">
        <f t="shared" si="25"/>
        <v>0</v>
      </c>
      <c r="AE106" s="96">
        <f t="shared" si="26"/>
        <v>0</v>
      </c>
      <c r="AF106" s="96">
        <f t="shared" si="27"/>
        <v>0</v>
      </c>
      <c r="AG106" s="96">
        <f t="shared" si="28"/>
        <v>0</v>
      </c>
      <c r="AH106" s="211" t="str">
        <f t="shared" si="19"/>
        <v>0,;!0,;!0,;!0</v>
      </c>
      <c r="AI106" s="211" t="e">
        <f>INDEX([1]Library!$AL:$AL,MATCH(AH106,[1]Library!$AJ:$AJ,0),1)</f>
        <v>#N/A</v>
      </c>
      <c r="AJ106" s="211" t="e">
        <f>TEXT(INDEX([1]Library!$W:$W,MATCH(AH106,[1]Library!$AJ:$AJ,0),1),"")</f>
        <v>#N/A</v>
      </c>
    </row>
    <row r="107" spans="1:36" ht="25.2" hidden="1" customHeight="1" outlineLevel="2">
      <c r="A107" s="228"/>
      <c r="B107" s="229"/>
      <c r="C107" s="230"/>
      <c r="D107" s="231" t="s">
        <v>124</v>
      </c>
      <c r="E107" s="232"/>
      <c r="F107" s="233"/>
      <c r="G107" s="379"/>
      <c r="H107" s="380">
        <v>109.56</v>
      </c>
      <c r="I107" s="234" t="s">
        <v>117</v>
      </c>
      <c r="J107" s="235">
        <v>400</v>
      </c>
      <c r="K107" s="236">
        <v>43824</v>
      </c>
      <c r="L107" s="235">
        <v>0</v>
      </c>
      <c r="M107" s="236">
        <v>0</v>
      </c>
      <c r="N107" s="237">
        <v>0</v>
      </c>
      <c r="O107" s="236">
        <v>0</v>
      </c>
      <c r="P107" s="238">
        <v>43824</v>
      </c>
      <c r="Q107" s="239">
        <f t="shared" si="16"/>
        <v>2.3573666275955099E-5</v>
      </c>
      <c r="R107" s="236">
        <f t="shared" si="17"/>
        <v>2.35087116985666</v>
      </c>
      <c r="S107" s="240">
        <f t="shared" si="18"/>
        <v>85.929411764705904</v>
      </c>
      <c r="T107" s="241"/>
      <c r="U107" s="225"/>
      <c r="V107" s="226"/>
      <c r="W107" s="227"/>
      <c r="X107" s="226"/>
      <c r="Y107" s="226"/>
      <c r="Z107" s="226"/>
      <c r="AA107" s="226"/>
      <c r="AB107" s="226"/>
      <c r="AC107" s="226"/>
      <c r="AD107" s="96">
        <f t="shared" si="25"/>
        <v>0</v>
      </c>
      <c r="AE107" s="96">
        <f t="shared" si="26"/>
        <v>0</v>
      </c>
      <c r="AF107" s="96">
        <f t="shared" si="27"/>
        <v>0</v>
      </c>
      <c r="AG107" s="96">
        <f t="shared" si="28"/>
        <v>0</v>
      </c>
      <c r="AH107" s="211" t="str">
        <f t="shared" si="19"/>
        <v>0,;!0,;!0,;!0</v>
      </c>
      <c r="AI107" s="211" t="e">
        <f>INDEX([1]Library!$AL:$AL,MATCH(AH107,[1]Library!$AJ:$AJ,0),1)</f>
        <v>#N/A</v>
      </c>
      <c r="AJ107" s="211" t="e">
        <f>TEXT(INDEX([1]Library!$W:$W,MATCH(AH107,[1]Library!$AJ:$AJ,0),1),"")</f>
        <v>#N/A</v>
      </c>
    </row>
    <row r="108" spans="1:36" ht="25.2" hidden="1" customHeight="1" outlineLevel="2">
      <c r="A108" s="228"/>
      <c r="B108" s="229"/>
      <c r="C108" s="230"/>
      <c r="D108" s="231" t="s">
        <v>125</v>
      </c>
      <c r="E108" s="232"/>
      <c r="F108" s="233"/>
      <c r="G108" s="379"/>
      <c r="H108" s="380">
        <v>24758.04</v>
      </c>
      <c r="I108" s="234" t="s">
        <v>117</v>
      </c>
      <c r="J108" s="235">
        <v>200</v>
      </c>
      <c r="K108" s="236">
        <v>4951608</v>
      </c>
      <c r="L108" s="235">
        <v>178.57142857142901</v>
      </c>
      <c r="M108" s="236">
        <v>4421078.57142857</v>
      </c>
      <c r="N108" s="237">
        <v>0</v>
      </c>
      <c r="O108" s="236">
        <v>0</v>
      </c>
      <c r="P108" s="238">
        <v>9372686.5714285709</v>
      </c>
      <c r="Q108" s="239">
        <f t="shared" si="16"/>
        <v>5.0417256604596396E-3</v>
      </c>
      <c r="R108" s="236">
        <f t="shared" si="17"/>
        <v>502.78337543068</v>
      </c>
      <c r="S108" s="240">
        <f t="shared" si="18"/>
        <v>18377.816806722702</v>
      </c>
      <c r="T108" s="241"/>
      <c r="U108" s="225"/>
      <c r="V108" s="226"/>
      <c r="W108" s="227"/>
      <c r="X108" s="226"/>
      <c r="Y108" s="226"/>
      <c r="Z108" s="226"/>
      <c r="AA108" s="226"/>
      <c r="AB108" s="226"/>
      <c r="AC108" s="226"/>
      <c r="AD108" s="96">
        <f t="shared" si="25"/>
        <v>0</v>
      </c>
      <c r="AE108" s="96">
        <f t="shared" si="26"/>
        <v>0</v>
      </c>
      <c r="AF108" s="96">
        <f t="shared" si="27"/>
        <v>0</v>
      </c>
      <c r="AG108" s="96">
        <f t="shared" si="28"/>
        <v>0</v>
      </c>
      <c r="AH108" s="211" t="str">
        <f t="shared" si="19"/>
        <v>0,;!0,;!0,;!0</v>
      </c>
      <c r="AI108" s="211" t="e">
        <f>INDEX([1]Library!$AL:$AL,MATCH(AH108,[1]Library!$AJ:$AJ,0),1)</f>
        <v>#N/A</v>
      </c>
      <c r="AJ108" s="211" t="e">
        <f>TEXT(INDEX([1]Library!$W:$W,MATCH(AH108,[1]Library!$AJ:$AJ,0),1),"")</f>
        <v>#N/A</v>
      </c>
    </row>
    <row r="109" spans="1:36" ht="25.2" hidden="1" customHeight="1" outlineLevel="2">
      <c r="A109" s="228"/>
      <c r="B109" s="229"/>
      <c r="C109" s="230"/>
      <c r="D109" s="231" t="s">
        <v>126</v>
      </c>
      <c r="E109" s="232"/>
      <c r="F109" s="233"/>
      <c r="G109" s="379"/>
      <c r="H109" s="380">
        <v>2215.96</v>
      </c>
      <c r="I109" s="234" t="s">
        <v>117</v>
      </c>
      <c r="J109" s="235">
        <v>200</v>
      </c>
      <c r="K109" s="236">
        <v>443192</v>
      </c>
      <c r="L109" s="235">
        <v>178.57142857142901</v>
      </c>
      <c r="M109" s="236">
        <v>395707.14285714302</v>
      </c>
      <c r="N109" s="237">
        <v>0</v>
      </c>
      <c r="O109" s="236">
        <v>0</v>
      </c>
      <c r="P109" s="238">
        <v>838899.14285714296</v>
      </c>
      <c r="Q109" s="239">
        <f t="shared" si="16"/>
        <v>4.51257950732455E-4</v>
      </c>
      <c r="R109" s="236">
        <f t="shared" si="17"/>
        <v>45.001456036882203</v>
      </c>
      <c r="S109" s="240">
        <f t="shared" si="18"/>
        <v>1644.90028011205</v>
      </c>
      <c r="T109" s="241"/>
      <c r="U109" s="225"/>
      <c r="V109" s="226"/>
      <c r="W109" s="227"/>
      <c r="X109" s="226"/>
      <c r="Y109" s="226"/>
      <c r="Z109" s="226"/>
      <c r="AA109" s="226"/>
      <c r="AB109" s="226"/>
      <c r="AC109" s="226"/>
      <c r="AD109" s="96">
        <f t="shared" si="25"/>
        <v>0</v>
      </c>
      <c r="AE109" s="96">
        <f t="shared" si="26"/>
        <v>0</v>
      </c>
      <c r="AF109" s="96">
        <f t="shared" si="27"/>
        <v>0</v>
      </c>
      <c r="AG109" s="96">
        <f t="shared" si="28"/>
        <v>0</v>
      </c>
      <c r="AH109" s="211" t="str">
        <f t="shared" si="19"/>
        <v>0,;!0,;!0,;!0</v>
      </c>
      <c r="AI109" s="211" t="e">
        <f>INDEX([1]Library!$AL:$AL,MATCH(AH109,[1]Library!$AJ:$AJ,0),1)</f>
        <v>#N/A</v>
      </c>
      <c r="AJ109" s="211" t="e">
        <f>TEXT(INDEX([1]Library!$W:$W,MATCH(AH109,[1]Library!$AJ:$AJ,0),1),"")</f>
        <v>#N/A</v>
      </c>
    </row>
    <row r="110" spans="1:36" ht="25.2" hidden="1" customHeight="1" outlineLevel="2">
      <c r="A110" s="228"/>
      <c r="B110" s="229"/>
      <c r="C110" s="230"/>
      <c r="D110" s="231" t="s">
        <v>127</v>
      </c>
      <c r="E110" s="232"/>
      <c r="F110" s="233"/>
      <c r="G110" s="379"/>
      <c r="H110" s="380">
        <v>1949.88</v>
      </c>
      <c r="I110" s="234" t="s">
        <v>117</v>
      </c>
      <c r="J110" s="235">
        <v>400</v>
      </c>
      <c r="K110" s="236">
        <v>779952</v>
      </c>
      <c r="L110" s="235">
        <v>178.57142857142901</v>
      </c>
      <c r="M110" s="236">
        <v>348192.85714285698</v>
      </c>
      <c r="N110" s="237">
        <v>0</v>
      </c>
      <c r="O110" s="236">
        <v>0</v>
      </c>
      <c r="P110" s="238">
        <v>1128144.8571428601</v>
      </c>
      <c r="Q110" s="239">
        <f t="shared" si="16"/>
        <v>6.0684808263099699E-4</v>
      </c>
      <c r="R110" s="236">
        <f t="shared" si="17"/>
        <v>60.517598121559303</v>
      </c>
      <c r="S110" s="240">
        <f t="shared" si="18"/>
        <v>2212.0487394958</v>
      </c>
      <c r="T110" s="241"/>
      <c r="U110" s="225"/>
      <c r="V110" s="226"/>
      <c r="W110" s="227"/>
      <c r="X110" s="226"/>
      <c r="Y110" s="226"/>
      <c r="Z110" s="226"/>
      <c r="AA110" s="226"/>
      <c r="AB110" s="226"/>
      <c r="AC110" s="226"/>
      <c r="AD110" s="96">
        <f t="shared" si="25"/>
        <v>0</v>
      </c>
      <c r="AE110" s="96">
        <f t="shared" si="26"/>
        <v>0</v>
      </c>
      <c r="AF110" s="96">
        <f t="shared" si="27"/>
        <v>0</v>
      </c>
      <c r="AG110" s="96">
        <f t="shared" si="28"/>
        <v>0</v>
      </c>
      <c r="AH110" s="211" t="str">
        <f t="shared" si="19"/>
        <v>0,;!0,;!0,;!0</v>
      </c>
      <c r="AI110" s="211" t="e">
        <f>INDEX([1]Library!$AL:$AL,MATCH(AH110,[1]Library!$AJ:$AJ,0),1)</f>
        <v>#N/A</v>
      </c>
      <c r="AJ110" s="211" t="e">
        <f>TEXT(INDEX([1]Library!$W:$W,MATCH(AH110,[1]Library!$AJ:$AJ,0),1),"")</f>
        <v>#N/A</v>
      </c>
    </row>
    <row r="111" spans="1:36" ht="25.2" hidden="1" customHeight="1" outlineLevel="2">
      <c r="A111" s="228"/>
      <c r="B111" s="229"/>
      <c r="C111" s="230"/>
      <c r="D111" s="231" t="s">
        <v>128</v>
      </c>
      <c r="E111" s="232"/>
      <c r="F111" s="233"/>
      <c r="G111" s="379"/>
      <c r="H111" s="380">
        <v>3196.24</v>
      </c>
      <c r="I111" s="234" t="s">
        <v>117</v>
      </c>
      <c r="J111" s="235">
        <v>200</v>
      </c>
      <c r="K111" s="236">
        <v>639248</v>
      </c>
      <c r="L111" s="235">
        <v>178.57142857142901</v>
      </c>
      <c r="M111" s="236">
        <v>570757.14285714296</v>
      </c>
      <c r="N111" s="237">
        <v>0</v>
      </c>
      <c r="O111" s="236">
        <v>0</v>
      </c>
      <c r="P111" s="238">
        <v>1210005.1428571399</v>
      </c>
      <c r="Q111" s="239">
        <f t="shared" si="16"/>
        <v>6.5088210637786895E-4</v>
      </c>
      <c r="R111" s="236">
        <f t="shared" si="17"/>
        <v>64.908867417879407</v>
      </c>
      <c r="S111" s="240">
        <f t="shared" si="18"/>
        <v>2372.5591036414498</v>
      </c>
      <c r="T111" s="241"/>
      <c r="U111" s="225"/>
      <c r="V111" s="226"/>
      <c r="W111" s="227"/>
      <c r="X111" s="226"/>
      <c r="Y111" s="226"/>
      <c r="Z111" s="226"/>
      <c r="AA111" s="226"/>
      <c r="AB111" s="226"/>
      <c r="AC111" s="226"/>
      <c r="AD111" s="96">
        <f t="shared" si="25"/>
        <v>0</v>
      </c>
      <c r="AE111" s="96">
        <f t="shared" si="26"/>
        <v>0</v>
      </c>
      <c r="AF111" s="96">
        <f t="shared" si="27"/>
        <v>0</v>
      </c>
      <c r="AG111" s="96">
        <f t="shared" si="28"/>
        <v>0</v>
      </c>
      <c r="AH111" s="211" t="str">
        <f t="shared" si="19"/>
        <v>0,;!0,;!0,;!0</v>
      </c>
      <c r="AI111" s="211" t="e">
        <f>INDEX([1]Library!$AL:$AL,MATCH(AH111,[1]Library!$AJ:$AJ,0),1)</f>
        <v>#N/A</v>
      </c>
      <c r="AJ111" s="211" t="e">
        <f>TEXT(INDEX([1]Library!$W:$W,MATCH(AH111,[1]Library!$AJ:$AJ,0),1),"")</f>
        <v>#N/A</v>
      </c>
    </row>
    <row r="112" spans="1:36" ht="25.2" hidden="1" customHeight="1" outlineLevel="2">
      <c r="A112" s="228"/>
      <c r="B112" s="229"/>
      <c r="C112" s="230"/>
      <c r="D112" s="231" t="s">
        <v>130</v>
      </c>
      <c r="E112" s="232"/>
      <c r="F112" s="233"/>
      <c r="G112" s="379"/>
      <c r="H112" s="380">
        <v>154.08000000000001</v>
      </c>
      <c r="I112" s="234" t="s">
        <v>117</v>
      </c>
      <c r="J112" s="235">
        <v>200</v>
      </c>
      <c r="K112" s="236">
        <v>30816</v>
      </c>
      <c r="L112" s="235">
        <v>178.57142857142901</v>
      </c>
      <c r="M112" s="236">
        <v>27514.285714285699</v>
      </c>
      <c r="N112" s="237">
        <v>0</v>
      </c>
      <c r="O112" s="236">
        <v>0</v>
      </c>
      <c r="P112" s="238">
        <v>58330.285714285703</v>
      </c>
      <c r="Q112" s="239">
        <f t="shared" si="16"/>
        <v>3.1376841210516703E-5</v>
      </c>
      <c r="R112" s="236">
        <f t="shared" si="17"/>
        <v>3.1290385865100498</v>
      </c>
      <c r="S112" s="240">
        <f t="shared" si="18"/>
        <v>114.373109243697</v>
      </c>
      <c r="T112" s="241"/>
      <c r="U112" s="225"/>
      <c r="V112" s="226"/>
      <c r="W112" s="227"/>
      <c r="X112" s="226"/>
      <c r="Y112" s="226"/>
      <c r="Z112" s="226"/>
      <c r="AA112" s="226"/>
      <c r="AB112" s="226"/>
      <c r="AC112" s="226"/>
      <c r="AD112" s="96">
        <f>IF(X112&lt;&gt;0,IF($X112&gt;=AD$12,#REF!,""),Z112)</f>
        <v>0</v>
      </c>
      <c r="AE112" s="96">
        <f>IF(AA112=" ",IF($X112&gt;=AE$12,#REF!,""),AA112)</f>
        <v>0</v>
      </c>
      <c r="AF112" s="96">
        <f>IF(AB112=" ",IF($X112&gt;=AF$12,#REF!,""),AB112)</f>
        <v>0</v>
      </c>
      <c r="AG112" s="96">
        <f>IF(AC112=" ",IF($X112&gt;=AG$12,#REF!,""),AC112)</f>
        <v>0</v>
      </c>
      <c r="AH112" s="211" t="str">
        <f t="shared" si="19"/>
        <v>0,;!0,;!0,;!0</v>
      </c>
      <c r="AI112" s="211" t="e">
        <f>INDEX([1]Library!$AL:$AL,MATCH(AH112,[1]Library!$AJ:$AJ,0),1)</f>
        <v>#N/A</v>
      </c>
      <c r="AJ112" s="211" t="e">
        <f>TEXT(INDEX([1]Library!$W:$W,MATCH(AH112,[1]Library!$AJ:$AJ,0),1),"")</f>
        <v>#N/A</v>
      </c>
    </row>
    <row r="113" spans="1:36" ht="25.2" hidden="1" customHeight="1" outlineLevel="2">
      <c r="A113" s="228"/>
      <c r="B113" s="229"/>
      <c r="C113" s="230"/>
      <c r="D113" s="231" t="s">
        <v>131</v>
      </c>
      <c r="E113" s="232"/>
      <c r="F113" s="233"/>
      <c r="G113" s="379"/>
      <c r="H113" s="380">
        <v>57.12</v>
      </c>
      <c r="I113" s="234" t="s">
        <v>117</v>
      </c>
      <c r="J113" s="235">
        <v>200</v>
      </c>
      <c r="K113" s="236">
        <v>11424</v>
      </c>
      <c r="L113" s="235">
        <v>178.57142857142901</v>
      </c>
      <c r="M113" s="236">
        <v>10200</v>
      </c>
      <c r="N113" s="237">
        <v>0</v>
      </c>
      <c r="O113" s="236">
        <v>0</v>
      </c>
      <c r="P113" s="238">
        <v>21624</v>
      </c>
      <c r="Q113" s="239">
        <f t="shared" si="16"/>
        <v>1.16319130967336E-5</v>
      </c>
      <c r="R113" s="236">
        <f t="shared" si="17"/>
        <v>1.1599862672732</v>
      </c>
      <c r="S113" s="240">
        <f t="shared" si="18"/>
        <v>42.4</v>
      </c>
      <c r="T113" s="241"/>
      <c r="U113" s="225"/>
      <c r="V113" s="226"/>
      <c r="W113" s="227"/>
      <c r="X113" s="226"/>
      <c r="Y113" s="226"/>
      <c r="Z113" s="226"/>
      <c r="AA113" s="226"/>
      <c r="AB113" s="226"/>
      <c r="AC113" s="226"/>
      <c r="AD113" s="96">
        <f>IF(X113&lt;&gt;0,IF($X113&gt;=AD$12,AD112,""),Z113)</f>
        <v>0</v>
      </c>
      <c r="AE113" s="96">
        <f>IF(AA113=" ",IF($X113&gt;=AE$12,AE112,""),AA113)</f>
        <v>0</v>
      </c>
      <c r="AF113" s="96">
        <f>IF(AB113=" ",IF($X113&gt;=AF$12,AF112,""),AB113)</f>
        <v>0</v>
      </c>
      <c r="AG113" s="96">
        <f>IF(AC113=" ",IF($X113&gt;=AG$12,AG112,""),AC113)</f>
        <v>0</v>
      </c>
      <c r="AH113" s="211" t="str">
        <f t="shared" si="19"/>
        <v>0,;!0,;!0,;!0</v>
      </c>
      <c r="AI113" s="211" t="e">
        <f>INDEX([1]Library!$AL:$AL,MATCH(AH113,[1]Library!$AJ:$AJ,0),1)</f>
        <v>#N/A</v>
      </c>
      <c r="AJ113" s="211" t="e">
        <f>TEXT(INDEX([1]Library!$W:$W,MATCH(AH113,[1]Library!$AJ:$AJ,0),1),"")</f>
        <v>#N/A</v>
      </c>
    </row>
    <row r="114" spans="1:36" ht="25.2" hidden="1" customHeight="1" outlineLevel="2">
      <c r="A114" s="228"/>
      <c r="B114" s="229"/>
      <c r="C114" s="230"/>
      <c r="D114" s="231" t="s">
        <v>138</v>
      </c>
      <c r="E114" s="232"/>
      <c r="F114" s="233"/>
      <c r="G114" s="379"/>
      <c r="H114" s="380">
        <v>37310.720000000001</v>
      </c>
      <c r="I114" s="234" t="s">
        <v>117</v>
      </c>
      <c r="J114" s="235">
        <v>107.142857142857</v>
      </c>
      <c r="K114" s="236">
        <v>3997577.1428571399</v>
      </c>
      <c r="L114" s="235">
        <v>0</v>
      </c>
      <c r="M114" s="236">
        <v>0</v>
      </c>
      <c r="N114" s="237">
        <v>0</v>
      </c>
      <c r="O114" s="236">
        <v>0</v>
      </c>
      <c r="P114" s="238">
        <v>3997577.1428571399</v>
      </c>
      <c r="Q114" s="239">
        <f t="shared" si="16"/>
        <v>2.1503639439143102E-3</v>
      </c>
      <c r="R114" s="236">
        <f t="shared" si="17"/>
        <v>214.443885871231</v>
      </c>
      <c r="S114" s="240">
        <f t="shared" si="18"/>
        <v>7838.3865546218403</v>
      </c>
      <c r="T114" s="241"/>
      <c r="U114" s="225"/>
      <c r="V114" s="226"/>
      <c r="W114" s="227"/>
      <c r="X114" s="226"/>
      <c r="Y114" s="226"/>
      <c r="Z114" s="226"/>
      <c r="AA114" s="226"/>
      <c r="AB114" s="226"/>
      <c r="AC114" s="226"/>
      <c r="AD114" s="96">
        <f>IF(X114&lt;&gt;0,IF($X114&gt;=AD$12,#REF!,""),Z114)</f>
        <v>0</v>
      </c>
      <c r="AE114" s="96">
        <f>IF(AA114=" ",IF($X114&gt;=AE$12,#REF!,""),AA114)</f>
        <v>0</v>
      </c>
      <c r="AF114" s="96">
        <f>IF(AB114=" ",IF($X114&gt;=AF$12,#REF!,""),AB114)</f>
        <v>0</v>
      </c>
      <c r="AG114" s="96">
        <f>IF(AC114=" ",IF($X114&gt;=AG$12,#REF!,""),AC114)</f>
        <v>0</v>
      </c>
      <c r="AH114" s="211" t="str">
        <f t="shared" si="19"/>
        <v>0,;!0,;!0,;!0</v>
      </c>
      <c r="AI114" s="211" t="e">
        <f>INDEX([1]Library!$AL:$AL,MATCH(AH114,[1]Library!$AJ:$AJ,0),1)</f>
        <v>#N/A</v>
      </c>
      <c r="AJ114" s="211" t="e">
        <f>TEXT(INDEX([1]Library!$W:$W,MATCH(AH114,[1]Library!$AJ:$AJ,0),1),"")</f>
        <v>#N/A</v>
      </c>
    </row>
    <row r="115" spans="1:36" ht="25.2" hidden="1" customHeight="1" outlineLevel="2">
      <c r="A115" s="228"/>
      <c r="B115" s="229"/>
      <c r="C115" s="230"/>
      <c r="D115" s="231" t="s">
        <v>139</v>
      </c>
      <c r="E115" s="232"/>
      <c r="F115" s="233"/>
      <c r="G115" s="379"/>
      <c r="H115" s="380">
        <v>112091.52</v>
      </c>
      <c r="I115" s="234" t="s">
        <v>117</v>
      </c>
      <c r="J115" s="235">
        <v>50</v>
      </c>
      <c r="K115" s="236">
        <v>5604576</v>
      </c>
      <c r="L115" s="235">
        <v>0</v>
      </c>
      <c r="M115" s="236">
        <v>0</v>
      </c>
      <c r="N115" s="237">
        <v>0</v>
      </c>
      <c r="O115" s="236">
        <v>0</v>
      </c>
      <c r="P115" s="238">
        <v>5604576</v>
      </c>
      <c r="Q115" s="239">
        <f t="shared" si="16"/>
        <v>3.0147956426211102E-3</v>
      </c>
      <c r="R115" s="236">
        <f t="shared" si="17"/>
        <v>300.64887134151599</v>
      </c>
      <c r="S115" s="240">
        <f t="shared" si="18"/>
        <v>10989.364705882401</v>
      </c>
      <c r="T115" s="241"/>
      <c r="U115" s="225"/>
      <c r="V115" s="226"/>
      <c r="W115" s="227"/>
      <c r="X115" s="226"/>
      <c r="Y115" s="226"/>
      <c r="Z115" s="226"/>
      <c r="AA115" s="226"/>
      <c r="AB115" s="226"/>
      <c r="AC115" s="226"/>
      <c r="AD115" s="96">
        <f>IF(X115&lt;&gt;0,IF($X115&gt;=AD$12,AD114,""),Z115)</f>
        <v>0</v>
      </c>
      <c r="AE115" s="96">
        <f>IF(AA115=" ",IF($X115&gt;=AE$12,AE114,""),AA115)</f>
        <v>0</v>
      </c>
      <c r="AF115" s="96">
        <f>IF(AB115=" ",IF($X115&gt;=AF$12,AF114,""),AB115)</f>
        <v>0</v>
      </c>
      <c r="AG115" s="96">
        <f>IF(AC115=" ",IF($X115&gt;=AG$12,AG114,""),AC115)</f>
        <v>0</v>
      </c>
      <c r="AH115" s="211" t="str">
        <f t="shared" si="19"/>
        <v>0,;!0,;!0,;!0</v>
      </c>
      <c r="AI115" s="211" t="e">
        <f>INDEX([1]Library!$AL:$AL,MATCH(AH115,[1]Library!$AJ:$AJ,0),1)</f>
        <v>#N/A</v>
      </c>
      <c r="AJ115" s="211" t="e">
        <f>TEXT(INDEX([1]Library!$W:$W,MATCH(AH115,[1]Library!$AJ:$AJ,0),1),"")</f>
        <v>#N/A</v>
      </c>
    </row>
    <row r="116" spans="1:36" ht="25.2" hidden="1" customHeight="1" outlineLevel="1" collapsed="1">
      <c r="A116" s="213"/>
      <c r="B116" s="214"/>
      <c r="C116" s="215" t="s">
        <v>140</v>
      </c>
      <c r="D116" s="215"/>
      <c r="E116" s="216"/>
      <c r="F116" s="217"/>
      <c r="G116" s="379"/>
      <c r="H116" s="219">
        <v>1</v>
      </c>
      <c r="I116" s="218" t="s">
        <v>32</v>
      </c>
      <c r="J116" s="219">
        <v>101268935.07571401</v>
      </c>
      <c r="K116" s="219">
        <v>101268935.07571401</v>
      </c>
      <c r="L116" s="219">
        <v>4845768.0357142901</v>
      </c>
      <c r="M116" s="219">
        <v>4845768.0357142901</v>
      </c>
      <c r="N116" s="219">
        <v>0</v>
      </c>
      <c r="O116" s="219">
        <v>0</v>
      </c>
      <c r="P116" s="220">
        <v>106114703.11142901</v>
      </c>
      <c r="Q116" s="221">
        <f t="shared" si="16"/>
        <v>5.7080882578515797E-2</v>
      </c>
      <c r="R116" s="222">
        <f t="shared" si="17"/>
        <v>5692.3602647535099</v>
      </c>
      <c r="S116" s="223">
        <f t="shared" si="18"/>
        <v>208068.04531652699</v>
      </c>
      <c r="T116" s="224"/>
      <c r="U116" s="225"/>
      <c r="V116" s="226"/>
      <c r="W116" s="227"/>
      <c r="X116" s="226"/>
      <c r="Y116" s="226"/>
      <c r="Z116" s="226"/>
      <c r="AA116" s="226"/>
      <c r="AB116" s="226"/>
      <c r="AC116" s="226"/>
      <c r="AD116" s="96">
        <f>IF(X116&lt;&gt;0,IF($X116&gt;=AD$12,#REF!,""),Z116)</f>
        <v>0</v>
      </c>
      <c r="AE116" s="96">
        <f>IF(AA116=" ",IF($X116&gt;=AE$12,#REF!,""),AA116)</f>
        <v>0</v>
      </c>
      <c r="AF116" s="96">
        <f>IF(AB116=" ",IF($X116&gt;=AF$12,#REF!,""),AB116)</f>
        <v>0</v>
      </c>
      <c r="AG116" s="96">
        <f>IF(AC116=" ",IF($X116&gt;=AG$12,#REF!,""),AC116)</f>
        <v>0</v>
      </c>
      <c r="AH116" s="211" t="str">
        <f t="shared" si="19"/>
        <v>0,;!0,;!0,;!0</v>
      </c>
      <c r="AI116" s="211" t="e">
        <f>INDEX([1]Library!$AL:$AL,MATCH(AH116,[1]Library!$AJ:$AJ,0),1)</f>
        <v>#N/A</v>
      </c>
      <c r="AJ116" s="211" t="e">
        <f>TEXT(INDEX([1]Library!$W:$W,MATCH(AH116,[1]Library!$AJ:$AJ,0),1),"")</f>
        <v>#N/A</v>
      </c>
    </row>
    <row r="117" spans="1:36" ht="25.2" hidden="1" customHeight="1" outlineLevel="2">
      <c r="A117" s="228"/>
      <c r="B117" s="229"/>
      <c r="C117" s="230"/>
      <c r="D117" s="231" t="s">
        <v>141</v>
      </c>
      <c r="E117" s="232"/>
      <c r="F117" s="233"/>
      <c r="G117" s="379"/>
      <c r="H117" s="380">
        <v>5655</v>
      </c>
      <c r="I117" s="234" t="s">
        <v>113</v>
      </c>
      <c r="J117" s="235">
        <v>4940</v>
      </c>
      <c r="K117" s="236">
        <v>27935700</v>
      </c>
      <c r="L117" s="235">
        <v>178.57142857142901</v>
      </c>
      <c r="M117" s="236">
        <v>1009821.42857143</v>
      </c>
      <c r="N117" s="237">
        <v>0</v>
      </c>
      <c r="O117" s="236">
        <v>0</v>
      </c>
      <c r="P117" s="238">
        <v>28945521.428571399</v>
      </c>
      <c r="Q117" s="239">
        <f t="shared" si="16"/>
        <v>1.55702825470211E-2</v>
      </c>
      <c r="R117" s="236">
        <f t="shared" si="17"/>
        <v>1552.73803904018</v>
      </c>
      <c r="S117" s="240">
        <f t="shared" si="18"/>
        <v>56755.924369747801</v>
      </c>
      <c r="T117" s="241"/>
      <c r="U117" s="225"/>
      <c r="V117" s="226"/>
      <c r="W117" s="227"/>
      <c r="X117" s="226"/>
      <c r="Y117" s="226"/>
      <c r="Z117" s="226"/>
      <c r="AA117" s="226"/>
      <c r="AB117" s="226"/>
      <c r="AC117" s="226"/>
      <c r="AD117" s="96">
        <f t="shared" ref="AD117:AD127" si="29">IF(X117&lt;&gt;0,IF($X117&gt;=AD$12,AD116,""),Z117)</f>
        <v>0</v>
      </c>
      <c r="AE117" s="96">
        <f t="shared" ref="AE117:AE127" si="30">IF(AA117=" ",IF($X117&gt;=AE$12,AE116,""),AA117)</f>
        <v>0</v>
      </c>
      <c r="AF117" s="96">
        <f t="shared" ref="AF117:AF127" si="31">IF(AB117=" ",IF($X117&gt;=AF$12,AF116,""),AB117)</f>
        <v>0</v>
      </c>
      <c r="AG117" s="96">
        <f t="shared" ref="AG117:AG127" si="32">IF(AC117=" ",IF($X117&gt;=AG$12,AG116,""),AC117)</f>
        <v>0</v>
      </c>
      <c r="AH117" s="211" t="str">
        <f t="shared" si="19"/>
        <v>0,;!0,;!0,;!0</v>
      </c>
      <c r="AI117" s="211" t="e">
        <f>INDEX([1]Library!$AL:$AL,MATCH(AH117,[1]Library!$AJ:$AJ,0),1)</f>
        <v>#N/A</v>
      </c>
      <c r="AJ117" s="211" t="e">
        <f>TEXT(INDEX([1]Library!$W:$W,MATCH(AH117,[1]Library!$AJ:$AJ,0),1),"")</f>
        <v>#N/A</v>
      </c>
    </row>
    <row r="118" spans="1:36" ht="25.2" hidden="1" customHeight="1" outlineLevel="2">
      <c r="A118" s="228"/>
      <c r="B118" s="229"/>
      <c r="C118" s="230"/>
      <c r="D118" s="231" t="s">
        <v>142</v>
      </c>
      <c r="E118" s="232"/>
      <c r="F118" s="233"/>
      <c r="G118" s="379"/>
      <c r="H118" s="380">
        <v>54.048000000000002</v>
      </c>
      <c r="I118" s="234" t="s">
        <v>113</v>
      </c>
      <c r="J118" s="235">
        <v>4940</v>
      </c>
      <c r="K118" s="236">
        <v>266997.12</v>
      </c>
      <c r="L118" s="235">
        <v>178.57142857142901</v>
      </c>
      <c r="M118" s="236">
        <v>9651.4285714285706</v>
      </c>
      <c r="N118" s="237">
        <v>0</v>
      </c>
      <c r="O118" s="236">
        <v>0</v>
      </c>
      <c r="P118" s="238">
        <v>276648.54857142898</v>
      </c>
      <c r="Q118" s="239">
        <f t="shared" si="16"/>
        <v>1.4881390470404901E-4</v>
      </c>
      <c r="R118" s="236">
        <f t="shared" si="17"/>
        <v>14.8403864781687</v>
      </c>
      <c r="S118" s="240">
        <f t="shared" si="18"/>
        <v>542.44813445378202</v>
      </c>
      <c r="T118" s="241"/>
      <c r="U118" s="225"/>
      <c r="V118" s="226"/>
      <c r="W118" s="227"/>
      <c r="X118" s="226"/>
      <c r="Y118" s="226"/>
      <c r="Z118" s="226"/>
      <c r="AA118" s="226"/>
      <c r="AB118" s="226"/>
      <c r="AC118" s="226"/>
      <c r="AD118" s="96">
        <f t="shared" si="29"/>
        <v>0</v>
      </c>
      <c r="AE118" s="96">
        <f t="shared" si="30"/>
        <v>0</v>
      </c>
      <c r="AF118" s="96">
        <f t="shared" si="31"/>
        <v>0</v>
      </c>
      <c r="AG118" s="96">
        <f t="shared" si="32"/>
        <v>0</v>
      </c>
      <c r="AH118" s="211" t="str">
        <f t="shared" si="19"/>
        <v>0,;!0,;!0,;!0</v>
      </c>
      <c r="AI118" s="211" t="e">
        <f>INDEX([1]Library!$AL:$AL,MATCH(AH118,[1]Library!$AJ:$AJ,0),1)</f>
        <v>#N/A</v>
      </c>
      <c r="AJ118" s="211" t="e">
        <f>TEXT(INDEX([1]Library!$W:$W,MATCH(AH118,[1]Library!$AJ:$AJ,0),1),"")</f>
        <v>#N/A</v>
      </c>
    </row>
    <row r="119" spans="1:36" ht="25.2" hidden="1" customHeight="1" outlineLevel="2">
      <c r="A119" s="228"/>
      <c r="B119" s="229"/>
      <c r="C119" s="230"/>
      <c r="D119" s="231" t="s">
        <v>143</v>
      </c>
      <c r="E119" s="232"/>
      <c r="F119" s="233"/>
      <c r="G119" s="379"/>
      <c r="H119" s="380">
        <v>283.39999999999998</v>
      </c>
      <c r="I119" s="234" t="s">
        <v>113</v>
      </c>
      <c r="J119" s="235">
        <v>4940</v>
      </c>
      <c r="K119" s="236">
        <v>1399996</v>
      </c>
      <c r="L119" s="235">
        <v>178.57142857142901</v>
      </c>
      <c r="M119" s="236">
        <v>50607.142857142797</v>
      </c>
      <c r="N119" s="237">
        <v>0</v>
      </c>
      <c r="O119" s="236">
        <v>0</v>
      </c>
      <c r="P119" s="238">
        <v>1450603.1428571399</v>
      </c>
      <c r="Q119" s="239">
        <f t="shared" si="16"/>
        <v>7.8030381500013605E-4</v>
      </c>
      <c r="R119" s="236">
        <f t="shared" si="17"/>
        <v>77.815377588680207</v>
      </c>
      <c r="S119" s="240">
        <f t="shared" si="18"/>
        <v>2844.3198879551801</v>
      </c>
      <c r="T119" s="241"/>
      <c r="U119" s="225"/>
      <c r="V119" s="226"/>
      <c r="W119" s="227"/>
      <c r="X119" s="226"/>
      <c r="Y119" s="226"/>
      <c r="Z119" s="226"/>
      <c r="AA119" s="226"/>
      <c r="AB119" s="226"/>
      <c r="AC119" s="226"/>
      <c r="AD119" s="96">
        <f t="shared" si="29"/>
        <v>0</v>
      </c>
      <c r="AE119" s="96">
        <f t="shared" si="30"/>
        <v>0</v>
      </c>
      <c r="AF119" s="96">
        <f t="shared" si="31"/>
        <v>0</v>
      </c>
      <c r="AG119" s="96">
        <f t="shared" si="32"/>
        <v>0</v>
      </c>
      <c r="AH119" s="211" t="str">
        <f t="shared" si="19"/>
        <v>0,;!0,;!0,;!0</v>
      </c>
      <c r="AI119" s="211" t="e">
        <f>INDEX([1]Library!$AL:$AL,MATCH(AH119,[1]Library!$AJ:$AJ,0),1)</f>
        <v>#N/A</v>
      </c>
      <c r="AJ119" s="211" t="e">
        <f>TEXT(INDEX([1]Library!$W:$W,MATCH(AH119,[1]Library!$AJ:$AJ,0),1),"")</f>
        <v>#N/A</v>
      </c>
    </row>
    <row r="120" spans="1:36" ht="25.2" hidden="1" customHeight="1" outlineLevel="2">
      <c r="A120" s="228"/>
      <c r="B120" s="229"/>
      <c r="C120" s="230"/>
      <c r="D120" s="231" t="s">
        <v>144</v>
      </c>
      <c r="E120" s="232"/>
      <c r="F120" s="233"/>
      <c r="G120" s="379"/>
      <c r="H120" s="380">
        <v>697.68</v>
      </c>
      <c r="I120" s="234" t="s">
        <v>113</v>
      </c>
      <c r="J120" s="235">
        <v>4200</v>
      </c>
      <c r="K120" s="236">
        <v>2930256</v>
      </c>
      <c r="L120" s="235">
        <v>178.57142857142901</v>
      </c>
      <c r="M120" s="236">
        <v>124585.714285714</v>
      </c>
      <c r="N120" s="237">
        <v>0</v>
      </c>
      <c r="O120" s="236">
        <v>0</v>
      </c>
      <c r="P120" s="238">
        <v>3054841.7142857099</v>
      </c>
      <c r="Q120" s="239">
        <f t="shared" si="16"/>
        <v>1.6432507096211699E-3</v>
      </c>
      <c r="R120" s="236">
        <f t="shared" si="17"/>
        <v>163.87229177139901</v>
      </c>
      <c r="S120" s="240">
        <f t="shared" si="18"/>
        <v>5989.8857142857096</v>
      </c>
      <c r="T120" s="241"/>
      <c r="U120" s="225"/>
      <c r="V120" s="226"/>
      <c r="W120" s="227"/>
      <c r="X120" s="226"/>
      <c r="Y120" s="226"/>
      <c r="Z120" s="226"/>
      <c r="AA120" s="226"/>
      <c r="AB120" s="226"/>
      <c r="AC120" s="226"/>
      <c r="AD120" s="96">
        <f t="shared" si="29"/>
        <v>0</v>
      </c>
      <c r="AE120" s="96">
        <f t="shared" si="30"/>
        <v>0</v>
      </c>
      <c r="AF120" s="96">
        <f t="shared" si="31"/>
        <v>0</v>
      </c>
      <c r="AG120" s="96">
        <f t="shared" si="32"/>
        <v>0</v>
      </c>
      <c r="AH120" s="211" t="str">
        <f t="shared" si="19"/>
        <v>0,;!0,;!0,;!0</v>
      </c>
      <c r="AI120" s="211" t="e">
        <f>INDEX([1]Library!$AL:$AL,MATCH(AH120,[1]Library!$AJ:$AJ,0),1)</f>
        <v>#N/A</v>
      </c>
      <c r="AJ120" s="211" t="e">
        <f>TEXT(INDEX([1]Library!$W:$W,MATCH(AH120,[1]Library!$AJ:$AJ,0),1),"")</f>
        <v>#N/A</v>
      </c>
    </row>
    <row r="121" spans="1:36" ht="25.2" hidden="1" customHeight="1" outlineLevel="2">
      <c r="A121" s="228"/>
      <c r="B121" s="229"/>
      <c r="C121" s="230"/>
      <c r="D121" s="231" t="s">
        <v>145</v>
      </c>
      <c r="E121" s="232"/>
      <c r="F121" s="233"/>
      <c r="G121" s="379"/>
      <c r="H121" s="380">
        <v>3976</v>
      </c>
      <c r="I121" s="234" t="s">
        <v>113</v>
      </c>
      <c r="J121" s="235">
        <v>5179</v>
      </c>
      <c r="K121" s="236">
        <v>20591704</v>
      </c>
      <c r="L121" s="235">
        <v>178.57142857142901</v>
      </c>
      <c r="M121" s="236">
        <v>710000</v>
      </c>
      <c r="N121" s="237">
        <v>0</v>
      </c>
      <c r="O121" s="236">
        <v>0</v>
      </c>
      <c r="P121" s="238">
        <v>21301704</v>
      </c>
      <c r="Q121" s="239">
        <f t="shared" si="16"/>
        <v>1.1458544660578201E-2</v>
      </c>
      <c r="R121" s="236">
        <f t="shared" si="17"/>
        <v>1142.6971933739601</v>
      </c>
      <c r="S121" s="240">
        <f t="shared" si="18"/>
        <v>41768.047058823497</v>
      </c>
      <c r="T121" s="241"/>
      <c r="U121" s="225"/>
      <c r="V121" s="226"/>
      <c r="W121" s="227"/>
      <c r="X121" s="226"/>
      <c r="Y121" s="226"/>
      <c r="Z121" s="226"/>
      <c r="AA121" s="226"/>
      <c r="AB121" s="226"/>
      <c r="AC121" s="226"/>
      <c r="AD121" s="96">
        <f t="shared" si="29"/>
        <v>0</v>
      </c>
      <c r="AE121" s="96">
        <f t="shared" si="30"/>
        <v>0</v>
      </c>
      <c r="AF121" s="96">
        <f t="shared" si="31"/>
        <v>0</v>
      </c>
      <c r="AG121" s="96">
        <f t="shared" si="32"/>
        <v>0</v>
      </c>
      <c r="AH121" s="211" t="str">
        <f t="shared" si="19"/>
        <v>0,;!0,;!0,;!0</v>
      </c>
      <c r="AI121" s="211" t="e">
        <f>INDEX([1]Library!$AL:$AL,MATCH(AH121,[1]Library!$AJ:$AJ,0),1)</f>
        <v>#N/A</v>
      </c>
      <c r="AJ121" s="211" t="e">
        <f>TEXT(INDEX([1]Library!$W:$W,MATCH(AH121,[1]Library!$AJ:$AJ,0),1),"")</f>
        <v>#N/A</v>
      </c>
    </row>
    <row r="122" spans="1:36" ht="25.2" hidden="1" customHeight="1" outlineLevel="2">
      <c r="A122" s="228"/>
      <c r="B122" s="229"/>
      <c r="C122" s="230"/>
      <c r="D122" s="231" t="s">
        <v>146</v>
      </c>
      <c r="E122" s="232"/>
      <c r="F122" s="233"/>
      <c r="G122" s="379"/>
      <c r="H122" s="380">
        <v>156</v>
      </c>
      <c r="I122" s="234" t="s">
        <v>113</v>
      </c>
      <c r="J122" s="235">
        <v>4940</v>
      </c>
      <c r="K122" s="236">
        <v>770640</v>
      </c>
      <c r="L122" s="235">
        <v>178.57142857142901</v>
      </c>
      <c r="M122" s="236">
        <v>27857.142857142899</v>
      </c>
      <c r="N122" s="237">
        <v>0</v>
      </c>
      <c r="O122" s="236">
        <v>0</v>
      </c>
      <c r="P122" s="238">
        <v>798497.14285714296</v>
      </c>
      <c r="Q122" s="239">
        <f t="shared" si="16"/>
        <v>4.2952503577989098E-4</v>
      </c>
      <c r="R122" s="236">
        <f t="shared" si="17"/>
        <v>42.834152801108402</v>
      </c>
      <c r="S122" s="240">
        <f t="shared" si="18"/>
        <v>1565.68067226891</v>
      </c>
      <c r="T122" s="241"/>
      <c r="U122" s="225"/>
      <c r="V122" s="226"/>
      <c r="W122" s="227"/>
      <c r="X122" s="226"/>
      <c r="Y122" s="226"/>
      <c r="Z122" s="226"/>
      <c r="AA122" s="226"/>
      <c r="AB122" s="226"/>
      <c r="AC122" s="226"/>
      <c r="AD122" s="96">
        <f t="shared" si="29"/>
        <v>0</v>
      </c>
      <c r="AE122" s="96">
        <f t="shared" si="30"/>
        <v>0</v>
      </c>
      <c r="AF122" s="96">
        <f t="shared" si="31"/>
        <v>0</v>
      </c>
      <c r="AG122" s="96">
        <f t="shared" si="32"/>
        <v>0</v>
      </c>
      <c r="AH122" s="211" t="str">
        <f t="shared" si="19"/>
        <v>0,;!0,;!0,;!0</v>
      </c>
      <c r="AI122" s="211" t="e">
        <f>INDEX([1]Library!$AL:$AL,MATCH(AH122,[1]Library!$AJ:$AJ,0),1)</f>
        <v>#N/A</v>
      </c>
      <c r="AJ122" s="211" t="e">
        <f>TEXT(INDEX([1]Library!$W:$W,MATCH(AH122,[1]Library!$AJ:$AJ,0),1),"")</f>
        <v>#N/A</v>
      </c>
    </row>
    <row r="123" spans="1:36" ht="25.2" hidden="1" customHeight="1" outlineLevel="2">
      <c r="A123" s="228"/>
      <c r="B123" s="229"/>
      <c r="C123" s="230"/>
      <c r="D123" s="231" t="s">
        <v>147</v>
      </c>
      <c r="E123" s="232"/>
      <c r="F123" s="233"/>
      <c r="G123" s="379"/>
      <c r="H123" s="380">
        <v>1504</v>
      </c>
      <c r="I123" s="234" t="s">
        <v>113</v>
      </c>
      <c r="J123" s="235">
        <v>4940</v>
      </c>
      <c r="K123" s="236">
        <v>7429760</v>
      </c>
      <c r="L123" s="235">
        <v>178.57142857142901</v>
      </c>
      <c r="M123" s="236">
        <v>268571.42857142899</v>
      </c>
      <c r="N123" s="237">
        <v>0</v>
      </c>
      <c r="O123" s="236">
        <v>0</v>
      </c>
      <c r="P123" s="238">
        <v>7698331.42857143</v>
      </c>
      <c r="Q123" s="239">
        <f t="shared" si="16"/>
        <v>4.1410618834163901E-3</v>
      </c>
      <c r="R123" s="236">
        <f t="shared" si="17"/>
        <v>412.96516546709699</v>
      </c>
      <c r="S123" s="240">
        <f t="shared" si="18"/>
        <v>15094.7675070028</v>
      </c>
      <c r="T123" s="241"/>
      <c r="U123" s="225"/>
      <c r="V123" s="226"/>
      <c r="W123" s="227"/>
      <c r="X123" s="226"/>
      <c r="Y123" s="226"/>
      <c r="Z123" s="226"/>
      <c r="AA123" s="226"/>
      <c r="AB123" s="226"/>
      <c r="AC123" s="226"/>
      <c r="AD123" s="96">
        <f t="shared" si="29"/>
        <v>0</v>
      </c>
      <c r="AE123" s="96">
        <f t="shared" si="30"/>
        <v>0</v>
      </c>
      <c r="AF123" s="96">
        <f t="shared" si="31"/>
        <v>0</v>
      </c>
      <c r="AG123" s="96">
        <f t="shared" si="32"/>
        <v>0</v>
      </c>
      <c r="AH123" s="211" t="str">
        <f t="shared" si="19"/>
        <v>0,;!0,;!0,;!0</v>
      </c>
      <c r="AI123" s="211" t="e">
        <f>INDEX([1]Library!$AL:$AL,MATCH(AH123,[1]Library!$AJ:$AJ,0),1)</f>
        <v>#N/A</v>
      </c>
      <c r="AJ123" s="211" t="e">
        <f>TEXT(INDEX([1]Library!$W:$W,MATCH(AH123,[1]Library!$AJ:$AJ,0),1),"")</f>
        <v>#N/A</v>
      </c>
    </row>
    <row r="124" spans="1:36" ht="25.2" hidden="1" customHeight="1" outlineLevel="2">
      <c r="A124" s="228"/>
      <c r="B124" s="229"/>
      <c r="C124" s="230"/>
      <c r="D124" s="231" t="s">
        <v>148</v>
      </c>
      <c r="E124" s="232"/>
      <c r="F124" s="233"/>
      <c r="G124" s="379"/>
      <c r="H124" s="380">
        <v>478.56</v>
      </c>
      <c r="I124" s="234" t="s">
        <v>113</v>
      </c>
      <c r="J124" s="235">
        <v>4940</v>
      </c>
      <c r="K124" s="236">
        <v>2364086.4</v>
      </c>
      <c r="L124" s="235">
        <v>178.57142857142901</v>
      </c>
      <c r="M124" s="236">
        <v>85457.142857142899</v>
      </c>
      <c r="N124" s="237">
        <v>0</v>
      </c>
      <c r="O124" s="236">
        <v>0</v>
      </c>
      <c r="P124" s="238">
        <v>2449543.5428571398</v>
      </c>
      <c r="Q124" s="239">
        <f t="shared" si="16"/>
        <v>1.3176506482232399E-3</v>
      </c>
      <c r="R124" s="236">
        <f t="shared" si="17"/>
        <v>131.40200105447701</v>
      </c>
      <c r="S124" s="240">
        <f t="shared" si="18"/>
        <v>4803.0265546218398</v>
      </c>
      <c r="T124" s="241"/>
      <c r="U124" s="225"/>
      <c r="V124" s="226"/>
      <c r="W124" s="227"/>
      <c r="X124" s="226"/>
      <c r="Y124" s="226"/>
      <c r="Z124" s="226"/>
      <c r="AA124" s="226"/>
      <c r="AB124" s="226"/>
      <c r="AC124" s="226"/>
      <c r="AD124" s="96">
        <f t="shared" si="29"/>
        <v>0</v>
      </c>
      <c r="AE124" s="96">
        <f t="shared" si="30"/>
        <v>0</v>
      </c>
      <c r="AF124" s="96">
        <f t="shared" si="31"/>
        <v>0</v>
      </c>
      <c r="AG124" s="96">
        <f t="shared" si="32"/>
        <v>0</v>
      </c>
      <c r="AH124" s="211" t="str">
        <f t="shared" si="19"/>
        <v>0,;!0,;!0,;!0</v>
      </c>
      <c r="AI124" s="211" t="e">
        <f>INDEX([1]Library!$AL:$AL,MATCH(AH124,[1]Library!$AJ:$AJ,0),1)</f>
        <v>#N/A</v>
      </c>
      <c r="AJ124" s="211" t="e">
        <f>TEXT(INDEX([1]Library!$W:$W,MATCH(AH124,[1]Library!$AJ:$AJ,0),1),"")</f>
        <v>#N/A</v>
      </c>
    </row>
    <row r="125" spans="1:36" ht="25.2" hidden="1" customHeight="1" outlineLevel="2">
      <c r="A125" s="228"/>
      <c r="B125" s="229"/>
      <c r="C125" s="230"/>
      <c r="D125" s="231" t="s">
        <v>149</v>
      </c>
      <c r="E125" s="232"/>
      <c r="F125" s="233"/>
      <c r="G125" s="379"/>
      <c r="H125" s="380">
        <v>7157.6610000000001</v>
      </c>
      <c r="I125" s="234" t="s">
        <v>113</v>
      </c>
      <c r="J125" s="235">
        <v>4940</v>
      </c>
      <c r="K125" s="236">
        <v>35358845.340000004</v>
      </c>
      <c r="L125" s="235">
        <v>178.57142857142901</v>
      </c>
      <c r="M125" s="236">
        <v>1278153.75</v>
      </c>
      <c r="N125" s="237">
        <v>0</v>
      </c>
      <c r="O125" s="236">
        <v>0</v>
      </c>
      <c r="P125" s="238">
        <v>36636999.090000004</v>
      </c>
      <c r="Q125" s="239">
        <f t="shared" si="16"/>
        <v>1.9707657673880299E-2</v>
      </c>
      <c r="R125" s="236">
        <f t="shared" si="17"/>
        <v>1965.3355446957301</v>
      </c>
      <c r="S125" s="240">
        <f t="shared" si="18"/>
        <v>71837.253117647095</v>
      </c>
      <c r="T125" s="241"/>
      <c r="U125" s="225"/>
      <c r="V125" s="226"/>
      <c r="W125" s="227"/>
      <c r="X125" s="226"/>
      <c r="Y125" s="226"/>
      <c r="Z125" s="226"/>
      <c r="AA125" s="226"/>
      <c r="AB125" s="226"/>
      <c r="AC125" s="226"/>
      <c r="AD125" s="96">
        <f t="shared" si="29"/>
        <v>0</v>
      </c>
      <c r="AE125" s="96">
        <f t="shared" si="30"/>
        <v>0</v>
      </c>
      <c r="AF125" s="96">
        <f t="shared" si="31"/>
        <v>0</v>
      </c>
      <c r="AG125" s="96">
        <f t="shared" si="32"/>
        <v>0</v>
      </c>
      <c r="AH125" s="211" t="str">
        <f t="shared" si="19"/>
        <v>0,;!0,;!0,;!0</v>
      </c>
      <c r="AI125" s="211" t="e">
        <f>INDEX([1]Library!$AL:$AL,MATCH(AH125,[1]Library!$AJ:$AJ,0),1)</f>
        <v>#N/A</v>
      </c>
      <c r="AJ125" s="211" t="e">
        <f>TEXT(INDEX([1]Library!$W:$W,MATCH(AH125,[1]Library!$AJ:$AJ,0),1),"")</f>
        <v>#N/A</v>
      </c>
    </row>
    <row r="126" spans="1:36" ht="25.2" hidden="1" customHeight="1" outlineLevel="2">
      <c r="A126" s="228"/>
      <c r="B126" s="229"/>
      <c r="C126" s="230"/>
      <c r="D126" s="231" t="s">
        <v>150</v>
      </c>
      <c r="E126" s="232"/>
      <c r="F126" s="233"/>
      <c r="G126" s="379"/>
      <c r="H126" s="380">
        <v>7.7039999999999997</v>
      </c>
      <c r="I126" s="234" t="s">
        <v>113</v>
      </c>
      <c r="J126" s="235">
        <v>4940</v>
      </c>
      <c r="K126" s="236">
        <v>38057.760000000002</v>
      </c>
      <c r="L126" s="235">
        <v>178.57142857142901</v>
      </c>
      <c r="M126" s="236">
        <v>1375.7142857142901</v>
      </c>
      <c r="N126" s="237">
        <v>0</v>
      </c>
      <c r="O126" s="236">
        <v>0</v>
      </c>
      <c r="P126" s="238">
        <v>39433.474285714299</v>
      </c>
      <c r="Q126" s="239">
        <f t="shared" si="16"/>
        <v>2.1211928690053099E-5</v>
      </c>
      <c r="R126" s="236">
        <f t="shared" si="17"/>
        <v>2.1153481614085901</v>
      </c>
      <c r="S126" s="240">
        <f t="shared" si="18"/>
        <v>77.320537815126102</v>
      </c>
      <c r="T126" s="241"/>
      <c r="U126" s="225"/>
      <c r="V126" s="226"/>
      <c r="W126" s="227"/>
      <c r="X126" s="226"/>
      <c r="Y126" s="226"/>
      <c r="Z126" s="226"/>
      <c r="AA126" s="226"/>
      <c r="AB126" s="226"/>
      <c r="AC126" s="226"/>
      <c r="AD126" s="96">
        <f t="shared" si="29"/>
        <v>0</v>
      </c>
      <c r="AE126" s="96">
        <f t="shared" si="30"/>
        <v>0</v>
      </c>
      <c r="AF126" s="96">
        <f t="shared" si="31"/>
        <v>0</v>
      </c>
      <c r="AG126" s="96">
        <f t="shared" si="32"/>
        <v>0</v>
      </c>
      <c r="AH126" s="211" t="str">
        <f t="shared" si="19"/>
        <v>0,;!0,;!0,;!0</v>
      </c>
      <c r="AI126" s="211" t="e">
        <f>INDEX([1]Library!$AL:$AL,MATCH(AH126,[1]Library!$AJ:$AJ,0),1)</f>
        <v>#N/A</v>
      </c>
      <c r="AJ126" s="211" t="e">
        <f>TEXT(INDEX([1]Library!$W:$W,MATCH(AH126,[1]Library!$AJ:$AJ,0),1),"")</f>
        <v>#N/A</v>
      </c>
    </row>
    <row r="127" spans="1:36" ht="25.2" hidden="1" customHeight="1" outlineLevel="2">
      <c r="A127" s="228"/>
      <c r="B127" s="229"/>
      <c r="C127" s="230"/>
      <c r="D127" s="231" t="s">
        <v>151</v>
      </c>
      <c r="E127" s="232"/>
      <c r="F127" s="233"/>
      <c r="G127" s="379"/>
      <c r="H127" s="380">
        <v>8.5679999999999996</v>
      </c>
      <c r="I127" s="234" t="s">
        <v>113</v>
      </c>
      <c r="J127" s="235">
        <v>4940</v>
      </c>
      <c r="K127" s="236">
        <v>42325.919999999998</v>
      </c>
      <c r="L127" s="235">
        <v>178.57142857142901</v>
      </c>
      <c r="M127" s="236">
        <v>1530</v>
      </c>
      <c r="N127" s="237">
        <v>0</v>
      </c>
      <c r="O127" s="236">
        <v>0</v>
      </c>
      <c r="P127" s="238">
        <v>43855.92</v>
      </c>
      <c r="Q127" s="239">
        <f t="shared" si="16"/>
        <v>2.3590836580526298E-5</v>
      </c>
      <c r="R127" s="236">
        <f t="shared" si="17"/>
        <v>2.35258346923011</v>
      </c>
      <c r="S127" s="240">
        <f t="shared" si="18"/>
        <v>85.992000000000004</v>
      </c>
      <c r="T127" s="241"/>
      <c r="U127" s="225"/>
      <c r="V127" s="226"/>
      <c r="W127" s="227"/>
      <c r="X127" s="226"/>
      <c r="Y127" s="226"/>
      <c r="Z127" s="226"/>
      <c r="AA127" s="226"/>
      <c r="AB127" s="226"/>
      <c r="AC127" s="226"/>
      <c r="AD127" s="96">
        <f t="shared" si="29"/>
        <v>0</v>
      </c>
      <c r="AE127" s="96">
        <f t="shared" si="30"/>
        <v>0</v>
      </c>
      <c r="AF127" s="96">
        <f t="shared" si="31"/>
        <v>0</v>
      </c>
      <c r="AG127" s="96">
        <f t="shared" si="32"/>
        <v>0</v>
      </c>
      <c r="AH127" s="211" t="str">
        <f t="shared" si="19"/>
        <v>0,;!0,;!0,;!0</v>
      </c>
      <c r="AI127" s="211" t="e">
        <f>INDEX([1]Library!$AL:$AL,MATCH(AH127,[1]Library!$AJ:$AJ,0),1)</f>
        <v>#N/A</v>
      </c>
      <c r="AJ127" s="211" t="e">
        <f>TEXT(INDEX([1]Library!$W:$W,MATCH(AH127,[1]Library!$AJ:$AJ,0),1),"")</f>
        <v>#N/A</v>
      </c>
    </row>
    <row r="128" spans="1:36" ht="25.2" hidden="1" customHeight="1" outlineLevel="2">
      <c r="A128" s="228"/>
      <c r="B128" s="229"/>
      <c r="C128" s="230"/>
      <c r="D128" s="231" t="s">
        <v>152</v>
      </c>
      <c r="E128" s="232"/>
      <c r="F128" s="233"/>
      <c r="G128" s="379"/>
      <c r="H128" s="380">
        <v>19978.620999999999</v>
      </c>
      <c r="I128" s="234" t="s">
        <v>113</v>
      </c>
      <c r="J128" s="235">
        <v>107.142857142857</v>
      </c>
      <c r="K128" s="236">
        <v>2140566.5357142901</v>
      </c>
      <c r="L128" s="235">
        <v>0</v>
      </c>
      <c r="M128" s="236">
        <v>0</v>
      </c>
      <c r="N128" s="237">
        <v>0</v>
      </c>
      <c r="O128" s="236">
        <v>0</v>
      </c>
      <c r="P128" s="238">
        <v>2140566.5357142901</v>
      </c>
      <c r="Q128" s="239">
        <f t="shared" si="16"/>
        <v>1.1514467222162701E-3</v>
      </c>
      <c r="R128" s="236">
        <f t="shared" si="17"/>
        <v>114.82740407016</v>
      </c>
      <c r="S128" s="240">
        <f t="shared" si="18"/>
        <v>4197.1892857142902</v>
      </c>
      <c r="T128" s="241"/>
      <c r="U128" s="225"/>
      <c r="V128" s="226"/>
      <c r="W128" s="227"/>
      <c r="X128" s="226"/>
      <c r="Y128" s="226"/>
      <c r="Z128" s="226"/>
      <c r="AA128" s="226"/>
      <c r="AB128" s="226"/>
      <c r="AC128" s="226"/>
      <c r="AD128" s="96">
        <f>IF(X128&lt;&gt;0,IF($X128&gt;=AD$12,#REF!,""),Z128)</f>
        <v>0</v>
      </c>
      <c r="AE128" s="96">
        <f>IF(AA128=" ",IF($X128&gt;=AE$12,#REF!,""),AA128)</f>
        <v>0</v>
      </c>
      <c r="AF128" s="96">
        <f>IF(AB128=" ",IF($X128&gt;=AF$12,#REF!,""),AB128)</f>
        <v>0</v>
      </c>
      <c r="AG128" s="96">
        <f>IF(AC128=" ",IF($X128&gt;=AG$12,#REF!,""),AC128)</f>
        <v>0</v>
      </c>
      <c r="AH128" s="211" t="str">
        <f t="shared" si="19"/>
        <v>0,;!0,;!0,;!0</v>
      </c>
      <c r="AI128" s="211" t="e">
        <f>INDEX([1]Library!$AL:$AL,MATCH(AH128,[1]Library!$AJ:$AJ,0),1)</f>
        <v>#N/A</v>
      </c>
      <c r="AJ128" s="211" t="e">
        <f>TEXT(INDEX([1]Library!$W:$W,MATCH(AH128,[1]Library!$AJ:$AJ,0),1),"")</f>
        <v>#N/A</v>
      </c>
    </row>
    <row r="129" spans="1:36" ht="25.2" hidden="1" customHeight="1" outlineLevel="2">
      <c r="A129" s="228"/>
      <c r="B129" s="229"/>
      <c r="C129" s="230"/>
      <c r="D129" s="231" t="s">
        <v>153</v>
      </c>
      <c r="E129" s="232"/>
      <c r="F129" s="233"/>
      <c r="G129" s="379"/>
      <c r="H129" s="380">
        <v>7157.68</v>
      </c>
      <c r="I129" s="234" t="s">
        <v>113</v>
      </c>
      <c r="J129" s="235">
        <v>0</v>
      </c>
      <c r="K129" s="236">
        <v>0</v>
      </c>
      <c r="L129" s="235">
        <v>178.57142857142901</v>
      </c>
      <c r="M129" s="236">
        <v>1278157.1428571499</v>
      </c>
      <c r="N129" s="237">
        <v>0</v>
      </c>
      <c r="O129" s="236">
        <v>0</v>
      </c>
      <c r="P129" s="238">
        <v>1278157.1428571499</v>
      </c>
      <c r="Q129" s="239">
        <f t="shared" si="16"/>
        <v>6.8754221280446098E-4</v>
      </c>
      <c r="R129" s="236">
        <f t="shared" si="17"/>
        <v>68.564776781882998</v>
      </c>
      <c r="S129" s="240">
        <f t="shared" si="18"/>
        <v>2506.1904761904898</v>
      </c>
      <c r="T129" s="241"/>
      <c r="U129" s="225"/>
      <c r="V129" s="226"/>
      <c r="W129" s="227"/>
      <c r="X129" s="226"/>
      <c r="Y129" s="226"/>
      <c r="Z129" s="226"/>
      <c r="AA129" s="226"/>
      <c r="AB129" s="226"/>
      <c r="AC129" s="226"/>
      <c r="AD129" s="96">
        <f>IF(X129&lt;&gt;0,IF($X129&gt;=AD$12,#REF!,""),Z129)</f>
        <v>0</v>
      </c>
      <c r="AE129" s="96">
        <f>IF(AA129=" ",IF($X129&gt;=AE$12,#REF!,""),AA129)</f>
        <v>0</v>
      </c>
      <c r="AF129" s="96">
        <f>IF(AB129=" ",IF($X129&gt;=AF$12,#REF!,""),AB129)</f>
        <v>0</v>
      </c>
      <c r="AG129" s="96">
        <f>IF(AC129=" ",IF($X129&gt;=AG$12,#REF!,""),AC129)</f>
        <v>0</v>
      </c>
      <c r="AH129" s="211" t="str">
        <f t="shared" si="19"/>
        <v>0,;!0,;!0,;!0</v>
      </c>
      <c r="AI129" s="211" t="e">
        <f>INDEX([1]Library!$AL:$AL,MATCH(AH129,[1]Library!$AJ:$AJ,0),1)</f>
        <v>#N/A</v>
      </c>
      <c r="AJ129" s="211" t="e">
        <f>TEXT(INDEX([1]Library!$W:$W,MATCH(AH129,[1]Library!$AJ:$AJ,0),1),"")</f>
        <v>#N/A</v>
      </c>
    </row>
    <row r="130" spans="1:36" ht="25.2" hidden="1" customHeight="1" outlineLevel="1" collapsed="1">
      <c r="A130" s="213"/>
      <c r="B130" s="214"/>
      <c r="C130" s="215" t="s">
        <v>154</v>
      </c>
      <c r="D130" s="215"/>
      <c r="E130" s="216"/>
      <c r="F130" s="217"/>
      <c r="G130" s="379"/>
      <c r="H130" s="219">
        <v>1</v>
      </c>
      <c r="I130" s="218" t="s">
        <v>32</v>
      </c>
      <c r="J130" s="219">
        <v>304807986.824444</v>
      </c>
      <c r="K130" s="219">
        <v>304807986.824444</v>
      </c>
      <c r="L130" s="219">
        <v>11402065.079365101</v>
      </c>
      <c r="M130" s="219">
        <v>11402065.079365101</v>
      </c>
      <c r="N130" s="219">
        <v>0</v>
      </c>
      <c r="O130" s="219">
        <v>0</v>
      </c>
      <c r="P130" s="220">
        <v>316210051.90380901</v>
      </c>
      <c r="Q130" s="221">
        <f t="shared" si="16"/>
        <v>0.17009470237045601</v>
      </c>
      <c r="R130" s="222">
        <f t="shared" si="17"/>
        <v>16962.6025611433</v>
      </c>
      <c r="S130" s="223">
        <f t="shared" si="18"/>
        <v>620019.70961531205</v>
      </c>
      <c r="T130" s="224"/>
      <c r="U130" s="225"/>
      <c r="V130" s="226"/>
      <c r="W130" s="227"/>
      <c r="X130" s="226"/>
      <c r="Y130" s="226"/>
      <c r="Z130" s="226"/>
      <c r="AA130" s="226"/>
      <c r="AB130" s="226"/>
      <c r="AC130" s="226"/>
      <c r="AD130" s="96">
        <f t="shared" ref="AD130:AD140" si="33">IF(X130&lt;&gt;0,IF($X130&gt;=AD$12,AD129,""),Z130)</f>
        <v>0</v>
      </c>
      <c r="AE130" s="96">
        <f t="shared" ref="AE130:AE140" si="34">IF(AA130=" ",IF($X130&gt;=AE$12,AE129,""),AA130)</f>
        <v>0</v>
      </c>
      <c r="AF130" s="96">
        <f t="shared" ref="AF130:AF140" si="35">IF(AB130=" ",IF($X130&gt;=AF$12,AF129,""),AB130)</f>
        <v>0</v>
      </c>
      <c r="AG130" s="96">
        <f t="shared" ref="AG130:AG140" si="36">IF(AC130=" ",IF($X130&gt;=AG$12,AG129,""),AC130)</f>
        <v>0</v>
      </c>
      <c r="AH130" s="211" t="str">
        <f t="shared" si="19"/>
        <v>0,;!0,;!0,;!0</v>
      </c>
      <c r="AI130" s="211" t="e">
        <f>INDEX([1]Library!$AL:$AL,MATCH(AH130,[1]Library!$AJ:$AJ,0),1)</f>
        <v>#N/A</v>
      </c>
      <c r="AJ130" s="211" t="e">
        <f>TEXT(INDEX([1]Library!$W:$W,MATCH(AH130,[1]Library!$AJ:$AJ,0),1),"")</f>
        <v>#N/A</v>
      </c>
    </row>
    <row r="131" spans="1:36" ht="25.2" hidden="1" customHeight="1" outlineLevel="2">
      <c r="A131" s="228"/>
      <c r="B131" s="229"/>
      <c r="C131" s="230"/>
      <c r="D131" s="231" t="s">
        <v>155</v>
      </c>
      <c r="E131" s="232"/>
      <c r="F131" s="233"/>
      <c r="G131" s="379"/>
      <c r="H131" s="380">
        <v>2002.44</v>
      </c>
      <c r="I131" s="234" t="s">
        <v>113</v>
      </c>
      <c r="J131" s="235">
        <v>26639</v>
      </c>
      <c r="K131" s="236">
        <v>53342999.159999996</v>
      </c>
      <c r="L131" s="235">
        <v>178.57142857142901</v>
      </c>
      <c r="M131" s="236">
        <v>357578.57142857101</v>
      </c>
      <c r="N131" s="237">
        <v>0</v>
      </c>
      <c r="O131" s="236">
        <v>0</v>
      </c>
      <c r="P131" s="238">
        <v>53700577.731428601</v>
      </c>
      <c r="Q131" s="239">
        <f t="shared" si="16"/>
        <v>2.88864434617261E-2</v>
      </c>
      <c r="R131" s="236">
        <f t="shared" si="17"/>
        <v>2880.6850126292102</v>
      </c>
      <c r="S131" s="240">
        <f t="shared" si="18"/>
        <v>105295.25045378201</v>
      </c>
      <c r="T131" s="241"/>
      <c r="U131" s="225"/>
      <c r="V131" s="226"/>
      <c r="W131" s="227"/>
      <c r="X131" s="226"/>
      <c r="Y131" s="226"/>
      <c r="Z131" s="226"/>
      <c r="AA131" s="226"/>
      <c r="AB131" s="226"/>
      <c r="AC131" s="226"/>
      <c r="AD131" s="96">
        <f t="shared" si="33"/>
        <v>0</v>
      </c>
      <c r="AE131" s="96">
        <f t="shared" si="34"/>
        <v>0</v>
      </c>
      <c r="AF131" s="96">
        <f t="shared" si="35"/>
        <v>0</v>
      </c>
      <c r="AG131" s="96">
        <f t="shared" si="36"/>
        <v>0</v>
      </c>
      <c r="AH131" s="211" t="str">
        <f t="shared" si="19"/>
        <v>0,;!0,;!0,;!0</v>
      </c>
      <c r="AI131" s="211" t="e">
        <f>INDEX([1]Library!$AL:$AL,MATCH(AH131,[1]Library!$AJ:$AJ,0),1)</f>
        <v>#N/A</v>
      </c>
      <c r="AJ131" s="211" t="e">
        <f>TEXT(INDEX([1]Library!$W:$W,MATCH(AH131,[1]Library!$AJ:$AJ,0),1),"")</f>
        <v>#N/A</v>
      </c>
    </row>
    <row r="132" spans="1:36" ht="25.2" hidden="1" customHeight="1" outlineLevel="2">
      <c r="A132" s="228"/>
      <c r="B132" s="229"/>
      <c r="C132" s="230"/>
      <c r="D132" s="231" t="s">
        <v>156</v>
      </c>
      <c r="E132" s="232"/>
      <c r="F132" s="233"/>
      <c r="G132" s="379"/>
      <c r="H132" s="380">
        <v>672.92</v>
      </c>
      <c r="I132" s="234" t="s">
        <v>113</v>
      </c>
      <c r="J132" s="235">
        <v>23705</v>
      </c>
      <c r="K132" s="236">
        <v>15951568.6</v>
      </c>
      <c r="L132" s="235">
        <v>178.57142857142901</v>
      </c>
      <c r="M132" s="236">
        <v>120164.285714286</v>
      </c>
      <c r="N132" s="237">
        <v>0</v>
      </c>
      <c r="O132" s="236">
        <v>0</v>
      </c>
      <c r="P132" s="238">
        <v>16071732.8857143</v>
      </c>
      <c r="Q132" s="239">
        <f t="shared" si="16"/>
        <v>8.6452552830440406E-3</v>
      </c>
      <c r="R132" s="236">
        <f t="shared" si="17"/>
        <v>862.14342576357706</v>
      </c>
      <c r="S132" s="240">
        <f t="shared" si="18"/>
        <v>31513.2017366947</v>
      </c>
      <c r="T132" s="241"/>
      <c r="U132" s="225"/>
      <c r="V132" s="226"/>
      <c r="W132" s="227"/>
      <c r="X132" s="226"/>
      <c r="Y132" s="226"/>
      <c r="Z132" s="226"/>
      <c r="AA132" s="226"/>
      <c r="AB132" s="226"/>
      <c r="AC132" s="226"/>
      <c r="AD132" s="96">
        <f t="shared" si="33"/>
        <v>0</v>
      </c>
      <c r="AE132" s="96">
        <f t="shared" si="34"/>
        <v>0</v>
      </c>
      <c r="AF132" s="96">
        <f t="shared" si="35"/>
        <v>0</v>
      </c>
      <c r="AG132" s="96">
        <f t="shared" si="36"/>
        <v>0</v>
      </c>
      <c r="AH132" s="211" t="str">
        <f t="shared" si="19"/>
        <v>0,;!0,;!0,;!0</v>
      </c>
      <c r="AI132" s="211" t="e">
        <f>INDEX([1]Library!$AL:$AL,MATCH(AH132,[1]Library!$AJ:$AJ,0),1)</f>
        <v>#N/A</v>
      </c>
      <c r="AJ132" s="211" t="e">
        <f>TEXT(INDEX([1]Library!$W:$W,MATCH(AH132,[1]Library!$AJ:$AJ,0),1),"")</f>
        <v>#N/A</v>
      </c>
    </row>
    <row r="133" spans="1:36" ht="25.2" hidden="1" customHeight="1" outlineLevel="2">
      <c r="A133" s="228"/>
      <c r="B133" s="229"/>
      <c r="C133" s="230"/>
      <c r="D133" s="231" t="s">
        <v>157</v>
      </c>
      <c r="E133" s="232"/>
      <c r="F133" s="233"/>
      <c r="G133" s="379"/>
      <c r="H133" s="380">
        <v>494.4</v>
      </c>
      <c r="I133" s="234" t="s">
        <v>113</v>
      </c>
      <c r="J133" s="235">
        <v>23321</v>
      </c>
      <c r="K133" s="236">
        <v>11529902.4</v>
      </c>
      <c r="L133" s="235">
        <v>178.57142857142901</v>
      </c>
      <c r="M133" s="236">
        <v>88285.714285714304</v>
      </c>
      <c r="N133" s="237">
        <v>0</v>
      </c>
      <c r="O133" s="236">
        <v>0</v>
      </c>
      <c r="P133" s="238">
        <v>11618188.1142857</v>
      </c>
      <c r="Q133" s="239">
        <f t="shared" si="16"/>
        <v>6.2496186869624003E-3</v>
      </c>
      <c r="R133" s="236">
        <f t="shared" si="17"/>
        <v>623.23985678727695</v>
      </c>
      <c r="S133" s="240">
        <f t="shared" si="18"/>
        <v>22780.7610084033</v>
      </c>
      <c r="T133" s="241"/>
      <c r="U133" s="225"/>
      <c r="V133" s="226"/>
      <c r="W133" s="227"/>
      <c r="X133" s="226"/>
      <c r="Y133" s="226"/>
      <c r="Z133" s="226"/>
      <c r="AA133" s="226"/>
      <c r="AB133" s="226"/>
      <c r="AC133" s="226"/>
      <c r="AD133" s="96">
        <f t="shared" si="33"/>
        <v>0</v>
      </c>
      <c r="AE133" s="96">
        <f t="shared" si="34"/>
        <v>0</v>
      </c>
      <c r="AF133" s="96">
        <f t="shared" si="35"/>
        <v>0</v>
      </c>
      <c r="AG133" s="96">
        <f t="shared" si="36"/>
        <v>0</v>
      </c>
      <c r="AH133" s="211" t="str">
        <f t="shared" si="19"/>
        <v>0,;!0,;!0,;!0</v>
      </c>
      <c r="AI133" s="211" t="e">
        <f>INDEX([1]Library!$AL:$AL,MATCH(AH133,[1]Library!$AJ:$AJ,0),1)</f>
        <v>#N/A</v>
      </c>
      <c r="AJ133" s="211" t="e">
        <f>TEXT(INDEX([1]Library!$W:$W,MATCH(AH133,[1]Library!$AJ:$AJ,0),1),"")</f>
        <v>#N/A</v>
      </c>
    </row>
    <row r="134" spans="1:36" ht="25.2" hidden="1" customHeight="1" outlineLevel="2">
      <c r="A134" s="228"/>
      <c r="B134" s="229"/>
      <c r="C134" s="230"/>
      <c r="D134" s="231" t="s">
        <v>158</v>
      </c>
      <c r="E134" s="232"/>
      <c r="F134" s="233"/>
      <c r="G134" s="379"/>
      <c r="H134" s="380">
        <v>1158.68</v>
      </c>
      <c r="I134" s="234" t="s">
        <v>113</v>
      </c>
      <c r="J134" s="235">
        <v>22279</v>
      </c>
      <c r="K134" s="236">
        <v>25814231.719999999</v>
      </c>
      <c r="L134" s="235">
        <v>178.57142857142901</v>
      </c>
      <c r="M134" s="236">
        <v>206907.14285714299</v>
      </c>
      <c r="N134" s="237">
        <v>0</v>
      </c>
      <c r="O134" s="236">
        <v>0</v>
      </c>
      <c r="P134" s="238">
        <v>26021138.8628571</v>
      </c>
      <c r="Q134" s="239">
        <f t="shared" si="16"/>
        <v>1.3997208006418399E-2</v>
      </c>
      <c r="R134" s="236">
        <f t="shared" si="17"/>
        <v>1395.86402791912</v>
      </c>
      <c r="S134" s="240">
        <f t="shared" si="18"/>
        <v>51021.840907562902</v>
      </c>
      <c r="T134" s="241"/>
      <c r="U134" s="225"/>
      <c r="V134" s="226"/>
      <c r="W134" s="227"/>
      <c r="X134" s="226"/>
      <c r="Y134" s="226"/>
      <c r="Z134" s="226"/>
      <c r="AA134" s="226"/>
      <c r="AB134" s="226"/>
      <c r="AC134" s="226"/>
      <c r="AD134" s="96">
        <f t="shared" si="33"/>
        <v>0</v>
      </c>
      <c r="AE134" s="96">
        <f t="shared" si="34"/>
        <v>0</v>
      </c>
      <c r="AF134" s="96">
        <f t="shared" si="35"/>
        <v>0</v>
      </c>
      <c r="AG134" s="96">
        <f t="shared" si="36"/>
        <v>0</v>
      </c>
      <c r="AH134" s="211" t="str">
        <f t="shared" si="19"/>
        <v>0,;!0,;!0,;!0</v>
      </c>
      <c r="AI134" s="211" t="e">
        <f>INDEX([1]Library!$AL:$AL,MATCH(AH134,[1]Library!$AJ:$AJ,0),1)</f>
        <v>#N/A</v>
      </c>
      <c r="AJ134" s="211" t="e">
        <f>TEXT(INDEX([1]Library!$W:$W,MATCH(AH134,[1]Library!$AJ:$AJ,0),1),"")</f>
        <v>#N/A</v>
      </c>
    </row>
    <row r="135" spans="1:36" ht="25.2" hidden="1" customHeight="1" outlineLevel="2">
      <c r="A135" s="228"/>
      <c r="B135" s="229"/>
      <c r="C135" s="230"/>
      <c r="D135" s="231" t="s">
        <v>159</v>
      </c>
      <c r="E135" s="232"/>
      <c r="F135" s="233"/>
      <c r="G135" s="379"/>
      <c r="H135" s="380">
        <v>1067.48</v>
      </c>
      <c r="I135" s="234" t="s">
        <v>113</v>
      </c>
      <c r="J135" s="235">
        <v>22186</v>
      </c>
      <c r="K135" s="236">
        <v>23683111.280000001</v>
      </c>
      <c r="L135" s="235">
        <v>178.57142857142901</v>
      </c>
      <c r="M135" s="236">
        <v>190621.42857142899</v>
      </c>
      <c r="N135" s="237">
        <v>0</v>
      </c>
      <c r="O135" s="236">
        <v>0</v>
      </c>
      <c r="P135" s="238">
        <v>23873732.7085714</v>
      </c>
      <c r="Q135" s="239">
        <f t="shared" si="16"/>
        <v>1.28420821383995E-2</v>
      </c>
      <c r="R135" s="236">
        <f t="shared" si="17"/>
        <v>1280.6697230157999</v>
      </c>
      <c r="S135" s="240">
        <f t="shared" si="18"/>
        <v>46811.240605042003</v>
      </c>
      <c r="T135" s="241"/>
      <c r="U135" s="225"/>
      <c r="V135" s="226"/>
      <c r="W135" s="227"/>
      <c r="X135" s="226"/>
      <c r="Y135" s="226"/>
      <c r="Z135" s="226"/>
      <c r="AA135" s="226"/>
      <c r="AB135" s="226"/>
      <c r="AC135" s="226"/>
      <c r="AD135" s="96">
        <f t="shared" si="33"/>
        <v>0</v>
      </c>
      <c r="AE135" s="96">
        <f t="shared" si="34"/>
        <v>0</v>
      </c>
      <c r="AF135" s="96">
        <f t="shared" si="35"/>
        <v>0</v>
      </c>
      <c r="AG135" s="96">
        <f t="shared" si="36"/>
        <v>0</v>
      </c>
      <c r="AH135" s="211" t="str">
        <f t="shared" si="19"/>
        <v>0,;!0,;!0,;!0</v>
      </c>
      <c r="AI135" s="211" t="e">
        <f>INDEX([1]Library!$AL:$AL,MATCH(AH135,[1]Library!$AJ:$AJ,0),1)</f>
        <v>#N/A</v>
      </c>
      <c r="AJ135" s="211" t="e">
        <f>TEXT(INDEX([1]Library!$W:$W,MATCH(AH135,[1]Library!$AJ:$AJ,0),1),"")</f>
        <v>#N/A</v>
      </c>
    </row>
    <row r="136" spans="1:36" ht="25.2" hidden="1" customHeight="1" outlineLevel="2">
      <c r="A136" s="228"/>
      <c r="B136" s="229"/>
      <c r="C136" s="230"/>
      <c r="D136" s="231" t="s">
        <v>160</v>
      </c>
      <c r="E136" s="232"/>
      <c r="F136" s="233"/>
      <c r="G136" s="379"/>
      <c r="H136" s="380">
        <v>698.24</v>
      </c>
      <c r="I136" s="234" t="s">
        <v>113</v>
      </c>
      <c r="J136" s="235">
        <v>22962</v>
      </c>
      <c r="K136" s="236">
        <v>16032986.880000001</v>
      </c>
      <c r="L136" s="235">
        <v>178.57142857142901</v>
      </c>
      <c r="M136" s="236">
        <v>124685.714285714</v>
      </c>
      <c r="N136" s="237">
        <v>0</v>
      </c>
      <c r="O136" s="236">
        <v>0</v>
      </c>
      <c r="P136" s="238">
        <v>16157672.5942857</v>
      </c>
      <c r="Q136" s="239">
        <f t="shared" si="16"/>
        <v>8.6914836969203598E-3</v>
      </c>
      <c r="R136" s="236">
        <f t="shared" si="17"/>
        <v>866.75352943340204</v>
      </c>
      <c r="S136" s="240">
        <f t="shared" si="18"/>
        <v>31681.710969187599</v>
      </c>
      <c r="T136" s="241"/>
      <c r="U136" s="225"/>
      <c r="V136" s="226"/>
      <c r="W136" s="227"/>
      <c r="X136" s="226"/>
      <c r="Y136" s="226"/>
      <c r="Z136" s="226"/>
      <c r="AA136" s="226"/>
      <c r="AB136" s="226"/>
      <c r="AC136" s="226"/>
      <c r="AD136" s="96">
        <f t="shared" si="33"/>
        <v>0</v>
      </c>
      <c r="AE136" s="96">
        <f t="shared" si="34"/>
        <v>0</v>
      </c>
      <c r="AF136" s="96">
        <f t="shared" si="35"/>
        <v>0</v>
      </c>
      <c r="AG136" s="96">
        <f t="shared" si="36"/>
        <v>0</v>
      </c>
      <c r="AH136" s="211" t="str">
        <f t="shared" si="19"/>
        <v>0,;!0,;!0,;!0</v>
      </c>
      <c r="AI136" s="211" t="e">
        <f>INDEX([1]Library!$AL:$AL,MATCH(AH136,[1]Library!$AJ:$AJ,0),1)</f>
        <v>#N/A</v>
      </c>
      <c r="AJ136" s="211" t="e">
        <f>TEXT(INDEX([1]Library!$W:$W,MATCH(AH136,[1]Library!$AJ:$AJ,0),1),"")</f>
        <v>#N/A</v>
      </c>
    </row>
    <row r="137" spans="1:36" ht="25.2" hidden="1" customHeight="1" outlineLevel="2">
      <c r="A137" s="228"/>
      <c r="B137" s="229"/>
      <c r="C137" s="230"/>
      <c r="D137" s="231" t="s">
        <v>161</v>
      </c>
      <c r="E137" s="232"/>
      <c r="F137" s="233"/>
      <c r="G137" s="379"/>
      <c r="H137" s="380">
        <v>67964</v>
      </c>
      <c r="I137" s="234" t="s">
        <v>117</v>
      </c>
      <c r="J137" s="235">
        <v>2063</v>
      </c>
      <c r="K137" s="236">
        <v>140209732</v>
      </c>
      <c r="L137" s="235">
        <v>150</v>
      </c>
      <c r="M137" s="236">
        <v>10194600</v>
      </c>
      <c r="N137" s="237">
        <v>0</v>
      </c>
      <c r="O137" s="236">
        <v>0</v>
      </c>
      <c r="P137" s="238">
        <v>150404332</v>
      </c>
      <c r="Q137" s="239">
        <f t="shared" si="16"/>
        <v>8.0905018460796799E-2</v>
      </c>
      <c r="R137" s="236">
        <f t="shared" si="17"/>
        <v>8068.2093811690002</v>
      </c>
      <c r="S137" s="240">
        <f t="shared" si="18"/>
        <v>294910.45490196103</v>
      </c>
      <c r="T137" s="241"/>
      <c r="U137" s="225"/>
      <c r="V137" s="226"/>
      <c r="W137" s="227"/>
      <c r="X137" s="226"/>
      <c r="Y137" s="226"/>
      <c r="Z137" s="226"/>
      <c r="AA137" s="226"/>
      <c r="AB137" s="226"/>
      <c r="AC137" s="226"/>
      <c r="AD137" s="96">
        <f t="shared" si="33"/>
        <v>0</v>
      </c>
      <c r="AE137" s="96">
        <f t="shared" si="34"/>
        <v>0</v>
      </c>
      <c r="AF137" s="96">
        <f t="shared" si="35"/>
        <v>0</v>
      </c>
      <c r="AG137" s="96">
        <f t="shared" si="36"/>
        <v>0</v>
      </c>
      <c r="AH137" s="211" t="str">
        <f t="shared" si="19"/>
        <v>0,;!0,;!0,;!0</v>
      </c>
      <c r="AI137" s="211" t="e">
        <f>INDEX([1]Library!$AL:$AL,MATCH(AH137,[1]Library!$AJ:$AJ,0),1)</f>
        <v>#N/A</v>
      </c>
      <c r="AJ137" s="211" t="e">
        <f>TEXT(INDEX([1]Library!$W:$W,MATCH(AH137,[1]Library!$AJ:$AJ,0),1),"")</f>
        <v>#N/A</v>
      </c>
    </row>
    <row r="138" spans="1:36" ht="25.2" hidden="1" customHeight="1" outlineLevel="2">
      <c r="A138" s="228"/>
      <c r="B138" s="229"/>
      <c r="C138" s="230"/>
      <c r="D138" s="231" t="s">
        <v>162</v>
      </c>
      <c r="E138" s="232"/>
      <c r="F138" s="233"/>
      <c r="G138" s="379"/>
      <c r="H138" s="380">
        <v>210.222222222222</v>
      </c>
      <c r="I138" s="234" t="s">
        <v>113</v>
      </c>
      <c r="J138" s="235">
        <v>29531</v>
      </c>
      <c r="K138" s="236">
        <v>6208072.4444444403</v>
      </c>
      <c r="L138" s="235">
        <v>250</v>
      </c>
      <c r="M138" s="236">
        <v>52555.555555555497</v>
      </c>
      <c r="N138" s="237">
        <v>0</v>
      </c>
      <c r="O138" s="236">
        <v>0</v>
      </c>
      <c r="P138" s="238">
        <v>6260627.9999999898</v>
      </c>
      <c r="Q138" s="239">
        <f t="shared" si="16"/>
        <v>3.3676970415731202E-3</v>
      </c>
      <c r="R138" s="236">
        <f t="shared" si="17"/>
        <v>335.84177323834803</v>
      </c>
      <c r="S138" s="240">
        <f t="shared" si="18"/>
        <v>12275.741176470599</v>
      </c>
      <c r="T138" s="241"/>
      <c r="U138" s="225"/>
      <c r="V138" s="226"/>
      <c r="W138" s="227"/>
      <c r="X138" s="226"/>
      <c r="Y138" s="226"/>
      <c r="Z138" s="226"/>
      <c r="AA138" s="226"/>
      <c r="AB138" s="226"/>
      <c r="AC138" s="226"/>
      <c r="AD138" s="96">
        <f t="shared" si="33"/>
        <v>0</v>
      </c>
      <c r="AE138" s="96">
        <f t="shared" si="34"/>
        <v>0</v>
      </c>
      <c r="AF138" s="96">
        <f t="shared" si="35"/>
        <v>0</v>
      </c>
      <c r="AG138" s="96">
        <f t="shared" si="36"/>
        <v>0</v>
      </c>
      <c r="AH138" s="211" t="str">
        <f t="shared" si="19"/>
        <v>0,;!0,;!0,;!0</v>
      </c>
      <c r="AI138" s="211" t="e">
        <f>INDEX([1]Library!$AL:$AL,MATCH(AH138,[1]Library!$AJ:$AJ,0),1)</f>
        <v>#N/A</v>
      </c>
      <c r="AJ138" s="211" t="e">
        <f>TEXT(INDEX([1]Library!$W:$W,MATCH(AH138,[1]Library!$AJ:$AJ,0),1),"")</f>
        <v>#N/A</v>
      </c>
    </row>
    <row r="139" spans="1:36" ht="25.2" hidden="1" customHeight="1" outlineLevel="2">
      <c r="A139" s="228"/>
      <c r="B139" s="229"/>
      <c r="C139" s="230"/>
      <c r="D139" s="231" t="s">
        <v>163</v>
      </c>
      <c r="E139" s="232"/>
      <c r="F139" s="233"/>
      <c r="G139" s="379"/>
      <c r="H139" s="380">
        <v>266.66666666666703</v>
      </c>
      <c r="I139" s="234" t="s">
        <v>113</v>
      </c>
      <c r="J139" s="235">
        <v>32613</v>
      </c>
      <c r="K139" s="236">
        <v>8696800.0000000093</v>
      </c>
      <c r="L139" s="235">
        <v>250</v>
      </c>
      <c r="M139" s="236">
        <v>66666.666666666802</v>
      </c>
      <c r="N139" s="237">
        <v>0</v>
      </c>
      <c r="O139" s="236">
        <v>0</v>
      </c>
      <c r="P139" s="238">
        <v>8763466.6666666791</v>
      </c>
      <c r="Q139" s="239">
        <f t="shared" si="16"/>
        <v>4.7140160327778704E-3</v>
      </c>
      <c r="R139" s="236">
        <f t="shared" si="17"/>
        <v>470.10270935256</v>
      </c>
      <c r="S139" s="240">
        <f t="shared" si="18"/>
        <v>17183.2679738562</v>
      </c>
      <c r="T139" s="241"/>
      <c r="U139" s="225"/>
      <c r="V139" s="226"/>
      <c r="W139" s="227"/>
      <c r="X139" s="226"/>
      <c r="Y139" s="226"/>
      <c r="Z139" s="226"/>
      <c r="AA139" s="226"/>
      <c r="AB139" s="226"/>
      <c r="AC139" s="226"/>
      <c r="AD139" s="96">
        <f t="shared" si="33"/>
        <v>0</v>
      </c>
      <c r="AE139" s="96">
        <f t="shared" si="34"/>
        <v>0</v>
      </c>
      <c r="AF139" s="96">
        <f t="shared" si="35"/>
        <v>0</v>
      </c>
      <c r="AG139" s="96">
        <f t="shared" si="36"/>
        <v>0</v>
      </c>
      <c r="AH139" s="211" t="str">
        <f t="shared" si="19"/>
        <v>0,;!0,;!0,;!0</v>
      </c>
      <c r="AI139" s="211" t="e">
        <f>INDEX([1]Library!$AL:$AL,MATCH(AH139,[1]Library!$AJ:$AJ,0),1)</f>
        <v>#N/A</v>
      </c>
      <c r="AJ139" s="211" t="e">
        <f>TEXT(INDEX([1]Library!$W:$W,MATCH(AH139,[1]Library!$AJ:$AJ,0),1),"")</f>
        <v>#N/A</v>
      </c>
    </row>
    <row r="140" spans="1:36" ht="25.2" hidden="1" customHeight="1" outlineLevel="2">
      <c r="A140" s="228"/>
      <c r="B140" s="229"/>
      <c r="C140" s="230"/>
      <c r="D140" s="231" t="s">
        <v>164</v>
      </c>
      <c r="E140" s="232"/>
      <c r="F140" s="233"/>
      <c r="G140" s="379"/>
      <c r="H140" s="380">
        <v>111286.07799999999</v>
      </c>
      <c r="I140" s="234" t="s">
        <v>117</v>
      </c>
      <c r="J140" s="235">
        <v>30</v>
      </c>
      <c r="K140" s="236">
        <v>3338582.34</v>
      </c>
      <c r="L140" s="235">
        <v>0</v>
      </c>
      <c r="M140" s="236">
        <v>0</v>
      </c>
      <c r="N140" s="237">
        <v>0</v>
      </c>
      <c r="O140" s="236">
        <v>0</v>
      </c>
      <c r="P140" s="238">
        <v>3338582.34</v>
      </c>
      <c r="Q140" s="239">
        <f t="shared" si="16"/>
        <v>1.79587956183729E-3</v>
      </c>
      <c r="R140" s="236">
        <f t="shared" si="17"/>
        <v>179.09312183503599</v>
      </c>
      <c r="S140" s="240">
        <f t="shared" si="18"/>
        <v>6546.2398823529402</v>
      </c>
      <c r="T140" s="241"/>
      <c r="U140" s="225"/>
      <c r="V140" s="226"/>
      <c r="W140" s="227"/>
      <c r="X140" s="226"/>
      <c r="Y140" s="226"/>
      <c r="Z140" s="226"/>
      <c r="AA140" s="226"/>
      <c r="AB140" s="226"/>
      <c r="AC140" s="226"/>
      <c r="AD140" s="96">
        <f t="shared" si="33"/>
        <v>0</v>
      </c>
      <c r="AE140" s="96">
        <f t="shared" si="34"/>
        <v>0</v>
      </c>
      <c r="AF140" s="96">
        <f t="shared" si="35"/>
        <v>0</v>
      </c>
      <c r="AG140" s="96">
        <f t="shared" si="36"/>
        <v>0</v>
      </c>
      <c r="AH140" s="211" t="str">
        <f t="shared" si="19"/>
        <v>0,;!0,;!0,;!0</v>
      </c>
      <c r="AI140" s="211" t="e">
        <f>INDEX([1]Library!$AL:$AL,MATCH(AH140,[1]Library!$AJ:$AJ,0),1)</f>
        <v>#N/A</v>
      </c>
      <c r="AJ140" s="211" t="e">
        <f>TEXT(INDEX([1]Library!$W:$W,MATCH(AH140,[1]Library!$AJ:$AJ,0),1),"")</f>
        <v>#N/A</v>
      </c>
    </row>
    <row r="141" spans="1:36" ht="25.2" hidden="1" customHeight="1" outlineLevel="1" collapsed="1">
      <c r="A141" s="213"/>
      <c r="B141" s="214"/>
      <c r="C141" s="215" t="s">
        <v>165</v>
      </c>
      <c r="D141" s="215"/>
      <c r="E141" s="216"/>
      <c r="F141" s="217"/>
      <c r="G141" s="379"/>
      <c r="H141" s="219">
        <v>1</v>
      </c>
      <c r="I141" s="218" t="s">
        <v>32</v>
      </c>
      <c r="J141" s="219">
        <v>139714807.20142901</v>
      </c>
      <c r="K141" s="219">
        <v>139714807.20142901</v>
      </c>
      <c r="L141" s="219">
        <v>17817056.711428601</v>
      </c>
      <c r="M141" s="219">
        <v>17817056.711428601</v>
      </c>
      <c r="N141" s="219">
        <v>0</v>
      </c>
      <c r="O141" s="219">
        <v>0</v>
      </c>
      <c r="P141" s="220">
        <v>157531863.912857</v>
      </c>
      <c r="Q141" s="221">
        <f t="shared" ref="Q141:Q204" si="37">P141/P$13</f>
        <v>8.4739037689642097E-2</v>
      </c>
      <c r="R141" s="222">
        <f t="shared" ref="R141:R204" si="38">P141/I$5</f>
        <v>8450.5548833177909</v>
      </c>
      <c r="S141" s="223">
        <f t="shared" ref="S141:S204" si="39">P141/I$7</f>
        <v>308886.00767226901</v>
      </c>
      <c r="T141" s="224"/>
      <c r="U141" s="225"/>
      <c r="V141" s="226"/>
      <c r="W141" s="227"/>
      <c r="X141" s="226"/>
      <c r="Y141" s="226"/>
      <c r="Z141" s="226"/>
      <c r="AA141" s="226"/>
      <c r="AB141" s="226"/>
      <c r="AC141" s="226"/>
      <c r="AD141" s="96">
        <f>IF(X141&lt;&gt;0,IF($X141&gt;=AD$12,#REF!,""),Z141)</f>
        <v>0</v>
      </c>
      <c r="AE141" s="96">
        <f>IF(AA141=" ",IF($X141&gt;=AE$12,#REF!,""),AA141)</f>
        <v>0</v>
      </c>
      <c r="AF141" s="96">
        <f>IF(AB141=" ",IF($X141&gt;=AF$12,#REF!,""),AB141)</f>
        <v>0</v>
      </c>
      <c r="AG141" s="96">
        <f>IF(AC141=" ",IF($X141&gt;=AG$12,#REF!,""),AC141)</f>
        <v>0</v>
      </c>
      <c r="AH141" s="211" t="str">
        <f t="shared" si="19"/>
        <v>0,;!0,;!0,;!0</v>
      </c>
      <c r="AI141" s="211" t="e">
        <f>INDEX([1]Library!$AL:$AL,MATCH(AH141,[1]Library!$AJ:$AJ,0),1)</f>
        <v>#N/A</v>
      </c>
      <c r="AJ141" s="211" t="e">
        <f>TEXT(INDEX([1]Library!$W:$W,MATCH(AH141,[1]Library!$AJ:$AJ,0),1),"")</f>
        <v>#N/A</v>
      </c>
    </row>
    <row r="142" spans="1:36" ht="25.2" hidden="1" customHeight="1" outlineLevel="2">
      <c r="A142" s="228"/>
      <c r="B142" s="229"/>
      <c r="C142" s="230"/>
      <c r="D142" s="231" t="s">
        <v>166</v>
      </c>
      <c r="E142" s="232"/>
      <c r="F142" s="233"/>
      <c r="G142" s="379"/>
      <c r="H142" s="380">
        <v>18103.64</v>
      </c>
      <c r="I142" s="234" t="s">
        <v>117</v>
      </c>
      <c r="J142" s="235">
        <v>2770</v>
      </c>
      <c r="K142" s="236">
        <v>50147082.799999997</v>
      </c>
      <c r="L142" s="235">
        <v>178.57142857142901</v>
      </c>
      <c r="M142" s="236">
        <v>3232792.8571428698</v>
      </c>
      <c r="N142" s="237">
        <v>0</v>
      </c>
      <c r="O142" s="236">
        <v>0</v>
      </c>
      <c r="P142" s="238">
        <v>53379875.6571429</v>
      </c>
      <c r="Q142" s="239">
        <f t="shared" si="37"/>
        <v>2.8713932425006101E-2</v>
      </c>
      <c r="R142" s="236">
        <f t="shared" si="38"/>
        <v>2863.4814424267702</v>
      </c>
      <c r="S142" s="240">
        <f t="shared" si="39"/>
        <v>104666.422857143</v>
      </c>
      <c r="T142" s="241"/>
      <c r="U142" s="225"/>
      <c r="V142" s="226"/>
      <c r="W142" s="227"/>
      <c r="X142" s="226"/>
      <c r="Y142" s="226"/>
      <c r="Z142" s="226"/>
      <c r="AA142" s="226"/>
      <c r="AB142" s="226"/>
      <c r="AC142" s="226"/>
      <c r="AD142" s="96">
        <f>IF(X142&lt;&gt;0,IF($X142&gt;=AD$12,AD141,""),Z142)</f>
        <v>0</v>
      </c>
      <c r="AE142" s="96">
        <f t="shared" ref="AE142:AG144" si="40">IF(AA142=" ",IF($X142&gt;=AE$12,AE141,""),AA142)</f>
        <v>0</v>
      </c>
      <c r="AF142" s="96">
        <f t="shared" si="40"/>
        <v>0</v>
      </c>
      <c r="AG142" s="96">
        <f t="shared" si="40"/>
        <v>0</v>
      </c>
      <c r="AH142" s="211" t="str">
        <f t="shared" ref="AH142:AH205" si="41">AD142&amp;",;!"&amp;AE142&amp;",;!"&amp;AF142&amp;",;!"&amp;AG142</f>
        <v>0,;!0,;!0,;!0</v>
      </c>
      <c r="AI142" s="211" t="e">
        <f>INDEX([1]Library!$AL:$AL,MATCH(AH142,[1]Library!$AJ:$AJ,0),1)</f>
        <v>#N/A</v>
      </c>
      <c r="AJ142" s="211" t="e">
        <f>TEXT(INDEX([1]Library!$W:$W,MATCH(AH142,[1]Library!$AJ:$AJ,0),1),"")</f>
        <v>#N/A</v>
      </c>
    </row>
    <row r="143" spans="1:36" ht="25.2" hidden="1" customHeight="1" outlineLevel="2">
      <c r="A143" s="228"/>
      <c r="B143" s="229"/>
      <c r="C143" s="230"/>
      <c r="D143" s="231" t="s">
        <v>167</v>
      </c>
      <c r="E143" s="232"/>
      <c r="F143" s="233"/>
      <c r="G143" s="379"/>
      <c r="H143" s="380">
        <v>540.6</v>
      </c>
      <c r="I143" s="234" t="s">
        <v>117</v>
      </c>
      <c r="J143" s="235">
        <v>3200</v>
      </c>
      <c r="K143" s="236">
        <v>1729920</v>
      </c>
      <c r="L143" s="235">
        <v>178.57142857142901</v>
      </c>
      <c r="M143" s="236">
        <v>96535.714285714494</v>
      </c>
      <c r="N143" s="237">
        <v>0</v>
      </c>
      <c r="O143" s="236">
        <v>0</v>
      </c>
      <c r="P143" s="238">
        <v>1826455.7142857099</v>
      </c>
      <c r="Q143" s="239">
        <f t="shared" si="37"/>
        <v>9.8248123120625E-4</v>
      </c>
      <c r="R143" s="236">
        <f t="shared" si="38"/>
        <v>97.977411503610696</v>
      </c>
      <c r="S143" s="240">
        <f t="shared" si="39"/>
        <v>3581.2857142857101</v>
      </c>
      <c r="T143" s="241"/>
      <c r="U143" s="225"/>
      <c r="V143" s="226"/>
      <c r="W143" s="227"/>
      <c r="X143" s="226"/>
      <c r="Y143" s="226"/>
      <c r="Z143" s="226"/>
      <c r="AA143" s="226"/>
      <c r="AB143" s="226"/>
      <c r="AC143" s="226"/>
      <c r="AD143" s="96">
        <f>IF(X143&lt;&gt;0,IF($X143&gt;=AD$12,AD142,""),Z143)</f>
        <v>0</v>
      </c>
      <c r="AE143" s="96">
        <f t="shared" si="40"/>
        <v>0</v>
      </c>
      <c r="AF143" s="96">
        <f t="shared" si="40"/>
        <v>0</v>
      </c>
      <c r="AG143" s="96">
        <f t="shared" si="40"/>
        <v>0</v>
      </c>
      <c r="AH143" s="211" t="str">
        <f t="shared" si="41"/>
        <v>0,;!0,;!0,;!0</v>
      </c>
      <c r="AI143" s="211" t="e">
        <f>INDEX([1]Library!$AL:$AL,MATCH(AH143,[1]Library!$AJ:$AJ,0),1)</f>
        <v>#N/A</v>
      </c>
      <c r="AJ143" s="211" t="e">
        <f>TEXT(INDEX([1]Library!$W:$W,MATCH(AH143,[1]Library!$AJ:$AJ,0),1),"")</f>
        <v>#N/A</v>
      </c>
    </row>
    <row r="144" spans="1:36" ht="25.2" hidden="1" customHeight="1" outlineLevel="2">
      <c r="A144" s="228"/>
      <c r="B144" s="229"/>
      <c r="C144" s="230"/>
      <c r="D144" s="231" t="s">
        <v>168</v>
      </c>
      <c r="E144" s="232"/>
      <c r="F144" s="233"/>
      <c r="G144" s="379"/>
      <c r="H144" s="380">
        <v>17226.2</v>
      </c>
      <c r="I144" s="234" t="s">
        <v>117</v>
      </c>
      <c r="J144" s="235">
        <v>2128</v>
      </c>
      <c r="K144" s="236">
        <v>36657353.600000001</v>
      </c>
      <c r="L144" s="235">
        <v>178.57142857142901</v>
      </c>
      <c r="M144" s="236">
        <v>3076107.1428571502</v>
      </c>
      <c r="N144" s="237">
        <v>0</v>
      </c>
      <c r="O144" s="236">
        <v>0</v>
      </c>
      <c r="P144" s="238">
        <v>39733460.742857203</v>
      </c>
      <c r="Q144" s="239">
        <f t="shared" si="37"/>
        <v>2.1373296448085E-2</v>
      </c>
      <c r="R144" s="236">
        <f t="shared" si="38"/>
        <v>2131.4404741469202</v>
      </c>
      <c r="S144" s="240">
        <f t="shared" si="39"/>
        <v>77908.746554622005</v>
      </c>
      <c r="T144" s="241"/>
      <c r="U144" s="225"/>
      <c r="V144" s="226"/>
      <c r="W144" s="227"/>
      <c r="X144" s="226"/>
      <c r="Y144" s="226"/>
      <c r="Z144" s="226"/>
      <c r="AA144" s="226"/>
      <c r="AB144" s="226"/>
      <c r="AC144" s="226"/>
      <c r="AD144" s="96">
        <f>IF(X144&lt;&gt;0,IF($X144&gt;=AD$12,AD143,""),Z144)</f>
        <v>0</v>
      </c>
      <c r="AE144" s="96">
        <f t="shared" si="40"/>
        <v>0</v>
      </c>
      <c r="AF144" s="96">
        <f t="shared" si="40"/>
        <v>0</v>
      </c>
      <c r="AG144" s="96">
        <f t="shared" si="40"/>
        <v>0</v>
      </c>
      <c r="AH144" s="211" t="str">
        <f t="shared" si="41"/>
        <v>0,;!0,;!0,;!0</v>
      </c>
      <c r="AI144" s="211" t="e">
        <f>INDEX([1]Library!$AL:$AL,MATCH(AH144,[1]Library!$AJ:$AJ,0),1)</f>
        <v>#N/A</v>
      </c>
      <c r="AJ144" s="211" t="e">
        <f>TEXT(INDEX([1]Library!$W:$W,MATCH(AH144,[1]Library!$AJ:$AJ,0),1),"")</f>
        <v>#N/A</v>
      </c>
    </row>
    <row r="145" spans="1:36" ht="25.2" hidden="1" customHeight="1" outlineLevel="2">
      <c r="A145" s="228"/>
      <c r="B145" s="229"/>
      <c r="C145" s="230"/>
      <c r="D145" s="231" t="s">
        <v>169</v>
      </c>
      <c r="E145" s="232"/>
      <c r="F145" s="233"/>
      <c r="G145" s="379"/>
      <c r="H145" s="380">
        <v>24348.78</v>
      </c>
      <c r="I145" s="234" t="s">
        <v>117</v>
      </c>
      <c r="J145" s="235">
        <v>2037.1080376218299</v>
      </c>
      <c r="K145" s="236">
        <v>49601095.444285698</v>
      </c>
      <c r="L145" s="235">
        <v>313</v>
      </c>
      <c r="M145" s="236">
        <v>7621168.1399999997</v>
      </c>
      <c r="N145" s="237">
        <v>0</v>
      </c>
      <c r="O145" s="236">
        <v>0</v>
      </c>
      <c r="P145" s="238">
        <v>57222263.584285699</v>
      </c>
      <c r="Q145" s="239">
        <f t="shared" si="37"/>
        <v>3.0780817481076399E-2</v>
      </c>
      <c r="R145" s="236">
        <f t="shared" si="38"/>
        <v>3069.60044117917</v>
      </c>
      <c r="S145" s="240">
        <f t="shared" si="39"/>
        <v>112200.516831933</v>
      </c>
      <c r="T145" s="241"/>
      <c r="U145" s="225"/>
      <c r="V145" s="226"/>
      <c r="W145" s="227"/>
      <c r="X145" s="226"/>
      <c r="Y145" s="226"/>
      <c r="Z145" s="226"/>
      <c r="AA145" s="226"/>
      <c r="AB145" s="226"/>
      <c r="AC145" s="226"/>
      <c r="AD145" s="96">
        <f>IF(X145&lt;&gt;0,IF($X145&gt;=AD$12,#REF!,""),Z145)</f>
        <v>0</v>
      </c>
      <c r="AE145" s="96">
        <f>IF(AA145=" ",IF($X145&gt;=AE$12,#REF!,""),AA145)</f>
        <v>0</v>
      </c>
      <c r="AF145" s="96">
        <f>IF(AB145=" ",IF($X145&gt;=AF$12,#REF!,""),AB145)</f>
        <v>0</v>
      </c>
      <c r="AG145" s="96">
        <f>IF(AC145=" ",IF($X145&gt;=AG$12,#REF!,""),AC145)</f>
        <v>0</v>
      </c>
      <c r="AH145" s="211" t="str">
        <f t="shared" si="41"/>
        <v>0,;!0,;!0,;!0</v>
      </c>
      <c r="AI145" s="211" t="e">
        <f>INDEX([1]Library!$AL:$AL,MATCH(AH145,[1]Library!$AJ:$AJ,0),1)</f>
        <v>#N/A</v>
      </c>
      <c r="AJ145" s="211" t="e">
        <f>TEXT(INDEX([1]Library!$W:$W,MATCH(AH145,[1]Library!$AJ:$AJ,0),1),"")</f>
        <v>#N/A</v>
      </c>
    </row>
    <row r="146" spans="1:36" ht="25.2" hidden="1" customHeight="1" outlineLevel="2">
      <c r="A146" s="228"/>
      <c r="B146" s="229"/>
      <c r="C146" s="230"/>
      <c r="D146" s="231" t="s">
        <v>170</v>
      </c>
      <c r="E146" s="232"/>
      <c r="F146" s="233"/>
      <c r="G146" s="379"/>
      <c r="H146" s="380">
        <v>35377.56</v>
      </c>
      <c r="I146" s="234" t="s">
        <v>117</v>
      </c>
      <c r="J146" s="235">
        <v>44.642857142857103</v>
      </c>
      <c r="K146" s="236">
        <v>1579355.3571428601</v>
      </c>
      <c r="L146" s="235">
        <v>107.142857142857</v>
      </c>
      <c r="M146" s="236">
        <v>3790452.8571428601</v>
      </c>
      <c r="N146" s="237">
        <v>0</v>
      </c>
      <c r="O146" s="236">
        <v>0</v>
      </c>
      <c r="P146" s="238">
        <v>5369808.2142857099</v>
      </c>
      <c r="Q146" s="239">
        <f t="shared" si="37"/>
        <v>2.8885101042683001E-3</v>
      </c>
      <c r="R146" s="236">
        <f t="shared" si="38"/>
        <v>288.05511406133098</v>
      </c>
      <c r="S146" s="240">
        <f t="shared" si="39"/>
        <v>10529.035714285699</v>
      </c>
      <c r="T146" s="241"/>
      <c r="U146" s="225"/>
      <c r="V146" s="226"/>
      <c r="W146" s="227"/>
      <c r="X146" s="226"/>
      <c r="Y146" s="226"/>
      <c r="Z146" s="226"/>
      <c r="AA146" s="226"/>
      <c r="AB146" s="226"/>
      <c r="AC146" s="226"/>
      <c r="AD146" s="96">
        <f>IF(X146&lt;&gt;0,IF($X146&gt;=AD$12,AD145,""),Z146)</f>
        <v>0</v>
      </c>
      <c r="AE146" s="96">
        <f t="shared" ref="AE146:AG148" si="42">IF(AA146=" ",IF($X146&gt;=AE$12,AE145,""),AA146)</f>
        <v>0</v>
      </c>
      <c r="AF146" s="96">
        <f t="shared" si="42"/>
        <v>0</v>
      </c>
      <c r="AG146" s="96">
        <f t="shared" si="42"/>
        <v>0</v>
      </c>
      <c r="AH146" s="211" t="str">
        <f t="shared" si="41"/>
        <v>0,;!0,;!0,;!0</v>
      </c>
      <c r="AI146" s="211" t="e">
        <f>INDEX([1]Library!$AL:$AL,MATCH(AH146,[1]Library!$AJ:$AJ,0),1)</f>
        <v>#N/A</v>
      </c>
      <c r="AJ146" s="211" t="e">
        <f>TEXT(INDEX([1]Library!$W:$W,MATCH(AH146,[1]Library!$AJ:$AJ,0),1),"")</f>
        <v>#N/A</v>
      </c>
    </row>
    <row r="147" spans="1:36" ht="25.2" customHeight="1" collapsed="1">
      <c r="A147" s="198" t="s">
        <v>171</v>
      </c>
      <c r="B147" s="199" t="s">
        <v>172</v>
      </c>
      <c r="C147" s="200"/>
      <c r="D147" s="200"/>
      <c r="E147" s="201"/>
      <c r="F147" s="202"/>
      <c r="G147" s="379"/>
      <c r="H147" s="378">
        <v>1</v>
      </c>
      <c r="I147" s="203" t="s">
        <v>32</v>
      </c>
      <c r="J147" s="204">
        <v>136630002.93665901</v>
      </c>
      <c r="K147" s="205">
        <v>136630002.93665901</v>
      </c>
      <c r="L147" s="204">
        <v>82574984.222268507</v>
      </c>
      <c r="M147" s="205">
        <v>82574984.222268507</v>
      </c>
      <c r="N147" s="204">
        <v>218030593.37806401</v>
      </c>
      <c r="O147" s="205">
        <v>218030593.37806401</v>
      </c>
      <c r="P147" s="206">
        <v>437235580.53699201</v>
      </c>
      <c r="Q147" s="207">
        <f t="shared" si="37"/>
        <v>0.235196368646234</v>
      </c>
      <c r="R147" s="205">
        <f t="shared" si="38"/>
        <v>23454.831159181202</v>
      </c>
      <c r="S147" s="208">
        <f t="shared" si="39"/>
        <v>857324.66771959199</v>
      </c>
      <c r="T147" s="209"/>
      <c r="U147" s="225"/>
      <c r="V147" s="226"/>
      <c r="W147" s="227"/>
      <c r="X147" s="226"/>
      <c r="Y147" s="226"/>
      <c r="Z147" s="226"/>
      <c r="AA147" s="226"/>
      <c r="AB147" s="226"/>
      <c r="AC147" s="226"/>
      <c r="AD147" s="96">
        <f>IF(X147&lt;&gt;0,IF($X147&gt;=AD$12,AD146,""),Z147)</f>
        <v>0</v>
      </c>
      <c r="AE147" s="96">
        <f t="shared" si="42"/>
        <v>0</v>
      </c>
      <c r="AF147" s="96">
        <f t="shared" si="42"/>
        <v>0</v>
      </c>
      <c r="AG147" s="96">
        <f t="shared" si="42"/>
        <v>0</v>
      </c>
      <c r="AH147" s="211" t="str">
        <f t="shared" si="41"/>
        <v>0,;!0,;!0,;!0</v>
      </c>
      <c r="AI147" s="211" t="e">
        <f>INDEX([1]Library!$AL:$AL,MATCH(AH147,[1]Library!$AJ:$AJ,0),1)</f>
        <v>#N/A</v>
      </c>
      <c r="AJ147" s="211" t="e">
        <f>TEXT(INDEX([1]Library!$W:$W,MATCH(AH147,[1]Library!$AJ:$AJ,0),1),"")</f>
        <v>#N/A</v>
      </c>
    </row>
    <row r="148" spans="1:36" ht="25.2" hidden="1" customHeight="1" outlineLevel="1" collapsed="1">
      <c r="A148" s="213"/>
      <c r="B148" s="214"/>
      <c r="C148" s="215" t="s">
        <v>173</v>
      </c>
      <c r="D148" s="215"/>
      <c r="E148" s="216"/>
      <c r="F148" s="217"/>
      <c r="G148" s="379"/>
      <c r="H148" s="219">
        <v>1</v>
      </c>
      <c r="I148" s="218" t="s">
        <v>32</v>
      </c>
      <c r="J148" s="219">
        <v>31185541.0747547</v>
      </c>
      <c r="K148" s="219">
        <v>31185541.0747547</v>
      </c>
      <c r="L148" s="219">
        <v>52216332.079411402</v>
      </c>
      <c r="M148" s="219">
        <v>52216332.079411402</v>
      </c>
      <c r="N148" s="219">
        <v>1454914.19285714</v>
      </c>
      <c r="O148" s="219">
        <v>1454914.19285714</v>
      </c>
      <c r="P148" s="220">
        <v>84856787.347023204</v>
      </c>
      <c r="Q148" s="221">
        <f t="shared" si="37"/>
        <v>4.5645892345938702E-2</v>
      </c>
      <c r="R148" s="222">
        <f t="shared" si="38"/>
        <v>4552.0120240227898</v>
      </c>
      <c r="S148" s="223">
        <f t="shared" si="39"/>
        <v>166385.857543183</v>
      </c>
      <c r="T148" s="224"/>
      <c r="U148" s="225"/>
      <c r="V148" s="226"/>
      <c r="W148" s="227"/>
      <c r="X148" s="226"/>
      <c r="Y148" s="226"/>
      <c r="Z148" s="226"/>
      <c r="AA148" s="226"/>
      <c r="AB148" s="226"/>
      <c r="AC148" s="226"/>
      <c r="AD148" s="96">
        <f>IF(X148&lt;&gt;0,IF($X148&gt;=AD$12,AD147,""),Z148)</f>
        <v>0</v>
      </c>
      <c r="AE148" s="96">
        <f t="shared" si="42"/>
        <v>0</v>
      </c>
      <c r="AF148" s="96">
        <f t="shared" si="42"/>
        <v>0</v>
      </c>
      <c r="AG148" s="96">
        <f t="shared" si="42"/>
        <v>0</v>
      </c>
      <c r="AH148" s="211" t="str">
        <f t="shared" si="41"/>
        <v>0,;!0,;!0,;!0</v>
      </c>
      <c r="AI148" s="211" t="e">
        <f>INDEX([1]Library!$AL:$AL,MATCH(AH148,[1]Library!$AJ:$AJ,0),1)</f>
        <v>#N/A</v>
      </c>
      <c r="AJ148" s="211" t="e">
        <f>TEXT(INDEX([1]Library!$W:$W,MATCH(AH148,[1]Library!$AJ:$AJ,0),1),"")</f>
        <v>#N/A</v>
      </c>
    </row>
    <row r="149" spans="1:36" ht="25.2" hidden="1" customHeight="1" outlineLevel="2">
      <c r="A149" s="228"/>
      <c r="B149" s="229"/>
      <c r="C149" s="230"/>
      <c r="D149" s="231" t="s">
        <v>174</v>
      </c>
      <c r="E149" s="232"/>
      <c r="F149" s="233"/>
      <c r="G149" s="379"/>
      <c r="H149" s="380">
        <v>648</v>
      </c>
      <c r="I149" s="234" t="s">
        <v>117</v>
      </c>
      <c r="J149" s="235">
        <v>1607.1428571428601</v>
      </c>
      <c r="K149" s="236">
        <v>1041428.57142857</v>
      </c>
      <c r="L149" s="235">
        <v>580.357142857143</v>
      </c>
      <c r="M149" s="236">
        <v>376071.42857142899</v>
      </c>
      <c r="N149" s="237">
        <v>0</v>
      </c>
      <c r="O149" s="236">
        <v>0</v>
      </c>
      <c r="P149" s="238">
        <v>1417500</v>
      </c>
      <c r="Q149" s="239">
        <f t="shared" si="37"/>
        <v>7.6249707799759103E-4</v>
      </c>
      <c r="R149" s="236">
        <f t="shared" si="38"/>
        <v>76.039610333876894</v>
      </c>
      <c r="S149" s="240">
        <f t="shared" si="39"/>
        <v>2779.4117647058802</v>
      </c>
      <c r="T149" s="241"/>
      <c r="U149" s="225"/>
      <c r="V149" s="226"/>
      <c r="W149" s="227"/>
      <c r="X149" s="226"/>
      <c r="Y149" s="226"/>
      <c r="Z149" s="226"/>
      <c r="AA149" s="226"/>
      <c r="AB149" s="226"/>
      <c r="AC149" s="226"/>
      <c r="AD149" s="96">
        <f>IF(X149&lt;&gt;0,IF($X149&gt;=AD$12,#REF!,""),Z149)</f>
        <v>0</v>
      </c>
      <c r="AE149" s="96">
        <f>IF(AA149=" ",IF($X149&gt;=AE$12,#REF!,""),AA149)</f>
        <v>0</v>
      </c>
      <c r="AF149" s="96">
        <f>IF(AB149=" ",IF($X149&gt;=AF$12,#REF!,""),AB149)</f>
        <v>0</v>
      </c>
      <c r="AG149" s="96">
        <f>IF(AC149=" ",IF($X149&gt;=AG$12,#REF!,""),AC149)</f>
        <v>0</v>
      </c>
      <c r="AH149" s="211" t="str">
        <f t="shared" si="41"/>
        <v>0,;!0,;!0,;!0</v>
      </c>
      <c r="AI149" s="211" t="e">
        <f>INDEX([1]Library!$AL:$AL,MATCH(AH149,[1]Library!$AJ:$AJ,0),1)</f>
        <v>#N/A</v>
      </c>
      <c r="AJ149" s="211" t="e">
        <f>TEXT(INDEX([1]Library!$W:$W,MATCH(AH149,[1]Library!$AJ:$AJ,0),1),"")</f>
        <v>#N/A</v>
      </c>
    </row>
    <row r="150" spans="1:36" ht="25.2" hidden="1" customHeight="1" outlineLevel="2">
      <c r="A150" s="228"/>
      <c r="B150" s="229"/>
      <c r="C150" s="230"/>
      <c r="D150" s="231" t="s">
        <v>175</v>
      </c>
      <c r="E150" s="232"/>
      <c r="F150" s="233"/>
      <c r="G150" s="379"/>
      <c r="H150" s="380">
        <v>18914.68</v>
      </c>
      <c r="I150" s="234" t="s">
        <v>176</v>
      </c>
      <c r="J150" s="235">
        <v>86.309523809523796</v>
      </c>
      <c r="K150" s="236">
        <v>1632517.0238095201</v>
      </c>
      <c r="L150" s="235">
        <v>80.357142857142804</v>
      </c>
      <c r="M150" s="236">
        <v>1519929.6428571399</v>
      </c>
      <c r="N150" s="237">
        <v>0</v>
      </c>
      <c r="O150" s="236">
        <v>0</v>
      </c>
      <c r="P150" s="238">
        <v>3152446.6666666698</v>
      </c>
      <c r="Q150" s="239">
        <f t="shared" si="37"/>
        <v>1.6957540542339199E-3</v>
      </c>
      <c r="R150" s="236">
        <f t="shared" si="38"/>
        <v>169.10815952850999</v>
      </c>
      <c r="S150" s="240">
        <f t="shared" si="39"/>
        <v>6181.2679738562201</v>
      </c>
      <c r="T150" s="241"/>
      <c r="U150" s="225"/>
      <c r="V150" s="226"/>
      <c r="W150" s="227"/>
      <c r="X150" s="226"/>
      <c r="Y150" s="226"/>
      <c r="Z150" s="226"/>
      <c r="AA150" s="226"/>
      <c r="AB150" s="226"/>
      <c r="AC150" s="226"/>
      <c r="AD150" s="96">
        <f>IF(X150&lt;&gt;0,IF($X150&gt;=AD$12,#REF!,""),Z150)</f>
        <v>0</v>
      </c>
      <c r="AE150" s="96">
        <f>IF(AA150=" ",IF($X150&gt;=AE$12,#REF!,""),AA150)</f>
        <v>0</v>
      </c>
      <c r="AF150" s="96">
        <f>IF(AB150=" ",IF($X150&gt;=AF$12,#REF!,""),AB150)</f>
        <v>0</v>
      </c>
      <c r="AG150" s="96">
        <f>IF(AC150=" ",IF($X150&gt;=AG$12,#REF!,""),AC150)</f>
        <v>0</v>
      </c>
      <c r="AH150" s="211" t="str">
        <f t="shared" si="41"/>
        <v>0,;!0,;!0,;!0</v>
      </c>
      <c r="AI150" s="211" t="e">
        <f>INDEX([1]Library!$AL:$AL,MATCH(AH150,[1]Library!$AJ:$AJ,0),1)</f>
        <v>#N/A</v>
      </c>
      <c r="AJ150" s="211" t="e">
        <f>TEXT(INDEX([1]Library!$W:$W,MATCH(AH150,[1]Library!$AJ:$AJ,0),1),"")</f>
        <v>#N/A</v>
      </c>
    </row>
    <row r="151" spans="1:36" ht="25.2" hidden="1" customHeight="1" outlineLevel="2">
      <c r="A151" s="228"/>
      <c r="B151" s="229"/>
      <c r="C151" s="230"/>
      <c r="D151" s="231" t="s">
        <v>177</v>
      </c>
      <c r="E151" s="232"/>
      <c r="F151" s="233"/>
      <c r="G151" s="379"/>
      <c r="H151" s="380">
        <v>121864.56</v>
      </c>
      <c r="I151" s="234" t="s">
        <v>176</v>
      </c>
      <c r="J151" s="235">
        <v>86.309523809523796</v>
      </c>
      <c r="K151" s="236">
        <v>10518072.142857101</v>
      </c>
      <c r="L151" s="235">
        <v>80.357142857142904</v>
      </c>
      <c r="M151" s="236">
        <v>9792687.8571428601</v>
      </c>
      <c r="N151" s="237">
        <v>0</v>
      </c>
      <c r="O151" s="236">
        <v>0</v>
      </c>
      <c r="P151" s="238">
        <v>20310760</v>
      </c>
      <c r="Q151" s="239">
        <f t="shared" si="37"/>
        <v>1.0925499225333601E-2</v>
      </c>
      <c r="R151" s="236">
        <f t="shared" si="38"/>
        <v>1089.5395245043301</v>
      </c>
      <c r="S151" s="240">
        <f t="shared" si="39"/>
        <v>39825.019607843104</v>
      </c>
      <c r="T151" s="241"/>
      <c r="U151" s="225"/>
      <c r="V151" s="226"/>
      <c r="W151" s="227"/>
      <c r="X151" s="226"/>
      <c r="Y151" s="226"/>
      <c r="Z151" s="226"/>
      <c r="AA151" s="226"/>
      <c r="AB151" s="226"/>
      <c r="AC151" s="226"/>
      <c r="AD151" s="96">
        <f t="shared" ref="AD151:AD160" si="43">IF(X151&lt;&gt;0,IF($X151&gt;=AD$12,AD150,""),Z151)</f>
        <v>0</v>
      </c>
      <c r="AE151" s="96">
        <f t="shared" ref="AE151:AE160" si="44">IF(AA151=" ",IF($X151&gt;=AE$12,AE150,""),AA151)</f>
        <v>0</v>
      </c>
      <c r="AF151" s="96">
        <f t="shared" ref="AF151:AF160" si="45">IF(AB151=" ",IF($X151&gt;=AF$12,AF150,""),AB151)</f>
        <v>0</v>
      </c>
      <c r="AG151" s="96">
        <f t="shared" ref="AG151:AG160" si="46">IF(AC151=" ",IF($X151&gt;=AG$12,AG150,""),AC151)</f>
        <v>0</v>
      </c>
      <c r="AH151" s="211" t="str">
        <f t="shared" si="41"/>
        <v>0,;!0,;!0,;!0</v>
      </c>
      <c r="AI151" s="211" t="e">
        <f>INDEX([1]Library!$AL:$AL,MATCH(AH151,[1]Library!$AJ:$AJ,0),1)</f>
        <v>#N/A</v>
      </c>
      <c r="AJ151" s="211" t="e">
        <f>TEXT(INDEX([1]Library!$W:$W,MATCH(AH151,[1]Library!$AJ:$AJ,0),1),"")</f>
        <v>#N/A</v>
      </c>
    </row>
    <row r="152" spans="1:36" ht="25.2" hidden="1" customHeight="1" outlineLevel="2">
      <c r="A152" s="228"/>
      <c r="B152" s="229"/>
      <c r="C152" s="230"/>
      <c r="D152" s="231" t="s">
        <v>178</v>
      </c>
      <c r="E152" s="232"/>
      <c r="F152" s="233"/>
      <c r="G152" s="379"/>
      <c r="H152" s="380">
        <v>45391.199999999997</v>
      </c>
      <c r="I152" s="234" t="s">
        <v>176</v>
      </c>
      <c r="J152" s="235">
        <v>86.309523809523796</v>
      </c>
      <c r="K152" s="236">
        <v>3917692.8571428601</v>
      </c>
      <c r="L152" s="235">
        <v>80.357142857142804</v>
      </c>
      <c r="M152" s="236">
        <v>3647507.1428571399</v>
      </c>
      <c r="N152" s="237">
        <v>0</v>
      </c>
      <c r="O152" s="236">
        <v>0</v>
      </c>
      <c r="P152" s="238">
        <v>7565200</v>
      </c>
      <c r="Q152" s="239">
        <f t="shared" si="37"/>
        <v>4.0694482500651698E-3</v>
      </c>
      <c r="R152" s="236">
        <f t="shared" si="38"/>
        <v>405.82353446056101</v>
      </c>
      <c r="S152" s="240">
        <f t="shared" si="39"/>
        <v>14833.725490196101</v>
      </c>
      <c r="T152" s="241"/>
      <c r="U152" s="225"/>
      <c r="V152" s="226"/>
      <c r="W152" s="227"/>
      <c r="X152" s="226"/>
      <c r="Y152" s="226"/>
      <c r="Z152" s="226"/>
      <c r="AA152" s="226"/>
      <c r="AB152" s="226"/>
      <c r="AC152" s="226"/>
      <c r="AD152" s="96">
        <f t="shared" si="43"/>
        <v>0</v>
      </c>
      <c r="AE152" s="96">
        <f t="shared" si="44"/>
        <v>0</v>
      </c>
      <c r="AF152" s="96">
        <f t="shared" si="45"/>
        <v>0</v>
      </c>
      <c r="AG152" s="96">
        <f t="shared" si="46"/>
        <v>0</v>
      </c>
      <c r="AH152" s="211" t="str">
        <f t="shared" si="41"/>
        <v>0,;!0,;!0,;!0</v>
      </c>
      <c r="AI152" s="211" t="e">
        <f>INDEX([1]Library!$AL:$AL,MATCH(AH152,[1]Library!$AJ:$AJ,0),1)</f>
        <v>#N/A</v>
      </c>
      <c r="AJ152" s="211" t="e">
        <f>TEXT(INDEX([1]Library!$W:$W,MATCH(AH152,[1]Library!$AJ:$AJ,0),1),"")</f>
        <v>#N/A</v>
      </c>
    </row>
    <row r="153" spans="1:36" ht="25.2" hidden="1" customHeight="1" outlineLevel="2">
      <c r="A153" s="228"/>
      <c r="B153" s="229"/>
      <c r="C153" s="230"/>
      <c r="D153" s="231" t="s">
        <v>179</v>
      </c>
      <c r="E153" s="232"/>
      <c r="F153" s="233"/>
      <c r="G153" s="379"/>
      <c r="H153" s="380">
        <v>32502.2</v>
      </c>
      <c r="I153" s="234" t="s">
        <v>117</v>
      </c>
      <c r="J153" s="235">
        <v>44.642857142857103</v>
      </c>
      <c r="K153" s="236">
        <v>1450991.07142857</v>
      </c>
      <c r="L153" s="235">
        <v>107.142857142857</v>
      </c>
      <c r="M153" s="236">
        <v>3482378.57142857</v>
      </c>
      <c r="N153" s="237">
        <v>0</v>
      </c>
      <c r="O153" s="236">
        <v>0</v>
      </c>
      <c r="P153" s="238">
        <v>4933369.6428571399</v>
      </c>
      <c r="Q153" s="239">
        <f t="shared" si="37"/>
        <v>2.6537424602191099E-3</v>
      </c>
      <c r="R153" s="236">
        <f t="shared" si="38"/>
        <v>264.64303723162902</v>
      </c>
      <c r="S153" s="240">
        <f t="shared" si="39"/>
        <v>9673.2738095238001</v>
      </c>
      <c r="T153" s="241"/>
      <c r="U153" s="225"/>
      <c r="V153" s="226"/>
      <c r="W153" s="227"/>
      <c r="X153" s="226"/>
      <c r="Y153" s="226"/>
      <c r="Z153" s="226"/>
      <c r="AA153" s="226"/>
      <c r="AB153" s="226"/>
      <c r="AC153" s="226"/>
      <c r="AD153" s="96">
        <f t="shared" si="43"/>
        <v>0</v>
      </c>
      <c r="AE153" s="96">
        <f t="shared" si="44"/>
        <v>0</v>
      </c>
      <c r="AF153" s="96">
        <f t="shared" si="45"/>
        <v>0</v>
      </c>
      <c r="AG153" s="96">
        <f t="shared" si="46"/>
        <v>0</v>
      </c>
      <c r="AH153" s="211" t="str">
        <f t="shared" si="41"/>
        <v>0,;!0,;!0,;!0</v>
      </c>
      <c r="AI153" s="211" t="e">
        <f>INDEX([1]Library!$AL:$AL,MATCH(AH153,[1]Library!$AJ:$AJ,0),1)</f>
        <v>#N/A</v>
      </c>
      <c r="AJ153" s="211" t="e">
        <f>TEXT(INDEX([1]Library!$W:$W,MATCH(AH153,[1]Library!$AJ:$AJ,0),1),"")</f>
        <v>#N/A</v>
      </c>
    </row>
    <row r="154" spans="1:36" ht="25.2" hidden="1" customHeight="1" outlineLevel="2">
      <c r="A154" s="228"/>
      <c r="B154" s="229"/>
      <c r="C154" s="230"/>
      <c r="D154" s="231" t="s">
        <v>180</v>
      </c>
      <c r="E154" s="232"/>
      <c r="F154" s="233"/>
      <c r="G154" s="379"/>
      <c r="H154" s="380">
        <v>210381.84274117299</v>
      </c>
      <c r="I154" s="234" t="s">
        <v>117</v>
      </c>
      <c r="J154" s="235">
        <v>44.642857142857103</v>
      </c>
      <c r="K154" s="236">
        <v>9392046.5509452093</v>
      </c>
      <c r="L154" s="235">
        <v>107.142857142857</v>
      </c>
      <c r="M154" s="236">
        <v>22540911.722268499</v>
      </c>
      <c r="N154" s="237">
        <v>0</v>
      </c>
      <c r="O154" s="236">
        <v>0</v>
      </c>
      <c r="P154" s="238">
        <v>31932958.273213699</v>
      </c>
      <c r="Q154" s="239">
        <f t="shared" si="37"/>
        <v>1.7177275044193599E-2</v>
      </c>
      <c r="R154" s="236">
        <f t="shared" si="38"/>
        <v>1712.99450010802</v>
      </c>
      <c r="S154" s="240">
        <f t="shared" si="39"/>
        <v>62613.643672967999</v>
      </c>
      <c r="T154" s="241"/>
      <c r="U154" s="225"/>
      <c r="V154" s="226"/>
      <c r="W154" s="227"/>
      <c r="X154" s="226"/>
      <c r="Y154" s="226"/>
      <c r="Z154" s="226"/>
      <c r="AA154" s="226"/>
      <c r="AB154" s="226"/>
      <c r="AC154" s="226"/>
      <c r="AD154" s="96">
        <f t="shared" si="43"/>
        <v>0</v>
      </c>
      <c r="AE154" s="96">
        <f t="shared" si="44"/>
        <v>0</v>
      </c>
      <c r="AF154" s="96">
        <f t="shared" si="45"/>
        <v>0</v>
      </c>
      <c r="AG154" s="96">
        <f t="shared" si="46"/>
        <v>0</v>
      </c>
      <c r="AH154" s="211" t="str">
        <f t="shared" si="41"/>
        <v>0,;!0,;!0,;!0</v>
      </c>
      <c r="AI154" s="211" t="e">
        <f>INDEX([1]Library!$AL:$AL,MATCH(AH154,[1]Library!$AJ:$AJ,0),1)</f>
        <v>#N/A</v>
      </c>
      <c r="AJ154" s="211" t="e">
        <f>TEXT(INDEX([1]Library!$W:$W,MATCH(AH154,[1]Library!$AJ:$AJ,0),1),"")</f>
        <v>#N/A</v>
      </c>
    </row>
    <row r="155" spans="1:36" ht="25.2" hidden="1" customHeight="1" outlineLevel="2">
      <c r="A155" s="228"/>
      <c r="B155" s="229"/>
      <c r="C155" s="230"/>
      <c r="D155" s="231" t="s">
        <v>181</v>
      </c>
      <c r="E155" s="232"/>
      <c r="F155" s="233"/>
      <c r="G155" s="379"/>
      <c r="H155" s="380">
        <v>63952.56</v>
      </c>
      <c r="I155" s="234" t="s">
        <v>117</v>
      </c>
      <c r="J155" s="235">
        <v>44.642857142857103</v>
      </c>
      <c r="K155" s="236">
        <v>2855025</v>
      </c>
      <c r="L155" s="235">
        <v>107.142857142857</v>
      </c>
      <c r="M155" s="236">
        <v>6852060</v>
      </c>
      <c r="N155" s="237">
        <v>0</v>
      </c>
      <c r="O155" s="236">
        <v>0</v>
      </c>
      <c r="P155" s="238">
        <v>9707085</v>
      </c>
      <c r="Q155" s="239">
        <f t="shared" si="37"/>
        <v>5.2216041963839502E-3</v>
      </c>
      <c r="R155" s="236">
        <f t="shared" si="38"/>
        <v>520.72166552227304</v>
      </c>
      <c r="S155" s="240">
        <f t="shared" si="39"/>
        <v>19033.5</v>
      </c>
      <c r="T155" s="241"/>
      <c r="U155" s="225"/>
      <c r="V155" s="226"/>
      <c r="W155" s="227"/>
      <c r="X155" s="226"/>
      <c r="Y155" s="226"/>
      <c r="Z155" s="226"/>
      <c r="AA155" s="226"/>
      <c r="AB155" s="226"/>
      <c r="AC155" s="226"/>
      <c r="AD155" s="96">
        <f t="shared" si="43"/>
        <v>0</v>
      </c>
      <c r="AE155" s="96">
        <f t="shared" si="44"/>
        <v>0</v>
      </c>
      <c r="AF155" s="96">
        <f t="shared" si="45"/>
        <v>0</v>
      </c>
      <c r="AG155" s="96">
        <f t="shared" si="46"/>
        <v>0</v>
      </c>
      <c r="AH155" s="211" t="str">
        <f t="shared" si="41"/>
        <v>0,;!0,;!0,;!0</v>
      </c>
      <c r="AI155" s="211" t="e">
        <f>INDEX([1]Library!$AL:$AL,MATCH(AH155,[1]Library!$AJ:$AJ,0),1)</f>
        <v>#N/A</v>
      </c>
      <c r="AJ155" s="211" t="e">
        <f>TEXT(INDEX([1]Library!$W:$W,MATCH(AH155,[1]Library!$AJ:$AJ,0),1),"")</f>
        <v>#N/A</v>
      </c>
    </row>
    <row r="156" spans="1:36" ht="25.2" hidden="1" customHeight="1" outlineLevel="2">
      <c r="A156" s="228"/>
      <c r="B156" s="229"/>
      <c r="C156" s="230"/>
      <c r="D156" s="231" t="s">
        <v>182</v>
      </c>
      <c r="E156" s="232"/>
      <c r="F156" s="233"/>
      <c r="G156" s="379"/>
      <c r="H156" s="380">
        <v>5483.6776</v>
      </c>
      <c r="I156" s="234" t="s">
        <v>117</v>
      </c>
      <c r="J156" s="235">
        <v>0</v>
      </c>
      <c r="K156" s="236">
        <v>0</v>
      </c>
      <c r="L156" s="235">
        <v>0</v>
      </c>
      <c r="M156" s="236">
        <v>0</v>
      </c>
      <c r="N156" s="237">
        <v>75.892857142857096</v>
      </c>
      <c r="O156" s="236">
        <v>416171.96071428602</v>
      </c>
      <c r="P156" s="238">
        <v>416171.96071428602</v>
      </c>
      <c r="Q156" s="239">
        <f t="shared" si="37"/>
        <v>2.23865893466787E-4</v>
      </c>
      <c r="R156" s="236">
        <f t="shared" si="38"/>
        <v>22.324905625820001</v>
      </c>
      <c r="S156" s="240">
        <f t="shared" si="39"/>
        <v>816.02345238095302</v>
      </c>
      <c r="T156" s="241"/>
      <c r="U156" s="225"/>
      <c r="V156" s="226"/>
      <c r="W156" s="227"/>
      <c r="X156" s="226"/>
      <c r="Y156" s="226"/>
      <c r="Z156" s="226"/>
      <c r="AA156" s="226"/>
      <c r="AB156" s="226"/>
      <c r="AC156" s="226"/>
      <c r="AD156" s="96">
        <f t="shared" si="43"/>
        <v>0</v>
      </c>
      <c r="AE156" s="96">
        <f t="shared" si="44"/>
        <v>0</v>
      </c>
      <c r="AF156" s="96">
        <f t="shared" si="45"/>
        <v>0</v>
      </c>
      <c r="AG156" s="96">
        <f t="shared" si="46"/>
        <v>0</v>
      </c>
      <c r="AH156" s="211" t="str">
        <f t="shared" si="41"/>
        <v>0,;!0,;!0,;!0</v>
      </c>
      <c r="AI156" s="211" t="e">
        <f>INDEX([1]Library!$AL:$AL,MATCH(AH156,[1]Library!$AJ:$AJ,0),1)</f>
        <v>#N/A</v>
      </c>
      <c r="AJ156" s="211" t="e">
        <f>TEXT(INDEX([1]Library!$W:$W,MATCH(AH156,[1]Library!$AJ:$AJ,0),1),"")</f>
        <v>#N/A</v>
      </c>
    </row>
    <row r="157" spans="1:36" ht="25.2" hidden="1" customHeight="1" outlineLevel="2">
      <c r="A157" s="228"/>
      <c r="B157" s="229"/>
      <c r="C157" s="230"/>
      <c r="D157" s="231" t="s">
        <v>183</v>
      </c>
      <c r="E157" s="232"/>
      <c r="F157" s="233"/>
      <c r="G157" s="379"/>
      <c r="H157" s="380">
        <v>61.235999999999997</v>
      </c>
      <c r="I157" s="234" t="s">
        <v>117</v>
      </c>
      <c r="J157" s="235">
        <v>0</v>
      </c>
      <c r="K157" s="236">
        <v>0</v>
      </c>
      <c r="L157" s="235">
        <v>0</v>
      </c>
      <c r="M157" s="236">
        <v>0</v>
      </c>
      <c r="N157" s="237">
        <v>236.607142857143</v>
      </c>
      <c r="O157" s="236">
        <v>14488.875</v>
      </c>
      <c r="P157" s="238">
        <v>14488.875</v>
      </c>
      <c r="Q157" s="239">
        <f t="shared" si="37"/>
        <v>7.7938094186753697E-6</v>
      </c>
      <c r="R157" s="236">
        <f t="shared" si="38"/>
        <v>0.77723344562698504</v>
      </c>
      <c r="S157" s="240">
        <f t="shared" si="39"/>
        <v>28.409558823529402</v>
      </c>
      <c r="T157" s="241"/>
      <c r="U157" s="225"/>
      <c r="V157" s="226"/>
      <c r="W157" s="227"/>
      <c r="X157" s="226"/>
      <c r="Y157" s="226"/>
      <c r="Z157" s="226"/>
      <c r="AA157" s="226"/>
      <c r="AB157" s="226"/>
      <c r="AC157" s="226"/>
      <c r="AD157" s="96">
        <f t="shared" si="43"/>
        <v>0</v>
      </c>
      <c r="AE157" s="96">
        <f t="shared" si="44"/>
        <v>0</v>
      </c>
      <c r="AF157" s="96">
        <f t="shared" si="45"/>
        <v>0</v>
      </c>
      <c r="AG157" s="96">
        <f t="shared" si="46"/>
        <v>0</v>
      </c>
      <c r="AH157" s="211" t="str">
        <f t="shared" si="41"/>
        <v>0,;!0,;!0,;!0</v>
      </c>
      <c r="AI157" s="211" t="e">
        <f>INDEX([1]Library!$AL:$AL,MATCH(AH157,[1]Library!$AJ:$AJ,0),1)</f>
        <v>#N/A</v>
      </c>
      <c r="AJ157" s="211" t="e">
        <f>TEXT(INDEX([1]Library!$W:$W,MATCH(AH157,[1]Library!$AJ:$AJ,0),1),"")</f>
        <v>#N/A</v>
      </c>
    </row>
    <row r="158" spans="1:36" ht="25.2" hidden="1" customHeight="1" outlineLevel="2">
      <c r="A158" s="228"/>
      <c r="B158" s="229"/>
      <c r="C158" s="230"/>
      <c r="D158" s="231" t="s">
        <v>184</v>
      </c>
      <c r="E158" s="232"/>
      <c r="F158" s="233"/>
      <c r="G158" s="379"/>
      <c r="H158" s="380">
        <v>8447.76</v>
      </c>
      <c r="I158" s="234" t="s">
        <v>117</v>
      </c>
      <c r="J158" s="235">
        <v>0</v>
      </c>
      <c r="K158" s="236">
        <v>0</v>
      </c>
      <c r="L158" s="235">
        <v>0</v>
      </c>
      <c r="M158" s="236">
        <v>0</v>
      </c>
      <c r="N158" s="237">
        <v>75.892857142857096</v>
      </c>
      <c r="O158" s="236">
        <v>641124.64285714296</v>
      </c>
      <c r="P158" s="238">
        <v>641124.64285714296</v>
      </c>
      <c r="Q158" s="239">
        <f t="shared" si="37"/>
        <v>3.4487172261786302E-4</v>
      </c>
      <c r="R158" s="236">
        <f t="shared" si="38"/>
        <v>34.392146750125697</v>
      </c>
      <c r="S158" s="240">
        <f t="shared" si="39"/>
        <v>1257.1071428571399</v>
      </c>
      <c r="T158" s="241"/>
      <c r="U158" s="225"/>
      <c r="V158" s="226"/>
      <c r="W158" s="227"/>
      <c r="X158" s="226"/>
      <c r="Y158" s="226"/>
      <c r="Z158" s="226"/>
      <c r="AA158" s="226"/>
      <c r="AB158" s="226"/>
      <c r="AC158" s="226"/>
      <c r="AD158" s="96">
        <f t="shared" si="43"/>
        <v>0</v>
      </c>
      <c r="AE158" s="96">
        <f t="shared" si="44"/>
        <v>0</v>
      </c>
      <c r="AF158" s="96">
        <f t="shared" si="45"/>
        <v>0</v>
      </c>
      <c r="AG158" s="96">
        <f t="shared" si="46"/>
        <v>0</v>
      </c>
      <c r="AH158" s="211" t="str">
        <f t="shared" si="41"/>
        <v>0,;!0,;!0,;!0</v>
      </c>
      <c r="AI158" s="211" t="e">
        <f>INDEX([1]Library!$AL:$AL,MATCH(AH158,[1]Library!$AJ:$AJ,0),1)</f>
        <v>#N/A</v>
      </c>
      <c r="AJ158" s="211" t="e">
        <f>TEXT(INDEX([1]Library!$W:$W,MATCH(AH158,[1]Library!$AJ:$AJ,0),1),"")</f>
        <v>#N/A</v>
      </c>
    </row>
    <row r="159" spans="1:36" ht="25.2" hidden="1" customHeight="1" outlineLevel="2">
      <c r="A159" s="228"/>
      <c r="B159" s="229"/>
      <c r="C159" s="230"/>
      <c r="D159" s="231" t="s">
        <v>185</v>
      </c>
      <c r="E159" s="232"/>
      <c r="F159" s="233"/>
      <c r="G159" s="379"/>
      <c r="H159" s="380">
        <v>4767.8239999999996</v>
      </c>
      <c r="I159" s="234" t="s">
        <v>117</v>
      </c>
      <c r="J159" s="235">
        <v>0</v>
      </c>
      <c r="K159" s="236">
        <v>0</v>
      </c>
      <c r="L159" s="235">
        <v>0</v>
      </c>
      <c r="M159" s="236">
        <v>0</v>
      </c>
      <c r="N159" s="237">
        <v>80.357142857142804</v>
      </c>
      <c r="O159" s="236">
        <v>383128.71428571403</v>
      </c>
      <c r="P159" s="238">
        <v>383128.71428571403</v>
      </c>
      <c r="Q159" s="239">
        <f t="shared" si="37"/>
        <v>2.0609137576002199E-4</v>
      </c>
      <c r="R159" s="236">
        <f t="shared" si="38"/>
        <v>20.552351422931199</v>
      </c>
      <c r="S159" s="240">
        <f t="shared" si="39"/>
        <v>751.232773109243</v>
      </c>
      <c r="T159" s="241"/>
      <c r="U159" s="225"/>
      <c r="V159" s="226"/>
      <c r="W159" s="227"/>
      <c r="X159" s="226"/>
      <c r="Y159" s="226"/>
      <c r="Z159" s="226"/>
      <c r="AA159" s="226"/>
      <c r="AB159" s="226"/>
      <c r="AC159" s="226"/>
      <c r="AD159" s="96">
        <f t="shared" si="43"/>
        <v>0</v>
      </c>
      <c r="AE159" s="96">
        <f t="shared" si="44"/>
        <v>0</v>
      </c>
      <c r="AF159" s="96">
        <f t="shared" si="45"/>
        <v>0</v>
      </c>
      <c r="AG159" s="96">
        <f t="shared" si="46"/>
        <v>0</v>
      </c>
      <c r="AH159" s="211" t="str">
        <f t="shared" si="41"/>
        <v>0,;!0,;!0,;!0</v>
      </c>
      <c r="AI159" s="211" t="e">
        <f>INDEX([1]Library!$AL:$AL,MATCH(AH159,[1]Library!$AJ:$AJ,0),1)</f>
        <v>#N/A</v>
      </c>
      <c r="AJ159" s="211" t="e">
        <f>TEXT(INDEX([1]Library!$W:$W,MATCH(AH159,[1]Library!$AJ:$AJ,0),1),"")</f>
        <v>#N/A</v>
      </c>
    </row>
    <row r="160" spans="1:36" ht="25.2" hidden="1" customHeight="1" outlineLevel="2">
      <c r="A160" s="228"/>
      <c r="B160" s="229"/>
      <c r="C160" s="230"/>
      <c r="D160" s="231" t="s">
        <v>186</v>
      </c>
      <c r="E160" s="232"/>
      <c r="F160" s="233"/>
      <c r="G160" s="379"/>
      <c r="H160" s="380">
        <v>65100</v>
      </c>
      <c r="I160" s="234" t="s">
        <v>117</v>
      </c>
      <c r="J160" s="235">
        <v>0</v>
      </c>
      <c r="K160" s="236">
        <v>0</v>
      </c>
      <c r="L160" s="235">
        <v>58.035714285714299</v>
      </c>
      <c r="M160" s="236">
        <v>3778125</v>
      </c>
      <c r="N160" s="237">
        <v>0</v>
      </c>
      <c r="O160" s="236">
        <v>0</v>
      </c>
      <c r="P160" s="238">
        <v>3778125</v>
      </c>
      <c r="Q160" s="239">
        <f t="shared" si="37"/>
        <v>2.0323169473083899E-3</v>
      </c>
      <c r="R160" s="236">
        <f t="shared" si="38"/>
        <v>202.67171272852099</v>
      </c>
      <c r="S160" s="240">
        <f t="shared" si="39"/>
        <v>7408.0882352941198</v>
      </c>
      <c r="T160" s="241"/>
      <c r="U160" s="225"/>
      <c r="V160" s="226"/>
      <c r="W160" s="227"/>
      <c r="X160" s="226"/>
      <c r="Y160" s="226"/>
      <c r="Z160" s="226"/>
      <c r="AA160" s="226"/>
      <c r="AB160" s="226"/>
      <c r="AC160" s="226"/>
      <c r="AD160" s="96">
        <f t="shared" si="43"/>
        <v>0</v>
      </c>
      <c r="AE160" s="96">
        <f t="shared" si="44"/>
        <v>0</v>
      </c>
      <c r="AF160" s="96">
        <f t="shared" si="45"/>
        <v>0</v>
      </c>
      <c r="AG160" s="96">
        <f t="shared" si="46"/>
        <v>0</v>
      </c>
      <c r="AH160" s="211" t="str">
        <f t="shared" si="41"/>
        <v>0,;!0,;!0,;!0</v>
      </c>
      <c r="AI160" s="211" t="e">
        <f>INDEX([1]Library!$AL:$AL,MATCH(AH160,[1]Library!$AJ:$AJ,0),1)</f>
        <v>#N/A</v>
      </c>
      <c r="AJ160" s="211" t="e">
        <f>TEXT(INDEX([1]Library!$W:$W,MATCH(AH160,[1]Library!$AJ:$AJ,0),1),"")</f>
        <v>#N/A</v>
      </c>
    </row>
    <row r="161" spans="1:36" ht="25.2" hidden="1" customHeight="1" outlineLevel="2">
      <c r="A161" s="228"/>
      <c r="B161" s="229"/>
      <c r="C161" s="230"/>
      <c r="D161" s="231" t="s">
        <v>187</v>
      </c>
      <c r="E161" s="232"/>
      <c r="F161" s="233"/>
      <c r="G161" s="379"/>
      <c r="H161" s="380">
        <v>1692.4</v>
      </c>
      <c r="I161" s="234" t="s">
        <v>176</v>
      </c>
      <c r="J161" s="235">
        <v>223.21428571428601</v>
      </c>
      <c r="K161" s="236">
        <v>377767.85714285698</v>
      </c>
      <c r="L161" s="235">
        <v>133.92857142857099</v>
      </c>
      <c r="M161" s="236">
        <v>226660.714285714</v>
      </c>
      <c r="N161" s="237">
        <v>0</v>
      </c>
      <c r="O161" s="236">
        <v>0</v>
      </c>
      <c r="P161" s="238">
        <v>604428.57142857101</v>
      </c>
      <c r="Q161" s="239">
        <f t="shared" si="37"/>
        <v>3.25132288940066E-4</v>
      </c>
      <c r="R161" s="236">
        <f t="shared" si="38"/>
        <v>32.423642360557601</v>
      </c>
      <c r="S161" s="240">
        <f t="shared" si="39"/>
        <v>1185.15406162465</v>
      </c>
      <c r="T161" s="241"/>
      <c r="U161" s="225"/>
      <c r="V161" s="226"/>
      <c r="W161" s="227"/>
      <c r="X161" s="226"/>
      <c r="Y161" s="226"/>
      <c r="Z161" s="226"/>
      <c r="AA161" s="226"/>
      <c r="AB161" s="226"/>
      <c r="AC161" s="226"/>
      <c r="AD161" s="96">
        <f>IF(X161&lt;&gt;0,IF($X161&gt;=AD$12,#REF!,""),Z161)</f>
        <v>0</v>
      </c>
      <c r="AE161" s="96">
        <f>IF(AA161=" ",IF($X161&gt;=AE$12,#REF!,""),AA161)</f>
        <v>0</v>
      </c>
      <c r="AF161" s="96">
        <f>IF(AB161=" ",IF($X161&gt;=AF$12,#REF!,""),AB161)</f>
        <v>0</v>
      </c>
      <c r="AG161" s="96">
        <f>IF(AC161=" ",IF($X161&gt;=AG$12,#REF!,""),AC161)</f>
        <v>0</v>
      </c>
      <c r="AH161" s="211" t="str">
        <f t="shared" si="41"/>
        <v>0,;!0,;!0,;!0</v>
      </c>
      <c r="AI161" s="211" t="e">
        <f>INDEX([1]Library!$AL:$AL,MATCH(AH161,[1]Library!$AJ:$AJ,0),1)</f>
        <v>#N/A</v>
      </c>
      <c r="AJ161" s="211" t="e">
        <f>TEXT(INDEX([1]Library!$W:$W,MATCH(AH161,[1]Library!$AJ:$AJ,0),1),"")</f>
        <v>#N/A</v>
      </c>
    </row>
    <row r="162" spans="1:36" ht="25.2" hidden="1" customHeight="1" outlineLevel="1" collapsed="1">
      <c r="A162" s="213"/>
      <c r="B162" s="214"/>
      <c r="C162" s="215" t="s">
        <v>188</v>
      </c>
      <c r="D162" s="215"/>
      <c r="E162" s="216"/>
      <c r="F162" s="217"/>
      <c r="G162" s="379"/>
      <c r="H162" s="219">
        <v>1</v>
      </c>
      <c r="I162" s="218" t="s">
        <v>32</v>
      </c>
      <c r="J162" s="219">
        <v>1092857.1428571399</v>
      </c>
      <c r="K162" s="219">
        <v>1092857.1428571399</v>
      </c>
      <c r="L162" s="219">
        <v>58285.714285714297</v>
      </c>
      <c r="M162" s="219">
        <v>58285.714285714297</v>
      </c>
      <c r="N162" s="219">
        <v>0</v>
      </c>
      <c r="O162" s="219">
        <v>0</v>
      </c>
      <c r="P162" s="220">
        <v>1151142.8571428601</v>
      </c>
      <c r="Q162" s="221">
        <f t="shared" si="37"/>
        <v>6.1921909342449802E-4</v>
      </c>
      <c r="R162" s="222">
        <f t="shared" si="38"/>
        <v>61.751290508478903</v>
      </c>
      <c r="S162" s="223">
        <f t="shared" si="39"/>
        <v>2257.1428571428601</v>
      </c>
      <c r="T162" s="224"/>
      <c r="U162" s="225"/>
      <c r="V162" s="226"/>
      <c r="W162" s="227"/>
      <c r="X162" s="226"/>
      <c r="Y162" s="226"/>
      <c r="Z162" s="226"/>
      <c r="AA162" s="226"/>
      <c r="AB162" s="226"/>
      <c r="AC162" s="226"/>
      <c r="AD162" s="96">
        <f>IF(X162&lt;&gt;0,IF($X162&gt;=AD$12,#REF!,""),Z162)</f>
        <v>0</v>
      </c>
      <c r="AE162" s="96">
        <f>IF(AA162=" ",IF($X162&gt;=AE$12,#REF!,""),AA162)</f>
        <v>0</v>
      </c>
      <c r="AF162" s="96">
        <f>IF(AB162=" ",IF($X162&gt;=AF$12,#REF!,""),AB162)</f>
        <v>0</v>
      </c>
      <c r="AG162" s="96">
        <f>IF(AC162=" ",IF($X162&gt;=AG$12,#REF!,""),AC162)</f>
        <v>0</v>
      </c>
      <c r="AH162" s="211" t="str">
        <f t="shared" si="41"/>
        <v>0,;!0,;!0,;!0</v>
      </c>
      <c r="AI162" s="211" t="e">
        <f>INDEX([1]Library!$AL:$AL,MATCH(AH162,[1]Library!$AJ:$AJ,0),1)</f>
        <v>#N/A</v>
      </c>
      <c r="AJ162" s="211" t="e">
        <f>TEXT(INDEX([1]Library!$W:$W,MATCH(AH162,[1]Library!$AJ:$AJ,0),1),"")</f>
        <v>#N/A</v>
      </c>
    </row>
    <row r="163" spans="1:36" ht="25.2" hidden="1" customHeight="1" outlineLevel="2">
      <c r="A163" s="228"/>
      <c r="B163" s="229"/>
      <c r="C163" s="230"/>
      <c r="D163" s="231" t="s">
        <v>189</v>
      </c>
      <c r="E163" s="232"/>
      <c r="F163" s="233"/>
      <c r="G163" s="379"/>
      <c r="H163" s="380">
        <v>1632</v>
      </c>
      <c r="I163" s="234" t="s">
        <v>176</v>
      </c>
      <c r="J163" s="235">
        <v>669.642857142857</v>
      </c>
      <c r="K163" s="236">
        <v>1092857.1428571399</v>
      </c>
      <c r="L163" s="235">
        <v>35.714285714285701</v>
      </c>
      <c r="M163" s="236">
        <v>58285.714285714297</v>
      </c>
      <c r="N163" s="237">
        <v>0</v>
      </c>
      <c r="O163" s="236">
        <v>0</v>
      </c>
      <c r="P163" s="238">
        <v>1151142.8571428601</v>
      </c>
      <c r="Q163" s="239">
        <f t="shared" si="37"/>
        <v>6.1921909342449802E-4</v>
      </c>
      <c r="R163" s="236">
        <f t="shared" si="38"/>
        <v>61.751290508478903</v>
      </c>
      <c r="S163" s="240">
        <f t="shared" si="39"/>
        <v>2257.1428571428601</v>
      </c>
      <c r="T163" s="241"/>
      <c r="U163" s="225"/>
      <c r="V163" s="226"/>
      <c r="W163" s="227"/>
      <c r="X163" s="226"/>
      <c r="Y163" s="226"/>
      <c r="Z163" s="226"/>
      <c r="AA163" s="226"/>
      <c r="AB163" s="226"/>
      <c r="AC163" s="226"/>
      <c r="AD163" s="96">
        <f t="shared" ref="AD163:AD206" si="47">IF(X163&lt;&gt;0,IF($X163&gt;=AD$12,AD162,""),Z163)</f>
        <v>0</v>
      </c>
      <c r="AE163" s="96">
        <f t="shared" ref="AE163:AE206" si="48">IF(AA163=" ",IF($X163&gt;=AE$12,AE162,""),AA163)</f>
        <v>0</v>
      </c>
      <c r="AF163" s="96">
        <f t="shared" ref="AF163:AF206" si="49">IF(AB163=" ",IF($X163&gt;=AF$12,AF162,""),AB163)</f>
        <v>0</v>
      </c>
      <c r="AG163" s="96">
        <f t="shared" ref="AG163:AG206" si="50">IF(AC163=" ",IF($X163&gt;=AG$12,AG162,""),AC163)</f>
        <v>0</v>
      </c>
      <c r="AH163" s="211" t="str">
        <f t="shared" si="41"/>
        <v>0,;!0,;!0,;!0</v>
      </c>
      <c r="AI163" s="211" t="e">
        <f>INDEX([1]Library!$AL:$AL,MATCH(AH163,[1]Library!$AJ:$AJ,0),1)</f>
        <v>#N/A</v>
      </c>
      <c r="AJ163" s="211" t="e">
        <f>TEXT(INDEX([1]Library!$W:$W,MATCH(AH163,[1]Library!$AJ:$AJ,0),1),"")</f>
        <v>#N/A</v>
      </c>
    </row>
    <row r="164" spans="1:36" ht="25.2" hidden="1" customHeight="1" outlineLevel="1" collapsed="1">
      <c r="A164" s="213"/>
      <c r="B164" s="214"/>
      <c r="C164" s="215" t="s">
        <v>190</v>
      </c>
      <c r="D164" s="215"/>
      <c r="E164" s="216"/>
      <c r="F164" s="217"/>
      <c r="G164" s="379"/>
      <c r="H164" s="219">
        <v>1</v>
      </c>
      <c r="I164" s="218" t="s">
        <v>32</v>
      </c>
      <c r="J164" s="219">
        <v>38394957.809523799</v>
      </c>
      <c r="K164" s="219">
        <v>38394957.809523799</v>
      </c>
      <c r="L164" s="219">
        <v>21649491.428571399</v>
      </c>
      <c r="M164" s="219">
        <v>21649491.428571399</v>
      </c>
      <c r="N164" s="219">
        <v>0</v>
      </c>
      <c r="O164" s="219">
        <v>0</v>
      </c>
      <c r="P164" s="220">
        <v>60044449.238095202</v>
      </c>
      <c r="Q164" s="221">
        <f t="shared" si="37"/>
        <v>3.22989185848482E-2</v>
      </c>
      <c r="R164" s="222">
        <f t="shared" si="38"/>
        <v>3220.99225592735</v>
      </c>
      <c r="S164" s="223">
        <f t="shared" si="39"/>
        <v>117734.21419234401</v>
      </c>
      <c r="T164" s="224"/>
      <c r="U164" s="225"/>
      <c r="V164" s="226"/>
      <c r="W164" s="227"/>
      <c r="X164" s="226"/>
      <c r="Y164" s="226"/>
      <c r="Z164" s="226"/>
      <c r="AA164" s="226"/>
      <c r="AB164" s="226"/>
      <c r="AC164" s="226"/>
      <c r="AD164" s="96">
        <f t="shared" si="47"/>
        <v>0</v>
      </c>
      <c r="AE164" s="96">
        <f t="shared" si="48"/>
        <v>0</v>
      </c>
      <c r="AF164" s="96">
        <f t="shared" si="49"/>
        <v>0</v>
      </c>
      <c r="AG164" s="96">
        <f t="shared" si="50"/>
        <v>0</v>
      </c>
      <c r="AH164" s="211" t="str">
        <f t="shared" si="41"/>
        <v>0,;!0,;!0,;!0</v>
      </c>
      <c r="AI164" s="211" t="e">
        <f>INDEX([1]Library!$AL:$AL,MATCH(AH164,[1]Library!$AJ:$AJ,0),1)</f>
        <v>#N/A</v>
      </c>
      <c r="AJ164" s="211" t="e">
        <f>TEXT(INDEX([1]Library!$W:$W,MATCH(AH164,[1]Library!$AJ:$AJ,0),1),"")</f>
        <v>#N/A</v>
      </c>
    </row>
    <row r="165" spans="1:36" ht="25.2" hidden="1" customHeight="1" outlineLevel="2">
      <c r="A165" s="228"/>
      <c r="B165" s="229"/>
      <c r="C165" s="230"/>
      <c r="D165" s="231" t="s">
        <v>191</v>
      </c>
      <c r="E165" s="232"/>
      <c r="F165" s="233"/>
      <c r="G165" s="379"/>
      <c r="H165" s="380">
        <v>54273.279999999999</v>
      </c>
      <c r="I165" s="234" t="s">
        <v>117</v>
      </c>
      <c r="J165" s="235">
        <v>461.30952380952402</v>
      </c>
      <c r="K165" s="236">
        <v>25036780.952381</v>
      </c>
      <c r="L165" s="235">
        <v>294.642857142857</v>
      </c>
      <c r="M165" s="236">
        <v>15991234.2857143</v>
      </c>
      <c r="N165" s="237">
        <v>0</v>
      </c>
      <c r="O165" s="236">
        <v>0</v>
      </c>
      <c r="P165" s="238">
        <v>41028015.238095202</v>
      </c>
      <c r="Q165" s="239">
        <f t="shared" si="37"/>
        <v>2.20696590723727E-2</v>
      </c>
      <c r="R165" s="236">
        <f t="shared" si="38"/>
        <v>2200.8848617122599</v>
      </c>
      <c r="S165" s="240">
        <f t="shared" si="39"/>
        <v>80447.088702147405</v>
      </c>
      <c r="T165" s="241"/>
      <c r="U165" s="225"/>
      <c r="V165" s="226"/>
      <c r="W165" s="227"/>
      <c r="X165" s="226"/>
      <c r="Y165" s="226"/>
      <c r="Z165" s="226"/>
      <c r="AA165" s="226"/>
      <c r="AB165" s="226"/>
      <c r="AC165" s="226"/>
      <c r="AD165" s="96">
        <f t="shared" si="47"/>
        <v>0</v>
      </c>
      <c r="AE165" s="96">
        <f t="shared" si="48"/>
        <v>0</v>
      </c>
      <c r="AF165" s="96">
        <f t="shared" si="49"/>
        <v>0</v>
      </c>
      <c r="AG165" s="96">
        <f t="shared" si="50"/>
        <v>0</v>
      </c>
      <c r="AH165" s="211" t="str">
        <f t="shared" si="41"/>
        <v>0,;!0,;!0,;!0</v>
      </c>
      <c r="AI165" s="211" t="e">
        <f>INDEX([1]Library!$AL:$AL,MATCH(AH165,[1]Library!$AJ:$AJ,0),1)</f>
        <v>#N/A</v>
      </c>
      <c r="AJ165" s="211" t="e">
        <f>TEXT(INDEX([1]Library!$W:$W,MATCH(AH165,[1]Library!$AJ:$AJ,0),1),"")</f>
        <v>#N/A</v>
      </c>
    </row>
    <row r="166" spans="1:36" ht="25.2" hidden="1" customHeight="1" outlineLevel="2">
      <c r="A166" s="228"/>
      <c r="B166" s="229"/>
      <c r="C166" s="230"/>
      <c r="D166" s="231" t="s">
        <v>192</v>
      </c>
      <c r="E166" s="232"/>
      <c r="F166" s="233"/>
      <c r="G166" s="379"/>
      <c r="H166" s="380">
        <v>4948.8</v>
      </c>
      <c r="I166" s="234" t="s">
        <v>117</v>
      </c>
      <c r="J166" s="235">
        <v>337.32142857142901</v>
      </c>
      <c r="K166" s="236">
        <v>1669336.2857142901</v>
      </c>
      <c r="L166" s="235">
        <v>250</v>
      </c>
      <c r="M166" s="236">
        <v>1237200</v>
      </c>
      <c r="N166" s="237">
        <v>0</v>
      </c>
      <c r="O166" s="236">
        <v>0</v>
      </c>
      <c r="P166" s="238">
        <v>2906536.2857142901</v>
      </c>
      <c r="Q166" s="239">
        <f t="shared" si="37"/>
        <v>1.5634747265969101E-3</v>
      </c>
      <c r="R166" s="236">
        <f t="shared" si="38"/>
        <v>155.916674840909</v>
      </c>
      <c r="S166" s="240">
        <f t="shared" si="39"/>
        <v>5699.0907563025303</v>
      </c>
      <c r="T166" s="241"/>
      <c r="U166" s="225"/>
      <c r="V166" s="226"/>
      <c r="W166" s="227"/>
      <c r="X166" s="226"/>
      <c r="Y166" s="226"/>
      <c r="Z166" s="226"/>
      <c r="AA166" s="226"/>
      <c r="AB166" s="226"/>
      <c r="AC166" s="226"/>
      <c r="AD166" s="96">
        <f t="shared" si="47"/>
        <v>0</v>
      </c>
      <c r="AE166" s="96">
        <f t="shared" si="48"/>
        <v>0</v>
      </c>
      <c r="AF166" s="96">
        <f t="shared" si="49"/>
        <v>0</v>
      </c>
      <c r="AG166" s="96">
        <f t="shared" si="50"/>
        <v>0</v>
      </c>
      <c r="AH166" s="211" t="str">
        <f t="shared" si="41"/>
        <v>0,;!0,;!0,;!0</v>
      </c>
      <c r="AI166" s="211" t="e">
        <f>INDEX([1]Library!$AL:$AL,MATCH(AH166,[1]Library!$AJ:$AJ,0),1)</f>
        <v>#N/A</v>
      </c>
      <c r="AJ166" s="211" t="e">
        <f>TEXT(INDEX([1]Library!$W:$W,MATCH(AH166,[1]Library!$AJ:$AJ,0),1),"")</f>
        <v>#N/A</v>
      </c>
    </row>
    <row r="167" spans="1:36" ht="25.2" hidden="1" customHeight="1" outlineLevel="2">
      <c r="A167" s="228"/>
      <c r="B167" s="229"/>
      <c r="C167" s="230"/>
      <c r="D167" s="231" t="s">
        <v>193</v>
      </c>
      <c r="E167" s="232"/>
      <c r="F167" s="233"/>
      <c r="G167" s="379"/>
      <c r="H167" s="380">
        <v>15004.8</v>
      </c>
      <c r="I167" s="234" t="s">
        <v>117</v>
      </c>
      <c r="J167" s="235">
        <v>337.32142857142901</v>
      </c>
      <c r="K167" s="236">
        <v>5061440.57142857</v>
      </c>
      <c r="L167" s="235">
        <v>294.642857142857</v>
      </c>
      <c r="M167" s="236">
        <v>4421057.1428571399</v>
      </c>
      <c r="N167" s="237">
        <v>0</v>
      </c>
      <c r="O167" s="236">
        <v>0</v>
      </c>
      <c r="P167" s="238">
        <v>9482497.7142857108</v>
      </c>
      <c r="Q167" s="239">
        <f t="shared" si="37"/>
        <v>5.1007949201140696E-3</v>
      </c>
      <c r="R167" s="236">
        <f t="shared" si="38"/>
        <v>508.67402552815798</v>
      </c>
      <c r="S167" s="240">
        <f t="shared" si="39"/>
        <v>18593.132773109199</v>
      </c>
      <c r="T167" s="241"/>
      <c r="U167" s="225"/>
      <c r="V167" s="226"/>
      <c r="W167" s="227"/>
      <c r="X167" s="226"/>
      <c r="Y167" s="226"/>
      <c r="Z167" s="226"/>
      <c r="AA167" s="226"/>
      <c r="AB167" s="226"/>
      <c r="AC167" s="226"/>
      <c r="AD167" s="96">
        <f t="shared" si="47"/>
        <v>0</v>
      </c>
      <c r="AE167" s="96">
        <f t="shared" si="48"/>
        <v>0</v>
      </c>
      <c r="AF167" s="96">
        <f t="shared" si="49"/>
        <v>0</v>
      </c>
      <c r="AG167" s="96">
        <f t="shared" si="50"/>
        <v>0</v>
      </c>
      <c r="AH167" s="211" t="str">
        <f t="shared" si="41"/>
        <v>0,;!0,;!0,;!0</v>
      </c>
      <c r="AI167" s="211" t="e">
        <f>INDEX([1]Library!$AL:$AL,MATCH(AH167,[1]Library!$AJ:$AJ,0),1)</f>
        <v>#N/A</v>
      </c>
      <c r="AJ167" s="211" t="e">
        <f>TEXT(INDEX([1]Library!$W:$W,MATCH(AH167,[1]Library!$AJ:$AJ,0),1),"")</f>
        <v>#N/A</v>
      </c>
    </row>
    <row r="168" spans="1:36" ht="25.2" hidden="1" customHeight="1" outlineLevel="2">
      <c r="A168" s="228"/>
      <c r="B168" s="229"/>
      <c r="C168" s="230"/>
      <c r="D168" s="231" t="s">
        <v>194</v>
      </c>
      <c r="E168" s="232"/>
      <c r="F168" s="233"/>
      <c r="G168" s="379"/>
      <c r="H168" s="380">
        <v>74226.880000000005</v>
      </c>
      <c r="I168" s="234" t="s">
        <v>117</v>
      </c>
      <c r="J168" s="235">
        <v>89.285714285714306</v>
      </c>
      <c r="K168" s="236">
        <v>6627400</v>
      </c>
      <c r="L168" s="235">
        <v>0</v>
      </c>
      <c r="M168" s="236">
        <v>0</v>
      </c>
      <c r="N168" s="237">
        <v>0</v>
      </c>
      <c r="O168" s="236">
        <v>0</v>
      </c>
      <c r="P168" s="238">
        <v>6627400</v>
      </c>
      <c r="Q168" s="239">
        <f t="shared" si="37"/>
        <v>3.5649898657645401E-3</v>
      </c>
      <c r="R168" s="236">
        <f t="shared" si="38"/>
        <v>355.51669384602201</v>
      </c>
      <c r="S168" s="240">
        <f t="shared" si="39"/>
        <v>12994.9019607843</v>
      </c>
      <c r="T168" s="241"/>
      <c r="U168" s="225"/>
      <c r="V168" s="226"/>
      <c r="W168" s="227"/>
      <c r="X168" s="226"/>
      <c r="Y168" s="226"/>
      <c r="Z168" s="226"/>
      <c r="AA168" s="226"/>
      <c r="AB168" s="226"/>
      <c r="AC168" s="226"/>
      <c r="AD168" s="96">
        <f t="shared" si="47"/>
        <v>0</v>
      </c>
      <c r="AE168" s="96">
        <f t="shared" si="48"/>
        <v>0</v>
      </c>
      <c r="AF168" s="96">
        <f t="shared" si="49"/>
        <v>0</v>
      </c>
      <c r="AG168" s="96">
        <f t="shared" si="50"/>
        <v>0</v>
      </c>
      <c r="AH168" s="211" t="str">
        <f t="shared" si="41"/>
        <v>0,;!0,;!0,;!0</v>
      </c>
      <c r="AI168" s="211" t="e">
        <f>INDEX([1]Library!$AL:$AL,MATCH(AH168,[1]Library!$AJ:$AJ,0),1)</f>
        <v>#N/A</v>
      </c>
      <c r="AJ168" s="211" t="e">
        <f>TEXT(INDEX([1]Library!$W:$W,MATCH(AH168,[1]Library!$AJ:$AJ,0),1),"")</f>
        <v>#N/A</v>
      </c>
    </row>
    <row r="169" spans="1:36" ht="25.2" hidden="1" customHeight="1" outlineLevel="1" collapsed="1">
      <c r="A169" s="213"/>
      <c r="B169" s="214"/>
      <c r="C169" s="215" t="s">
        <v>195</v>
      </c>
      <c r="D169" s="215"/>
      <c r="E169" s="216"/>
      <c r="F169" s="217"/>
      <c r="G169" s="379"/>
      <c r="H169" s="219">
        <v>1</v>
      </c>
      <c r="I169" s="218" t="s">
        <v>32</v>
      </c>
      <c r="J169" s="219">
        <v>0</v>
      </c>
      <c r="K169" s="219">
        <v>0</v>
      </c>
      <c r="L169" s="219">
        <v>0</v>
      </c>
      <c r="M169" s="219">
        <v>0</v>
      </c>
      <c r="N169" s="219">
        <v>14614483.928571399</v>
      </c>
      <c r="O169" s="219">
        <v>14614483.928571399</v>
      </c>
      <c r="P169" s="220">
        <v>14614483.928571399</v>
      </c>
      <c r="Q169" s="221">
        <f t="shared" si="37"/>
        <v>7.8613765728243103E-3</v>
      </c>
      <c r="R169" s="222">
        <f t="shared" si="38"/>
        <v>783.97154367497399</v>
      </c>
      <c r="S169" s="223">
        <f t="shared" si="39"/>
        <v>28655.850840336101</v>
      </c>
      <c r="T169" s="224"/>
      <c r="U169" s="225"/>
      <c r="V169" s="226"/>
      <c r="W169" s="227"/>
      <c r="X169" s="226"/>
      <c r="Y169" s="226"/>
      <c r="Z169" s="226"/>
      <c r="AA169" s="226"/>
      <c r="AB169" s="226"/>
      <c r="AC169" s="226"/>
      <c r="AD169" s="96">
        <f t="shared" si="47"/>
        <v>0</v>
      </c>
      <c r="AE169" s="96">
        <f t="shared" si="48"/>
        <v>0</v>
      </c>
      <c r="AF169" s="96">
        <f t="shared" si="49"/>
        <v>0</v>
      </c>
      <c r="AG169" s="96">
        <f t="shared" si="50"/>
        <v>0</v>
      </c>
      <c r="AH169" s="211" t="str">
        <f t="shared" si="41"/>
        <v>0,;!0,;!0,;!0</v>
      </c>
      <c r="AI169" s="211" t="e">
        <f>INDEX([1]Library!$AL:$AL,MATCH(AH169,[1]Library!$AJ:$AJ,0),1)</f>
        <v>#N/A</v>
      </c>
      <c r="AJ169" s="211" t="e">
        <f>TEXT(INDEX([1]Library!$W:$W,MATCH(AH169,[1]Library!$AJ:$AJ,0),1),"")</f>
        <v>#N/A</v>
      </c>
    </row>
    <row r="170" spans="1:36" ht="25.2" hidden="1" customHeight="1" outlineLevel="2">
      <c r="A170" s="228"/>
      <c r="B170" s="229"/>
      <c r="C170" s="230"/>
      <c r="D170" s="231" t="s">
        <v>196</v>
      </c>
      <c r="E170" s="232"/>
      <c r="F170" s="233"/>
      <c r="G170" s="379"/>
      <c r="H170" s="380">
        <v>0</v>
      </c>
      <c r="I170" s="234" t="s">
        <v>117</v>
      </c>
      <c r="J170" s="235">
        <v>0</v>
      </c>
      <c r="K170" s="236">
        <v>0</v>
      </c>
      <c r="L170" s="235">
        <v>0</v>
      </c>
      <c r="M170" s="236">
        <v>0</v>
      </c>
      <c r="N170" s="237">
        <v>0</v>
      </c>
      <c r="O170" s="236">
        <v>0</v>
      </c>
      <c r="P170" s="238">
        <v>0</v>
      </c>
      <c r="Q170" s="239">
        <f t="shared" si="37"/>
        <v>0</v>
      </c>
      <c r="R170" s="236">
        <f t="shared" si="38"/>
        <v>0</v>
      </c>
      <c r="S170" s="240">
        <f t="shared" si="39"/>
        <v>0</v>
      </c>
      <c r="T170" s="241" t="s">
        <v>197</v>
      </c>
      <c r="U170" s="225"/>
      <c r="V170" s="226"/>
      <c r="W170" s="227"/>
      <c r="X170" s="226"/>
      <c r="Y170" s="226"/>
      <c r="Z170" s="226"/>
      <c r="AA170" s="226"/>
      <c r="AB170" s="226"/>
      <c r="AC170" s="226"/>
      <c r="AD170" s="96">
        <f t="shared" si="47"/>
        <v>0</v>
      </c>
      <c r="AE170" s="96">
        <f t="shared" si="48"/>
        <v>0</v>
      </c>
      <c r="AF170" s="96">
        <f t="shared" si="49"/>
        <v>0</v>
      </c>
      <c r="AG170" s="96">
        <f t="shared" si="50"/>
        <v>0</v>
      </c>
      <c r="AH170" s="211" t="str">
        <f t="shared" si="41"/>
        <v>0,;!0,;!0,;!0</v>
      </c>
      <c r="AI170" s="211" t="e">
        <f>INDEX([1]Library!$AL:$AL,MATCH(AH170,[1]Library!$AJ:$AJ,0),1)</f>
        <v>#N/A</v>
      </c>
      <c r="AJ170" s="211" t="e">
        <f>TEXT(INDEX([1]Library!$W:$W,MATCH(AH170,[1]Library!$AJ:$AJ,0),1),"")</f>
        <v>#N/A</v>
      </c>
    </row>
    <row r="171" spans="1:36" ht="25.2" hidden="1" customHeight="1" outlineLevel="2">
      <c r="A171" s="228"/>
      <c r="B171" s="229"/>
      <c r="C171" s="230"/>
      <c r="D171" s="231" t="s">
        <v>198</v>
      </c>
      <c r="E171" s="232"/>
      <c r="F171" s="233"/>
      <c r="G171" s="379"/>
      <c r="H171" s="380">
        <v>13981.2</v>
      </c>
      <c r="I171" s="234" t="s">
        <v>117</v>
      </c>
      <c r="J171" s="235">
        <v>0</v>
      </c>
      <c r="K171" s="236">
        <v>0</v>
      </c>
      <c r="L171" s="235">
        <v>0</v>
      </c>
      <c r="M171" s="236">
        <v>0</v>
      </c>
      <c r="N171" s="237">
        <v>500</v>
      </c>
      <c r="O171" s="236">
        <v>6990600</v>
      </c>
      <c r="P171" s="238">
        <v>6990600</v>
      </c>
      <c r="Q171" s="239">
        <f t="shared" si="37"/>
        <v>3.7603612511110801E-3</v>
      </c>
      <c r="R171" s="236">
        <f t="shared" si="38"/>
        <v>375</v>
      </c>
      <c r="S171" s="240">
        <f t="shared" si="39"/>
        <v>13707.0588235294</v>
      </c>
      <c r="T171" s="241"/>
      <c r="U171" s="225"/>
      <c r="V171" s="226"/>
      <c r="W171" s="227"/>
      <c r="X171" s="226"/>
      <c r="Y171" s="226"/>
      <c r="Z171" s="226"/>
      <c r="AA171" s="226"/>
      <c r="AB171" s="226"/>
      <c r="AC171" s="226"/>
      <c r="AD171" s="96">
        <f t="shared" si="47"/>
        <v>0</v>
      </c>
      <c r="AE171" s="96">
        <f t="shared" si="48"/>
        <v>0</v>
      </c>
      <c r="AF171" s="96">
        <f t="shared" si="49"/>
        <v>0</v>
      </c>
      <c r="AG171" s="96">
        <f t="shared" si="50"/>
        <v>0</v>
      </c>
      <c r="AH171" s="211" t="str">
        <f t="shared" si="41"/>
        <v>0,;!0,;!0,;!0</v>
      </c>
      <c r="AI171" s="211" t="e">
        <f>INDEX([1]Library!$AL:$AL,MATCH(AH171,[1]Library!$AJ:$AJ,0),1)</f>
        <v>#N/A</v>
      </c>
      <c r="AJ171" s="211" t="e">
        <f>TEXT(INDEX([1]Library!$W:$W,MATCH(AH171,[1]Library!$AJ:$AJ,0),1),"")</f>
        <v>#N/A</v>
      </c>
    </row>
    <row r="172" spans="1:36" ht="25.2" hidden="1" customHeight="1" outlineLevel="2">
      <c r="A172" s="228"/>
      <c r="B172" s="229"/>
      <c r="C172" s="230"/>
      <c r="D172" s="231" t="s">
        <v>199</v>
      </c>
      <c r="E172" s="232"/>
      <c r="F172" s="233"/>
      <c r="G172" s="379"/>
      <c r="H172" s="380">
        <v>2846.25</v>
      </c>
      <c r="I172" s="234" t="s">
        <v>200</v>
      </c>
      <c r="J172" s="235">
        <v>0</v>
      </c>
      <c r="K172" s="236">
        <v>0</v>
      </c>
      <c r="L172" s="235">
        <v>0</v>
      </c>
      <c r="M172" s="236">
        <v>0</v>
      </c>
      <c r="N172" s="237">
        <v>2678.5714285714298</v>
      </c>
      <c r="O172" s="236">
        <v>7623883.92857143</v>
      </c>
      <c r="P172" s="238">
        <v>7623883.92857143</v>
      </c>
      <c r="Q172" s="239">
        <f t="shared" si="37"/>
        <v>4.1010153217132302E-3</v>
      </c>
      <c r="R172" s="236">
        <f t="shared" si="38"/>
        <v>408.97154367497598</v>
      </c>
      <c r="S172" s="240">
        <f t="shared" si="39"/>
        <v>14948.792016806699</v>
      </c>
      <c r="T172" s="241"/>
      <c r="U172" s="225"/>
      <c r="V172" s="226"/>
      <c r="W172" s="227"/>
      <c r="X172" s="226"/>
      <c r="Y172" s="226"/>
      <c r="Z172" s="226"/>
      <c r="AA172" s="226"/>
      <c r="AB172" s="226"/>
      <c r="AC172" s="226"/>
      <c r="AD172" s="96">
        <f t="shared" si="47"/>
        <v>0</v>
      </c>
      <c r="AE172" s="96">
        <f t="shared" si="48"/>
        <v>0</v>
      </c>
      <c r="AF172" s="96">
        <f t="shared" si="49"/>
        <v>0</v>
      </c>
      <c r="AG172" s="96">
        <f t="shared" si="50"/>
        <v>0</v>
      </c>
      <c r="AH172" s="211" t="str">
        <f t="shared" si="41"/>
        <v>0,;!0,;!0,;!0</v>
      </c>
      <c r="AI172" s="211" t="e">
        <f>INDEX([1]Library!$AL:$AL,MATCH(AH172,[1]Library!$AJ:$AJ,0),1)</f>
        <v>#N/A</v>
      </c>
      <c r="AJ172" s="211" t="e">
        <f>TEXT(INDEX([1]Library!$W:$W,MATCH(AH172,[1]Library!$AJ:$AJ,0),1),"")</f>
        <v>#N/A</v>
      </c>
    </row>
    <row r="173" spans="1:36" ht="25.2" hidden="1" customHeight="1" outlineLevel="1" collapsed="1">
      <c r="A173" s="213"/>
      <c r="B173" s="214"/>
      <c r="C173" s="215" t="s">
        <v>201</v>
      </c>
      <c r="D173" s="215"/>
      <c r="E173" s="216"/>
      <c r="F173" s="217"/>
      <c r="G173" s="379"/>
      <c r="H173" s="219">
        <v>1</v>
      </c>
      <c r="I173" s="218" t="s">
        <v>32</v>
      </c>
      <c r="J173" s="219">
        <v>0</v>
      </c>
      <c r="K173" s="219">
        <v>0</v>
      </c>
      <c r="L173" s="219">
        <v>0</v>
      </c>
      <c r="M173" s="219">
        <v>0</v>
      </c>
      <c r="N173" s="219">
        <v>6930266.1147999996</v>
      </c>
      <c r="O173" s="219">
        <v>6930266.1147999996</v>
      </c>
      <c r="P173" s="220">
        <v>6930266.1147999996</v>
      </c>
      <c r="Q173" s="221">
        <f t="shared" si="37"/>
        <v>3.7279066400569402E-3</v>
      </c>
      <c r="R173" s="222">
        <f t="shared" si="38"/>
        <v>371.76348139644699</v>
      </c>
      <c r="S173" s="223">
        <f t="shared" si="39"/>
        <v>13588.7570878431</v>
      </c>
      <c r="T173" s="224"/>
      <c r="U173" s="225"/>
      <c r="V173" s="226"/>
      <c r="W173" s="227"/>
      <c r="X173" s="226"/>
      <c r="Y173" s="226"/>
      <c r="Z173" s="226"/>
      <c r="AA173" s="226"/>
      <c r="AB173" s="226"/>
      <c r="AC173" s="226"/>
      <c r="AD173" s="96">
        <f t="shared" si="47"/>
        <v>0</v>
      </c>
      <c r="AE173" s="96">
        <f t="shared" si="48"/>
        <v>0</v>
      </c>
      <c r="AF173" s="96">
        <f t="shared" si="49"/>
        <v>0</v>
      </c>
      <c r="AG173" s="96">
        <f t="shared" si="50"/>
        <v>0</v>
      </c>
      <c r="AH173" s="211" t="str">
        <f t="shared" si="41"/>
        <v>0,;!0,;!0,;!0</v>
      </c>
      <c r="AI173" s="211" t="e">
        <f>INDEX([1]Library!$AL:$AL,MATCH(AH173,[1]Library!$AJ:$AJ,0),1)</f>
        <v>#N/A</v>
      </c>
      <c r="AJ173" s="211" t="e">
        <f>TEXT(INDEX([1]Library!$W:$W,MATCH(AH173,[1]Library!$AJ:$AJ,0),1),"")</f>
        <v>#N/A</v>
      </c>
    </row>
    <row r="174" spans="1:36" ht="25.2" hidden="1" customHeight="1" outlineLevel="2">
      <c r="A174" s="228"/>
      <c r="B174" s="229"/>
      <c r="C174" s="230"/>
      <c r="D174" s="231" t="s">
        <v>202</v>
      </c>
      <c r="E174" s="232"/>
      <c r="F174" s="233"/>
      <c r="G174" s="379"/>
      <c r="H174" s="380">
        <v>9024</v>
      </c>
      <c r="I174" s="234" t="s">
        <v>117</v>
      </c>
      <c r="J174" s="235">
        <v>0</v>
      </c>
      <c r="K174" s="236">
        <v>0</v>
      </c>
      <c r="L174" s="235">
        <v>0</v>
      </c>
      <c r="M174" s="236">
        <v>0</v>
      </c>
      <c r="N174" s="237">
        <v>225</v>
      </c>
      <c r="O174" s="236">
        <v>2030400</v>
      </c>
      <c r="P174" s="238">
        <v>2030400</v>
      </c>
      <c r="Q174" s="239">
        <f t="shared" si="37"/>
        <v>1.0921862907698799E-3</v>
      </c>
      <c r="R174" s="236">
        <f t="shared" si="38"/>
        <v>108.917689468715</v>
      </c>
      <c r="S174" s="240">
        <f t="shared" si="39"/>
        <v>3981.1764705882401</v>
      </c>
      <c r="T174" s="241"/>
      <c r="U174" s="225"/>
      <c r="V174" s="226"/>
      <c r="W174" s="227"/>
      <c r="X174" s="226"/>
      <c r="Y174" s="226"/>
      <c r="Z174" s="226"/>
      <c r="AA174" s="226"/>
      <c r="AB174" s="226"/>
      <c r="AC174" s="226"/>
      <c r="AD174" s="96">
        <f t="shared" si="47"/>
        <v>0</v>
      </c>
      <c r="AE174" s="96">
        <f t="shared" si="48"/>
        <v>0</v>
      </c>
      <c r="AF174" s="96">
        <f t="shared" si="49"/>
        <v>0</v>
      </c>
      <c r="AG174" s="96">
        <f t="shared" si="50"/>
        <v>0</v>
      </c>
      <c r="AH174" s="211" t="str">
        <f t="shared" si="41"/>
        <v>0,;!0,;!0,;!0</v>
      </c>
      <c r="AI174" s="211" t="e">
        <f>INDEX([1]Library!$AL:$AL,MATCH(AH174,[1]Library!$AJ:$AJ,0),1)</f>
        <v>#N/A</v>
      </c>
      <c r="AJ174" s="211" t="e">
        <f>TEXT(INDEX([1]Library!$W:$W,MATCH(AH174,[1]Library!$AJ:$AJ,0),1),"")</f>
        <v>#N/A</v>
      </c>
    </row>
    <row r="175" spans="1:36" ht="25.2" hidden="1" customHeight="1" outlineLevel="2">
      <c r="A175" s="228"/>
      <c r="B175" s="229"/>
      <c r="C175" s="230"/>
      <c r="D175" s="231" t="s">
        <v>203</v>
      </c>
      <c r="E175" s="232"/>
      <c r="F175" s="233"/>
      <c r="G175" s="379"/>
      <c r="H175" s="380">
        <v>5470.36</v>
      </c>
      <c r="I175" s="234" t="s">
        <v>117</v>
      </c>
      <c r="J175" s="235">
        <v>0</v>
      </c>
      <c r="K175" s="236">
        <v>0</v>
      </c>
      <c r="L175" s="235">
        <v>0</v>
      </c>
      <c r="M175" s="236">
        <v>0</v>
      </c>
      <c r="N175" s="237">
        <v>803.57142857142799</v>
      </c>
      <c r="O175" s="236">
        <v>4395825</v>
      </c>
      <c r="P175" s="238">
        <v>4395825</v>
      </c>
      <c r="Q175" s="239">
        <f t="shared" si="37"/>
        <v>2.3645881607680802E-3</v>
      </c>
      <c r="R175" s="236">
        <f t="shared" si="38"/>
        <v>235.807280490945</v>
      </c>
      <c r="S175" s="240">
        <f t="shared" si="39"/>
        <v>8619.2647058823495</v>
      </c>
      <c r="T175" s="241"/>
      <c r="U175" s="225"/>
      <c r="V175" s="226"/>
      <c r="W175" s="227"/>
      <c r="X175" s="226"/>
      <c r="Y175" s="226"/>
      <c r="Z175" s="226"/>
      <c r="AA175" s="226"/>
      <c r="AB175" s="226"/>
      <c r="AC175" s="226"/>
      <c r="AD175" s="96">
        <f t="shared" si="47"/>
        <v>0</v>
      </c>
      <c r="AE175" s="96">
        <f t="shared" si="48"/>
        <v>0</v>
      </c>
      <c r="AF175" s="96">
        <f t="shared" si="49"/>
        <v>0</v>
      </c>
      <c r="AG175" s="96">
        <f t="shared" si="50"/>
        <v>0</v>
      </c>
      <c r="AH175" s="211" t="str">
        <f t="shared" si="41"/>
        <v>0,;!0,;!0,;!0</v>
      </c>
      <c r="AI175" s="211" t="e">
        <f>INDEX([1]Library!$AL:$AL,MATCH(AH175,[1]Library!$AJ:$AJ,0),1)</f>
        <v>#N/A</v>
      </c>
      <c r="AJ175" s="211" t="e">
        <f>TEXT(INDEX([1]Library!$W:$W,MATCH(AH175,[1]Library!$AJ:$AJ,0),1),"")</f>
        <v>#N/A</v>
      </c>
    </row>
    <row r="176" spans="1:36" ht="25.2" hidden="1" customHeight="1" outlineLevel="2">
      <c r="A176" s="228"/>
      <c r="B176" s="229"/>
      <c r="C176" s="230"/>
      <c r="D176" s="231" t="s">
        <v>204</v>
      </c>
      <c r="E176" s="232"/>
      <c r="F176" s="233"/>
      <c r="G176" s="379"/>
      <c r="H176" s="380">
        <v>328.88</v>
      </c>
      <c r="I176" s="234" t="s">
        <v>113</v>
      </c>
      <c r="J176" s="235">
        <v>0</v>
      </c>
      <c r="K176" s="236">
        <v>0</v>
      </c>
      <c r="L176" s="235">
        <v>0</v>
      </c>
      <c r="M176" s="236">
        <v>0</v>
      </c>
      <c r="N176" s="237">
        <v>750</v>
      </c>
      <c r="O176" s="236">
        <v>246660</v>
      </c>
      <c r="P176" s="238">
        <v>246660</v>
      </c>
      <c r="Q176" s="239">
        <f t="shared" si="37"/>
        <v>1.32682560323729E-4</v>
      </c>
      <c r="R176" s="236">
        <f t="shared" si="38"/>
        <v>13.231696850055799</v>
      </c>
      <c r="S176" s="240">
        <f t="shared" si="39"/>
        <v>483.64705882352899</v>
      </c>
      <c r="T176" s="241"/>
      <c r="U176" s="225"/>
      <c r="V176" s="226"/>
      <c r="W176" s="227"/>
      <c r="X176" s="226"/>
      <c r="Y176" s="226"/>
      <c r="Z176" s="226"/>
      <c r="AA176" s="226"/>
      <c r="AB176" s="226"/>
      <c r="AC176" s="226"/>
      <c r="AD176" s="96">
        <f t="shared" si="47"/>
        <v>0</v>
      </c>
      <c r="AE176" s="96">
        <f t="shared" si="48"/>
        <v>0</v>
      </c>
      <c r="AF176" s="96">
        <f t="shared" si="49"/>
        <v>0</v>
      </c>
      <c r="AG176" s="96">
        <f t="shared" si="50"/>
        <v>0</v>
      </c>
      <c r="AH176" s="211" t="str">
        <f t="shared" si="41"/>
        <v>0,;!0,;!0,;!0</v>
      </c>
      <c r="AI176" s="211" t="e">
        <f>INDEX([1]Library!$AL:$AL,MATCH(AH176,[1]Library!$AJ:$AJ,0),1)</f>
        <v>#N/A</v>
      </c>
      <c r="AJ176" s="211" t="e">
        <f>TEXT(INDEX([1]Library!$W:$W,MATCH(AH176,[1]Library!$AJ:$AJ,0),1),"")</f>
        <v>#N/A</v>
      </c>
    </row>
    <row r="177" spans="1:36" ht="25.2" hidden="1" customHeight="1" outlineLevel="2">
      <c r="A177" s="228"/>
      <c r="B177" s="229"/>
      <c r="C177" s="230"/>
      <c r="D177" s="231" t="s">
        <v>205</v>
      </c>
      <c r="E177" s="232"/>
      <c r="F177" s="233"/>
      <c r="G177" s="379"/>
      <c r="H177" s="380">
        <v>4594.68</v>
      </c>
      <c r="I177" s="234" t="s">
        <v>117</v>
      </c>
      <c r="J177" s="235">
        <v>0</v>
      </c>
      <c r="K177" s="236">
        <v>0</v>
      </c>
      <c r="L177" s="235">
        <v>0</v>
      </c>
      <c r="M177" s="236">
        <v>0</v>
      </c>
      <c r="N177" s="237">
        <v>15.11</v>
      </c>
      <c r="O177" s="236">
        <v>69425.614799999996</v>
      </c>
      <c r="P177" s="238">
        <v>69425.614799999996</v>
      </c>
      <c r="Q177" s="239">
        <f t="shared" si="37"/>
        <v>3.7345205236815697E-5</v>
      </c>
      <c r="R177" s="236">
        <f t="shared" si="38"/>
        <v>3.7242304737790701</v>
      </c>
      <c r="S177" s="240">
        <f t="shared" si="39"/>
        <v>136.128656470588</v>
      </c>
      <c r="T177" s="241"/>
      <c r="U177" s="225"/>
      <c r="V177" s="226"/>
      <c r="W177" s="227"/>
      <c r="X177" s="226"/>
      <c r="Y177" s="226"/>
      <c r="Z177" s="226"/>
      <c r="AA177" s="226"/>
      <c r="AB177" s="226"/>
      <c r="AC177" s="226"/>
      <c r="AD177" s="96">
        <f t="shared" si="47"/>
        <v>0</v>
      </c>
      <c r="AE177" s="96">
        <f t="shared" si="48"/>
        <v>0</v>
      </c>
      <c r="AF177" s="96">
        <f t="shared" si="49"/>
        <v>0</v>
      </c>
      <c r="AG177" s="96">
        <f t="shared" si="50"/>
        <v>0</v>
      </c>
      <c r="AH177" s="211" t="str">
        <f t="shared" si="41"/>
        <v>0,;!0,;!0,;!0</v>
      </c>
      <c r="AI177" s="211" t="e">
        <f>INDEX([1]Library!$AL:$AL,MATCH(AH177,[1]Library!$AJ:$AJ,0),1)</f>
        <v>#N/A</v>
      </c>
      <c r="AJ177" s="211" t="e">
        <f>TEXT(INDEX([1]Library!$W:$W,MATCH(AH177,[1]Library!$AJ:$AJ,0),1),"")</f>
        <v>#N/A</v>
      </c>
    </row>
    <row r="178" spans="1:36" ht="25.2" hidden="1" customHeight="1" outlineLevel="2">
      <c r="A178" s="228"/>
      <c r="B178" s="229"/>
      <c r="C178" s="230"/>
      <c r="D178" s="231" t="s">
        <v>206</v>
      </c>
      <c r="E178" s="232"/>
      <c r="F178" s="233"/>
      <c r="G178" s="379"/>
      <c r="H178" s="380">
        <v>302.24</v>
      </c>
      <c r="I178" s="234" t="s">
        <v>176</v>
      </c>
      <c r="J178" s="235">
        <v>0</v>
      </c>
      <c r="K178" s="236">
        <v>0</v>
      </c>
      <c r="L178" s="235">
        <v>0</v>
      </c>
      <c r="M178" s="236">
        <v>0</v>
      </c>
      <c r="N178" s="237">
        <v>312.5</v>
      </c>
      <c r="O178" s="236">
        <v>94450</v>
      </c>
      <c r="P178" s="238">
        <v>94450</v>
      </c>
      <c r="Q178" s="239">
        <f t="shared" si="37"/>
        <v>5.0806242692678997E-5</v>
      </c>
      <c r="R178" s="236">
        <f t="shared" si="38"/>
        <v>5.0666251823877797</v>
      </c>
      <c r="S178" s="240">
        <f t="shared" si="39"/>
        <v>185.196078431373</v>
      </c>
      <c r="T178" s="241"/>
      <c r="U178" s="225"/>
      <c r="V178" s="226"/>
      <c r="W178" s="227"/>
      <c r="X178" s="226"/>
      <c r="Y178" s="226"/>
      <c r="Z178" s="226"/>
      <c r="AA178" s="226"/>
      <c r="AB178" s="226"/>
      <c r="AC178" s="226"/>
      <c r="AD178" s="96">
        <f t="shared" si="47"/>
        <v>0</v>
      </c>
      <c r="AE178" s="96">
        <f t="shared" si="48"/>
        <v>0</v>
      </c>
      <c r="AF178" s="96">
        <f t="shared" si="49"/>
        <v>0</v>
      </c>
      <c r="AG178" s="96">
        <f t="shared" si="50"/>
        <v>0</v>
      </c>
      <c r="AH178" s="211" t="str">
        <f t="shared" si="41"/>
        <v>0,;!0,;!0,;!0</v>
      </c>
      <c r="AI178" s="211" t="e">
        <f>INDEX([1]Library!$AL:$AL,MATCH(AH178,[1]Library!$AJ:$AJ,0),1)</f>
        <v>#N/A</v>
      </c>
      <c r="AJ178" s="211" t="e">
        <f>TEXT(INDEX([1]Library!$W:$W,MATCH(AH178,[1]Library!$AJ:$AJ,0),1),"")</f>
        <v>#N/A</v>
      </c>
    </row>
    <row r="179" spans="1:36" ht="25.2" hidden="1" customHeight="1" outlineLevel="2">
      <c r="A179" s="228"/>
      <c r="B179" s="229"/>
      <c r="C179" s="230"/>
      <c r="D179" s="231" t="s">
        <v>207</v>
      </c>
      <c r="E179" s="232"/>
      <c r="F179" s="233"/>
      <c r="G179" s="379"/>
      <c r="H179" s="380">
        <v>302.24</v>
      </c>
      <c r="I179" s="234" t="s">
        <v>176</v>
      </c>
      <c r="J179" s="235">
        <v>0</v>
      </c>
      <c r="K179" s="236">
        <v>0</v>
      </c>
      <c r="L179" s="235">
        <v>0</v>
      </c>
      <c r="M179" s="236">
        <v>0</v>
      </c>
      <c r="N179" s="237">
        <v>309.375</v>
      </c>
      <c r="O179" s="236">
        <v>93505.5</v>
      </c>
      <c r="P179" s="238">
        <v>93505.5</v>
      </c>
      <c r="Q179" s="239">
        <f t="shared" si="37"/>
        <v>5.0298180265752201E-5</v>
      </c>
      <c r="R179" s="236">
        <f t="shared" si="38"/>
        <v>5.0159589305639001</v>
      </c>
      <c r="S179" s="240">
        <f t="shared" si="39"/>
        <v>183.34411764705899</v>
      </c>
      <c r="T179" s="241"/>
      <c r="U179" s="225"/>
      <c r="V179" s="226"/>
      <c r="W179" s="227"/>
      <c r="X179" s="226"/>
      <c r="Y179" s="226"/>
      <c r="Z179" s="226"/>
      <c r="AA179" s="226"/>
      <c r="AB179" s="226"/>
      <c r="AC179" s="226"/>
      <c r="AD179" s="96">
        <f t="shared" si="47"/>
        <v>0</v>
      </c>
      <c r="AE179" s="96">
        <f t="shared" si="48"/>
        <v>0</v>
      </c>
      <c r="AF179" s="96">
        <f t="shared" si="49"/>
        <v>0</v>
      </c>
      <c r="AG179" s="96">
        <f t="shared" si="50"/>
        <v>0</v>
      </c>
      <c r="AH179" s="211" t="str">
        <f t="shared" si="41"/>
        <v>0,;!0,;!0,;!0</v>
      </c>
      <c r="AI179" s="211" t="e">
        <f>INDEX([1]Library!$AL:$AL,MATCH(AH179,[1]Library!$AJ:$AJ,0),1)</f>
        <v>#N/A</v>
      </c>
      <c r="AJ179" s="211" t="e">
        <f>TEXT(INDEX([1]Library!$W:$W,MATCH(AH179,[1]Library!$AJ:$AJ,0),1),"")</f>
        <v>#N/A</v>
      </c>
    </row>
    <row r="180" spans="1:36" ht="25.2" hidden="1" customHeight="1" outlineLevel="1" collapsed="1">
      <c r="A180" s="213"/>
      <c r="B180" s="214"/>
      <c r="C180" s="215" t="s">
        <v>208</v>
      </c>
      <c r="D180" s="215"/>
      <c r="E180" s="216"/>
      <c r="F180" s="217"/>
      <c r="G180" s="379"/>
      <c r="H180" s="219">
        <v>1</v>
      </c>
      <c r="I180" s="218" t="s">
        <v>32</v>
      </c>
      <c r="J180" s="219">
        <v>28222952.380952399</v>
      </c>
      <c r="K180" s="219">
        <v>28222952.380952399</v>
      </c>
      <c r="L180" s="219">
        <v>7221428.57142857</v>
      </c>
      <c r="M180" s="219">
        <v>7221428.57142857</v>
      </c>
      <c r="N180" s="219">
        <v>2126785.7142857099</v>
      </c>
      <c r="O180" s="219">
        <v>2126785.7142857099</v>
      </c>
      <c r="P180" s="220">
        <v>37571166.666666701</v>
      </c>
      <c r="Q180" s="221">
        <f t="shared" si="37"/>
        <v>2.0210162116609399E-2</v>
      </c>
      <c r="R180" s="222">
        <f t="shared" si="38"/>
        <v>2015.4475295396701</v>
      </c>
      <c r="S180" s="223">
        <f t="shared" si="39"/>
        <v>73668.954248366106</v>
      </c>
      <c r="T180" s="224"/>
      <c r="U180" s="225"/>
      <c r="V180" s="226"/>
      <c r="W180" s="227"/>
      <c r="X180" s="226"/>
      <c r="Y180" s="226"/>
      <c r="Z180" s="226"/>
      <c r="AA180" s="226"/>
      <c r="AB180" s="226"/>
      <c r="AC180" s="226"/>
      <c r="AD180" s="96">
        <f t="shared" si="47"/>
        <v>0</v>
      </c>
      <c r="AE180" s="96">
        <f t="shared" si="48"/>
        <v>0</v>
      </c>
      <c r="AF180" s="96">
        <f t="shared" si="49"/>
        <v>0</v>
      </c>
      <c r="AG180" s="96">
        <f t="shared" si="50"/>
        <v>0</v>
      </c>
      <c r="AH180" s="211" t="str">
        <f t="shared" si="41"/>
        <v>0,;!0,;!0,;!0</v>
      </c>
      <c r="AI180" s="211" t="e">
        <f>INDEX([1]Library!$AL:$AL,MATCH(AH180,[1]Library!$AJ:$AJ,0),1)</f>
        <v>#N/A</v>
      </c>
      <c r="AJ180" s="211" t="e">
        <f>TEXT(INDEX([1]Library!$W:$W,MATCH(AH180,[1]Library!$AJ:$AJ,0),1),"")</f>
        <v>#N/A</v>
      </c>
    </row>
    <row r="181" spans="1:36" ht="25.2" hidden="1" customHeight="1" outlineLevel="2">
      <c r="A181" s="228"/>
      <c r="B181" s="229"/>
      <c r="C181" s="230"/>
      <c r="D181" s="231" t="s">
        <v>209</v>
      </c>
      <c r="E181" s="232"/>
      <c r="F181" s="233"/>
      <c r="G181" s="379"/>
      <c r="H181" s="380">
        <v>2040</v>
      </c>
      <c r="I181" s="234" t="s">
        <v>200</v>
      </c>
      <c r="J181" s="235">
        <v>10714.285714285699</v>
      </c>
      <c r="K181" s="236">
        <v>21857142.857142899</v>
      </c>
      <c r="L181" s="235">
        <v>2008.92857142857</v>
      </c>
      <c r="M181" s="236">
        <v>4098214.2857142901</v>
      </c>
      <c r="N181" s="237">
        <v>0</v>
      </c>
      <c r="O181" s="236">
        <v>0</v>
      </c>
      <c r="P181" s="238">
        <v>25955357.142857101</v>
      </c>
      <c r="Q181" s="239">
        <f t="shared" si="37"/>
        <v>1.3961822913447899E-2</v>
      </c>
      <c r="R181" s="236">
        <f t="shared" si="38"/>
        <v>1392.3352685851601</v>
      </c>
      <c r="S181" s="240">
        <f t="shared" si="39"/>
        <v>50892.857142857101</v>
      </c>
      <c r="T181" s="241"/>
      <c r="U181" s="225"/>
      <c r="V181" s="226"/>
      <c r="W181" s="227"/>
      <c r="X181" s="226"/>
      <c r="Y181" s="226"/>
      <c r="Z181" s="226"/>
      <c r="AA181" s="226"/>
      <c r="AB181" s="226"/>
      <c r="AC181" s="226"/>
      <c r="AD181" s="96">
        <f t="shared" si="47"/>
        <v>0</v>
      </c>
      <c r="AE181" s="96">
        <f t="shared" si="48"/>
        <v>0</v>
      </c>
      <c r="AF181" s="96">
        <f t="shared" si="49"/>
        <v>0</v>
      </c>
      <c r="AG181" s="96">
        <f t="shared" si="50"/>
        <v>0</v>
      </c>
      <c r="AH181" s="211" t="str">
        <f t="shared" si="41"/>
        <v>0,;!0,;!0,;!0</v>
      </c>
      <c r="AI181" s="211" t="e">
        <f>INDEX([1]Library!$AL:$AL,MATCH(AH181,[1]Library!$AJ:$AJ,0),1)</f>
        <v>#N/A</v>
      </c>
      <c r="AJ181" s="211" t="e">
        <f>TEXT(INDEX([1]Library!$W:$W,MATCH(AH181,[1]Library!$AJ:$AJ,0),1),"")</f>
        <v>#N/A</v>
      </c>
    </row>
    <row r="182" spans="1:36" ht="25.2" hidden="1" customHeight="1" outlineLevel="2">
      <c r="A182" s="228"/>
      <c r="B182" s="229"/>
      <c r="C182" s="230"/>
      <c r="D182" s="231" t="s">
        <v>210</v>
      </c>
      <c r="E182" s="232"/>
      <c r="F182" s="233"/>
      <c r="G182" s="379"/>
      <c r="H182" s="380">
        <v>2040</v>
      </c>
      <c r="I182" s="234" t="s">
        <v>200</v>
      </c>
      <c r="J182" s="235">
        <v>1650</v>
      </c>
      <c r="K182" s="236">
        <v>3366000</v>
      </c>
      <c r="L182" s="235">
        <v>1339.2857142857099</v>
      </c>
      <c r="M182" s="236">
        <v>2732142.8571428601</v>
      </c>
      <c r="N182" s="237">
        <v>0</v>
      </c>
      <c r="O182" s="236">
        <v>0</v>
      </c>
      <c r="P182" s="238">
        <v>6098142.8571428601</v>
      </c>
      <c r="Q182" s="239">
        <f t="shared" si="37"/>
        <v>3.2802935518753502E-3</v>
      </c>
      <c r="R182" s="236">
        <f t="shared" si="38"/>
        <v>327.12550731390297</v>
      </c>
      <c r="S182" s="240">
        <f t="shared" si="39"/>
        <v>11957.142857142901</v>
      </c>
      <c r="T182" s="241"/>
      <c r="U182" s="225"/>
      <c r="V182" s="226"/>
      <c r="W182" s="227"/>
      <c r="X182" s="226"/>
      <c r="Y182" s="226"/>
      <c r="Z182" s="226"/>
      <c r="AA182" s="226"/>
      <c r="AB182" s="226"/>
      <c r="AC182" s="226"/>
      <c r="AD182" s="96">
        <f t="shared" si="47"/>
        <v>0</v>
      </c>
      <c r="AE182" s="96">
        <f t="shared" si="48"/>
        <v>0</v>
      </c>
      <c r="AF182" s="96">
        <f t="shared" si="49"/>
        <v>0</v>
      </c>
      <c r="AG182" s="96">
        <f t="shared" si="50"/>
        <v>0</v>
      </c>
      <c r="AH182" s="211" t="str">
        <f t="shared" si="41"/>
        <v>0,;!0,;!0,;!0</v>
      </c>
      <c r="AI182" s="211" t="e">
        <f>INDEX([1]Library!$AL:$AL,MATCH(AH182,[1]Library!$AJ:$AJ,0),1)</f>
        <v>#N/A</v>
      </c>
      <c r="AJ182" s="211" t="e">
        <f>TEXT(INDEX([1]Library!$W:$W,MATCH(AH182,[1]Library!$AJ:$AJ,0),1),"")</f>
        <v>#N/A</v>
      </c>
    </row>
    <row r="183" spans="1:36" ht="25.2" hidden="1" customHeight="1" outlineLevel="2">
      <c r="A183" s="228"/>
      <c r="B183" s="229"/>
      <c r="C183" s="230"/>
      <c r="D183" s="231" t="s">
        <v>211</v>
      </c>
      <c r="E183" s="232"/>
      <c r="F183" s="233"/>
      <c r="G183" s="379"/>
      <c r="H183" s="380">
        <v>136</v>
      </c>
      <c r="I183" s="234" t="s">
        <v>200</v>
      </c>
      <c r="J183" s="235">
        <v>8973.2142857142808</v>
      </c>
      <c r="K183" s="236">
        <v>1220357.1428571399</v>
      </c>
      <c r="L183" s="235">
        <v>1339.2857142857099</v>
      </c>
      <c r="M183" s="236">
        <v>182142.85714285701</v>
      </c>
      <c r="N183" s="237">
        <v>0</v>
      </c>
      <c r="O183" s="236">
        <v>0</v>
      </c>
      <c r="P183" s="238">
        <v>1402500</v>
      </c>
      <c r="Q183" s="239">
        <f t="shared" si="37"/>
        <v>7.5442832584946798E-4</v>
      </c>
      <c r="R183" s="236">
        <f t="shared" si="38"/>
        <v>75.234958372671898</v>
      </c>
      <c r="S183" s="240">
        <f t="shared" si="39"/>
        <v>2750</v>
      </c>
      <c r="T183" s="241"/>
      <c r="U183" s="225"/>
      <c r="V183" s="226"/>
      <c r="W183" s="227"/>
      <c r="X183" s="226"/>
      <c r="Y183" s="226"/>
      <c r="Z183" s="226"/>
      <c r="AA183" s="226"/>
      <c r="AB183" s="226"/>
      <c r="AC183" s="226"/>
      <c r="AD183" s="96">
        <f t="shared" si="47"/>
        <v>0</v>
      </c>
      <c r="AE183" s="96">
        <f t="shared" si="48"/>
        <v>0</v>
      </c>
      <c r="AF183" s="96">
        <f t="shared" si="49"/>
        <v>0</v>
      </c>
      <c r="AG183" s="96">
        <f t="shared" si="50"/>
        <v>0</v>
      </c>
      <c r="AH183" s="211" t="str">
        <f t="shared" si="41"/>
        <v>0,;!0,;!0,;!0</v>
      </c>
      <c r="AI183" s="211" t="e">
        <f>INDEX([1]Library!$AL:$AL,MATCH(AH183,[1]Library!$AJ:$AJ,0),1)</f>
        <v>#N/A</v>
      </c>
      <c r="AJ183" s="211" t="e">
        <f>TEXT(INDEX([1]Library!$W:$W,MATCH(AH183,[1]Library!$AJ:$AJ,0),1),"")</f>
        <v>#N/A</v>
      </c>
    </row>
    <row r="184" spans="1:36" ht="25.2" hidden="1" customHeight="1" outlineLevel="2">
      <c r="A184" s="228"/>
      <c r="B184" s="229"/>
      <c r="C184" s="230"/>
      <c r="D184" s="231" t="s">
        <v>212</v>
      </c>
      <c r="E184" s="232"/>
      <c r="F184" s="233"/>
      <c r="G184" s="379"/>
      <c r="H184" s="380">
        <v>8</v>
      </c>
      <c r="I184" s="234" t="s">
        <v>200</v>
      </c>
      <c r="J184" s="235">
        <v>11345.982142857099</v>
      </c>
      <c r="K184" s="236">
        <v>90767.857142857101</v>
      </c>
      <c r="L184" s="235">
        <v>1339.2857142857099</v>
      </c>
      <c r="M184" s="236">
        <v>10714.285714285699</v>
      </c>
      <c r="N184" s="237">
        <v>0</v>
      </c>
      <c r="O184" s="236">
        <v>0</v>
      </c>
      <c r="P184" s="238">
        <v>101482.142857143</v>
      </c>
      <c r="Q184" s="239">
        <f t="shared" si="37"/>
        <v>5.4588950544977399E-5</v>
      </c>
      <c r="R184" s="236">
        <f t="shared" si="38"/>
        <v>5.4438536851527202</v>
      </c>
      <c r="S184" s="240">
        <f t="shared" si="39"/>
        <v>198.98459383753499</v>
      </c>
      <c r="T184" s="241"/>
      <c r="U184" s="225"/>
      <c r="V184" s="226"/>
      <c r="W184" s="227"/>
      <c r="X184" s="226"/>
      <c r="Y184" s="226"/>
      <c r="Z184" s="226"/>
      <c r="AA184" s="226"/>
      <c r="AB184" s="226"/>
      <c r="AC184" s="226"/>
      <c r="AD184" s="96">
        <f t="shared" si="47"/>
        <v>0</v>
      </c>
      <c r="AE184" s="96">
        <f t="shared" si="48"/>
        <v>0</v>
      </c>
      <c r="AF184" s="96">
        <f t="shared" si="49"/>
        <v>0</v>
      </c>
      <c r="AG184" s="96">
        <f t="shared" si="50"/>
        <v>0</v>
      </c>
      <c r="AH184" s="211" t="str">
        <f t="shared" si="41"/>
        <v>0,;!0,;!0,;!0</v>
      </c>
      <c r="AI184" s="211" t="e">
        <f>INDEX([1]Library!$AL:$AL,MATCH(AH184,[1]Library!$AJ:$AJ,0),1)</f>
        <v>#N/A</v>
      </c>
      <c r="AJ184" s="211" t="e">
        <f>TEXT(INDEX([1]Library!$W:$W,MATCH(AH184,[1]Library!$AJ:$AJ,0),1),"")</f>
        <v>#N/A</v>
      </c>
    </row>
    <row r="185" spans="1:36" ht="25.2" hidden="1" customHeight="1" outlineLevel="2">
      <c r="A185" s="228"/>
      <c r="B185" s="229"/>
      <c r="C185" s="230"/>
      <c r="D185" s="231" t="s">
        <v>213</v>
      </c>
      <c r="E185" s="232"/>
      <c r="F185" s="233"/>
      <c r="G185" s="379"/>
      <c r="H185" s="380">
        <v>4</v>
      </c>
      <c r="I185" s="234" t="s">
        <v>200</v>
      </c>
      <c r="J185" s="235">
        <v>18943.4523809524</v>
      </c>
      <c r="K185" s="236">
        <v>75773.809523809497</v>
      </c>
      <c r="L185" s="235">
        <v>1785.7142857142901</v>
      </c>
      <c r="M185" s="236">
        <v>7142.8571428571404</v>
      </c>
      <c r="N185" s="237">
        <v>0</v>
      </c>
      <c r="O185" s="236">
        <v>0</v>
      </c>
      <c r="P185" s="238">
        <v>82916.666666666701</v>
      </c>
      <c r="Q185" s="239">
        <f t="shared" si="37"/>
        <v>4.4602268818789098E-5</v>
      </c>
      <c r="R185" s="236">
        <f t="shared" si="38"/>
        <v>4.4479372299945696</v>
      </c>
      <c r="S185" s="240">
        <f t="shared" si="39"/>
        <v>162.581699346405</v>
      </c>
      <c r="T185" s="241"/>
      <c r="U185" s="225"/>
      <c r="V185" s="226"/>
      <c r="W185" s="227"/>
      <c r="X185" s="226"/>
      <c r="Y185" s="226"/>
      <c r="Z185" s="226"/>
      <c r="AA185" s="226"/>
      <c r="AB185" s="226"/>
      <c r="AC185" s="226"/>
      <c r="AD185" s="96">
        <f t="shared" si="47"/>
        <v>0</v>
      </c>
      <c r="AE185" s="96">
        <f t="shared" si="48"/>
        <v>0</v>
      </c>
      <c r="AF185" s="96">
        <f t="shared" si="49"/>
        <v>0</v>
      </c>
      <c r="AG185" s="96">
        <f t="shared" si="50"/>
        <v>0</v>
      </c>
      <c r="AH185" s="211" t="str">
        <f t="shared" si="41"/>
        <v>0,;!0,;!0,;!0</v>
      </c>
      <c r="AI185" s="211" t="e">
        <f>INDEX([1]Library!$AL:$AL,MATCH(AH185,[1]Library!$AJ:$AJ,0),1)</f>
        <v>#N/A</v>
      </c>
      <c r="AJ185" s="211" t="e">
        <f>TEXT(INDEX([1]Library!$W:$W,MATCH(AH185,[1]Library!$AJ:$AJ,0),1),"")</f>
        <v>#N/A</v>
      </c>
    </row>
    <row r="186" spans="1:36" ht="25.2" hidden="1" customHeight="1" outlineLevel="2">
      <c r="A186" s="228"/>
      <c r="B186" s="229"/>
      <c r="C186" s="230"/>
      <c r="D186" s="231" t="s">
        <v>214</v>
      </c>
      <c r="E186" s="232"/>
      <c r="F186" s="233"/>
      <c r="G186" s="379"/>
      <c r="H186" s="380">
        <v>132</v>
      </c>
      <c r="I186" s="234" t="s">
        <v>200</v>
      </c>
      <c r="J186" s="235">
        <v>10406.25</v>
      </c>
      <c r="K186" s="236">
        <v>1373625</v>
      </c>
      <c r="L186" s="235">
        <v>1339.2857142857099</v>
      </c>
      <c r="M186" s="236">
        <v>176785.714285714</v>
      </c>
      <c r="N186" s="237">
        <v>0</v>
      </c>
      <c r="O186" s="236">
        <v>0</v>
      </c>
      <c r="P186" s="238">
        <v>1550410.7142857099</v>
      </c>
      <c r="Q186" s="239">
        <f t="shared" si="37"/>
        <v>8.3399198542434896E-4</v>
      </c>
      <c r="R186" s="236">
        <f t="shared" si="38"/>
        <v>83.169401461554301</v>
      </c>
      <c r="S186" s="240">
        <f t="shared" si="39"/>
        <v>3040.0210084033502</v>
      </c>
      <c r="T186" s="241"/>
      <c r="U186" s="225"/>
      <c r="V186" s="226"/>
      <c r="W186" s="227"/>
      <c r="X186" s="226"/>
      <c r="Y186" s="226"/>
      <c r="Z186" s="226"/>
      <c r="AA186" s="226"/>
      <c r="AB186" s="226"/>
      <c r="AC186" s="226"/>
      <c r="AD186" s="96">
        <f t="shared" si="47"/>
        <v>0</v>
      </c>
      <c r="AE186" s="96">
        <f t="shared" si="48"/>
        <v>0</v>
      </c>
      <c r="AF186" s="96">
        <f t="shared" si="49"/>
        <v>0</v>
      </c>
      <c r="AG186" s="96">
        <f t="shared" si="50"/>
        <v>0</v>
      </c>
      <c r="AH186" s="211" t="str">
        <f t="shared" si="41"/>
        <v>0,;!0,;!0,;!0</v>
      </c>
      <c r="AI186" s="211" t="e">
        <f>INDEX([1]Library!$AL:$AL,MATCH(AH186,[1]Library!$AJ:$AJ,0),1)</f>
        <v>#N/A</v>
      </c>
      <c r="AJ186" s="211" t="e">
        <f>TEXT(INDEX([1]Library!$W:$W,MATCH(AH186,[1]Library!$AJ:$AJ,0),1),"")</f>
        <v>#N/A</v>
      </c>
    </row>
    <row r="187" spans="1:36" ht="25.2" hidden="1" customHeight="1" outlineLevel="2">
      <c r="A187" s="228"/>
      <c r="B187" s="229"/>
      <c r="C187" s="230"/>
      <c r="D187" s="231" t="s">
        <v>215</v>
      </c>
      <c r="E187" s="232"/>
      <c r="F187" s="233"/>
      <c r="G187" s="379"/>
      <c r="H187" s="380">
        <v>8</v>
      </c>
      <c r="I187" s="234" t="s">
        <v>200</v>
      </c>
      <c r="J187" s="235">
        <v>29910.714285714301</v>
      </c>
      <c r="K187" s="236">
        <v>239285.714285714</v>
      </c>
      <c r="L187" s="235">
        <v>1785.7142857142901</v>
      </c>
      <c r="M187" s="236">
        <v>14285.714285714301</v>
      </c>
      <c r="N187" s="237">
        <v>0</v>
      </c>
      <c r="O187" s="236">
        <v>0</v>
      </c>
      <c r="P187" s="238">
        <v>253571.42857142899</v>
      </c>
      <c r="Q187" s="239">
        <f t="shared" si="37"/>
        <v>1.3640033393255E-4</v>
      </c>
      <c r="R187" s="236">
        <f t="shared" si="38"/>
        <v>13.602449820371101</v>
      </c>
      <c r="S187" s="240">
        <f t="shared" si="39"/>
        <v>497.19887955182202</v>
      </c>
      <c r="T187" s="241"/>
      <c r="U187" s="225"/>
      <c r="V187" s="226"/>
      <c r="W187" s="227"/>
      <c r="X187" s="226"/>
      <c r="Y187" s="226"/>
      <c r="Z187" s="226"/>
      <c r="AA187" s="226"/>
      <c r="AB187" s="226"/>
      <c r="AC187" s="226"/>
      <c r="AD187" s="96">
        <f t="shared" si="47"/>
        <v>0</v>
      </c>
      <c r="AE187" s="96">
        <f t="shared" si="48"/>
        <v>0</v>
      </c>
      <c r="AF187" s="96">
        <f t="shared" si="49"/>
        <v>0</v>
      </c>
      <c r="AG187" s="96">
        <f t="shared" si="50"/>
        <v>0</v>
      </c>
      <c r="AH187" s="211" t="str">
        <f t="shared" si="41"/>
        <v>0,;!0,;!0,;!0</v>
      </c>
      <c r="AI187" s="211" t="e">
        <f>INDEX([1]Library!$AL:$AL,MATCH(AH187,[1]Library!$AJ:$AJ,0),1)</f>
        <v>#N/A</v>
      </c>
      <c r="AJ187" s="211" t="e">
        <f>TEXT(INDEX([1]Library!$W:$W,MATCH(AH187,[1]Library!$AJ:$AJ,0),1),"")</f>
        <v>#N/A</v>
      </c>
    </row>
    <row r="188" spans="1:36" ht="25.2" hidden="1" customHeight="1" outlineLevel="2">
      <c r="A188" s="228"/>
      <c r="B188" s="229"/>
      <c r="C188" s="230"/>
      <c r="D188" s="231" t="s">
        <v>216</v>
      </c>
      <c r="E188" s="232"/>
      <c r="F188" s="233"/>
      <c r="G188" s="379"/>
      <c r="H188" s="380">
        <v>780</v>
      </c>
      <c r="I188" s="234" t="s">
        <v>200</v>
      </c>
      <c r="J188" s="235">
        <v>0</v>
      </c>
      <c r="K188" s="236">
        <v>0</v>
      </c>
      <c r="L188" s="235">
        <v>0</v>
      </c>
      <c r="M188" s="236">
        <v>0</v>
      </c>
      <c r="N188" s="237">
        <v>2232.1428571428601</v>
      </c>
      <c r="O188" s="236">
        <v>1741071.42857143</v>
      </c>
      <c r="P188" s="238">
        <v>1741071.42857143</v>
      </c>
      <c r="Q188" s="239">
        <f t="shared" si="37"/>
        <v>9.3655158862137905E-4</v>
      </c>
      <c r="R188" s="236">
        <f t="shared" si="38"/>
        <v>93.397102639871605</v>
      </c>
      <c r="S188" s="240">
        <f t="shared" si="39"/>
        <v>3413.8655462184902</v>
      </c>
      <c r="T188" s="241"/>
      <c r="U188" s="225"/>
      <c r="V188" s="226"/>
      <c r="W188" s="227"/>
      <c r="X188" s="226"/>
      <c r="Y188" s="226"/>
      <c r="Z188" s="226"/>
      <c r="AA188" s="226"/>
      <c r="AB188" s="226"/>
      <c r="AC188" s="226"/>
      <c r="AD188" s="96">
        <f t="shared" si="47"/>
        <v>0</v>
      </c>
      <c r="AE188" s="96">
        <f t="shared" si="48"/>
        <v>0</v>
      </c>
      <c r="AF188" s="96">
        <f t="shared" si="49"/>
        <v>0</v>
      </c>
      <c r="AG188" s="96">
        <f t="shared" si="50"/>
        <v>0</v>
      </c>
      <c r="AH188" s="211" t="str">
        <f t="shared" si="41"/>
        <v>0,;!0,;!0,;!0</v>
      </c>
      <c r="AI188" s="211" t="e">
        <f>INDEX([1]Library!$AL:$AL,MATCH(AH188,[1]Library!$AJ:$AJ,0),1)</f>
        <v>#N/A</v>
      </c>
      <c r="AJ188" s="211" t="e">
        <f>TEXT(INDEX([1]Library!$W:$W,MATCH(AH188,[1]Library!$AJ:$AJ,0),1),"")</f>
        <v>#N/A</v>
      </c>
    </row>
    <row r="189" spans="1:36" ht="25.2" hidden="1" customHeight="1" outlineLevel="2">
      <c r="A189" s="228"/>
      <c r="B189" s="229"/>
      <c r="C189" s="230"/>
      <c r="D189" s="231" t="s">
        <v>217</v>
      </c>
      <c r="E189" s="232"/>
      <c r="F189" s="233"/>
      <c r="G189" s="379"/>
      <c r="H189" s="380">
        <v>240</v>
      </c>
      <c r="I189" s="234" t="s">
        <v>200</v>
      </c>
      <c r="J189" s="235">
        <v>0</v>
      </c>
      <c r="K189" s="236">
        <v>0</v>
      </c>
      <c r="L189" s="235">
        <v>0</v>
      </c>
      <c r="M189" s="236">
        <v>0</v>
      </c>
      <c r="N189" s="237">
        <v>1607.1428571428601</v>
      </c>
      <c r="O189" s="236">
        <v>385714.28571428597</v>
      </c>
      <c r="P189" s="238">
        <v>385714.28571428597</v>
      </c>
      <c r="Q189" s="239">
        <f t="shared" si="37"/>
        <v>2.0748219809458199E-4</v>
      </c>
      <c r="R189" s="236">
        <f t="shared" si="38"/>
        <v>20.691050430986898</v>
      </c>
      <c r="S189" s="240">
        <f t="shared" si="39"/>
        <v>756.30252100840403</v>
      </c>
      <c r="T189" s="241"/>
      <c r="U189" s="225"/>
      <c r="V189" s="226"/>
      <c r="W189" s="227"/>
      <c r="X189" s="226"/>
      <c r="Y189" s="226"/>
      <c r="Z189" s="226"/>
      <c r="AA189" s="226"/>
      <c r="AB189" s="226"/>
      <c r="AC189" s="226"/>
      <c r="AD189" s="96">
        <f t="shared" si="47"/>
        <v>0</v>
      </c>
      <c r="AE189" s="96">
        <f t="shared" si="48"/>
        <v>0</v>
      </c>
      <c r="AF189" s="96">
        <f t="shared" si="49"/>
        <v>0</v>
      </c>
      <c r="AG189" s="96">
        <f t="shared" si="50"/>
        <v>0</v>
      </c>
      <c r="AH189" s="211" t="str">
        <f t="shared" si="41"/>
        <v>0,;!0,;!0,;!0</v>
      </c>
      <c r="AI189" s="211" t="e">
        <f>INDEX([1]Library!$AL:$AL,MATCH(AH189,[1]Library!$AJ:$AJ,0),1)</f>
        <v>#N/A</v>
      </c>
      <c r="AJ189" s="211" t="e">
        <f>TEXT(INDEX([1]Library!$W:$W,MATCH(AH189,[1]Library!$AJ:$AJ,0),1),"")</f>
        <v>#N/A</v>
      </c>
    </row>
    <row r="190" spans="1:36" ht="25.2" hidden="1" customHeight="1" outlineLevel="1" collapsed="1">
      <c r="A190" s="213"/>
      <c r="B190" s="214"/>
      <c r="C190" s="215" t="s">
        <v>218</v>
      </c>
      <c r="D190" s="215"/>
      <c r="E190" s="216"/>
      <c r="F190" s="217"/>
      <c r="G190" s="379"/>
      <c r="H190" s="219">
        <v>1</v>
      </c>
      <c r="I190" s="218" t="s">
        <v>32</v>
      </c>
      <c r="J190" s="219">
        <v>11237378.928571399</v>
      </c>
      <c r="K190" s="219">
        <v>11237378.928571399</v>
      </c>
      <c r="L190" s="219">
        <v>1429446.42857143</v>
      </c>
      <c r="M190" s="219">
        <v>1429446.42857143</v>
      </c>
      <c r="N190" s="219">
        <v>0</v>
      </c>
      <c r="O190" s="219">
        <v>0</v>
      </c>
      <c r="P190" s="220">
        <v>12666825.357142899</v>
      </c>
      <c r="Q190" s="221">
        <f t="shared" si="37"/>
        <v>6.8136982873560599E-3</v>
      </c>
      <c r="R190" s="222">
        <f t="shared" si="38"/>
        <v>679.49239105778997</v>
      </c>
      <c r="S190" s="223">
        <f t="shared" si="39"/>
        <v>24836.912464986101</v>
      </c>
      <c r="T190" s="224"/>
      <c r="U190" s="225"/>
      <c r="V190" s="226"/>
      <c r="W190" s="227"/>
      <c r="X190" s="226"/>
      <c r="Y190" s="226"/>
      <c r="Z190" s="226"/>
      <c r="AA190" s="226"/>
      <c r="AB190" s="226"/>
      <c r="AC190" s="226"/>
      <c r="AD190" s="96">
        <f t="shared" si="47"/>
        <v>0</v>
      </c>
      <c r="AE190" s="96">
        <f t="shared" si="48"/>
        <v>0</v>
      </c>
      <c r="AF190" s="96">
        <f t="shared" si="49"/>
        <v>0</v>
      </c>
      <c r="AG190" s="96">
        <f t="shared" si="50"/>
        <v>0</v>
      </c>
      <c r="AH190" s="211" t="str">
        <f t="shared" si="41"/>
        <v>0,;!0,;!0,;!0</v>
      </c>
      <c r="AI190" s="211" t="e">
        <f>INDEX([1]Library!$AL:$AL,MATCH(AH190,[1]Library!$AJ:$AJ,0),1)</f>
        <v>#N/A</v>
      </c>
      <c r="AJ190" s="211" t="e">
        <f>TEXT(INDEX([1]Library!$W:$W,MATCH(AH190,[1]Library!$AJ:$AJ,0),1),"")</f>
        <v>#N/A</v>
      </c>
    </row>
    <row r="191" spans="1:36" ht="25.2" hidden="1" customHeight="1" outlineLevel="2">
      <c r="A191" s="228"/>
      <c r="B191" s="229"/>
      <c r="C191" s="230"/>
      <c r="D191" s="231" t="s">
        <v>219</v>
      </c>
      <c r="E191" s="232"/>
      <c r="F191" s="233"/>
      <c r="G191" s="379"/>
      <c r="H191" s="380">
        <v>2192</v>
      </c>
      <c r="I191" s="234" t="s">
        <v>200</v>
      </c>
      <c r="J191" s="235">
        <v>178.57142857142901</v>
      </c>
      <c r="K191" s="236">
        <v>391428.57142857101</v>
      </c>
      <c r="L191" s="235">
        <v>46.875</v>
      </c>
      <c r="M191" s="236">
        <v>102750</v>
      </c>
      <c r="N191" s="237">
        <v>0</v>
      </c>
      <c r="O191" s="236">
        <v>0</v>
      </c>
      <c r="P191" s="238">
        <v>494178.57142857101</v>
      </c>
      <c r="Q191" s="239">
        <f t="shared" si="37"/>
        <v>2.6582696065136497E-4</v>
      </c>
      <c r="R191" s="236">
        <f t="shared" si="38"/>
        <v>26.509450445700502</v>
      </c>
      <c r="S191" s="240">
        <f t="shared" si="39"/>
        <v>968.97759103641397</v>
      </c>
      <c r="T191" s="241"/>
      <c r="U191" s="225"/>
      <c r="V191" s="226"/>
      <c r="W191" s="227"/>
      <c r="X191" s="226"/>
      <c r="Y191" s="226"/>
      <c r="Z191" s="226"/>
      <c r="AA191" s="226"/>
      <c r="AB191" s="226"/>
      <c r="AC191" s="226"/>
      <c r="AD191" s="96">
        <f t="shared" si="47"/>
        <v>0</v>
      </c>
      <c r="AE191" s="96">
        <f t="shared" si="48"/>
        <v>0</v>
      </c>
      <c r="AF191" s="96">
        <f t="shared" si="49"/>
        <v>0</v>
      </c>
      <c r="AG191" s="96">
        <f t="shared" si="50"/>
        <v>0</v>
      </c>
      <c r="AH191" s="211" t="str">
        <f t="shared" si="41"/>
        <v>0,;!0,;!0,;!0</v>
      </c>
      <c r="AI191" s="211" t="e">
        <f>INDEX([1]Library!$AL:$AL,MATCH(AH191,[1]Library!$AJ:$AJ,0),1)</f>
        <v>#N/A</v>
      </c>
      <c r="AJ191" s="211" t="e">
        <f>TEXT(INDEX([1]Library!$W:$W,MATCH(AH191,[1]Library!$AJ:$AJ,0),1),"")</f>
        <v>#N/A</v>
      </c>
    </row>
    <row r="192" spans="1:36" ht="25.2" hidden="1" customHeight="1" outlineLevel="2">
      <c r="A192" s="228"/>
      <c r="B192" s="229"/>
      <c r="C192" s="230"/>
      <c r="D192" s="231" t="s">
        <v>220</v>
      </c>
      <c r="E192" s="232"/>
      <c r="F192" s="233"/>
      <c r="G192" s="379"/>
      <c r="H192" s="380">
        <v>1800</v>
      </c>
      <c r="I192" s="234" t="s">
        <v>200</v>
      </c>
      <c r="J192" s="235">
        <v>178.57142857142901</v>
      </c>
      <c r="K192" s="236">
        <v>321428.57142857101</v>
      </c>
      <c r="L192" s="235">
        <v>46.875</v>
      </c>
      <c r="M192" s="236">
        <v>84375</v>
      </c>
      <c r="N192" s="237">
        <v>0</v>
      </c>
      <c r="O192" s="236">
        <v>0</v>
      </c>
      <c r="P192" s="238">
        <v>405803.57142857101</v>
      </c>
      <c r="Q192" s="239">
        <f t="shared" si="37"/>
        <v>2.1828856257867499E-4</v>
      </c>
      <c r="R192" s="236">
        <f t="shared" si="38"/>
        <v>21.768709307600801</v>
      </c>
      <c r="S192" s="240">
        <f t="shared" si="39"/>
        <v>795.69327731092403</v>
      </c>
      <c r="T192" s="241"/>
      <c r="U192" s="225"/>
      <c r="V192" s="226"/>
      <c r="W192" s="227"/>
      <c r="X192" s="226"/>
      <c r="Y192" s="226"/>
      <c r="Z192" s="226"/>
      <c r="AA192" s="226"/>
      <c r="AB192" s="226"/>
      <c r="AC192" s="226"/>
      <c r="AD192" s="96">
        <f t="shared" si="47"/>
        <v>0</v>
      </c>
      <c r="AE192" s="96">
        <f t="shared" si="48"/>
        <v>0</v>
      </c>
      <c r="AF192" s="96">
        <f t="shared" si="49"/>
        <v>0</v>
      </c>
      <c r="AG192" s="96">
        <f t="shared" si="50"/>
        <v>0</v>
      </c>
      <c r="AH192" s="211" t="str">
        <f t="shared" si="41"/>
        <v>0,;!0,;!0,;!0</v>
      </c>
      <c r="AI192" s="211" t="e">
        <f>INDEX([1]Library!$AL:$AL,MATCH(AH192,[1]Library!$AJ:$AJ,0),1)</f>
        <v>#N/A</v>
      </c>
      <c r="AJ192" s="211" t="e">
        <f>TEXT(INDEX([1]Library!$W:$W,MATCH(AH192,[1]Library!$AJ:$AJ,0),1),"")</f>
        <v>#N/A</v>
      </c>
    </row>
    <row r="193" spans="1:36" ht="25.2" hidden="1" customHeight="1" outlineLevel="2">
      <c r="A193" s="228"/>
      <c r="B193" s="229"/>
      <c r="C193" s="230"/>
      <c r="D193" s="231" t="s">
        <v>221</v>
      </c>
      <c r="E193" s="232"/>
      <c r="F193" s="233"/>
      <c r="G193" s="379"/>
      <c r="H193" s="380">
        <v>136</v>
      </c>
      <c r="I193" s="234" t="s">
        <v>200</v>
      </c>
      <c r="J193" s="235">
        <v>3526.7857142857101</v>
      </c>
      <c r="K193" s="236">
        <v>479642.85714285698</v>
      </c>
      <c r="L193" s="235">
        <v>133.92857142857099</v>
      </c>
      <c r="M193" s="236">
        <v>18214.285714285699</v>
      </c>
      <c r="N193" s="237">
        <v>0</v>
      </c>
      <c r="O193" s="236">
        <v>0</v>
      </c>
      <c r="P193" s="238">
        <v>497857.14285714302</v>
      </c>
      <c r="Q193" s="239">
        <f t="shared" si="37"/>
        <v>2.67805726059119E-4</v>
      </c>
      <c r="R193" s="236">
        <f t="shared" si="38"/>
        <v>26.706781759996101</v>
      </c>
      <c r="S193" s="240">
        <f t="shared" si="39"/>
        <v>976.19047619047603</v>
      </c>
      <c r="T193" s="241"/>
      <c r="U193" s="225"/>
      <c r="V193" s="226"/>
      <c r="W193" s="227"/>
      <c r="X193" s="226"/>
      <c r="Y193" s="226"/>
      <c r="Z193" s="226"/>
      <c r="AA193" s="226"/>
      <c r="AB193" s="226"/>
      <c r="AC193" s="226"/>
      <c r="AD193" s="96">
        <f t="shared" si="47"/>
        <v>0</v>
      </c>
      <c r="AE193" s="96">
        <f t="shared" si="48"/>
        <v>0</v>
      </c>
      <c r="AF193" s="96">
        <f t="shared" si="49"/>
        <v>0</v>
      </c>
      <c r="AG193" s="96">
        <f t="shared" si="50"/>
        <v>0</v>
      </c>
      <c r="AH193" s="211" t="str">
        <f t="shared" si="41"/>
        <v>0,;!0,;!0,;!0</v>
      </c>
      <c r="AI193" s="211" t="e">
        <f>INDEX([1]Library!$AL:$AL,MATCH(AH193,[1]Library!$AJ:$AJ,0),1)</f>
        <v>#N/A</v>
      </c>
      <c r="AJ193" s="211" t="e">
        <f>TEXT(INDEX([1]Library!$W:$W,MATCH(AH193,[1]Library!$AJ:$AJ,0),1),"")</f>
        <v>#N/A</v>
      </c>
    </row>
    <row r="194" spans="1:36" ht="25.2" hidden="1" customHeight="1" outlineLevel="2">
      <c r="A194" s="228"/>
      <c r="B194" s="229"/>
      <c r="C194" s="230"/>
      <c r="D194" s="231" t="s">
        <v>222</v>
      </c>
      <c r="E194" s="232"/>
      <c r="F194" s="233"/>
      <c r="G194" s="379"/>
      <c r="H194" s="380">
        <v>136</v>
      </c>
      <c r="I194" s="234" t="s">
        <v>200</v>
      </c>
      <c r="J194" s="235">
        <v>2071.4285714285702</v>
      </c>
      <c r="K194" s="236">
        <v>281714.28571428597</v>
      </c>
      <c r="L194" s="235">
        <v>133.92857142857099</v>
      </c>
      <c r="M194" s="236">
        <v>18214.285714285699</v>
      </c>
      <c r="N194" s="237">
        <v>0</v>
      </c>
      <c r="O194" s="236">
        <v>0</v>
      </c>
      <c r="P194" s="238">
        <v>299928.57142857101</v>
      </c>
      <c r="Q194" s="239">
        <f t="shared" si="37"/>
        <v>1.6133662033317601E-4</v>
      </c>
      <c r="R194" s="236">
        <f t="shared" si="38"/>
        <v>16.089207548095199</v>
      </c>
      <c r="S194" s="240">
        <f t="shared" si="39"/>
        <v>588.09523809523705</v>
      </c>
      <c r="T194" s="241"/>
      <c r="U194" s="225"/>
      <c r="V194" s="226"/>
      <c r="W194" s="227"/>
      <c r="X194" s="226"/>
      <c r="Y194" s="226"/>
      <c r="Z194" s="226"/>
      <c r="AA194" s="226"/>
      <c r="AB194" s="226"/>
      <c r="AC194" s="226"/>
      <c r="AD194" s="96">
        <f t="shared" si="47"/>
        <v>0</v>
      </c>
      <c r="AE194" s="96">
        <f t="shared" si="48"/>
        <v>0</v>
      </c>
      <c r="AF194" s="96">
        <f t="shared" si="49"/>
        <v>0</v>
      </c>
      <c r="AG194" s="96">
        <f t="shared" si="50"/>
        <v>0</v>
      </c>
      <c r="AH194" s="211" t="str">
        <f t="shared" si="41"/>
        <v>0,;!0,;!0,;!0</v>
      </c>
      <c r="AI194" s="211" t="e">
        <f>INDEX([1]Library!$AL:$AL,MATCH(AH194,[1]Library!$AJ:$AJ,0),1)</f>
        <v>#N/A</v>
      </c>
      <c r="AJ194" s="211" t="e">
        <f>TEXT(INDEX([1]Library!$W:$W,MATCH(AH194,[1]Library!$AJ:$AJ,0),1),"")</f>
        <v>#N/A</v>
      </c>
    </row>
    <row r="195" spans="1:36" ht="25.2" hidden="1" customHeight="1" outlineLevel="2">
      <c r="A195" s="228"/>
      <c r="B195" s="229"/>
      <c r="C195" s="230"/>
      <c r="D195" s="231" t="s">
        <v>223</v>
      </c>
      <c r="E195" s="232"/>
      <c r="F195" s="233"/>
      <c r="G195" s="379"/>
      <c r="H195" s="380">
        <v>148</v>
      </c>
      <c r="I195" s="234" t="s">
        <v>200</v>
      </c>
      <c r="J195" s="235">
        <v>1236.875</v>
      </c>
      <c r="K195" s="236">
        <v>183057.5</v>
      </c>
      <c r="L195" s="235">
        <v>133.92857142857099</v>
      </c>
      <c r="M195" s="236">
        <v>19821.428571428602</v>
      </c>
      <c r="N195" s="237">
        <v>0</v>
      </c>
      <c r="O195" s="236">
        <v>0</v>
      </c>
      <c r="P195" s="238">
        <v>202878.92857142899</v>
      </c>
      <c r="Q195" s="239">
        <f t="shared" si="37"/>
        <v>1.0913198604796899E-4</v>
      </c>
      <c r="R195" s="236">
        <f t="shared" si="38"/>
        <v>10.8831285174786</v>
      </c>
      <c r="S195" s="240">
        <f t="shared" si="39"/>
        <v>397.801820728292</v>
      </c>
      <c r="T195" s="241"/>
      <c r="U195" s="225"/>
      <c r="V195" s="226"/>
      <c r="W195" s="227"/>
      <c r="X195" s="226"/>
      <c r="Y195" s="226"/>
      <c r="Z195" s="226"/>
      <c r="AA195" s="226"/>
      <c r="AB195" s="226"/>
      <c r="AC195" s="226"/>
      <c r="AD195" s="96">
        <f t="shared" si="47"/>
        <v>0</v>
      </c>
      <c r="AE195" s="96">
        <f t="shared" si="48"/>
        <v>0</v>
      </c>
      <c r="AF195" s="96">
        <f t="shared" si="49"/>
        <v>0</v>
      </c>
      <c r="AG195" s="96">
        <f t="shared" si="50"/>
        <v>0</v>
      </c>
      <c r="AH195" s="211" t="str">
        <f t="shared" si="41"/>
        <v>0,;!0,;!0,;!0</v>
      </c>
      <c r="AI195" s="211" t="e">
        <f>INDEX([1]Library!$AL:$AL,MATCH(AH195,[1]Library!$AJ:$AJ,0),1)</f>
        <v>#N/A</v>
      </c>
      <c r="AJ195" s="211" t="e">
        <f>TEXT(INDEX([1]Library!$W:$W,MATCH(AH195,[1]Library!$AJ:$AJ,0),1),"")</f>
        <v>#N/A</v>
      </c>
    </row>
    <row r="196" spans="1:36" ht="25.2" hidden="1" customHeight="1" outlineLevel="2">
      <c r="A196" s="228"/>
      <c r="B196" s="229"/>
      <c r="C196" s="230"/>
      <c r="D196" s="231" t="s">
        <v>224</v>
      </c>
      <c r="E196" s="232"/>
      <c r="F196" s="233"/>
      <c r="G196" s="379"/>
      <c r="H196" s="380">
        <v>8</v>
      </c>
      <c r="I196" s="234" t="s">
        <v>200</v>
      </c>
      <c r="J196" s="235">
        <v>464.28571428571399</v>
      </c>
      <c r="K196" s="236">
        <v>3714.2857142857101</v>
      </c>
      <c r="L196" s="235">
        <v>133.92857142857099</v>
      </c>
      <c r="M196" s="236">
        <v>1071.42857142857</v>
      </c>
      <c r="N196" s="237">
        <v>0</v>
      </c>
      <c r="O196" s="236">
        <v>0</v>
      </c>
      <c r="P196" s="238">
        <v>4785.7142857142899</v>
      </c>
      <c r="Q196" s="239">
        <f t="shared" si="37"/>
        <v>2.5743161615438902E-6</v>
      </c>
      <c r="R196" s="236">
        <f t="shared" si="38"/>
        <v>0.25672229238446798</v>
      </c>
      <c r="S196" s="240">
        <f t="shared" si="39"/>
        <v>9.3837535014005695</v>
      </c>
      <c r="T196" s="241"/>
      <c r="U196" s="225"/>
      <c r="V196" s="226"/>
      <c r="W196" s="227"/>
      <c r="X196" s="226"/>
      <c r="Y196" s="226"/>
      <c r="Z196" s="226"/>
      <c r="AA196" s="226"/>
      <c r="AB196" s="226"/>
      <c r="AC196" s="226"/>
      <c r="AD196" s="96">
        <f t="shared" si="47"/>
        <v>0</v>
      </c>
      <c r="AE196" s="96">
        <f t="shared" si="48"/>
        <v>0</v>
      </c>
      <c r="AF196" s="96">
        <f t="shared" si="49"/>
        <v>0</v>
      </c>
      <c r="AG196" s="96">
        <f t="shared" si="50"/>
        <v>0</v>
      </c>
      <c r="AH196" s="211" t="str">
        <f t="shared" si="41"/>
        <v>0,;!0,;!0,;!0</v>
      </c>
      <c r="AI196" s="211" t="e">
        <f>INDEX([1]Library!$AL:$AL,MATCH(AH196,[1]Library!$AJ:$AJ,0),1)</f>
        <v>#N/A</v>
      </c>
      <c r="AJ196" s="211" t="e">
        <f>TEXT(INDEX([1]Library!$W:$W,MATCH(AH196,[1]Library!$AJ:$AJ,0),1),"")</f>
        <v>#N/A</v>
      </c>
    </row>
    <row r="197" spans="1:36" ht="25.2" hidden="1" customHeight="1" outlineLevel="2">
      <c r="A197" s="228"/>
      <c r="B197" s="229"/>
      <c r="C197" s="230"/>
      <c r="D197" s="231" t="s">
        <v>225</v>
      </c>
      <c r="E197" s="232"/>
      <c r="F197" s="233"/>
      <c r="G197" s="379"/>
      <c r="H197" s="380">
        <v>8</v>
      </c>
      <c r="I197" s="234" t="s">
        <v>200</v>
      </c>
      <c r="J197" s="235">
        <v>464.28571428571399</v>
      </c>
      <c r="K197" s="236">
        <v>3714.2857142857101</v>
      </c>
      <c r="L197" s="235">
        <v>133.92857142857099</v>
      </c>
      <c r="M197" s="236">
        <v>1071.42857142857</v>
      </c>
      <c r="N197" s="237">
        <v>0</v>
      </c>
      <c r="O197" s="236">
        <v>0</v>
      </c>
      <c r="P197" s="238">
        <v>4785.7142857142899</v>
      </c>
      <c r="Q197" s="239">
        <f t="shared" si="37"/>
        <v>2.5743161615438902E-6</v>
      </c>
      <c r="R197" s="236">
        <f t="shared" si="38"/>
        <v>0.25672229238446798</v>
      </c>
      <c r="S197" s="240">
        <f t="shared" si="39"/>
        <v>9.3837535014005695</v>
      </c>
      <c r="T197" s="241"/>
      <c r="U197" s="225"/>
      <c r="V197" s="226"/>
      <c r="W197" s="227"/>
      <c r="X197" s="226"/>
      <c r="Y197" s="226"/>
      <c r="Z197" s="226"/>
      <c r="AA197" s="226"/>
      <c r="AB197" s="226"/>
      <c r="AC197" s="226"/>
      <c r="AD197" s="96">
        <f t="shared" si="47"/>
        <v>0</v>
      </c>
      <c r="AE197" s="96">
        <f t="shared" si="48"/>
        <v>0</v>
      </c>
      <c r="AF197" s="96">
        <f t="shared" si="49"/>
        <v>0</v>
      </c>
      <c r="AG197" s="96">
        <f t="shared" si="50"/>
        <v>0</v>
      </c>
      <c r="AH197" s="211" t="str">
        <f t="shared" si="41"/>
        <v>0,;!0,;!0,;!0</v>
      </c>
      <c r="AI197" s="211" t="e">
        <f>INDEX([1]Library!$AL:$AL,MATCH(AH197,[1]Library!$AJ:$AJ,0),1)</f>
        <v>#N/A</v>
      </c>
      <c r="AJ197" s="211" t="e">
        <f>TEXT(INDEX([1]Library!$W:$W,MATCH(AH197,[1]Library!$AJ:$AJ,0),1),"")</f>
        <v>#N/A</v>
      </c>
    </row>
    <row r="198" spans="1:36" ht="25.2" hidden="1" customHeight="1" outlineLevel="2">
      <c r="A198" s="228"/>
      <c r="B198" s="229"/>
      <c r="C198" s="230"/>
      <c r="D198" s="231" t="s">
        <v>226</v>
      </c>
      <c r="E198" s="232"/>
      <c r="F198" s="233"/>
      <c r="G198" s="379"/>
      <c r="H198" s="380">
        <v>2040</v>
      </c>
      <c r="I198" s="234" t="s">
        <v>200</v>
      </c>
      <c r="J198" s="235">
        <v>464.28571428571399</v>
      </c>
      <c r="K198" s="236">
        <v>947142.85714285704</v>
      </c>
      <c r="L198" s="235">
        <v>133.92857142857099</v>
      </c>
      <c r="M198" s="236">
        <v>273214.28571428597</v>
      </c>
      <c r="N198" s="237">
        <v>0</v>
      </c>
      <c r="O198" s="236">
        <v>0</v>
      </c>
      <c r="P198" s="238">
        <v>1220357.1428571399</v>
      </c>
      <c r="Q198" s="239">
        <f t="shared" si="37"/>
        <v>6.5645062119369299E-4</v>
      </c>
      <c r="R198" s="236">
        <f t="shared" si="38"/>
        <v>65.464184558038994</v>
      </c>
      <c r="S198" s="240">
        <f t="shared" si="39"/>
        <v>2392.8571428571399</v>
      </c>
      <c r="T198" s="241"/>
      <c r="U198" s="225"/>
      <c r="V198" s="226"/>
      <c r="W198" s="227"/>
      <c r="X198" s="226"/>
      <c r="Y198" s="226"/>
      <c r="Z198" s="226"/>
      <c r="AA198" s="226"/>
      <c r="AB198" s="226"/>
      <c r="AC198" s="226"/>
      <c r="AD198" s="96">
        <f t="shared" si="47"/>
        <v>0</v>
      </c>
      <c r="AE198" s="96">
        <f t="shared" si="48"/>
        <v>0</v>
      </c>
      <c r="AF198" s="96">
        <f t="shared" si="49"/>
        <v>0</v>
      </c>
      <c r="AG198" s="96">
        <f t="shared" si="50"/>
        <v>0</v>
      </c>
      <c r="AH198" s="211" t="str">
        <f t="shared" si="41"/>
        <v>0,;!0,;!0,;!0</v>
      </c>
      <c r="AI198" s="211" t="e">
        <f>INDEX([1]Library!$AL:$AL,MATCH(AH198,[1]Library!$AJ:$AJ,0),1)</f>
        <v>#N/A</v>
      </c>
      <c r="AJ198" s="211" t="e">
        <f>TEXT(INDEX([1]Library!$W:$W,MATCH(AH198,[1]Library!$AJ:$AJ,0),1),"")</f>
        <v>#N/A</v>
      </c>
    </row>
    <row r="199" spans="1:36" ht="25.2" hidden="1" customHeight="1" outlineLevel="2">
      <c r="A199" s="228"/>
      <c r="B199" s="229"/>
      <c r="C199" s="230"/>
      <c r="D199" s="231" t="s">
        <v>227</v>
      </c>
      <c r="E199" s="232"/>
      <c r="F199" s="233"/>
      <c r="G199" s="379"/>
      <c r="H199" s="380">
        <v>2040</v>
      </c>
      <c r="I199" s="234" t="s">
        <v>200</v>
      </c>
      <c r="J199" s="235">
        <v>2651.7857142857101</v>
      </c>
      <c r="K199" s="236">
        <v>5409642.8571428601</v>
      </c>
      <c r="L199" s="235">
        <v>178.57142857142901</v>
      </c>
      <c r="M199" s="236">
        <v>364285.71428571403</v>
      </c>
      <c r="N199" s="237">
        <v>0</v>
      </c>
      <c r="O199" s="236">
        <v>0</v>
      </c>
      <c r="P199" s="238">
        <v>5773928.57142857</v>
      </c>
      <c r="Q199" s="239">
        <f t="shared" si="37"/>
        <v>3.1058932375880701E-3</v>
      </c>
      <c r="R199" s="236">
        <f t="shared" si="38"/>
        <v>309.73352992385702</v>
      </c>
      <c r="S199" s="240">
        <f t="shared" si="39"/>
        <v>11321.4285714286</v>
      </c>
      <c r="T199" s="241"/>
      <c r="U199" s="225"/>
      <c r="V199" s="226"/>
      <c r="W199" s="227"/>
      <c r="X199" s="226"/>
      <c r="Y199" s="226"/>
      <c r="Z199" s="226"/>
      <c r="AA199" s="226"/>
      <c r="AB199" s="226"/>
      <c r="AC199" s="226"/>
      <c r="AD199" s="96">
        <f t="shared" si="47"/>
        <v>0</v>
      </c>
      <c r="AE199" s="96">
        <f t="shared" si="48"/>
        <v>0</v>
      </c>
      <c r="AF199" s="96">
        <f t="shared" si="49"/>
        <v>0</v>
      </c>
      <c r="AG199" s="96">
        <f t="shared" si="50"/>
        <v>0</v>
      </c>
      <c r="AH199" s="211" t="str">
        <f t="shared" si="41"/>
        <v>0,;!0,;!0,;!0</v>
      </c>
      <c r="AI199" s="211" t="e">
        <f>INDEX([1]Library!$AL:$AL,MATCH(AH199,[1]Library!$AJ:$AJ,0),1)</f>
        <v>#N/A</v>
      </c>
      <c r="AJ199" s="211" t="e">
        <f>TEXT(INDEX([1]Library!$W:$W,MATCH(AH199,[1]Library!$AJ:$AJ,0),1),"")</f>
        <v>#N/A</v>
      </c>
    </row>
    <row r="200" spans="1:36" ht="25.2" hidden="1" customHeight="1" outlineLevel="2">
      <c r="A200" s="228"/>
      <c r="B200" s="229"/>
      <c r="C200" s="230"/>
      <c r="D200" s="231" t="s">
        <v>228</v>
      </c>
      <c r="E200" s="232"/>
      <c r="F200" s="233"/>
      <c r="G200" s="379"/>
      <c r="H200" s="380">
        <v>2040</v>
      </c>
      <c r="I200" s="234" t="s">
        <v>200</v>
      </c>
      <c r="J200" s="235">
        <v>1160.7142857142901</v>
      </c>
      <c r="K200" s="236">
        <v>2367857.1428571399</v>
      </c>
      <c r="L200" s="235">
        <v>133.92857142857099</v>
      </c>
      <c r="M200" s="236">
        <v>273214.28571428597</v>
      </c>
      <c r="N200" s="237">
        <v>0</v>
      </c>
      <c r="O200" s="236">
        <v>0</v>
      </c>
      <c r="P200" s="238">
        <v>2641071.42857143</v>
      </c>
      <c r="Q200" s="239">
        <f t="shared" si="37"/>
        <v>1.42067671750874E-3</v>
      </c>
      <c r="R200" s="236">
        <f t="shared" si="38"/>
        <v>141.676220312174</v>
      </c>
      <c r="S200" s="240">
        <f t="shared" si="39"/>
        <v>5178.5714285714303</v>
      </c>
      <c r="T200" s="241"/>
      <c r="U200" s="225"/>
      <c r="V200" s="226"/>
      <c r="W200" s="227"/>
      <c r="X200" s="226"/>
      <c r="Y200" s="226"/>
      <c r="Z200" s="226"/>
      <c r="AA200" s="226"/>
      <c r="AB200" s="226"/>
      <c r="AC200" s="226"/>
      <c r="AD200" s="96">
        <f t="shared" si="47"/>
        <v>0</v>
      </c>
      <c r="AE200" s="96">
        <f t="shared" si="48"/>
        <v>0</v>
      </c>
      <c r="AF200" s="96">
        <f t="shared" si="49"/>
        <v>0</v>
      </c>
      <c r="AG200" s="96">
        <f t="shared" si="50"/>
        <v>0</v>
      </c>
      <c r="AH200" s="211" t="str">
        <f t="shared" si="41"/>
        <v>0,;!0,;!0,;!0</v>
      </c>
      <c r="AI200" s="211" t="e">
        <f>INDEX([1]Library!$AL:$AL,MATCH(AH200,[1]Library!$AJ:$AJ,0),1)</f>
        <v>#N/A</v>
      </c>
      <c r="AJ200" s="211" t="e">
        <f>TEXT(INDEX([1]Library!$W:$W,MATCH(AH200,[1]Library!$AJ:$AJ,0),1),"")</f>
        <v>#N/A</v>
      </c>
    </row>
    <row r="201" spans="1:36" ht="25.2" hidden="1" customHeight="1" outlineLevel="2">
      <c r="A201" s="228"/>
      <c r="B201" s="229"/>
      <c r="C201" s="230"/>
      <c r="D201" s="231" t="s">
        <v>229</v>
      </c>
      <c r="E201" s="232"/>
      <c r="F201" s="233"/>
      <c r="G201" s="379"/>
      <c r="H201" s="380">
        <v>780</v>
      </c>
      <c r="I201" s="234" t="s">
        <v>200</v>
      </c>
      <c r="J201" s="235">
        <v>267.857142857143</v>
      </c>
      <c r="K201" s="236">
        <v>208928.57142857101</v>
      </c>
      <c r="L201" s="235">
        <v>133.92857142857099</v>
      </c>
      <c r="M201" s="236">
        <v>104464.285714286</v>
      </c>
      <c r="N201" s="237">
        <v>0</v>
      </c>
      <c r="O201" s="236">
        <v>0</v>
      </c>
      <c r="P201" s="238">
        <v>313392.85714285698</v>
      </c>
      <c r="Q201" s="239">
        <f t="shared" si="37"/>
        <v>1.68579285951848E-4</v>
      </c>
      <c r="R201" s="236">
        <f t="shared" si="38"/>
        <v>16.811478475176902</v>
      </c>
      <c r="S201" s="240">
        <f t="shared" si="39"/>
        <v>614.49579831932704</v>
      </c>
      <c r="T201" s="241"/>
      <c r="U201" s="225"/>
      <c r="V201" s="226"/>
      <c r="W201" s="227"/>
      <c r="X201" s="226"/>
      <c r="Y201" s="226"/>
      <c r="Z201" s="226"/>
      <c r="AA201" s="226"/>
      <c r="AB201" s="226"/>
      <c r="AC201" s="226"/>
      <c r="AD201" s="96">
        <f t="shared" si="47"/>
        <v>0</v>
      </c>
      <c r="AE201" s="96">
        <f t="shared" si="48"/>
        <v>0</v>
      </c>
      <c r="AF201" s="96">
        <f t="shared" si="49"/>
        <v>0</v>
      </c>
      <c r="AG201" s="96">
        <f t="shared" si="50"/>
        <v>0</v>
      </c>
      <c r="AH201" s="211" t="str">
        <f t="shared" si="41"/>
        <v>0,;!0,;!0,;!0</v>
      </c>
      <c r="AI201" s="211" t="e">
        <f>INDEX([1]Library!$AL:$AL,MATCH(AH201,[1]Library!$AJ:$AJ,0),1)</f>
        <v>#N/A</v>
      </c>
      <c r="AJ201" s="211" t="e">
        <f>TEXT(INDEX([1]Library!$W:$W,MATCH(AH201,[1]Library!$AJ:$AJ,0),1),"")</f>
        <v>#N/A</v>
      </c>
    </row>
    <row r="202" spans="1:36" ht="25.2" hidden="1" customHeight="1" outlineLevel="2">
      <c r="A202" s="228"/>
      <c r="B202" s="229"/>
      <c r="C202" s="230"/>
      <c r="D202" s="231" t="s">
        <v>230</v>
      </c>
      <c r="E202" s="232"/>
      <c r="F202" s="233"/>
      <c r="G202" s="379"/>
      <c r="H202" s="380">
        <v>240</v>
      </c>
      <c r="I202" s="234" t="s">
        <v>200</v>
      </c>
      <c r="J202" s="235">
        <v>196.42857142857099</v>
      </c>
      <c r="K202" s="236">
        <v>47142.857142857101</v>
      </c>
      <c r="L202" s="235">
        <v>133.92857142857099</v>
      </c>
      <c r="M202" s="236">
        <v>32142.857142857101</v>
      </c>
      <c r="N202" s="237">
        <v>0</v>
      </c>
      <c r="O202" s="236">
        <v>0</v>
      </c>
      <c r="P202" s="238">
        <v>79285.714285714304</v>
      </c>
      <c r="Q202" s="239">
        <f t="shared" si="37"/>
        <v>4.2649118497219698E-5</v>
      </c>
      <c r="R202" s="236">
        <f t="shared" si="38"/>
        <v>4.2531603663695297</v>
      </c>
      <c r="S202" s="240">
        <f t="shared" si="39"/>
        <v>155.46218487395001</v>
      </c>
      <c r="T202" s="241"/>
      <c r="U202" s="225"/>
      <c r="V202" s="226"/>
      <c r="W202" s="227"/>
      <c r="X202" s="226"/>
      <c r="Y202" s="226"/>
      <c r="Z202" s="226"/>
      <c r="AA202" s="226"/>
      <c r="AB202" s="226"/>
      <c r="AC202" s="226"/>
      <c r="AD202" s="96">
        <f t="shared" si="47"/>
        <v>0</v>
      </c>
      <c r="AE202" s="96">
        <f t="shared" si="48"/>
        <v>0</v>
      </c>
      <c r="AF202" s="96">
        <f t="shared" si="49"/>
        <v>0</v>
      </c>
      <c r="AG202" s="96">
        <f t="shared" si="50"/>
        <v>0</v>
      </c>
      <c r="AH202" s="211" t="str">
        <f t="shared" si="41"/>
        <v>0,;!0,;!0,;!0</v>
      </c>
      <c r="AI202" s="211" t="e">
        <f>INDEX([1]Library!$AL:$AL,MATCH(AH202,[1]Library!$AJ:$AJ,0),1)</f>
        <v>#N/A</v>
      </c>
      <c r="AJ202" s="211" t="e">
        <f>TEXT(INDEX([1]Library!$W:$W,MATCH(AH202,[1]Library!$AJ:$AJ,0),1),"")</f>
        <v>#N/A</v>
      </c>
    </row>
    <row r="203" spans="1:36" ht="25.2" hidden="1" customHeight="1" outlineLevel="2">
      <c r="A203" s="228"/>
      <c r="B203" s="229"/>
      <c r="C203" s="230"/>
      <c r="D203" s="231" t="s">
        <v>231</v>
      </c>
      <c r="E203" s="232"/>
      <c r="F203" s="233"/>
      <c r="G203" s="379"/>
      <c r="H203" s="380">
        <v>1020</v>
      </c>
      <c r="I203" s="234" t="s">
        <v>200</v>
      </c>
      <c r="J203" s="235">
        <v>580.357142857143</v>
      </c>
      <c r="K203" s="236">
        <v>591964.28571428603</v>
      </c>
      <c r="L203" s="235">
        <v>133.92857142857099</v>
      </c>
      <c r="M203" s="236">
        <v>136607.14285714299</v>
      </c>
      <c r="N203" s="237">
        <v>0</v>
      </c>
      <c r="O203" s="236">
        <v>0</v>
      </c>
      <c r="P203" s="238">
        <v>728571.42857142899</v>
      </c>
      <c r="Q203" s="239">
        <f t="shared" si="37"/>
        <v>3.9191081862310001E-4</v>
      </c>
      <c r="R203" s="236">
        <f t="shared" si="38"/>
        <v>39.083095258530903</v>
      </c>
      <c r="S203" s="240">
        <f t="shared" si="39"/>
        <v>1428.57142857143</v>
      </c>
      <c r="T203" s="241"/>
      <c r="U203" s="225"/>
      <c r="V203" s="226"/>
      <c r="W203" s="227"/>
      <c r="X203" s="226"/>
      <c r="Y203" s="226"/>
      <c r="Z203" s="226"/>
      <c r="AA203" s="226"/>
      <c r="AB203" s="226"/>
      <c r="AC203" s="226"/>
      <c r="AD203" s="96">
        <f t="shared" si="47"/>
        <v>0</v>
      </c>
      <c r="AE203" s="96">
        <f t="shared" si="48"/>
        <v>0</v>
      </c>
      <c r="AF203" s="96">
        <f t="shared" si="49"/>
        <v>0</v>
      </c>
      <c r="AG203" s="96">
        <f t="shared" si="50"/>
        <v>0</v>
      </c>
      <c r="AH203" s="211" t="str">
        <f t="shared" si="41"/>
        <v>0,;!0,;!0,;!0</v>
      </c>
      <c r="AI203" s="211" t="e">
        <f>INDEX([1]Library!$AL:$AL,MATCH(AH203,[1]Library!$AJ:$AJ,0),1)</f>
        <v>#N/A</v>
      </c>
      <c r="AJ203" s="211" t="e">
        <f>TEXT(INDEX([1]Library!$W:$W,MATCH(AH203,[1]Library!$AJ:$AJ,0),1),"")</f>
        <v>#N/A</v>
      </c>
    </row>
    <row r="204" spans="1:36" ht="25.2" hidden="1" customHeight="1" outlineLevel="1" collapsed="1">
      <c r="A204" s="213"/>
      <c r="B204" s="214"/>
      <c r="C204" s="215" t="s">
        <v>232</v>
      </c>
      <c r="D204" s="215"/>
      <c r="E204" s="216"/>
      <c r="F204" s="217"/>
      <c r="G204" s="379"/>
      <c r="H204" s="219">
        <v>1</v>
      </c>
      <c r="I204" s="218" t="s">
        <v>32</v>
      </c>
      <c r="J204" s="219">
        <v>0</v>
      </c>
      <c r="K204" s="219">
        <v>0</v>
      </c>
      <c r="L204" s="219">
        <v>0</v>
      </c>
      <c r="M204" s="219">
        <v>0</v>
      </c>
      <c r="N204" s="219">
        <v>51560223.645714298</v>
      </c>
      <c r="O204" s="219">
        <v>51560223.645714298</v>
      </c>
      <c r="P204" s="220">
        <v>51560223.645714298</v>
      </c>
      <c r="Q204" s="221">
        <f t="shared" si="37"/>
        <v>2.7735111019936101E-2</v>
      </c>
      <c r="R204" s="222">
        <f t="shared" si="38"/>
        <v>2765.8690051129902</v>
      </c>
      <c r="S204" s="223">
        <f t="shared" si="39"/>
        <v>101098.477736695</v>
      </c>
      <c r="T204" s="224"/>
      <c r="U204" s="225"/>
      <c r="V204" s="226"/>
      <c r="W204" s="227"/>
      <c r="X204" s="226"/>
      <c r="Y204" s="226"/>
      <c r="Z204" s="226"/>
      <c r="AA204" s="226"/>
      <c r="AB204" s="226"/>
      <c r="AC204" s="226"/>
      <c r="AD204" s="96">
        <f t="shared" si="47"/>
        <v>0</v>
      </c>
      <c r="AE204" s="96">
        <f t="shared" si="48"/>
        <v>0</v>
      </c>
      <c r="AF204" s="96">
        <f t="shared" si="49"/>
        <v>0</v>
      </c>
      <c r="AG204" s="96">
        <f t="shared" si="50"/>
        <v>0</v>
      </c>
      <c r="AH204" s="211" t="str">
        <f t="shared" si="41"/>
        <v>0,;!0,;!0,;!0</v>
      </c>
      <c r="AI204" s="211" t="e">
        <f>INDEX([1]Library!$AL:$AL,MATCH(AH204,[1]Library!$AJ:$AJ,0),1)</f>
        <v>#N/A</v>
      </c>
      <c r="AJ204" s="211" t="e">
        <f>TEXT(INDEX([1]Library!$W:$W,MATCH(AH204,[1]Library!$AJ:$AJ,0),1),"")</f>
        <v>#N/A</v>
      </c>
    </row>
    <row r="205" spans="1:36" ht="34.049999999999997" hidden="1" customHeight="1" outlineLevel="2">
      <c r="A205" s="228"/>
      <c r="B205" s="229"/>
      <c r="C205" s="230"/>
      <c r="D205" s="397" t="s">
        <v>233</v>
      </c>
      <c r="E205" s="397"/>
      <c r="F205" s="398"/>
      <c r="G205" s="379"/>
      <c r="H205" s="380">
        <v>1037.28</v>
      </c>
      <c r="I205" s="234" t="s">
        <v>176</v>
      </c>
      <c r="J205" s="235">
        <v>0</v>
      </c>
      <c r="K205" s="236">
        <v>0</v>
      </c>
      <c r="L205" s="235">
        <v>0</v>
      </c>
      <c r="M205" s="236">
        <v>0</v>
      </c>
      <c r="N205" s="237">
        <v>3223.8392857142899</v>
      </c>
      <c r="O205" s="236">
        <v>3344024.0142857102</v>
      </c>
      <c r="P205" s="238">
        <v>3344024.0142857102</v>
      </c>
      <c r="Q205" s="239">
        <f t="shared" ref="Q205:Q268" si="51">P205/P$13</f>
        <v>1.79880672990944E-3</v>
      </c>
      <c r="R205" s="236">
        <f t="shared" ref="R205:R268" si="52">P205/I$5</f>
        <v>179.385032094118</v>
      </c>
      <c r="S205" s="240">
        <f t="shared" ref="S205:S268" si="53">P205/I$7</f>
        <v>6556.9098319327604</v>
      </c>
      <c r="T205" s="241"/>
      <c r="U205" s="225"/>
      <c r="V205" s="226"/>
      <c r="W205" s="227"/>
      <c r="X205" s="226"/>
      <c r="Y205" s="226"/>
      <c r="Z205" s="226"/>
      <c r="AA205" s="226"/>
      <c r="AB205" s="226"/>
      <c r="AC205" s="226"/>
      <c r="AD205" s="96">
        <f t="shared" si="47"/>
        <v>0</v>
      </c>
      <c r="AE205" s="96">
        <f t="shared" si="48"/>
        <v>0</v>
      </c>
      <c r="AF205" s="96">
        <f t="shared" si="49"/>
        <v>0</v>
      </c>
      <c r="AG205" s="96">
        <f t="shared" si="50"/>
        <v>0</v>
      </c>
      <c r="AH205" s="211" t="str">
        <f t="shared" si="41"/>
        <v>0,;!0,;!0,;!0</v>
      </c>
      <c r="AI205" s="211" t="e">
        <f>INDEX([1]Library!$AL:$AL,MATCH(AH205,[1]Library!$AJ:$AJ,0),1)</f>
        <v>#N/A</v>
      </c>
      <c r="AJ205" s="211" t="e">
        <f>TEXT(INDEX([1]Library!$W:$W,MATCH(AH205,[1]Library!$AJ:$AJ,0),1),"")</f>
        <v>#N/A</v>
      </c>
    </row>
    <row r="206" spans="1:36" ht="34.049999999999997" hidden="1" customHeight="1" outlineLevel="2">
      <c r="A206" s="228"/>
      <c r="B206" s="229"/>
      <c r="C206" s="230"/>
      <c r="D206" s="397" t="s">
        <v>234</v>
      </c>
      <c r="E206" s="397"/>
      <c r="F206" s="398"/>
      <c r="G206" s="379"/>
      <c r="H206" s="380">
        <v>1037.28</v>
      </c>
      <c r="I206" s="234" t="s">
        <v>176</v>
      </c>
      <c r="J206" s="235">
        <v>0</v>
      </c>
      <c r="K206" s="236">
        <v>0</v>
      </c>
      <c r="L206" s="235">
        <v>0</v>
      </c>
      <c r="M206" s="236">
        <v>0</v>
      </c>
      <c r="N206" s="237">
        <v>3223.8392857142899</v>
      </c>
      <c r="O206" s="236">
        <v>3344024.0142857102</v>
      </c>
      <c r="P206" s="238">
        <v>3344024.0142857102</v>
      </c>
      <c r="Q206" s="239">
        <f t="shared" si="51"/>
        <v>1.79880672990944E-3</v>
      </c>
      <c r="R206" s="236">
        <f t="shared" si="52"/>
        <v>179.385032094118</v>
      </c>
      <c r="S206" s="240">
        <f t="shared" si="53"/>
        <v>6556.9098319327604</v>
      </c>
      <c r="T206" s="241"/>
      <c r="U206" s="225"/>
      <c r="V206" s="226"/>
      <c r="W206" s="227"/>
      <c r="X206" s="226"/>
      <c r="Y206" s="226"/>
      <c r="Z206" s="226"/>
      <c r="AA206" s="226"/>
      <c r="AB206" s="226"/>
      <c r="AC206" s="226"/>
      <c r="AD206" s="96">
        <f t="shared" si="47"/>
        <v>0</v>
      </c>
      <c r="AE206" s="96">
        <f t="shared" si="48"/>
        <v>0</v>
      </c>
      <c r="AF206" s="96">
        <f t="shared" si="49"/>
        <v>0</v>
      </c>
      <c r="AG206" s="96">
        <f t="shared" si="50"/>
        <v>0</v>
      </c>
      <c r="AH206" s="211" t="str">
        <f t="shared" ref="AH206:AH269" si="54">AD206&amp;",;!"&amp;AE206&amp;",;!"&amp;AF206&amp;",;!"&amp;AG206</f>
        <v>0,;!0,;!0,;!0</v>
      </c>
      <c r="AI206" s="211" t="e">
        <f>INDEX([1]Library!$AL:$AL,MATCH(AH206,[1]Library!$AJ:$AJ,0),1)</f>
        <v>#N/A</v>
      </c>
      <c r="AJ206" s="211" t="e">
        <f>TEXT(INDEX([1]Library!$W:$W,MATCH(AH206,[1]Library!$AJ:$AJ,0),1),"")</f>
        <v>#N/A</v>
      </c>
    </row>
    <row r="207" spans="1:36" ht="25.2" hidden="1" customHeight="1" outlineLevel="2">
      <c r="A207" s="228"/>
      <c r="B207" s="229"/>
      <c r="C207" s="230"/>
      <c r="D207" s="231" t="s">
        <v>235</v>
      </c>
      <c r="E207" s="232"/>
      <c r="F207" s="233"/>
      <c r="G207" s="379"/>
      <c r="H207" s="380">
        <v>2040</v>
      </c>
      <c r="I207" s="234" t="s">
        <v>200</v>
      </c>
      <c r="J207" s="235">
        <v>0</v>
      </c>
      <c r="K207" s="236">
        <v>0</v>
      </c>
      <c r="L207" s="235">
        <v>0</v>
      </c>
      <c r="M207" s="236">
        <v>0</v>
      </c>
      <c r="N207" s="237">
        <v>15380.357142857099</v>
      </c>
      <c r="O207" s="236">
        <v>31375928.571428601</v>
      </c>
      <c r="P207" s="238">
        <v>31375928.571428601</v>
      </c>
      <c r="Q207" s="239">
        <f t="shared" si="51"/>
        <v>1.6877639404003799E-2</v>
      </c>
      <c r="R207" s="236">
        <f t="shared" si="52"/>
        <v>1683.11349730863</v>
      </c>
      <c r="S207" s="240">
        <f t="shared" si="53"/>
        <v>61521.428571428602</v>
      </c>
      <c r="T207" s="241"/>
      <c r="U207" s="225"/>
      <c r="V207" s="226"/>
      <c r="W207" s="227"/>
      <c r="X207" s="226"/>
      <c r="Y207" s="226"/>
      <c r="Z207" s="226"/>
      <c r="AA207" s="226"/>
      <c r="AB207" s="226"/>
      <c r="AC207" s="226"/>
      <c r="AD207" s="96">
        <f>IF(X207&lt;&gt;0,IF($X207&gt;=AD$12,#REF!,""),Z207)</f>
        <v>0</v>
      </c>
      <c r="AE207" s="96">
        <f>IF(AA207=" ",IF($X207&gt;=AE$12,#REF!,""),AA207)</f>
        <v>0</v>
      </c>
      <c r="AF207" s="96">
        <f>IF(AB207=" ",IF($X207&gt;=AF$12,#REF!,""),AB207)</f>
        <v>0</v>
      </c>
      <c r="AG207" s="96">
        <f>IF(AC207=" ",IF($X207&gt;=AG$12,#REF!,""),AC207)</f>
        <v>0</v>
      </c>
      <c r="AH207" s="211" t="str">
        <f t="shared" si="54"/>
        <v>0,;!0,;!0,;!0</v>
      </c>
      <c r="AI207" s="211" t="e">
        <f>INDEX([1]Library!$AL:$AL,MATCH(AH207,[1]Library!$AJ:$AJ,0),1)</f>
        <v>#N/A</v>
      </c>
      <c r="AJ207" s="211" t="e">
        <f>TEXT(INDEX([1]Library!$W:$W,MATCH(AH207,[1]Library!$AJ:$AJ,0),1),"")</f>
        <v>#N/A</v>
      </c>
    </row>
    <row r="208" spans="1:36" ht="25.2" hidden="1" customHeight="1" outlineLevel="2">
      <c r="A208" s="228"/>
      <c r="B208" s="229"/>
      <c r="C208" s="230"/>
      <c r="D208" s="231" t="s">
        <v>236</v>
      </c>
      <c r="E208" s="232"/>
      <c r="F208" s="233"/>
      <c r="G208" s="379"/>
      <c r="H208" s="380">
        <v>2040</v>
      </c>
      <c r="I208" s="234" t="s">
        <v>200</v>
      </c>
      <c r="J208" s="235">
        <v>0</v>
      </c>
      <c r="K208" s="236">
        <v>0</v>
      </c>
      <c r="L208" s="235">
        <v>0</v>
      </c>
      <c r="M208" s="236">
        <v>0</v>
      </c>
      <c r="N208" s="237">
        <v>5469.8214285714303</v>
      </c>
      <c r="O208" s="236">
        <v>11158435.7142857</v>
      </c>
      <c r="P208" s="238">
        <v>11158435.7142857</v>
      </c>
      <c r="Q208" s="239">
        <f t="shared" si="51"/>
        <v>6.0023101426220898E-3</v>
      </c>
      <c r="R208" s="236">
        <f t="shared" si="52"/>
        <v>598.57714543202803</v>
      </c>
      <c r="S208" s="240">
        <f t="shared" si="53"/>
        <v>21879.285714285699</v>
      </c>
      <c r="T208" s="241"/>
      <c r="U208" s="225"/>
      <c r="V208" s="226"/>
      <c r="W208" s="227"/>
      <c r="X208" s="226"/>
      <c r="Y208" s="226"/>
      <c r="Z208" s="226"/>
      <c r="AA208" s="226"/>
      <c r="AB208" s="226"/>
      <c r="AC208" s="226"/>
      <c r="AD208" s="96">
        <f t="shared" ref="AD208:AD240" si="55">IF(X208&lt;&gt;0,IF($X208&gt;=AD$12,AD207,""),Z208)</f>
        <v>0</v>
      </c>
      <c r="AE208" s="96">
        <f t="shared" ref="AE208:AE240" si="56">IF(AA208=" ",IF($X208&gt;=AE$12,AE207,""),AA208)</f>
        <v>0</v>
      </c>
      <c r="AF208" s="96">
        <f t="shared" ref="AF208:AF240" si="57">IF(AB208=" ",IF($X208&gt;=AF$12,AF207,""),AB208)</f>
        <v>0</v>
      </c>
      <c r="AG208" s="96">
        <f t="shared" ref="AG208:AG240" si="58">IF(AC208=" ",IF($X208&gt;=AG$12,AG207,""),AC208)</f>
        <v>0</v>
      </c>
      <c r="AH208" s="211" t="str">
        <f t="shared" si="54"/>
        <v>0,;!0,;!0,;!0</v>
      </c>
      <c r="AI208" s="211" t="e">
        <f>INDEX([1]Library!$AL:$AL,MATCH(AH208,[1]Library!$AJ:$AJ,0),1)</f>
        <v>#N/A</v>
      </c>
      <c r="AJ208" s="211" t="e">
        <f>TEXT(INDEX([1]Library!$W:$W,MATCH(AH208,[1]Library!$AJ:$AJ,0),1),"")</f>
        <v>#N/A</v>
      </c>
    </row>
    <row r="209" spans="1:36" ht="25.2" hidden="1" customHeight="1" outlineLevel="2">
      <c r="A209" s="228"/>
      <c r="B209" s="229"/>
      <c r="C209" s="230"/>
      <c r="D209" s="231" t="s">
        <v>237</v>
      </c>
      <c r="E209" s="232"/>
      <c r="F209" s="233"/>
      <c r="G209" s="379"/>
      <c r="H209" s="380">
        <v>44</v>
      </c>
      <c r="I209" s="234" t="s">
        <v>134</v>
      </c>
      <c r="J209" s="235">
        <v>0</v>
      </c>
      <c r="K209" s="236">
        <v>0</v>
      </c>
      <c r="L209" s="235">
        <v>0</v>
      </c>
      <c r="M209" s="236">
        <v>0</v>
      </c>
      <c r="N209" s="237">
        <v>1792.79</v>
      </c>
      <c r="O209" s="236">
        <v>78882.759999999995</v>
      </c>
      <c r="P209" s="238">
        <v>78882.759999999995</v>
      </c>
      <c r="Q209" s="239">
        <f t="shared" si="51"/>
        <v>4.2432362613322903E-5</v>
      </c>
      <c r="R209" s="236">
        <f t="shared" si="52"/>
        <v>4.2315445026178002</v>
      </c>
      <c r="S209" s="240">
        <f t="shared" si="53"/>
        <v>154.672078431373</v>
      </c>
      <c r="T209" s="241"/>
      <c r="U209" s="225"/>
      <c r="V209" s="226"/>
      <c r="W209" s="227"/>
      <c r="X209" s="226"/>
      <c r="Y209" s="226"/>
      <c r="Z209" s="226"/>
      <c r="AA209" s="226"/>
      <c r="AB209" s="226"/>
      <c r="AC209" s="226"/>
      <c r="AD209" s="96">
        <f t="shared" si="55"/>
        <v>0</v>
      </c>
      <c r="AE209" s="96">
        <f t="shared" si="56"/>
        <v>0</v>
      </c>
      <c r="AF209" s="96">
        <f t="shared" si="57"/>
        <v>0</v>
      </c>
      <c r="AG209" s="96">
        <f t="shared" si="58"/>
        <v>0</v>
      </c>
      <c r="AH209" s="211" t="str">
        <f t="shared" si="54"/>
        <v>0,;!0,;!0,;!0</v>
      </c>
      <c r="AI209" s="211" t="e">
        <f>INDEX([1]Library!$AL:$AL,MATCH(AH209,[1]Library!$AJ:$AJ,0),1)</f>
        <v>#N/A</v>
      </c>
      <c r="AJ209" s="211" t="e">
        <f>TEXT(INDEX([1]Library!$W:$W,MATCH(AH209,[1]Library!$AJ:$AJ,0),1),"")</f>
        <v>#N/A</v>
      </c>
    </row>
    <row r="210" spans="1:36" ht="25.2" hidden="1" customHeight="1" outlineLevel="2">
      <c r="A210" s="228"/>
      <c r="B210" s="229"/>
      <c r="C210" s="230"/>
      <c r="D210" s="231" t="s">
        <v>238</v>
      </c>
      <c r="E210" s="232"/>
      <c r="F210" s="233"/>
      <c r="G210" s="379"/>
      <c r="H210" s="380">
        <v>40</v>
      </c>
      <c r="I210" s="234" t="s">
        <v>134</v>
      </c>
      <c r="J210" s="235">
        <v>0</v>
      </c>
      <c r="K210" s="236">
        <v>0</v>
      </c>
      <c r="L210" s="235">
        <v>0</v>
      </c>
      <c r="M210" s="236">
        <v>0</v>
      </c>
      <c r="N210" s="237">
        <v>1562.5</v>
      </c>
      <c r="O210" s="236">
        <v>62500</v>
      </c>
      <c r="P210" s="238">
        <v>62500</v>
      </c>
      <c r="Q210" s="239">
        <f t="shared" si="51"/>
        <v>3.3619800617177702E-5</v>
      </c>
      <c r="R210" s="236">
        <f t="shared" si="52"/>
        <v>3.3527165050210299</v>
      </c>
      <c r="S210" s="240">
        <f t="shared" si="53"/>
        <v>122.54901960784299</v>
      </c>
      <c r="T210" s="241"/>
      <c r="U210" s="225"/>
      <c r="V210" s="226"/>
      <c r="W210" s="227"/>
      <c r="X210" s="226"/>
      <c r="Y210" s="226"/>
      <c r="Z210" s="226"/>
      <c r="AA210" s="226"/>
      <c r="AB210" s="226"/>
      <c r="AC210" s="226"/>
      <c r="AD210" s="96">
        <f t="shared" si="55"/>
        <v>0</v>
      </c>
      <c r="AE210" s="96">
        <f t="shared" si="56"/>
        <v>0</v>
      </c>
      <c r="AF210" s="96">
        <f t="shared" si="57"/>
        <v>0</v>
      </c>
      <c r="AG210" s="96">
        <f t="shared" si="58"/>
        <v>0</v>
      </c>
      <c r="AH210" s="211" t="str">
        <f t="shared" si="54"/>
        <v>0,;!0,;!0,;!0</v>
      </c>
      <c r="AI210" s="211" t="e">
        <f>INDEX([1]Library!$AL:$AL,MATCH(AH210,[1]Library!$AJ:$AJ,0),1)</f>
        <v>#N/A</v>
      </c>
      <c r="AJ210" s="211" t="e">
        <f>TEXT(INDEX([1]Library!$W:$W,MATCH(AH210,[1]Library!$AJ:$AJ,0),1),"")</f>
        <v>#N/A</v>
      </c>
    </row>
    <row r="211" spans="1:36" ht="25.2" hidden="1" customHeight="1" outlineLevel="2">
      <c r="A211" s="228"/>
      <c r="B211" s="229"/>
      <c r="C211" s="230"/>
      <c r="D211" s="231" t="s">
        <v>239</v>
      </c>
      <c r="E211" s="232"/>
      <c r="F211" s="233"/>
      <c r="G211" s="379"/>
      <c r="H211" s="380">
        <v>4</v>
      </c>
      <c r="I211" s="234" t="s">
        <v>134</v>
      </c>
      <c r="J211" s="235">
        <v>0</v>
      </c>
      <c r="K211" s="236">
        <v>0</v>
      </c>
      <c r="L211" s="235">
        <v>0</v>
      </c>
      <c r="M211" s="236">
        <v>0</v>
      </c>
      <c r="N211" s="237">
        <v>13392.857142857099</v>
      </c>
      <c r="O211" s="236">
        <v>53571.428571428602</v>
      </c>
      <c r="P211" s="238">
        <v>53571.428571428602</v>
      </c>
      <c r="Q211" s="239">
        <f t="shared" si="51"/>
        <v>2.88169719575809E-5</v>
      </c>
      <c r="R211" s="236">
        <f t="shared" si="52"/>
        <v>2.8737570043037399</v>
      </c>
      <c r="S211" s="240">
        <f t="shared" si="53"/>
        <v>105.042016806723</v>
      </c>
      <c r="T211" s="241"/>
      <c r="U211" s="225"/>
      <c r="V211" s="226"/>
      <c r="W211" s="227"/>
      <c r="X211" s="226"/>
      <c r="Y211" s="226"/>
      <c r="Z211" s="226"/>
      <c r="AA211" s="226"/>
      <c r="AB211" s="226"/>
      <c r="AC211" s="226"/>
      <c r="AD211" s="96">
        <f t="shared" si="55"/>
        <v>0</v>
      </c>
      <c r="AE211" s="96">
        <f t="shared" si="56"/>
        <v>0</v>
      </c>
      <c r="AF211" s="96">
        <f t="shared" si="57"/>
        <v>0</v>
      </c>
      <c r="AG211" s="96">
        <f t="shared" si="58"/>
        <v>0</v>
      </c>
      <c r="AH211" s="211" t="str">
        <f t="shared" si="54"/>
        <v>0,;!0,;!0,;!0</v>
      </c>
      <c r="AI211" s="211" t="e">
        <f>INDEX([1]Library!$AL:$AL,MATCH(AH211,[1]Library!$AJ:$AJ,0),1)</f>
        <v>#N/A</v>
      </c>
      <c r="AJ211" s="211" t="e">
        <f>TEXT(INDEX([1]Library!$W:$W,MATCH(AH211,[1]Library!$AJ:$AJ,0),1),"")</f>
        <v>#N/A</v>
      </c>
    </row>
    <row r="212" spans="1:36" ht="25.2" hidden="1" customHeight="1" outlineLevel="2">
      <c r="A212" s="228"/>
      <c r="B212" s="229"/>
      <c r="C212" s="230"/>
      <c r="D212" s="231" t="s">
        <v>240</v>
      </c>
      <c r="E212" s="232"/>
      <c r="F212" s="233"/>
      <c r="G212" s="379"/>
      <c r="H212" s="380">
        <v>12</v>
      </c>
      <c r="I212" s="234" t="s">
        <v>134</v>
      </c>
      <c r="J212" s="235">
        <v>0</v>
      </c>
      <c r="K212" s="236">
        <v>0</v>
      </c>
      <c r="L212" s="235">
        <v>0</v>
      </c>
      <c r="M212" s="236">
        <v>0</v>
      </c>
      <c r="N212" s="237">
        <v>44642.857142857101</v>
      </c>
      <c r="O212" s="236">
        <v>535714.28571428603</v>
      </c>
      <c r="P212" s="238">
        <v>535714.28571428603</v>
      </c>
      <c r="Q212" s="239">
        <f t="shared" si="51"/>
        <v>2.88169719575809E-4</v>
      </c>
      <c r="R212" s="236">
        <f t="shared" si="52"/>
        <v>28.737570043037401</v>
      </c>
      <c r="S212" s="240">
        <f t="shared" si="53"/>
        <v>1050.42016806723</v>
      </c>
      <c r="T212" s="241"/>
      <c r="U212" s="225"/>
      <c r="V212" s="226"/>
      <c r="W212" s="227"/>
      <c r="X212" s="226"/>
      <c r="Y212" s="226"/>
      <c r="Z212" s="226"/>
      <c r="AA212" s="226"/>
      <c r="AB212" s="226"/>
      <c r="AC212" s="226"/>
      <c r="AD212" s="96">
        <f t="shared" si="55"/>
        <v>0</v>
      </c>
      <c r="AE212" s="96">
        <f t="shared" si="56"/>
        <v>0</v>
      </c>
      <c r="AF212" s="96">
        <f t="shared" si="57"/>
        <v>0</v>
      </c>
      <c r="AG212" s="96">
        <f t="shared" si="58"/>
        <v>0</v>
      </c>
      <c r="AH212" s="211" t="str">
        <f t="shared" si="54"/>
        <v>0,;!0,;!0,;!0</v>
      </c>
      <c r="AI212" s="211" t="e">
        <f>INDEX([1]Library!$AL:$AL,MATCH(AH212,[1]Library!$AJ:$AJ,0),1)</f>
        <v>#N/A</v>
      </c>
      <c r="AJ212" s="211" t="e">
        <f>TEXT(INDEX([1]Library!$W:$W,MATCH(AH212,[1]Library!$AJ:$AJ,0),1),"")</f>
        <v>#N/A</v>
      </c>
    </row>
    <row r="213" spans="1:36" ht="25.2" hidden="1" customHeight="1" outlineLevel="2">
      <c r="A213" s="228"/>
      <c r="B213" s="229"/>
      <c r="C213" s="230"/>
      <c r="D213" s="231" t="s">
        <v>241</v>
      </c>
      <c r="E213" s="232"/>
      <c r="F213" s="233"/>
      <c r="G213" s="379"/>
      <c r="H213" s="380">
        <v>100</v>
      </c>
      <c r="I213" s="234" t="s">
        <v>200</v>
      </c>
      <c r="J213" s="235">
        <v>0</v>
      </c>
      <c r="K213" s="236">
        <v>0</v>
      </c>
      <c r="L213" s="235">
        <v>0</v>
      </c>
      <c r="M213" s="236">
        <v>0</v>
      </c>
      <c r="N213" s="237">
        <v>16071.4285714286</v>
      </c>
      <c r="O213" s="236">
        <v>1607142.8571428601</v>
      </c>
      <c r="P213" s="238">
        <v>1607142.8571428601</v>
      </c>
      <c r="Q213" s="239">
        <f t="shared" si="51"/>
        <v>8.6450915872742699E-4</v>
      </c>
      <c r="R213" s="236">
        <f t="shared" si="52"/>
        <v>86.212710129112295</v>
      </c>
      <c r="S213" s="240">
        <f t="shared" si="53"/>
        <v>3151.2605042016899</v>
      </c>
      <c r="T213" s="241"/>
      <c r="U213" s="225"/>
      <c r="V213" s="226"/>
      <c r="W213" s="227"/>
      <c r="X213" s="226"/>
      <c r="Y213" s="226"/>
      <c r="Z213" s="226"/>
      <c r="AA213" s="226"/>
      <c r="AB213" s="226"/>
      <c r="AC213" s="226"/>
      <c r="AD213" s="96">
        <f t="shared" si="55"/>
        <v>0</v>
      </c>
      <c r="AE213" s="96">
        <f t="shared" si="56"/>
        <v>0</v>
      </c>
      <c r="AF213" s="96">
        <f t="shared" si="57"/>
        <v>0</v>
      </c>
      <c r="AG213" s="96">
        <f t="shared" si="58"/>
        <v>0</v>
      </c>
      <c r="AH213" s="211" t="str">
        <f t="shared" si="54"/>
        <v>0,;!0,;!0,;!0</v>
      </c>
      <c r="AI213" s="211" t="e">
        <f>INDEX([1]Library!$AL:$AL,MATCH(AH213,[1]Library!$AJ:$AJ,0),1)</f>
        <v>#N/A</v>
      </c>
      <c r="AJ213" s="211" t="e">
        <f>TEXT(INDEX([1]Library!$W:$W,MATCH(AH213,[1]Library!$AJ:$AJ,0),1),"")</f>
        <v>#N/A</v>
      </c>
    </row>
    <row r="214" spans="1:36" ht="25.2" hidden="1" customHeight="1" outlineLevel="1" collapsed="1">
      <c r="A214" s="213"/>
      <c r="B214" s="214"/>
      <c r="C214" s="215" t="s">
        <v>242</v>
      </c>
      <c r="D214" s="215"/>
      <c r="E214" s="216"/>
      <c r="F214" s="217"/>
      <c r="G214" s="379"/>
      <c r="H214" s="219">
        <v>1</v>
      </c>
      <c r="I214" s="218" t="s">
        <v>32</v>
      </c>
      <c r="J214" s="219">
        <v>0</v>
      </c>
      <c r="K214" s="219">
        <v>0</v>
      </c>
      <c r="L214" s="219">
        <v>0</v>
      </c>
      <c r="M214" s="219">
        <v>0</v>
      </c>
      <c r="N214" s="219">
        <v>73817070.714285702</v>
      </c>
      <c r="O214" s="219">
        <v>73817070.714285702</v>
      </c>
      <c r="P214" s="220">
        <v>73817070.714285702</v>
      </c>
      <c r="Q214" s="221">
        <f t="shared" si="51"/>
        <v>3.9707443192934302E-2</v>
      </c>
      <c r="R214" s="222">
        <f t="shared" si="52"/>
        <v>3959.80338137744</v>
      </c>
      <c r="S214" s="223">
        <f t="shared" si="53"/>
        <v>144739.35434173699</v>
      </c>
      <c r="T214" s="224"/>
      <c r="U214" s="225"/>
      <c r="V214" s="226"/>
      <c r="W214" s="227"/>
      <c r="X214" s="226"/>
      <c r="Y214" s="226"/>
      <c r="Z214" s="226"/>
      <c r="AA214" s="226"/>
      <c r="AB214" s="226"/>
      <c r="AC214" s="226"/>
      <c r="AD214" s="96">
        <f t="shared" si="55"/>
        <v>0</v>
      </c>
      <c r="AE214" s="96">
        <f t="shared" si="56"/>
        <v>0</v>
      </c>
      <c r="AF214" s="96">
        <f t="shared" si="57"/>
        <v>0</v>
      </c>
      <c r="AG214" s="96">
        <f t="shared" si="58"/>
        <v>0</v>
      </c>
      <c r="AH214" s="211" t="str">
        <f t="shared" si="54"/>
        <v>0,;!0,;!0,;!0</v>
      </c>
      <c r="AI214" s="211" t="e">
        <f>INDEX([1]Library!$AL:$AL,MATCH(AH214,[1]Library!$AJ:$AJ,0),1)</f>
        <v>#N/A</v>
      </c>
      <c r="AJ214" s="211" t="e">
        <f>TEXT(INDEX([1]Library!$W:$W,MATCH(AH214,[1]Library!$AJ:$AJ,0),1),"")</f>
        <v>#N/A</v>
      </c>
    </row>
    <row r="215" spans="1:36" ht="25.2" hidden="1" customHeight="1" outlineLevel="2">
      <c r="A215" s="228"/>
      <c r="B215" s="229"/>
      <c r="C215" s="230"/>
      <c r="D215" s="231" t="s">
        <v>243</v>
      </c>
      <c r="E215" s="232"/>
      <c r="F215" s="233"/>
      <c r="G215" s="379"/>
      <c r="H215" s="380">
        <v>32502.2</v>
      </c>
      <c r="I215" s="234" t="s">
        <v>117</v>
      </c>
      <c r="J215" s="235">
        <v>0</v>
      </c>
      <c r="K215" s="236">
        <v>0</v>
      </c>
      <c r="L215" s="235">
        <v>0</v>
      </c>
      <c r="M215" s="236">
        <v>0</v>
      </c>
      <c r="N215" s="237">
        <v>357.142857142857</v>
      </c>
      <c r="O215" s="236">
        <v>11607928.571428601</v>
      </c>
      <c r="P215" s="238">
        <v>11607928.571428601</v>
      </c>
      <c r="Q215" s="239">
        <f t="shared" si="51"/>
        <v>6.2440999063979102E-3</v>
      </c>
      <c r="R215" s="236">
        <f t="shared" si="52"/>
        <v>622.68949936854096</v>
      </c>
      <c r="S215" s="240">
        <f t="shared" si="53"/>
        <v>22760.644257703101</v>
      </c>
      <c r="T215" s="241"/>
      <c r="U215" s="225"/>
      <c r="V215" s="226"/>
      <c r="W215" s="227"/>
      <c r="X215" s="226"/>
      <c r="Y215" s="226"/>
      <c r="Z215" s="226"/>
      <c r="AA215" s="226"/>
      <c r="AB215" s="226"/>
      <c r="AC215" s="226"/>
      <c r="AD215" s="96">
        <f t="shared" si="55"/>
        <v>0</v>
      </c>
      <c r="AE215" s="96">
        <f t="shared" si="56"/>
        <v>0</v>
      </c>
      <c r="AF215" s="96">
        <f t="shared" si="57"/>
        <v>0</v>
      </c>
      <c r="AG215" s="96">
        <f t="shared" si="58"/>
        <v>0</v>
      </c>
      <c r="AH215" s="211" t="str">
        <f t="shared" si="54"/>
        <v>0,;!0,;!0,;!0</v>
      </c>
      <c r="AI215" s="211" t="e">
        <f>INDEX([1]Library!$AL:$AL,MATCH(AH215,[1]Library!$AJ:$AJ,0),1)</f>
        <v>#N/A</v>
      </c>
      <c r="AJ215" s="211" t="e">
        <f>TEXT(INDEX([1]Library!$W:$W,MATCH(AH215,[1]Library!$AJ:$AJ,0),1),"")</f>
        <v>#N/A</v>
      </c>
    </row>
    <row r="216" spans="1:36" ht="25.2" hidden="1" customHeight="1" outlineLevel="2">
      <c r="A216" s="228"/>
      <c r="B216" s="229"/>
      <c r="C216" s="230"/>
      <c r="D216" s="231" t="s">
        <v>244</v>
      </c>
      <c r="E216" s="232"/>
      <c r="F216" s="233"/>
      <c r="G216" s="379"/>
      <c r="H216" s="380">
        <v>152792.35999999999</v>
      </c>
      <c r="I216" s="234" t="s">
        <v>117</v>
      </c>
      <c r="J216" s="235">
        <v>0</v>
      </c>
      <c r="K216" s="236">
        <v>0</v>
      </c>
      <c r="L216" s="235">
        <v>0</v>
      </c>
      <c r="M216" s="236">
        <v>0</v>
      </c>
      <c r="N216" s="237">
        <v>267.857142857143</v>
      </c>
      <c r="O216" s="236">
        <v>40926525</v>
      </c>
      <c r="P216" s="238">
        <v>40926525</v>
      </c>
      <c r="Q216" s="239">
        <f t="shared" si="51"/>
        <v>2.2015065767263E-2</v>
      </c>
      <c r="R216" s="236">
        <f t="shared" si="52"/>
        <v>2195.4405737704901</v>
      </c>
      <c r="S216" s="240">
        <f t="shared" si="53"/>
        <v>80248.088235294097</v>
      </c>
      <c r="T216" s="241"/>
      <c r="U216" s="225"/>
      <c r="V216" s="226"/>
      <c r="W216" s="227"/>
      <c r="X216" s="226"/>
      <c r="Y216" s="226"/>
      <c r="Z216" s="226"/>
      <c r="AA216" s="226"/>
      <c r="AB216" s="226"/>
      <c r="AC216" s="226"/>
      <c r="AD216" s="96">
        <f t="shared" si="55"/>
        <v>0</v>
      </c>
      <c r="AE216" s="96">
        <f t="shared" si="56"/>
        <v>0</v>
      </c>
      <c r="AF216" s="96">
        <f t="shared" si="57"/>
        <v>0</v>
      </c>
      <c r="AG216" s="96">
        <f t="shared" si="58"/>
        <v>0</v>
      </c>
      <c r="AH216" s="211" t="str">
        <f t="shared" si="54"/>
        <v>0,;!0,;!0,;!0</v>
      </c>
      <c r="AI216" s="211" t="e">
        <f>INDEX([1]Library!$AL:$AL,MATCH(AH216,[1]Library!$AJ:$AJ,0),1)</f>
        <v>#N/A</v>
      </c>
      <c r="AJ216" s="211" t="e">
        <f>TEXT(INDEX([1]Library!$W:$W,MATCH(AH216,[1]Library!$AJ:$AJ,0),1),"")</f>
        <v>#N/A</v>
      </c>
    </row>
    <row r="217" spans="1:36" ht="25.2" hidden="1" customHeight="1" outlineLevel="2">
      <c r="A217" s="228"/>
      <c r="B217" s="229"/>
      <c r="C217" s="230"/>
      <c r="D217" s="231" t="s">
        <v>245</v>
      </c>
      <c r="E217" s="232"/>
      <c r="F217" s="233"/>
      <c r="G217" s="379"/>
      <c r="H217" s="380">
        <v>63952.56</v>
      </c>
      <c r="I217" s="234" t="s">
        <v>117</v>
      </c>
      <c r="J217" s="235">
        <v>0</v>
      </c>
      <c r="K217" s="236">
        <v>0</v>
      </c>
      <c r="L217" s="235">
        <v>0</v>
      </c>
      <c r="M217" s="236">
        <v>0</v>
      </c>
      <c r="N217" s="237">
        <v>267.857142857143</v>
      </c>
      <c r="O217" s="236">
        <v>17130150</v>
      </c>
      <c r="P217" s="238">
        <v>17130150</v>
      </c>
      <c r="Q217" s="239">
        <f t="shared" si="51"/>
        <v>9.21459564067755E-3</v>
      </c>
      <c r="R217" s="236">
        <f t="shared" si="52"/>
        <v>918.92058621577598</v>
      </c>
      <c r="S217" s="240">
        <f t="shared" si="53"/>
        <v>33588.529411764699</v>
      </c>
      <c r="T217" s="241"/>
      <c r="U217" s="225"/>
      <c r="V217" s="226"/>
      <c r="W217" s="227"/>
      <c r="X217" s="226"/>
      <c r="Y217" s="226"/>
      <c r="Z217" s="226"/>
      <c r="AA217" s="226"/>
      <c r="AB217" s="226"/>
      <c r="AC217" s="226"/>
      <c r="AD217" s="96">
        <f t="shared" si="55"/>
        <v>0</v>
      </c>
      <c r="AE217" s="96">
        <f t="shared" si="56"/>
        <v>0</v>
      </c>
      <c r="AF217" s="96">
        <f t="shared" si="57"/>
        <v>0</v>
      </c>
      <c r="AG217" s="96">
        <f t="shared" si="58"/>
        <v>0</v>
      </c>
      <c r="AH217" s="211" t="str">
        <f t="shared" si="54"/>
        <v>0,;!0,;!0,;!0</v>
      </c>
      <c r="AI217" s="211" t="e">
        <f>INDEX([1]Library!$AL:$AL,MATCH(AH217,[1]Library!$AJ:$AJ,0),1)</f>
        <v>#N/A</v>
      </c>
      <c r="AJ217" s="211" t="e">
        <f>TEXT(INDEX([1]Library!$W:$W,MATCH(AH217,[1]Library!$AJ:$AJ,0),1),"")</f>
        <v>#N/A</v>
      </c>
    </row>
    <row r="218" spans="1:36" ht="25.2" hidden="1" customHeight="1" outlineLevel="2">
      <c r="A218" s="228"/>
      <c r="B218" s="229"/>
      <c r="C218" s="230"/>
      <c r="D218" s="231" t="s">
        <v>246</v>
      </c>
      <c r="E218" s="232"/>
      <c r="F218" s="233"/>
      <c r="G218" s="379"/>
      <c r="H218" s="380">
        <v>13981.2</v>
      </c>
      <c r="I218" s="234" t="s">
        <v>117</v>
      </c>
      <c r="J218" s="235">
        <v>0</v>
      </c>
      <c r="K218" s="236">
        <v>0</v>
      </c>
      <c r="L218" s="235">
        <v>0</v>
      </c>
      <c r="M218" s="236">
        <v>0</v>
      </c>
      <c r="N218" s="237">
        <v>267.857142857143</v>
      </c>
      <c r="O218" s="236">
        <v>3744964.2857142901</v>
      </c>
      <c r="P218" s="238">
        <v>3744964.2857142901</v>
      </c>
      <c r="Q218" s="239">
        <f t="shared" si="51"/>
        <v>2.0144792416666498E-3</v>
      </c>
      <c r="R218" s="236">
        <f t="shared" si="52"/>
        <v>200.892857142857</v>
      </c>
      <c r="S218" s="240">
        <f t="shared" si="53"/>
        <v>7343.0672268907601</v>
      </c>
      <c r="T218" s="241"/>
      <c r="U218" s="225"/>
      <c r="V218" s="226"/>
      <c r="W218" s="227"/>
      <c r="X218" s="226"/>
      <c r="Y218" s="226"/>
      <c r="Z218" s="226"/>
      <c r="AA218" s="226"/>
      <c r="AB218" s="226"/>
      <c r="AC218" s="226"/>
      <c r="AD218" s="96">
        <f t="shared" si="55"/>
        <v>0</v>
      </c>
      <c r="AE218" s="96">
        <f t="shared" si="56"/>
        <v>0</v>
      </c>
      <c r="AF218" s="96">
        <f t="shared" si="57"/>
        <v>0</v>
      </c>
      <c r="AG218" s="96">
        <f t="shared" si="58"/>
        <v>0</v>
      </c>
      <c r="AH218" s="211" t="str">
        <f t="shared" si="54"/>
        <v>0,;!0,;!0,;!0</v>
      </c>
      <c r="AI218" s="211" t="e">
        <f>INDEX([1]Library!$AL:$AL,MATCH(AH218,[1]Library!$AJ:$AJ,0),1)</f>
        <v>#N/A</v>
      </c>
      <c r="AJ218" s="211" t="e">
        <f>TEXT(INDEX([1]Library!$W:$W,MATCH(AH218,[1]Library!$AJ:$AJ,0),1),"")</f>
        <v>#N/A</v>
      </c>
    </row>
    <row r="219" spans="1:36" ht="25.2" hidden="1" customHeight="1" outlineLevel="2">
      <c r="A219" s="228"/>
      <c r="B219" s="229"/>
      <c r="C219" s="230"/>
      <c r="D219" s="231" t="s">
        <v>247</v>
      </c>
      <c r="E219" s="232"/>
      <c r="F219" s="233"/>
      <c r="G219" s="379"/>
      <c r="H219" s="380">
        <v>2074.56</v>
      </c>
      <c r="I219" s="234" t="s">
        <v>176</v>
      </c>
      <c r="J219" s="235">
        <v>0</v>
      </c>
      <c r="K219" s="236">
        <v>0</v>
      </c>
      <c r="L219" s="235">
        <v>0</v>
      </c>
      <c r="M219" s="236">
        <v>0</v>
      </c>
      <c r="N219" s="237">
        <v>196.42857142857099</v>
      </c>
      <c r="O219" s="236">
        <v>407502.85714285698</v>
      </c>
      <c r="P219" s="238">
        <v>407502.85714285698</v>
      </c>
      <c r="Q219" s="239">
        <f t="shared" si="51"/>
        <v>2.1920263692916999E-4</v>
      </c>
      <c r="R219" s="236">
        <f t="shared" si="52"/>
        <v>21.859864879777302</v>
      </c>
      <c r="S219" s="240">
        <f t="shared" si="53"/>
        <v>799.02521008403301</v>
      </c>
      <c r="T219" s="241"/>
      <c r="U219" s="225"/>
      <c r="V219" s="226"/>
      <c r="W219" s="227"/>
      <c r="X219" s="226"/>
      <c r="Y219" s="226"/>
      <c r="Z219" s="226"/>
      <c r="AA219" s="226"/>
      <c r="AB219" s="226"/>
      <c r="AC219" s="226"/>
      <c r="AD219" s="96">
        <f t="shared" si="55"/>
        <v>0</v>
      </c>
      <c r="AE219" s="96">
        <f t="shared" si="56"/>
        <v>0</v>
      </c>
      <c r="AF219" s="96">
        <f t="shared" si="57"/>
        <v>0</v>
      </c>
      <c r="AG219" s="96">
        <f t="shared" si="58"/>
        <v>0</v>
      </c>
      <c r="AH219" s="211" t="str">
        <f t="shared" si="54"/>
        <v>0,;!0,;!0,;!0</v>
      </c>
      <c r="AI219" s="211" t="e">
        <f>INDEX([1]Library!$AL:$AL,MATCH(AH219,[1]Library!$AJ:$AJ,0),1)</f>
        <v>#N/A</v>
      </c>
      <c r="AJ219" s="211" t="e">
        <f>TEXT(INDEX([1]Library!$W:$W,MATCH(AH219,[1]Library!$AJ:$AJ,0),1),"")</f>
        <v>#N/A</v>
      </c>
    </row>
    <row r="220" spans="1:36" ht="25.2" hidden="1" customHeight="1" outlineLevel="1" collapsed="1">
      <c r="A220" s="213"/>
      <c r="B220" s="214"/>
      <c r="C220" s="215" t="s">
        <v>248</v>
      </c>
      <c r="D220" s="215"/>
      <c r="E220" s="216"/>
      <c r="F220" s="217"/>
      <c r="G220" s="379"/>
      <c r="H220" s="219">
        <v>1</v>
      </c>
      <c r="I220" s="218" t="s">
        <v>32</v>
      </c>
      <c r="J220" s="219">
        <v>0</v>
      </c>
      <c r="K220" s="219">
        <v>0</v>
      </c>
      <c r="L220" s="219">
        <v>0</v>
      </c>
      <c r="M220" s="219">
        <v>0</v>
      </c>
      <c r="N220" s="219">
        <v>36848975.53125</v>
      </c>
      <c r="O220" s="219">
        <v>36848975.53125</v>
      </c>
      <c r="P220" s="220">
        <v>36848975.53125</v>
      </c>
      <c r="Q220" s="221">
        <f t="shared" si="51"/>
        <v>1.98216833649262E-2</v>
      </c>
      <c r="R220" s="222">
        <f t="shared" si="52"/>
        <v>1976.7066953078099</v>
      </c>
      <c r="S220" s="223">
        <f t="shared" si="53"/>
        <v>72252.893198529404</v>
      </c>
      <c r="T220" s="224"/>
      <c r="U220" s="225"/>
      <c r="V220" s="226"/>
      <c r="W220" s="227"/>
      <c r="X220" s="226"/>
      <c r="Y220" s="226"/>
      <c r="Z220" s="226"/>
      <c r="AA220" s="226"/>
      <c r="AB220" s="226"/>
      <c r="AC220" s="226"/>
      <c r="AD220" s="96">
        <f t="shared" si="55"/>
        <v>0</v>
      </c>
      <c r="AE220" s="96">
        <f t="shared" si="56"/>
        <v>0</v>
      </c>
      <c r="AF220" s="96">
        <f t="shared" si="57"/>
        <v>0</v>
      </c>
      <c r="AG220" s="96">
        <f t="shared" si="58"/>
        <v>0</v>
      </c>
      <c r="AH220" s="211" t="str">
        <f t="shared" si="54"/>
        <v>0,;!0,;!0,;!0</v>
      </c>
      <c r="AI220" s="211" t="e">
        <f>INDEX([1]Library!$AL:$AL,MATCH(AH220,[1]Library!$AJ:$AJ,0),1)</f>
        <v>#N/A</v>
      </c>
      <c r="AJ220" s="211" t="e">
        <f>TEXT(INDEX([1]Library!$W:$W,MATCH(AH220,[1]Library!$AJ:$AJ,0),1),"")</f>
        <v>#N/A</v>
      </c>
    </row>
    <row r="221" spans="1:36" ht="34.049999999999997" hidden="1" customHeight="1" outlineLevel="2">
      <c r="A221" s="228"/>
      <c r="B221" s="229"/>
      <c r="C221" s="230"/>
      <c r="D221" s="397" t="s">
        <v>249</v>
      </c>
      <c r="E221" s="397"/>
      <c r="F221" s="398"/>
      <c r="G221" s="379"/>
      <c r="H221" s="380">
        <v>240</v>
      </c>
      <c r="I221" s="234" t="s">
        <v>200</v>
      </c>
      <c r="J221" s="235">
        <v>0</v>
      </c>
      <c r="K221" s="236">
        <v>0</v>
      </c>
      <c r="L221" s="235">
        <v>0</v>
      </c>
      <c r="M221" s="236">
        <v>0</v>
      </c>
      <c r="N221" s="237">
        <v>9079.083984375</v>
      </c>
      <c r="O221" s="236">
        <v>2178980.15625</v>
      </c>
      <c r="P221" s="238">
        <v>2178980.15625</v>
      </c>
      <c r="Q221" s="239">
        <f t="shared" si="51"/>
        <v>1.1721100544305901E-3</v>
      </c>
      <c r="R221" s="236">
        <f t="shared" si="52"/>
        <v>116.888043743563</v>
      </c>
      <c r="S221" s="240">
        <f t="shared" si="53"/>
        <v>4272.5101102941198</v>
      </c>
      <c r="T221" s="241"/>
      <c r="U221" s="225"/>
      <c r="V221" s="226"/>
      <c r="W221" s="227"/>
      <c r="X221" s="226"/>
      <c r="Y221" s="226"/>
      <c r="Z221" s="226"/>
      <c r="AA221" s="226"/>
      <c r="AB221" s="226"/>
      <c r="AC221" s="226"/>
      <c r="AD221" s="96">
        <f t="shared" si="55"/>
        <v>0</v>
      </c>
      <c r="AE221" s="96">
        <f t="shared" si="56"/>
        <v>0</v>
      </c>
      <c r="AF221" s="96">
        <f t="shared" si="57"/>
        <v>0</v>
      </c>
      <c r="AG221" s="96">
        <f t="shared" si="58"/>
        <v>0</v>
      </c>
      <c r="AH221" s="211" t="str">
        <f t="shared" si="54"/>
        <v>0,;!0,;!0,;!0</v>
      </c>
      <c r="AI221" s="211" t="e">
        <f>INDEX([1]Library!$AL:$AL,MATCH(AH221,[1]Library!$AJ:$AJ,0),1)</f>
        <v>#N/A</v>
      </c>
      <c r="AJ221" s="211" t="e">
        <f>TEXT(INDEX([1]Library!$W:$W,MATCH(AH221,[1]Library!$AJ:$AJ,0),1),"")</f>
        <v>#N/A</v>
      </c>
    </row>
    <row r="222" spans="1:36" ht="34.049999999999997" hidden="1" customHeight="1" outlineLevel="2">
      <c r="A222" s="228"/>
      <c r="B222" s="229"/>
      <c r="C222" s="230"/>
      <c r="D222" s="397" t="s">
        <v>250</v>
      </c>
      <c r="E222" s="397"/>
      <c r="F222" s="398"/>
      <c r="G222" s="379"/>
      <c r="H222" s="380">
        <v>2040</v>
      </c>
      <c r="I222" s="234" t="s">
        <v>200</v>
      </c>
      <c r="J222" s="235">
        <v>0</v>
      </c>
      <c r="K222" s="236">
        <v>0</v>
      </c>
      <c r="L222" s="235">
        <v>0</v>
      </c>
      <c r="M222" s="236">
        <v>0</v>
      </c>
      <c r="N222" s="237">
        <v>16140.59375</v>
      </c>
      <c r="O222" s="236">
        <v>32926811.25</v>
      </c>
      <c r="P222" s="238">
        <v>32926811.25</v>
      </c>
      <c r="Q222" s="239">
        <f t="shared" si="51"/>
        <v>1.77118852669511E-2</v>
      </c>
      <c r="R222" s="236">
        <f t="shared" si="52"/>
        <v>1766.30821656939</v>
      </c>
      <c r="S222" s="240">
        <f t="shared" si="53"/>
        <v>64562.375</v>
      </c>
      <c r="T222" s="241"/>
      <c r="U222" s="225"/>
      <c r="V222" s="226"/>
      <c r="W222" s="227"/>
      <c r="X222" s="226"/>
      <c r="Y222" s="226"/>
      <c r="Z222" s="226"/>
      <c r="AA222" s="226"/>
      <c r="AB222" s="226"/>
      <c r="AC222" s="226"/>
      <c r="AD222" s="96">
        <f t="shared" si="55"/>
        <v>0</v>
      </c>
      <c r="AE222" s="96">
        <f t="shared" si="56"/>
        <v>0</v>
      </c>
      <c r="AF222" s="96">
        <f t="shared" si="57"/>
        <v>0</v>
      </c>
      <c r="AG222" s="96">
        <f t="shared" si="58"/>
        <v>0</v>
      </c>
      <c r="AH222" s="211" t="str">
        <f t="shared" si="54"/>
        <v>0,;!0,;!0,;!0</v>
      </c>
      <c r="AI222" s="211" t="e">
        <f>INDEX([1]Library!$AL:$AL,MATCH(AH222,[1]Library!$AJ:$AJ,0),1)</f>
        <v>#N/A</v>
      </c>
      <c r="AJ222" s="211" t="e">
        <f>TEXT(INDEX([1]Library!$W:$W,MATCH(AH222,[1]Library!$AJ:$AJ,0),1),"")</f>
        <v>#N/A</v>
      </c>
    </row>
    <row r="223" spans="1:36" ht="34.049999999999997" hidden="1" customHeight="1" outlineLevel="2">
      <c r="A223" s="228"/>
      <c r="B223" s="229"/>
      <c r="C223" s="230"/>
      <c r="D223" s="397" t="s">
        <v>251</v>
      </c>
      <c r="E223" s="397"/>
      <c r="F223" s="398"/>
      <c r="G223" s="379"/>
      <c r="H223" s="380">
        <v>64</v>
      </c>
      <c r="I223" s="234" t="s">
        <v>200</v>
      </c>
      <c r="J223" s="235">
        <v>0</v>
      </c>
      <c r="K223" s="236">
        <v>0</v>
      </c>
      <c r="L223" s="235">
        <v>0</v>
      </c>
      <c r="M223" s="236">
        <v>0</v>
      </c>
      <c r="N223" s="237">
        <v>27237.251953125</v>
      </c>
      <c r="O223" s="236">
        <v>1743184.125</v>
      </c>
      <c r="P223" s="238">
        <v>1743184.125</v>
      </c>
      <c r="Q223" s="239">
        <f t="shared" si="51"/>
        <v>9.3768804354447098E-4</v>
      </c>
      <c r="R223" s="236">
        <f t="shared" si="52"/>
        <v>93.5104349948502</v>
      </c>
      <c r="S223" s="240">
        <f t="shared" si="53"/>
        <v>3418.00808823529</v>
      </c>
      <c r="T223" s="241"/>
      <c r="U223" s="225"/>
      <c r="V223" s="226"/>
      <c r="W223" s="227"/>
      <c r="X223" s="226"/>
      <c r="Y223" s="226"/>
      <c r="Z223" s="226"/>
      <c r="AA223" s="226"/>
      <c r="AB223" s="226"/>
      <c r="AC223" s="226"/>
      <c r="AD223" s="96">
        <f t="shared" si="55"/>
        <v>0</v>
      </c>
      <c r="AE223" s="96">
        <f t="shared" si="56"/>
        <v>0</v>
      </c>
      <c r="AF223" s="96">
        <f t="shared" si="57"/>
        <v>0</v>
      </c>
      <c r="AG223" s="96">
        <f t="shared" si="58"/>
        <v>0</v>
      </c>
      <c r="AH223" s="211" t="str">
        <f t="shared" si="54"/>
        <v>0,;!0,;!0,;!0</v>
      </c>
      <c r="AI223" s="211" t="e">
        <f>INDEX([1]Library!$AL:$AL,MATCH(AH223,[1]Library!$AJ:$AJ,0),1)</f>
        <v>#N/A</v>
      </c>
      <c r="AJ223" s="211" t="e">
        <f>TEXT(INDEX([1]Library!$W:$W,MATCH(AH223,[1]Library!$AJ:$AJ,0),1),"")</f>
        <v>#N/A</v>
      </c>
    </row>
    <row r="224" spans="1:36" ht="25.2" hidden="1" customHeight="1" outlineLevel="1" collapsed="1">
      <c r="A224" s="213"/>
      <c r="B224" s="214"/>
      <c r="C224" s="215" t="s">
        <v>252</v>
      </c>
      <c r="D224" s="215"/>
      <c r="E224" s="216"/>
      <c r="F224" s="217"/>
      <c r="G224" s="379"/>
      <c r="H224" s="219">
        <v>1</v>
      </c>
      <c r="I224" s="218" t="s">
        <v>32</v>
      </c>
      <c r="J224" s="219">
        <v>0</v>
      </c>
      <c r="K224" s="219">
        <v>0</v>
      </c>
      <c r="L224" s="219">
        <v>0</v>
      </c>
      <c r="M224" s="219">
        <v>0</v>
      </c>
      <c r="N224" s="219">
        <v>29142857.142857101</v>
      </c>
      <c r="O224" s="219">
        <v>29142857.142857101</v>
      </c>
      <c r="P224" s="220">
        <v>29142857.142857101</v>
      </c>
      <c r="Q224" s="221">
        <f t="shared" si="51"/>
        <v>1.5676432744924002E-2</v>
      </c>
      <c r="R224" s="222">
        <f t="shared" si="52"/>
        <v>1563.32381034123</v>
      </c>
      <c r="S224" s="223">
        <f t="shared" si="53"/>
        <v>57142.857142857101</v>
      </c>
      <c r="T224" s="224"/>
      <c r="U224" s="225"/>
      <c r="V224" s="226"/>
      <c r="W224" s="227"/>
      <c r="X224" s="226"/>
      <c r="Y224" s="226"/>
      <c r="Z224" s="226"/>
      <c r="AA224" s="226"/>
      <c r="AB224" s="226"/>
      <c r="AC224" s="226"/>
      <c r="AD224" s="96">
        <f t="shared" si="55"/>
        <v>0</v>
      </c>
      <c r="AE224" s="96">
        <f t="shared" si="56"/>
        <v>0</v>
      </c>
      <c r="AF224" s="96">
        <f t="shared" si="57"/>
        <v>0</v>
      </c>
      <c r="AG224" s="96">
        <f t="shared" si="58"/>
        <v>0</v>
      </c>
      <c r="AH224" s="211" t="str">
        <f t="shared" si="54"/>
        <v>0,;!0,;!0,;!0</v>
      </c>
      <c r="AI224" s="211" t="e">
        <f>INDEX([1]Library!$AL:$AL,MATCH(AH224,[1]Library!$AJ:$AJ,0),1)</f>
        <v>#N/A</v>
      </c>
      <c r="AJ224" s="211" t="e">
        <f>TEXT(INDEX([1]Library!$W:$W,MATCH(AH224,[1]Library!$AJ:$AJ,0),1),"")</f>
        <v>#N/A</v>
      </c>
    </row>
    <row r="225" spans="1:36" ht="25.2" hidden="1" customHeight="1" outlineLevel="2">
      <c r="A225" s="228"/>
      <c r="B225" s="229"/>
      <c r="C225" s="230"/>
      <c r="D225" s="231" t="s">
        <v>253</v>
      </c>
      <c r="E225" s="232"/>
      <c r="F225" s="233"/>
      <c r="G225" s="379"/>
      <c r="H225" s="380">
        <v>2040</v>
      </c>
      <c r="I225" s="234" t="s">
        <v>200</v>
      </c>
      <c r="J225" s="235">
        <v>0</v>
      </c>
      <c r="K225" s="236">
        <v>0</v>
      </c>
      <c r="L225" s="235">
        <v>0</v>
      </c>
      <c r="M225" s="236">
        <v>0</v>
      </c>
      <c r="N225" s="237">
        <v>14285.714285714301</v>
      </c>
      <c r="O225" s="236">
        <v>29142857.142857101</v>
      </c>
      <c r="P225" s="238">
        <v>29142857.142857101</v>
      </c>
      <c r="Q225" s="239">
        <f t="shared" si="51"/>
        <v>1.5676432744924002E-2</v>
      </c>
      <c r="R225" s="236">
        <f t="shared" si="52"/>
        <v>1563.32381034123</v>
      </c>
      <c r="S225" s="240">
        <f t="shared" si="53"/>
        <v>57142.857142857101</v>
      </c>
      <c r="T225" s="241"/>
      <c r="U225" s="225"/>
      <c r="V225" s="226"/>
      <c r="W225" s="227"/>
      <c r="X225" s="226"/>
      <c r="Y225" s="226"/>
      <c r="Z225" s="226"/>
      <c r="AA225" s="226"/>
      <c r="AB225" s="226"/>
      <c r="AC225" s="226"/>
      <c r="AD225" s="96">
        <f t="shared" si="55"/>
        <v>0</v>
      </c>
      <c r="AE225" s="96">
        <f t="shared" si="56"/>
        <v>0</v>
      </c>
      <c r="AF225" s="96">
        <f t="shared" si="57"/>
        <v>0</v>
      </c>
      <c r="AG225" s="96">
        <f t="shared" si="58"/>
        <v>0</v>
      </c>
      <c r="AH225" s="211" t="str">
        <f t="shared" si="54"/>
        <v>0,;!0,;!0,;!0</v>
      </c>
      <c r="AI225" s="211" t="e">
        <f>INDEX([1]Library!$AL:$AL,MATCH(AH225,[1]Library!$AJ:$AJ,0),1)</f>
        <v>#N/A</v>
      </c>
      <c r="AJ225" s="211" t="e">
        <f>TEXT(INDEX([1]Library!$W:$W,MATCH(AH225,[1]Library!$AJ:$AJ,0),1),"")</f>
        <v>#N/A</v>
      </c>
    </row>
    <row r="226" spans="1:36" ht="25.2" hidden="1" customHeight="1" outlineLevel="1" collapsed="1">
      <c r="A226" s="213"/>
      <c r="B226" s="214"/>
      <c r="C226" s="215" t="s">
        <v>254</v>
      </c>
      <c r="D226" s="215"/>
      <c r="E226" s="216"/>
      <c r="F226" s="217"/>
      <c r="G226" s="379"/>
      <c r="H226" s="219">
        <v>1</v>
      </c>
      <c r="I226" s="218" t="s">
        <v>32</v>
      </c>
      <c r="J226" s="219">
        <v>0</v>
      </c>
      <c r="K226" s="219">
        <v>0</v>
      </c>
      <c r="L226" s="219">
        <v>0</v>
      </c>
      <c r="M226" s="219">
        <v>0</v>
      </c>
      <c r="N226" s="219">
        <v>1535016.3934426201</v>
      </c>
      <c r="O226" s="219">
        <v>1535016.3934426201</v>
      </c>
      <c r="P226" s="220">
        <v>1535016.3934426201</v>
      </c>
      <c r="Q226" s="221">
        <f t="shared" si="51"/>
        <v>8.2571112146624399E-4</v>
      </c>
      <c r="R226" s="222">
        <f t="shared" si="52"/>
        <v>82.343596764366794</v>
      </c>
      <c r="S226" s="223">
        <f t="shared" si="53"/>
        <v>3009.8360655737602</v>
      </c>
      <c r="T226" s="224"/>
      <c r="U226" s="225"/>
      <c r="V226" s="226"/>
      <c r="W226" s="227"/>
      <c r="X226" s="226"/>
      <c r="Y226" s="226"/>
      <c r="Z226" s="226"/>
      <c r="AA226" s="226"/>
      <c r="AB226" s="226"/>
      <c r="AC226" s="226"/>
      <c r="AD226" s="96">
        <f t="shared" si="55"/>
        <v>0</v>
      </c>
      <c r="AE226" s="96">
        <f t="shared" si="56"/>
        <v>0</v>
      </c>
      <c r="AF226" s="96">
        <f t="shared" si="57"/>
        <v>0</v>
      </c>
      <c r="AG226" s="96">
        <f t="shared" si="58"/>
        <v>0</v>
      </c>
      <c r="AH226" s="211" t="str">
        <f t="shared" si="54"/>
        <v>0,;!0,;!0,;!0</v>
      </c>
      <c r="AI226" s="211" t="e">
        <f>INDEX([1]Library!$AL:$AL,MATCH(AH226,[1]Library!$AJ:$AJ,0),1)</f>
        <v>#N/A</v>
      </c>
      <c r="AJ226" s="211" t="e">
        <f>TEXT(INDEX([1]Library!$W:$W,MATCH(AH226,[1]Library!$AJ:$AJ,0),1),"")</f>
        <v>#N/A</v>
      </c>
    </row>
    <row r="227" spans="1:36" ht="25.2" hidden="1" customHeight="1" outlineLevel="2">
      <c r="A227" s="228"/>
      <c r="B227" s="229"/>
      <c r="C227" s="230"/>
      <c r="D227" s="231" t="s">
        <v>255</v>
      </c>
      <c r="E227" s="232"/>
      <c r="F227" s="233"/>
      <c r="G227" s="379"/>
      <c r="H227" s="380">
        <v>2040</v>
      </c>
      <c r="I227" s="234" t="s">
        <v>200</v>
      </c>
      <c r="J227" s="235">
        <v>0</v>
      </c>
      <c r="K227" s="236">
        <v>0</v>
      </c>
      <c r="L227" s="235">
        <v>0</v>
      </c>
      <c r="M227" s="236">
        <v>0</v>
      </c>
      <c r="N227" s="237">
        <v>752.45901639344299</v>
      </c>
      <c r="O227" s="236">
        <v>1535016.3934426201</v>
      </c>
      <c r="P227" s="238">
        <v>1535016.3934426201</v>
      </c>
      <c r="Q227" s="239">
        <f t="shared" si="51"/>
        <v>8.2571112146624399E-4</v>
      </c>
      <c r="R227" s="236">
        <f t="shared" si="52"/>
        <v>82.343596764366794</v>
      </c>
      <c r="S227" s="240">
        <f t="shared" si="53"/>
        <v>3009.8360655737602</v>
      </c>
      <c r="T227" s="241"/>
      <c r="U227" s="225"/>
      <c r="V227" s="226"/>
      <c r="W227" s="227"/>
      <c r="X227" s="226"/>
      <c r="Y227" s="226"/>
      <c r="Z227" s="226"/>
      <c r="AA227" s="226"/>
      <c r="AB227" s="226"/>
      <c r="AC227" s="226"/>
      <c r="AD227" s="96">
        <f t="shared" si="55"/>
        <v>0</v>
      </c>
      <c r="AE227" s="96">
        <f t="shared" si="56"/>
        <v>0</v>
      </c>
      <c r="AF227" s="96">
        <f t="shared" si="57"/>
        <v>0</v>
      </c>
      <c r="AG227" s="96">
        <f t="shared" si="58"/>
        <v>0</v>
      </c>
      <c r="AH227" s="211" t="str">
        <f t="shared" si="54"/>
        <v>0,;!0,;!0,;!0</v>
      </c>
      <c r="AI227" s="211" t="e">
        <f>INDEX([1]Library!$AL:$AL,MATCH(AH227,[1]Library!$AJ:$AJ,0),1)</f>
        <v>#N/A</v>
      </c>
      <c r="AJ227" s="211" t="e">
        <f>TEXT(INDEX([1]Library!$W:$W,MATCH(AH227,[1]Library!$AJ:$AJ,0),1),"")</f>
        <v>#N/A</v>
      </c>
    </row>
    <row r="228" spans="1:36" ht="25.2" hidden="1" customHeight="1" outlineLevel="1" collapsed="1">
      <c r="A228" s="213"/>
      <c r="B228" s="214"/>
      <c r="C228" s="215" t="s">
        <v>256</v>
      </c>
      <c r="D228" s="215"/>
      <c r="E228" s="216"/>
      <c r="F228" s="217"/>
      <c r="G228" s="379"/>
      <c r="H228" s="219">
        <v>1</v>
      </c>
      <c r="I228" s="218" t="s">
        <v>32</v>
      </c>
      <c r="J228" s="219">
        <v>26496315.600000001</v>
      </c>
      <c r="K228" s="219">
        <v>26496315.600000001</v>
      </c>
      <c r="L228" s="219">
        <v>0</v>
      </c>
      <c r="M228" s="219">
        <v>0</v>
      </c>
      <c r="N228" s="219">
        <v>0</v>
      </c>
      <c r="O228" s="219">
        <v>0</v>
      </c>
      <c r="P228" s="220">
        <v>26496315.600000001</v>
      </c>
      <c r="Q228" s="221">
        <f t="shared" si="51"/>
        <v>1.42528135609891E-2</v>
      </c>
      <c r="R228" s="222">
        <f t="shared" si="52"/>
        <v>1421.3541541498601</v>
      </c>
      <c r="S228" s="223">
        <f t="shared" si="53"/>
        <v>51953.56</v>
      </c>
      <c r="T228" s="224"/>
      <c r="U228" s="225"/>
      <c r="V228" s="226"/>
      <c r="W228" s="227"/>
      <c r="X228" s="226"/>
      <c r="Y228" s="226"/>
      <c r="Z228" s="226"/>
      <c r="AA228" s="226"/>
      <c r="AB228" s="226"/>
      <c r="AC228" s="226"/>
      <c r="AD228" s="96">
        <f t="shared" si="55"/>
        <v>0</v>
      </c>
      <c r="AE228" s="96">
        <f t="shared" si="56"/>
        <v>0</v>
      </c>
      <c r="AF228" s="96">
        <f t="shared" si="57"/>
        <v>0</v>
      </c>
      <c r="AG228" s="96">
        <f t="shared" si="58"/>
        <v>0</v>
      </c>
      <c r="AH228" s="211" t="str">
        <f t="shared" si="54"/>
        <v>0,;!0,;!0,;!0</v>
      </c>
      <c r="AI228" s="211" t="e">
        <f>INDEX([1]Library!$AL:$AL,MATCH(AH228,[1]Library!$AJ:$AJ,0),1)</f>
        <v>#N/A</v>
      </c>
      <c r="AJ228" s="211" t="e">
        <f>TEXT(INDEX([1]Library!$W:$W,MATCH(AH228,[1]Library!$AJ:$AJ,0),1),"")</f>
        <v>#N/A</v>
      </c>
    </row>
    <row r="229" spans="1:36" ht="25.2" hidden="1" customHeight="1" outlineLevel="2">
      <c r="A229" s="228"/>
      <c r="B229" s="229"/>
      <c r="C229" s="230"/>
      <c r="D229" s="231" t="s">
        <v>257</v>
      </c>
      <c r="E229" s="232"/>
      <c r="F229" s="233"/>
      <c r="G229" s="379"/>
      <c r="H229" s="380">
        <v>2040</v>
      </c>
      <c r="I229" s="234" t="s">
        <v>200</v>
      </c>
      <c r="J229" s="235">
        <v>3571.43</v>
      </c>
      <c r="K229" s="236">
        <v>7285717.2000000002</v>
      </c>
      <c r="L229" s="235">
        <v>0</v>
      </c>
      <c r="M229" s="236">
        <v>0</v>
      </c>
      <c r="N229" s="237">
        <v>0</v>
      </c>
      <c r="O229" s="236">
        <v>0</v>
      </c>
      <c r="P229" s="238">
        <v>7285717.2000000002</v>
      </c>
      <c r="Q229" s="239">
        <f t="shared" si="51"/>
        <v>3.9191097538742803E-3</v>
      </c>
      <c r="R229" s="236">
        <f t="shared" si="52"/>
        <v>390.83110891769002</v>
      </c>
      <c r="S229" s="240">
        <f t="shared" si="53"/>
        <v>14285.72</v>
      </c>
      <c r="T229" s="241"/>
      <c r="U229" s="225"/>
      <c r="V229" s="226"/>
      <c r="W229" s="227"/>
      <c r="X229" s="226"/>
      <c r="Y229" s="226"/>
      <c r="Z229" s="226"/>
      <c r="AA229" s="226"/>
      <c r="AB229" s="226"/>
      <c r="AC229" s="226"/>
      <c r="AD229" s="96">
        <f t="shared" si="55"/>
        <v>0</v>
      </c>
      <c r="AE229" s="96">
        <f t="shared" si="56"/>
        <v>0</v>
      </c>
      <c r="AF229" s="96">
        <f t="shared" si="57"/>
        <v>0</v>
      </c>
      <c r="AG229" s="96">
        <f t="shared" si="58"/>
        <v>0</v>
      </c>
      <c r="AH229" s="211" t="str">
        <f t="shared" si="54"/>
        <v>0,;!0,;!0,;!0</v>
      </c>
      <c r="AI229" s="211" t="e">
        <f>INDEX([1]Library!$AL:$AL,MATCH(AH229,[1]Library!$AJ:$AJ,0),1)</f>
        <v>#N/A</v>
      </c>
      <c r="AJ229" s="211" t="e">
        <f>TEXT(INDEX([1]Library!$W:$W,MATCH(AH229,[1]Library!$AJ:$AJ,0),1),"")</f>
        <v>#N/A</v>
      </c>
    </row>
    <row r="230" spans="1:36" ht="25.2" hidden="1" customHeight="1" outlineLevel="2">
      <c r="A230" s="228"/>
      <c r="B230" s="229"/>
      <c r="C230" s="230"/>
      <c r="D230" s="231" t="s">
        <v>258</v>
      </c>
      <c r="E230" s="232"/>
      <c r="F230" s="233"/>
      <c r="G230" s="379"/>
      <c r="H230" s="380">
        <v>2040</v>
      </c>
      <c r="I230" s="234" t="s">
        <v>200</v>
      </c>
      <c r="J230" s="235">
        <v>2232.14</v>
      </c>
      <c r="K230" s="236">
        <v>4553565.5999999996</v>
      </c>
      <c r="L230" s="235">
        <v>0</v>
      </c>
      <c r="M230" s="236">
        <v>0</v>
      </c>
      <c r="N230" s="237">
        <v>0</v>
      </c>
      <c r="O230" s="236">
        <v>0</v>
      </c>
      <c r="P230" s="238">
        <v>4553565.5999999996</v>
      </c>
      <c r="Q230" s="239">
        <f t="shared" si="51"/>
        <v>2.4494394811078301E-3</v>
      </c>
      <c r="R230" s="236">
        <f t="shared" si="52"/>
        <v>244.26903270105601</v>
      </c>
      <c r="S230" s="240">
        <f t="shared" si="53"/>
        <v>8928.56</v>
      </c>
      <c r="T230" s="241"/>
      <c r="U230" s="225"/>
      <c r="V230" s="226"/>
      <c r="W230" s="227"/>
      <c r="X230" s="226"/>
      <c r="Y230" s="226"/>
      <c r="Z230" s="226"/>
      <c r="AA230" s="226"/>
      <c r="AB230" s="226"/>
      <c r="AC230" s="226"/>
      <c r="AD230" s="96">
        <f t="shared" si="55"/>
        <v>0</v>
      </c>
      <c r="AE230" s="96">
        <f t="shared" si="56"/>
        <v>0</v>
      </c>
      <c r="AF230" s="96">
        <f t="shared" si="57"/>
        <v>0</v>
      </c>
      <c r="AG230" s="96">
        <f t="shared" si="58"/>
        <v>0</v>
      </c>
      <c r="AH230" s="211" t="str">
        <f t="shared" si="54"/>
        <v>0,;!0,;!0,;!0</v>
      </c>
      <c r="AI230" s="211" t="e">
        <f>INDEX([1]Library!$AL:$AL,MATCH(AH230,[1]Library!$AJ:$AJ,0),1)</f>
        <v>#N/A</v>
      </c>
      <c r="AJ230" s="211" t="e">
        <f>TEXT(INDEX([1]Library!$W:$W,MATCH(AH230,[1]Library!$AJ:$AJ,0),1),"")</f>
        <v>#N/A</v>
      </c>
    </row>
    <row r="231" spans="1:36" ht="25.2" hidden="1" customHeight="1" outlineLevel="2">
      <c r="A231" s="228"/>
      <c r="B231" s="229"/>
      <c r="C231" s="230"/>
      <c r="D231" s="231" t="s">
        <v>259</v>
      </c>
      <c r="E231" s="232"/>
      <c r="F231" s="233"/>
      <c r="G231" s="379"/>
      <c r="H231" s="380">
        <v>2040</v>
      </c>
      <c r="I231" s="234" t="s">
        <v>200</v>
      </c>
      <c r="J231" s="235">
        <v>1232.1400000000001</v>
      </c>
      <c r="K231" s="236">
        <v>2513565.6</v>
      </c>
      <c r="L231" s="235">
        <v>0</v>
      </c>
      <c r="M231" s="236">
        <v>0</v>
      </c>
      <c r="N231" s="237">
        <v>0</v>
      </c>
      <c r="O231" s="236">
        <v>0</v>
      </c>
      <c r="P231" s="238">
        <v>2513565.6</v>
      </c>
      <c r="Q231" s="239">
        <f t="shared" si="51"/>
        <v>1.3520891889631499E-3</v>
      </c>
      <c r="R231" s="236">
        <f t="shared" si="52"/>
        <v>134.83636597716901</v>
      </c>
      <c r="S231" s="240">
        <f t="shared" si="53"/>
        <v>4928.5600000000004</v>
      </c>
      <c r="T231" s="241"/>
      <c r="U231" s="225"/>
      <c r="V231" s="226"/>
      <c r="W231" s="227"/>
      <c r="X231" s="226"/>
      <c r="Y231" s="226"/>
      <c r="Z231" s="226"/>
      <c r="AA231" s="226"/>
      <c r="AB231" s="226"/>
      <c r="AC231" s="226"/>
      <c r="AD231" s="96">
        <f t="shared" si="55"/>
        <v>0</v>
      </c>
      <c r="AE231" s="96">
        <f t="shared" si="56"/>
        <v>0</v>
      </c>
      <c r="AF231" s="96">
        <f t="shared" si="57"/>
        <v>0</v>
      </c>
      <c r="AG231" s="96">
        <f t="shared" si="58"/>
        <v>0</v>
      </c>
      <c r="AH231" s="211" t="str">
        <f t="shared" si="54"/>
        <v>0,;!0,;!0,;!0</v>
      </c>
      <c r="AI231" s="211" t="e">
        <f>INDEX([1]Library!$AL:$AL,MATCH(AH231,[1]Library!$AJ:$AJ,0),1)</f>
        <v>#N/A</v>
      </c>
      <c r="AJ231" s="211" t="e">
        <f>TEXT(INDEX([1]Library!$W:$W,MATCH(AH231,[1]Library!$AJ:$AJ,0),1),"")</f>
        <v>#N/A</v>
      </c>
    </row>
    <row r="232" spans="1:36" ht="25.2" hidden="1" customHeight="1" outlineLevel="2">
      <c r="A232" s="228"/>
      <c r="B232" s="229"/>
      <c r="C232" s="230"/>
      <c r="D232" s="231" t="s">
        <v>260</v>
      </c>
      <c r="E232" s="232"/>
      <c r="F232" s="233"/>
      <c r="G232" s="379"/>
      <c r="H232" s="380">
        <v>2040</v>
      </c>
      <c r="I232" s="234" t="s">
        <v>200</v>
      </c>
      <c r="J232" s="235">
        <v>937.5</v>
      </c>
      <c r="K232" s="236">
        <v>1912500</v>
      </c>
      <c r="L232" s="235">
        <v>0</v>
      </c>
      <c r="M232" s="236">
        <v>0</v>
      </c>
      <c r="N232" s="237">
        <v>0</v>
      </c>
      <c r="O232" s="236">
        <v>0</v>
      </c>
      <c r="P232" s="238">
        <v>1912500</v>
      </c>
      <c r="Q232" s="239">
        <f t="shared" si="51"/>
        <v>1.02876589888564E-3</v>
      </c>
      <c r="R232" s="236">
        <f t="shared" si="52"/>
        <v>102.59312505364301</v>
      </c>
      <c r="S232" s="240">
        <f t="shared" si="53"/>
        <v>3750</v>
      </c>
      <c r="T232" s="241"/>
      <c r="U232" s="225"/>
      <c r="V232" s="226"/>
      <c r="W232" s="227"/>
      <c r="X232" s="226"/>
      <c r="Y232" s="226"/>
      <c r="Z232" s="226"/>
      <c r="AA232" s="226"/>
      <c r="AB232" s="226"/>
      <c r="AC232" s="226"/>
      <c r="AD232" s="96">
        <f t="shared" si="55"/>
        <v>0</v>
      </c>
      <c r="AE232" s="96">
        <f t="shared" si="56"/>
        <v>0</v>
      </c>
      <c r="AF232" s="96">
        <f t="shared" si="57"/>
        <v>0</v>
      </c>
      <c r="AG232" s="96">
        <f t="shared" si="58"/>
        <v>0</v>
      </c>
      <c r="AH232" s="211" t="str">
        <f t="shared" si="54"/>
        <v>0,;!0,;!0,;!0</v>
      </c>
      <c r="AI232" s="211" t="e">
        <f>INDEX([1]Library!$AL:$AL,MATCH(AH232,[1]Library!$AJ:$AJ,0),1)</f>
        <v>#N/A</v>
      </c>
      <c r="AJ232" s="211" t="e">
        <f>TEXT(INDEX([1]Library!$W:$W,MATCH(AH232,[1]Library!$AJ:$AJ,0),1),"")</f>
        <v>#N/A</v>
      </c>
    </row>
    <row r="233" spans="1:36" ht="25.2" hidden="1" customHeight="1" outlineLevel="2">
      <c r="A233" s="228"/>
      <c r="B233" s="229"/>
      <c r="C233" s="230"/>
      <c r="D233" s="231" t="s">
        <v>261</v>
      </c>
      <c r="E233" s="232"/>
      <c r="F233" s="233"/>
      <c r="G233" s="379"/>
      <c r="H233" s="380">
        <v>2040</v>
      </c>
      <c r="I233" s="234" t="s">
        <v>200</v>
      </c>
      <c r="J233" s="235">
        <v>1049.1099999999999</v>
      </c>
      <c r="K233" s="236">
        <v>2140184.4</v>
      </c>
      <c r="L233" s="235">
        <v>0</v>
      </c>
      <c r="M233" s="236">
        <v>0</v>
      </c>
      <c r="N233" s="237">
        <v>0</v>
      </c>
      <c r="O233" s="236">
        <v>0</v>
      </c>
      <c r="P233" s="238">
        <v>2140184.4</v>
      </c>
      <c r="Q233" s="239">
        <f t="shared" si="51"/>
        <v>1.15124116499191E-3</v>
      </c>
      <c r="R233" s="236">
        <f t="shared" si="52"/>
        <v>114.806904986696</v>
      </c>
      <c r="S233" s="240">
        <f t="shared" si="53"/>
        <v>4196.4399999999996</v>
      </c>
      <c r="T233" s="241"/>
      <c r="U233" s="225"/>
      <c r="V233" s="226"/>
      <c r="W233" s="227"/>
      <c r="X233" s="226"/>
      <c r="Y233" s="226"/>
      <c r="Z233" s="226"/>
      <c r="AA233" s="226"/>
      <c r="AB233" s="226"/>
      <c r="AC233" s="226"/>
      <c r="AD233" s="96">
        <f t="shared" si="55"/>
        <v>0</v>
      </c>
      <c r="AE233" s="96">
        <f t="shared" si="56"/>
        <v>0</v>
      </c>
      <c r="AF233" s="96">
        <f t="shared" si="57"/>
        <v>0</v>
      </c>
      <c r="AG233" s="96">
        <f t="shared" si="58"/>
        <v>0</v>
      </c>
      <c r="AH233" s="211" t="str">
        <f t="shared" si="54"/>
        <v>0,;!0,;!0,;!0</v>
      </c>
      <c r="AI233" s="211" t="e">
        <f>INDEX([1]Library!$AL:$AL,MATCH(AH233,[1]Library!$AJ:$AJ,0),1)</f>
        <v>#N/A</v>
      </c>
      <c r="AJ233" s="211" t="e">
        <f>TEXT(INDEX([1]Library!$W:$W,MATCH(AH233,[1]Library!$AJ:$AJ,0),1),"")</f>
        <v>#N/A</v>
      </c>
    </row>
    <row r="234" spans="1:36" ht="25.2" hidden="1" customHeight="1" outlineLevel="2">
      <c r="A234" s="228"/>
      <c r="B234" s="229"/>
      <c r="C234" s="230"/>
      <c r="D234" s="231" t="s">
        <v>262</v>
      </c>
      <c r="E234" s="232"/>
      <c r="F234" s="233"/>
      <c r="G234" s="379"/>
      <c r="H234" s="380">
        <v>2040</v>
      </c>
      <c r="I234" s="234" t="s">
        <v>200</v>
      </c>
      <c r="J234" s="235">
        <v>475</v>
      </c>
      <c r="K234" s="236">
        <v>969000</v>
      </c>
      <c r="L234" s="235">
        <v>0</v>
      </c>
      <c r="M234" s="236">
        <v>0</v>
      </c>
      <c r="N234" s="237">
        <v>0</v>
      </c>
      <c r="O234" s="236">
        <v>0</v>
      </c>
      <c r="P234" s="238">
        <v>969000</v>
      </c>
      <c r="Q234" s="239">
        <f t="shared" si="51"/>
        <v>5.2124138876872303E-4</v>
      </c>
      <c r="R234" s="236">
        <f t="shared" si="52"/>
        <v>51.980516693845999</v>
      </c>
      <c r="S234" s="240">
        <f t="shared" si="53"/>
        <v>1900</v>
      </c>
      <c r="T234" s="241"/>
      <c r="U234" s="225"/>
      <c r="V234" s="226"/>
      <c r="W234" s="227"/>
      <c r="X234" s="226"/>
      <c r="Y234" s="226"/>
      <c r="Z234" s="226"/>
      <c r="AA234" s="226"/>
      <c r="AB234" s="226"/>
      <c r="AC234" s="226"/>
      <c r="AD234" s="96">
        <f t="shared" si="55"/>
        <v>0</v>
      </c>
      <c r="AE234" s="96">
        <f t="shared" si="56"/>
        <v>0</v>
      </c>
      <c r="AF234" s="96">
        <f t="shared" si="57"/>
        <v>0</v>
      </c>
      <c r="AG234" s="96">
        <f t="shared" si="58"/>
        <v>0</v>
      </c>
      <c r="AH234" s="211" t="str">
        <f t="shared" si="54"/>
        <v>0,;!0,;!0,;!0</v>
      </c>
      <c r="AI234" s="211" t="e">
        <f>INDEX([1]Library!$AL:$AL,MATCH(AH234,[1]Library!$AJ:$AJ,0),1)</f>
        <v>#N/A</v>
      </c>
      <c r="AJ234" s="211" t="e">
        <f>TEXT(INDEX([1]Library!$W:$W,MATCH(AH234,[1]Library!$AJ:$AJ,0),1),"")</f>
        <v>#N/A</v>
      </c>
    </row>
    <row r="235" spans="1:36" ht="25.2" hidden="1" customHeight="1" outlineLevel="2">
      <c r="A235" s="228"/>
      <c r="B235" s="229"/>
      <c r="C235" s="230"/>
      <c r="D235" s="231" t="s">
        <v>263</v>
      </c>
      <c r="E235" s="232"/>
      <c r="F235" s="233"/>
      <c r="G235" s="379"/>
      <c r="H235" s="380">
        <v>2040</v>
      </c>
      <c r="I235" s="234" t="s">
        <v>200</v>
      </c>
      <c r="J235" s="235">
        <v>366.07</v>
      </c>
      <c r="K235" s="236">
        <v>746782.8</v>
      </c>
      <c r="L235" s="235">
        <v>0</v>
      </c>
      <c r="M235" s="236">
        <v>0</v>
      </c>
      <c r="N235" s="237">
        <v>0</v>
      </c>
      <c r="O235" s="236">
        <v>0</v>
      </c>
      <c r="P235" s="238">
        <v>746782.8</v>
      </c>
      <c r="Q235" s="239">
        <f t="shared" si="51"/>
        <v>4.0170702144540302E-4</v>
      </c>
      <c r="R235" s="236">
        <f t="shared" si="52"/>
        <v>40.060016307613097</v>
      </c>
      <c r="S235" s="240">
        <f t="shared" si="53"/>
        <v>1464.28</v>
      </c>
      <c r="T235" s="241"/>
      <c r="U235" s="225"/>
      <c r="V235" s="226"/>
      <c r="W235" s="227"/>
      <c r="X235" s="226"/>
      <c r="Y235" s="226"/>
      <c r="Z235" s="226"/>
      <c r="AA235" s="226"/>
      <c r="AB235" s="226"/>
      <c r="AC235" s="226"/>
      <c r="AD235" s="96">
        <f t="shared" si="55"/>
        <v>0</v>
      </c>
      <c r="AE235" s="96">
        <f t="shared" si="56"/>
        <v>0</v>
      </c>
      <c r="AF235" s="96">
        <f t="shared" si="57"/>
        <v>0</v>
      </c>
      <c r="AG235" s="96">
        <f t="shared" si="58"/>
        <v>0</v>
      </c>
      <c r="AH235" s="211" t="str">
        <f t="shared" si="54"/>
        <v>0,;!0,;!0,;!0</v>
      </c>
      <c r="AI235" s="211" t="e">
        <f>INDEX([1]Library!$AL:$AL,MATCH(AH235,[1]Library!$AJ:$AJ,0),1)</f>
        <v>#N/A</v>
      </c>
      <c r="AJ235" s="211" t="e">
        <f>TEXT(INDEX([1]Library!$W:$W,MATCH(AH235,[1]Library!$AJ:$AJ,0),1),"")</f>
        <v>#N/A</v>
      </c>
    </row>
    <row r="236" spans="1:36" ht="25.2" hidden="1" customHeight="1" outlineLevel="2">
      <c r="A236" s="228"/>
      <c r="B236" s="229"/>
      <c r="C236" s="230"/>
      <c r="D236" s="231" t="s">
        <v>264</v>
      </c>
      <c r="E236" s="232"/>
      <c r="F236" s="233"/>
      <c r="G236" s="379"/>
      <c r="H236" s="380">
        <v>2040</v>
      </c>
      <c r="I236" s="234" t="s">
        <v>200</v>
      </c>
      <c r="J236" s="235">
        <v>3125</v>
      </c>
      <c r="K236" s="236">
        <v>6375000</v>
      </c>
      <c r="L236" s="235">
        <v>0</v>
      </c>
      <c r="M236" s="236">
        <v>0</v>
      </c>
      <c r="N236" s="237">
        <v>0</v>
      </c>
      <c r="O236" s="236">
        <v>0</v>
      </c>
      <c r="P236" s="238">
        <v>6375000</v>
      </c>
      <c r="Q236" s="239">
        <f t="shared" si="51"/>
        <v>3.4292196629521301E-3</v>
      </c>
      <c r="R236" s="236">
        <f t="shared" si="52"/>
        <v>341.97708351214499</v>
      </c>
      <c r="S236" s="240">
        <f t="shared" si="53"/>
        <v>12500</v>
      </c>
      <c r="T236" s="241"/>
      <c r="U236" s="225"/>
      <c r="V236" s="226"/>
      <c r="W236" s="227"/>
      <c r="X236" s="226"/>
      <c r="Y236" s="226"/>
      <c r="Z236" s="226"/>
      <c r="AA236" s="226"/>
      <c r="AB236" s="226"/>
      <c r="AC236" s="226"/>
      <c r="AD236" s="96">
        <f t="shared" si="55"/>
        <v>0</v>
      </c>
      <c r="AE236" s="96">
        <f t="shared" si="56"/>
        <v>0</v>
      </c>
      <c r="AF236" s="96">
        <f t="shared" si="57"/>
        <v>0</v>
      </c>
      <c r="AG236" s="96">
        <f t="shared" si="58"/>
        <v>0</v>
      </c>
      <c r="AH236" s="211" t="str">
        <f t="shared" si="54"/>
        <v>0,;!0,;!0,;!0</v>
      </c>
      <c r="AI236" s="211" t="e">
        <f>INDEX([1]Library!$AL:$AL,MATCH(AH236,[1]Library!$AJ:$AJ,0),1)</f>
        <v>#N/A</v>
      </c>
      <c r="AJ236" s="211" t="e">
        <f>TEXT(INDEX([1]Library!$W:$W,MATCH(AH236,[1]Library!$AJ:$AJ,0),1),"")</f>
        <v>#N/A</v>
      </c>
    </row>
    <row r="237" spans="1:36" ht="25.2" customHeight="1" collapsed="1">
      <c r="A237" s="198" t="s">
        <v>265</v>
      </c>
      <c r="B237" s="199" t="s">
        <v>266</v>
      </c>
      <c r="C237" s="200"/>
      <c r="D237" s="200"/>
      <c r="E237" s="201"/>
      <c r="F237" s="202"/>
      <c r="G237" s="379"/>
      <c r="H237" s="378">
        <v>1</v>
      </c>
      <c r="I237" s="203" t="s">
        <v>32</v>
      </c>
      <c r="J237" s="204">
        <v>36431382.0347168</v>
      </c>
      <c r="K237" s="205">
        <v>36431382.0347168</v>
      </c>
      <c r="L237" s="204">
        <v>9539334.1766765807</v>
      </c>
      <c r="M237" s="205">
        <v>9539334.1766765807</v>
      </c>
      <c r="N237" s="204">
        <v>1643596.1296067501</v>
      </c>
      <c r="O237" s="205">
        <v>1643596.1296067501</v>
      </c>
      <c r="P237" s="206">
        <v>47614312.341000199</v>
      </c>
      <c r="Q237" s="207">
        <f t="shared" si="51"/>
        <v>2.5612538998855201E-2</v>
      </c>
      <c r="R237" s="205">
        <f t="shared" si="52"/>
        <v>2554.1966537743701</v>
      </c>
      <c r="S237" s="208">
        <f t="shared" si="53"/>
        <v>93361.396747059203</v>
      </c>
      <c r="T237" s="209"/>
      <c r="U237" s="225"/>
      <c r="V237" s="226"/>
      <c r="W237" s="227"/>
      <c r="X237" s="226"/>
      <c r="Y237" s="226"/>
      <c r="Z237" s="226"/>
      <c r="AA237" s="226"/>
      <c r="AB237" s="226"/>
      <c r="AC237" s="226"/>
      <c r="AD237" s="96">
        <f t="shared" si="55"/>
        <v>0</v>
      </c>
      <c r="AE237" s="96">
        <f t="shared" si="56"/>
        <v>0</v>
      </c>
      <c r="AF237" s="96">
        <f t="shared" si="57"/>
        <v>0</v>
      </c>
      <c r="AG237" s="96">
        <f t="shared" si="58"/>
        <v>0</v>
      </c>
      <c r="AH237" s="211" t="str">
        <f t="shared" si="54"/>
        <v>0,;!0,;!0,;!0</v>
      </c>
      <c r="AI237" s="211" t="e">
        <f>INDEX([1]Library!$AL:$AL,MATCH(AH237,[1]Library!$AJ:$AJ,0),1)</f>
        <v>#N/A</v>
      </c>
      <c r="AJ237" s="211" t="e">
        <f>TEXT(INDEX([1]Library!$W:$W,MATCH(AH237,[1]Library!$AJ:$AJ,0),1),"")</f>
        <v>#N/A</v>
      </c>
    </row>
    <row r="238" spans="1:36" ht="25.2" hidden="1" customHeight="1" outlineLevel="1" collapsed="1">
      <c r="A238" s="213"/>
      <c r="B238" s="214"/>
      <c r="C238" s="215" t="s">
        <v>267</v>
      </c>
      <c r="D238" s="215"/>
      <c r="E238" s="216"/>
      <c r="F238" s="217"/>
      <c r="G238" s="379"/>
      <c r="H238" s="219">
        <v>1</v>
      </c>
      <c r="I238" s="218" t="s">
        <v>32</v>
      </c>
      <c r="J238" s="219">
        <v>290234.88</v>
      </c>
      <c r="K238" s="219">
        <v>290234.88</v>
      </c>
      <c r="L238" s="219">
        <v>64000</v>
      </c>
      <c r="M238" s="219">
        <v>64000</v>
      </c>
      <c r="N238" s="219">
        <v>0</v>
      </c>
      <c r="O238" s="219">
        <v>0</v>
      </c>
      <c r="P238" s="220">
        <v>354234.88</v>
      </c>
      <c r="Q238" s="221">
        <f t="shared" si="51"/>
        <v>1.9054889659599801E-4</v>
      </c>
      <c r="R238" s="222">
        <f t="shared" si="52"/>
        <v>19.002386061282301</v>
      </c>
      <c r="S238" s="223">
        <f t="shared" si="53"/>
        <v>694.57819607843101</v>
      </c>
      <c r="T238" s="224"/>
      <c r="U238" s="225"/>
      <c r="V238" s="226"/>
      <c r="W238" s="227"/>
      <c r="X238" s="226"/>
      <c r="Y238" s="226"/>
      <c r="Z238" s="226"/>
      <c r="AA238" s="226"/>
      <c r="AB238" s="226"/>
      <c r="AC238" s="226"/>
      <c r="AD238" s="96">
        <f t="shared" si="55"/>
        <v>0</v>
      </c>
      <c r="AE238" s="96">
        <f t="shared" si="56"/>
        <v>0</v>
      </c>
      <c r="AF238" s="96">
        <f t="shared" si="57"/>
        <v>0</v>
      </c>
      <c r="AG238" s="96">
        <f t="shared" si="58"/>
        <v>0</v>
      </c>
      <c r="AH238" s="211" t="str">
        <f t="shared" si="54"/>
        <v>0,;!0,;!0,;!0</v>
      </c>
      <c r="AI238" s="211" t="e">
        <f>INDEX([1]Library!$AL:$AL,MATCH(AH238,[1]Library!$AJ:$AJ,0),1)</f>
        <v>#N/A</v>
      </c>
      <c r="AJ238" s="211" t="e">
        <f>TEXT(INDEX([1]Library!$W:$W,MATCH(AH238,[1]Library!$AJ:$AJ,0),1),"")</f>
        <v>#N/A</v>
      </c>
    </row>
    <row r="239" spans="1:36" ht="25.2" hidden="1" customHeight="1" outlineLevel="2">
      <c r="A239" s="228"/>
      <c r="B239" s="229"/>
      <c r="C239" s="230"/>
      <c r="D239" s="231" t="s">
        <v>268</v>
      </c>
      <c r="E239" s="232"/>
      <c r="F239" s="233"/>
      <c r="G239" s="379"/>
      <c r="H239" s="380">
        <v>4</v>
      </c>
      <c r="I239" s="234" t="s">
        <v>200</v>
      </c>
      <c r="J239" s="235">
        <v>36279.360000000001</v>
      </c>
      <c r="K239" s="236">
        <v>145117.44</v>
      </c>
      <c r="L239" s="235">
        <v>8000</v>
      </c>
      <c r="M239" s="236">
        <v>32000</v>
      </c>
      <c r="N239" s="237">
        <v>0</v>
      </c>
      <c r="O239" s="236">
        <v>0</v>
      </c>
      <c r="P239" s="238">
        <v>177117.44</v>
      </c>
      <c r="Q239" s="239">
        <f t="shared" si="51"/>
        <v>9.5274448297999007E-5</v>
      </c>
      <c r="R239" s="236">
        <f t="shared" si="52"/>
        <v>9.5011930306411507</v>
      </c>
      <c r="S239" s="240">
        <f t="shared" si="53"/>
        <v>347.28909803921601</v>
      </c>
      <c r="T239" s="241"/>
      <c r="U239" s="225"/>
      <c r="V239" s="226"/>
      <c r="W239" s="227"/>
      <c r="X239" s="226"/>
      <c r="Y239" s="226"/>
      <c r="Z239" s="226"/>
      <c r="AA239" s="226"/>
      <c r="AB239" s="226"/>
      <c r="AC239" s="226"/>
      <c r="AD239" s="96">
        <f t="shared" si="55"/>
        <v>0</v>
      </c>
      <c r="AE239" s="96">
        <f t="shared" si="56"/>
        <v>0</v>
      </c>
      <c r="AF239" s="96">
        <f t="shared" si="57"/>
        <v>0</v>
      </c>
      <c r="AG239" s="96">
        <f t="shared" si="58"/>
        <v>0</v>
      </c>
      <c r="AH239" s="211" t="str">
        <f t="shared" si="54"/>
        <v>0,;!0,;!0,;!0</v>
      </c>
      <c r="AI239" s="211" t="e">
        <f>INDEX([1]Library!$AL:$AL,MATCH(AH239,[1]Library!$AJ:$AJ,0),1)</f>
        <v>#N/A</v>
      </c>
      <c r="AJ239" s="211" t="e">
        <f>TEXT(INDEX([1]Library!$W:$W,MATCH(AH239,[1]Library!$AJ:$AJ,0),1),"")</f>
        <v>#N/A</v>
      </c>
    </row>
    <row r="240" spans="1:36" ht="25.2" hidden="1" customHeight="1" outlineLevel="2">
      <c r="A240" s="228"/>
      <c r="B240" s="229"/>
      <c r="C240" s="230"/>
      <c r="D240" s="231" t="s">
        <v>269</v>
      </c>
      <c r="E240" s="232"/>
      <c r="F240" s="233"/>
      <c r="G240" s="379"/>
      <c r="H240" s="380">
        <v>4</v>
      </c>
      <c r="I240" s="234" t="s">
        <v>200</v>
      </c>
      <c r="J240" s="235">
        <v>36279.360000000001</v>
      </c>
      <c r="K240" s="236">
        <v>145117.44</v>
      </c>
      <c r="L240" s="235">
        <v>8000</v>
      </c>
      <c r="M240" s="236">
        <v>32000</v>
      </c>
      <c r="N240" s="237">
        <v>0</v>
      </c>
      <c r="O240" s="236">
        <v>0</v>
      </c>
      <c r="P240" s="238">
        <v>177117.44</v>
      </c>
      <c r="Q240" s="239">
        <f t="shared" si="51"/>
        <v>9.5274448297999007E-5</v>
      </c>
      <c r="R240" s="236">
        <f t="shared" si="52"/>
        <v>9.5011930306411507</v>
      </c>
      <c r="S240" s="240">
        <f t="shared" si="53"/>
        <v>347.28909803921601</v>
      </c>
      <c r="T240" s="241"/>
      <c r="U240" s="225"/>
      <c r="V240" s="226"/>
      <c r="W240" s="227"/>
      <c r="X240" s="226"/>
      <c r="Y240" s="226"/>
      <c r="Z240" s="226"/>
      <c r="AA240" s="226"/>
      <c r="AB240" s="226"/>
      <c r="AC240" s="226"/>
      <c r="AD240" s="96">
        <f t="shared" si="55"/>
        <v>0</v>
      </c>
      <c r="AE240" s="96">
        <f t="shared" si="56"/>
        <v>0</v>
      </c>
      <c r="AF240" s="96">
        <f t="shared" si="57"/>
        <v>0</v>
      </c>
      <c r="AG240" s="96">
        <f t="shared" si="58"/>
        <v>0</v>
      </c>
      <c r="AH240" s="211" t="str">
        <f t="shared" si="54"/>
        <v>0,;!0,;!0,;!0</v>
      </c>
      <c r="AI240" s="211" t="e">
        <f>INDEX([1]Library!$AL:$AL,MATCH(AH240,[1]Library!$AJ:$AJ,0),1)</f>
        <v>#N/A</v>
      </c>
      <c r="AJ240" s="211" t="e">
        <f>TEXT(INDEX([1]Library!$W:$W,MATCH(AH240,[1]Library!$AJ:$AJ,0),1),"")</f>
        <v>#N/A</v>
      </c>
    </row>
    <row r="241" spans="1:36" ht="25.2" hidden="1" customHeight="1" outlineLevel="2">
      <c r="A241" s="228"/>
      <c r="B241" s="229"/>
      <c r="C241" s="230"/>
      <c r="D241" s="231" t="s">
        <v>270</v>
      </c>
      <c r="E241" s="232"/>
      <c r="F241" s="233"/>
      <c r="G241" s="379"/>
      <c r="H241" s="380">
        <v>2040</v>
      </c>
      <c r="I241" s="234" t="s">
        <v>200</v>
      </c>
      <c r="J241" s="235">
        <v>0</v>
      </c>
      <c r="K241" s="236">
        <v>0</v>
      </c>
      <c r="L241" s="235">
        <v>0</v>
      </c>
      <c r="M241" s="236">
        <v>0</v>
      </c>
      <c r="N241" s="237">
        <v>0</v>
      </c>
      <c r="O241" s="236">
        <v>0</v>
      </c>
      <c r="P241" s="238">
        <v>0</v>
      </c>
      <c r="Q241" s="239">
        <f t="shared" si="51"/>
        <v>0</v>
      </c>
      <c r="R241" s="236">
        <f t="shared" si="52"/>
        <v>0</v>
      </c>
      <c r="S241" s="240">
        <f t="shared" si="53"/>
        <v>0</v>
      </c>
      <c r="T241" s="241" t="s">
        <v>197</v>
      </c>
      <c r="U241" s="225"/>
      <c r="V241" s="226"/>
      <c r="W241" s="227"/>
      <c r="X241" s="226"/>
      <c r="Y241" s="226"/>
      <c r="Z241" s="226"/>
      <c r="AA241" s="226"/>
      <c r="AB241" s="226"/>
      <c r="AC241" s="226"/>
      <c r="AD241" s="96">
        <f>IF(X241&lt;&gt;0,IF($X241&gt;=AD$12,#REF!,""),Z241)</f>
        <v>0</v>
      </c>
      <c r="AE241" s="96">
        <f>IF(AA241=" ",IF($X241&gt;=AE$12,#REF!,""),AA241)</f>
        <v>0</v>
      </c>
      <c r="AF241" s="96">
        <f>IF(AB241=" ",IF($X241&gt;=AF$12,#REF!,""),AB241)</f>
        <v>0</v>
      </c>
      <c r="AG241" s="96">
        <f>IF(AC241=" ",IF($X241&gt;=AG$12,#REF!,""),AC241)</f>
        <v>0</v>
      </c>
      <c r="AH241" s="211" t="str">
        <f t="shared" si="54"/>
        <v>0,;!0,;!0,;!0</v>
      </c>
      <c r="AI241" s="211" t="e">
        <f>INDEX([1]Library!$AL:$AL,MATCH(AH241,[1]Library!$AJ:$AJ,0),1)</f>
        <v>#N/A</v>
      </c>
      <c r="AJ241" s="211" t="e">
        <f>TEXT(INDEX([1]Library!$W:$W,MATCH(AH241,[1]Library!$AJ:$AJ,0),1),"")</f>
        <v>#N/A</v>
      </c>
    </row>
    <row r="242" spans="1:36" ht="25.2" hidden="1" customHeight="1" outlineLevel="2">
      <c r="A242" s="228"/>
      <c r="B242" s="229"/>
      <c r="C242" s="230"/>
      <c r="D242" s="231" t="s">
        <v>271</v>
      </c>
      <c r="E242" s="232"/>
      <c r="F242" s="233"/>
      <c r="G242" s="379"/>
      <c r="H242" s="380">
        <v>0</v>
      </c>
      <c r="I242" s="234" t="s">
        <v>200</v>
      </c>
      <c r="J242" s="235">
        <v>0</v>
      </c>
      <c r="K242" s="236">
        <v>0</v>
      </c>
      <c r="L242" s="235">
        <v>0</v>
      </c>
      <c r="M242" s="236">
        <v>0</v>
      </c>
      <c r="N242" s="237">
        <v>0</v>
      </c>
      <c r="O242" s="236">
        <v>0</v>
      </c>
      <c r="P242" s="238">
        <v>0</v>
      </c>
      <c r="Q242" s="239">
        <f t="shared" si="51"/>
        <v>0</v>
      </c>
      <c r="R242" s="236">
        <f t="shared" si="52"/>
        <v>0</v>
      </c>
      <c r="S242" s="240">
        <f t="shared" si="53"/>
        <v>0</v>
      </c>
      <c r="T242" s="241" t="s">
        <v>197</v>
      </c>
      <c r="U242" s="225"/>
      <c r="V242" s="226"/>
      <c r="W242" s="227"/>
      <c r="X242" s="226"/>
      <c r="Y242" s="226"/>
      <c r="Z242" s="226"/>
      <c r="AA242" s="226"/>
      <c r="AB242" s="226"/>
      <c r="AC242" s="226"/>
      <c r="AD242" s="96">
        <f t="shared" ref="AD242:AD247" si="59">IF(X242&lt;&gt;0,IF($X242&gt;=AD$12,AD241,""),Z242)</f>
        <v>0</v>
      </c>
      <c r="AE242" s="96">
        <f t="shared" ref="AE242:AE247" si="60">IF(AA242=" ",IF($X242&gt;=AE$12,AE241,""),AA242)</f>
        <v>0</v>
      </c>
      <c r="AF242" s="96">
        <f t="shared" ref="AF242:AF247" si="61">IF(AB242=" ",IF($X242&gt;=AF$12,AF241,""),AB242)</f>
        <v>0</v>
      </c>
      <c r="AG242" s="96">
        <f t="shared" ref="AG242:AG247" si="62">IF(AC242=" ",IF($X242&gt;=AG$12,AG241,""),AC242)</f>
        <v>0</v>
      </c>
      <c r="AH242" s="211" t="str">
        <f t="shared" si="54"/>
        <v>0,;!0,;!0,;!0</v>
      </c>
      <c r="AI242" s="211" t="e">
        <f>INDEX([1]Library!$AL:$AL,MATCH(AH242,[1]Library!$AJ:$AJ,0),1)</f>
        <v>#N/A</v>
      </c>
      <c r="AJ242" s="211" t="e">
        <f>TEXT(INDEX([1]Library!$W:$W,MATCH(AH242,[1]Library!$AJ:$AJ,0),1),"")</f>
        <v>#N/A</v>
      </c>
    </row>
    <row r="243" spans="1:36" ht="25.2" hidden="1" customHeight="1" outlineLevel="1" collapsed="1">
      <c r="A243" s="213"/>
      <c r="B243" s="214"/>
      <c r="C243" s="215" t="s">
        <v>272</v>
      </c>
      <c r="D243" s="215"/>
      <c r="E243" s="216"/>
      <c r="F243" s="217"/>
      <c r="G243" s="379"/>
      <c r="H243" s="219">
        <v>1</v>
      </c>
      <c r="I243" s="218" t="s">
        <v>32</v>
      </c>
      <c r="J243" s="219">
        <v>6313240</v>
      </c>
      <c r="K243" s="219">
        <v>6313240</v>
      </c>
      <c r="L243" s="219">
        <v>1439346</v>
      </c>
      <c r="M243" s="219">
        <v>1439346</v>
      </c>
      <c r="N243" s="219">
        <v>0</v>
      </c>
      <c r="O243" s="219">
        <v>0</v>
      </c>
      <c r="P243" s="220">
        <v>7752586</v>
      </c>
      <c r="Q243" s="221">
        <f t="shared" si="51"/>
        <v>4.1702463294003697E-3</v>
      </c>
      <c r="R243" s="222">
        <f t="shared" si="52"/>
        <v>415.87556862071898</v>
      </c>
      <c r="S243" s="223">
        <f t="shared" si="53"/>
        <v>15201.149019607799</v>
      </c>
      <c r="T243" s="224"/>
      <c r="U243" s="225"/>
      <c r="V243" s="226"/>
      <c r="W243" s="227"/>
      <c r="X243" s="226"/>
      <c r="Y243" s="226"/>
      <c r="Z243" s="226"/>
      <c r="AA243" s="226"/>
      <c r="AB243" s="226"/>
      <c r="AC243" s="226"/>
      <c r="AD243" s="96">
        <f t="shared" si="59"/>
        <v>0</v>
      </c>
      <c r="AE243" s="96">
        <f t="shared" si="60"/>
        <v>0</v>
      </c>
      <c r="AF243" s="96">
        <f t="shared" si="61"/>
        <v>0</v>
      </c>
      <c r="AG243" s="96">
        <f t="shared" si="62"/>
        <v>0</v>
      </c>
      <c r="AH243" s="211" t="str">
        <f t="shared" si="54"/>
        <v>0,;!0,;!0,;!0</v>
      </c>
      <c r="AI243" s="211" t="e">
        <f>INDEX([1]Library!$AL:$AL,MATCH(AH243,[1]Library!$AJ:$AJ,0),1)</f>
        <v>#N/A</v>
      </c>
      <c r="AJ243" s="211" t="e">
        <f>TEXT(INDEX([1]Library!$W:$W,MATCH(AH243,[1]Library!$AJ:$AJ,0),1),"")</f>
        <v>#N/A</v>
      </c>
    </row>
    <row r="244" spans="1:36" ht="25.2" hidden="1" customHeight="1" outlineLevel="2">
      <c r="A244" s="228"/>
      <c r="B244" s="229"/>
      <c r="C244" s="230"/>
      <c r="D244" s="231" t="s">
        <v>273</v>
      </c>
      <c r="E244" s="232"/>
      <c r="F244" s="233"/>
      <c r="G244" s="379"/>
      <c r="H244" s="380">
        <v>2040</v>
      </c>
      <c r="I244" s="234" t="s">
        <v>200</v>
      </c>
      <c r="J244" s="235">
        <v>1750</v>
      </c>
      <c r="K244" s="236">
        <v>3570000</v>
      </c>
      <c r="L244" s="235">
        <v>500</v>
      </c>
      <c r="M244" s="236">
        <v>1020000</v>
      </c>
      <c r="N244" s="237">
        <v>0</v>
      </c>
      <c r="O244" s="236">
        <v>0</v>
      </c>
      <c r="P244" s="238">
        <v>4590000</v>
      </c>
      <c r="Q244" s="239">
        <f t="shared" si="51"/>
        <v>2.46903815732553E-3</v>
      </c>
      <c r="R244" s="236">
        <f t="shared" si="52"/>
        <v>246.22350012874401</v>
      </c>
      <c r="S244" s="240">
        <f t="shared" si="53"/>
        <v>9000</v>
      </c>
      <c r="T244" s="241"/>
      <c r="U244" s="225"/>
      <c r="V244" s="226"/>
      <c r="W244" s="227"/>
      <c r="X244" s="226"/>
      <c r="Y244" s="226"/>
      <c r="Z244" s="226"/>
      <c r="AA244" s="226"/>
      <c r="AB244" s="226"/>
      <c r="AC244" s="226"/>
      <c r="AD244" s="96">
        <f t="shared" si="59"/>
        <v>0</v>
      </c>
      <c r="AE244" s="96">
        <f t="shared" si="60"/>
        <v>0</v>
      </c>
      <c r="AF244" s="96">
        <f t="shared" si="61"/>
        <v>0</v>
      </c>
      <c r="AG244" s="96">
        <f t="shared" si="62"/>
        <v>0</v>
      </c>
      <c r="AH244" s="211" t="str">
        <f t="shared" si="54"/>
        <v>0,;!0,;!0,;!0</v>
      </c>
      <c r="AI244" s="211" t="e">
        <f>INDEX([1]Library!$AL:$AL,MATCH(AH244,[1]Library!$AJ:$AJ,0),1)</f>
        <v>#N/A</v>
      </c>
      <c r="AJ244" s="211" t="e">
        <f>TEXT(INDEX([1]Library!$W:$W,MATCH(AH244,[1]Library!$AJ:$AJ,0),1),"")</f>
        <v>#N/A</v>
      </c>
    </row>
    <row r="245" spans="1:36" ht="25.2" hidden="1" customHeight="1" outlineLevel="2">
      <c r="A245" s="228"/>
      <c r="B245" s="229"/>
      <c r="C245" s="230"/>
      <c r="D245" s="231" t="s">
        <v>274</v>
      </c>
      <c r="E245" s="232"/>
      <c r="F245" s="233"/>
      <c r="G245" s="379"/>
      <c r="H245" s="380">
        <v>2040</v>
      </c>
      <c r="I245" s="234" t="s">
        <v>200</v>
      </c>
      <c r="J245" s="235">
        <v>0</v>
      </c>
      <c r="K245" s="236">
        <v>0</v>
      </c>
      <c r="L245" s="235">
        <v>0</v>
      </c>
      <c r="M245" s="236">
        <v>0</v>
      </c>
      <c r="N245" s="237">
        <v>0</v>
      </c>
      <c r="O245" s="236">
        <v>0</v>
      </c>
      <c r="P245" s="238">
        <v>0</v>
      </c>
      <c r="Q245" s="239">
        <f t="shared" si="51"/>
        <v>0</v>
      </c>
      <c r="R245" s="236">
        <f t="shared" si="52"/>
        <v>0</v>
      </c>
      <c r="S245" s="240">
        <f t="shared" si="53"/>
        <v>0</v>
      </c>
      <c r="T245" s="241" t="s">
        <v>197</v>
      </c>
      <c r="U245" s="225"/>
      <c r="V245" s="226"/>
      <c r="W245" s="227"/>
      <c r="X245" s="226"/>
      <c r="Y245" s="226"/>
      <c r="Z245" s="226"/>
      <c r="AA245" s="226"/>
      <c r="AB245" s="226"/>
      <c r="AC245" s="226"/>
      <c r="AD245" s="96">
        <f t="shared" si="59"/>
        <v>0</v>
      </c>
      <c r="AE245" s="96">
        <f t="shared" si="60"/>
        <v>0</v>
      </c>
      <c r="AF245" s="96">
        <f t="shared" si="61"/>
        <v>0</v>
      </c>
      <c r="AG245" s="96">
        <f t="shared" si="62"/>
        <v>0</v>
      </c>
      <c r="AH245" s="211" t="str">
        <f t="shared" si="54"/>
        <v>0,;!0,;!0,;!0</v>
      </c>
      <c r="AI245" s="211" t="e">
        <f>INDEX([1]Library!$AL:$AL,MATCH(AH245,[1]Library!$AJ:$AJ,0),1)</f>
        <v>#N/A</v>
      </c>
      <c r="AJ245" s="211" t="e">
        <f>TEXT(INDEX([1]Library!$W:$W,MATCH(AH245,[1]Library!$AJ:$AJ,0),1),"")</f>
        <v>#N/A</v>
      </c>
    </row>
    <row r="246" spans="1:36" ht="25.2" hidden="1" customHeight="1" outlineLevel="2">
      <c r="A246" s="228"/>
      <c r="B246" s="229"/>
      <c r="C246" s="230"/>
      <c r="D246" s="231" t="s">
        <v>275</v>
      </c>
      <c r="E246" s="232"/>
      <c r="F246" s="233"/>
      <c r="G246" s="379"/>
      <c r="H246" s="380">
        <v>8</v>
      </c>
      <c r="I246" s="234" t="s">
        <v>200</v>
      </c>
      <c r="J246" s="235">
        <v>200900</v>
      </c>
      <c r="K246" s="236">
        <v>1607200</v>
      </c>
      <c r="L246" s="235">
        <v>30135</v>
      </c>
      <c r="M246" s="236">
        <v>241080</v>
      </c>
      <c r="N246" s="237">
        <v>0</v>
      </c>
      <c r="O246" s="236">
        <v>0</v>
      </c>
      <c r="P246" s="238">
        <v>1848280</v>
      </c>
      <c r="Q246" s="239">
        <f t="shared" si="51"/>
        <v>9.942208813554761E-4</v>
      </c>
      <c r="R246" s="236">
        <f t="shared" si="52"/>
        <v>99.148141790404296</v>
      </c>
      <c r="S246" s="240">
        <f t="shared" si="53"/>
        <v>3624.0784313725499</v>
      </c>
      <c r="T246" s="241"/>
      <c r="U246" s="225"/>
      <c r="V246" s="226"/>
      <c r="W246" s="227"/>
      <c r="X246" s="226"/>
      <c r="Y246" s="226"/>
      <c r="Z246" s="226"/>
      <c r="AA246" s="226"/>
      <c r="AB246" s="226"/>
      <c r="AC246" s="226"/>
      <c r="AD246" s="96">
        <f t="shared" si="59"/>
        <v>0</v>
      </c>
      <c r="AE246" s="96">
        <f t="shared" si="60"/>
        <v>0</v>
      </c>
      <c r="AF246" s="96">
        <f t="shared" si="61"/>
        <v>0</v>
      </c>
      <c r="AG246" s="96">
        <f t="shared" si="62"/>
        <v>0</v>
      </c>
      <c r="AH246" s="211" t="str">
        <f t="shared" si="54"/>
        <v>0,;!0,;!0,;!0</v>
      </c>
      <c r="AI246" s="211" t="e">
        <f>INDEX([1]Library!$AL:$AL,MATCH(AH246,[1]Library!$AJ:$AJ,0),1)</f>
        <v>#N/A</v>
      </c>
      <c r="AJ246" s="211" t="e">
        <f>TEXT(INDEX([1]Library!$W:$W,MATCH(AH246,[1]Library!$AJ:$AJ,0),1),"")</f>
        <v>#N/A</v>
      </c>
    </row>
    <row r="247" spans="1:36" ht="25.2" hidden="1" customHeight="1" outlineLevel="2">
      <c r="A247" s="228"/>
      <c r="B247" s="229"/>
      <c r="C247" s="230"/>
      <c r="D247" s="231" t="s">
        <v>276</v>
      </c>
      <c r="E247" s="232"/>
      <c r="F247" s="233"/>
      <c r="G247" s="379"/>
      <c r="H247" s="380">
        <v>4</v>
      </c>
      <c r="I247" s="234" t="s">
        <v>200</v>
      </c>
      <c r="J247" s="235">
        <v>180810</v>
      </c>
      <c r="K247" s="236">
        <v>723240</v>
      </c>
      <c r="L247" s="235">
        <v>27121.5</v>
      </c>
      <c r="M247" s="236">
        <v>108486</v>
      </c>
      <c r="N247" s="237">
        <v>0</v>
      </c>
      <c r="O247" s="236">
        <v>0</v>
      </c>
      <c r="P247" s="238">
        <v>831726</v>
      </c>
      <c r="Q247" s="239">
        <f t="shared" si="51"/>
        <v>4.4739939660996402E-4</v>
      </c>
      <c r="R247" s="236">
        <f t="shared" si="52"/>
        <v>44.616663805681902</v>
      </c>
      <c r="S247" s="240">
        <f t="shared" si="53"/>
        <v>1630.8352941176499</v>
      </c>
      <c r="T247" s="241"/>
      <c r="U247" s="225"/>
      <c r="V247" s="226"/>
      <c r="W247" s="227"/>
      <c r="X247" s="226"/>
      <c r="Y247" s="226"/>
      <c r="Z247" s="226"/>
      <c r="AA247" s="226"/>
      <c r="AB247" s="226"/>
      <c r="AC247" s="226"/>
      <c r="AD247" s="96">
        <f t="shared" si="59"/>
        <v>0</v>
      </c>
      <c r="AE247" s="96">
        <f t="shared" si="60"/>
        <v>0</v>
      </c>
      <c r="AF247" s="96">
        <f t="shared" si="61"/>
        <v>0</v>
      </c>
      <c r="AG247" s="96">
        <f t="shared" si="62"/>
        <v>0</v>
      </c>
      <c r="AH247" s="211" t="str">
        <f t="shared" si="54"/>
        <v>0,;!0,;!0,;!0</v>
      </c>
      <c r="AI247" s="211" t="e">
        <f>INDEX([1]Library!$AL:$AL,MATCH(AH247,[1]Library!$AJ:$AJ,0),1)</f>
        <v>#N/A</v>
      </c>
      <c r="AJ247" s="211" t="e">
        <f>TEXT(INDEX([1]Library!$W:$W,MATCH(AH247,[1]Library!$AJ:$AJ,0),1),"")</f>
        <v>#N/A</v>
      </c>
    </row>
    <row r="248" spans="1:36" ht="25.2" hidden="1" customHeight="1" outlineLevel="2">
      <c r="A248" s="228"/>
      <c r="B248" s="229"/>
      <c r="C248" s="230"/>
      <c r="D248" s="231" t="s">
        <v>277</v>
      </c>
      <c r="E248" s="232"/>
      <c r="F248" s="233"/>
      <c r="G248" s="379"/>
      <c r="H248" s="380">
        <v>4</v>
      </c>
      <c r="I248" s="234" t="s">
        <v>200</v>
      </c>
      <c r="J248" s="235">
        <v>5800</v>
      </c>
      <c r="K248" s="236">
        <v>23200</v>
      </c>
      <c r="L248" s="235">
        <v>1500</v>
      </c>
      <c r="M248" s="236">
        <v>6000</v>
      </c>
      <c r="N248" s="237">
        <v>0</v>
      </c>
      <c r="O248" s="236">
        <v>0</v>
      </c>
      <c r="P248" s="238">
        <v>29200</v>
      </c>
      <c r="Q248" s="239">
        <f t="shared" si="51"/>
        <v>1.57071708483454E-5</v>
      </c>
      <c r="R248" s="236">
        <f t="shared" si="52"/>
        <v>1.5663891511458199</v>
      </c>
      <c r="S248" s="240">
        <f t="shared" si="53"/>
        <v>57.254901960784302</v>
      </c>
      <c r="T248" s="241"/>
      <c r="U248" s="225"/>
      <c r="V248" s="226"/>
      <c r="W248" s="227"/>
      <c r="X248" s="226"/>
      <c r="Y248" s="226"/>
      <c r="Z248" s="226"/>
      <c r="AA248" s="226"/>
      <c r="AB248" s="226"/>
      <c r="AC248" s="226"/>
      <c r="AD248" s="96">
        <f>IF(X248&lt;&gt;0,IF($X248&gt;=AD$12,#REF!,""),Z248)</f>
        <v>0</v>
      </c>
      <c r="AE248" s="96">
        <f>IF(AA248=" ",IF($X248&gt;=AE$12,#REF!,""),AA248)</f>
        <v>0</v>
      </c>
      <c r="AF248" s="96">
        <f>IF(AB248=" ",IF($X248&gt;=AF$12,#REF!,""),AB248)</f>
        <v>0</v>
      </c>
      <c r="AG248" s="96">
        <f>IF(AC248=" ",IF($X248&gt;=AG$12,#REF!,""),AC248)</f>
        <v>0</v>
      </c>
      <c r="AH248" s="211" t="str">
        <f t="shared" si="54"/>
        <v>0,;!0,;!0,;!0</v>
      </c>
      <c r="AI248" s="211" t="e">
        <f>INDEX([1]Library!$AL:$AL,MATCH(AH248,[1]Library!$AJ:$AJ,0),1)</f>
        <v>#N/A</v>
      </c>
      <c r="AJ248" s="211" t="e">
        <f>TEXT(INDEX([1]Library!$W:$W,MATCH(AH248,[1]Library!$AJ:$AJ,0),1),"")</f>
        <v>#N/A</v>
      </c>
    </row>
    <row r="249" spans="1:36" ht="25.2" hidden="1" customHeight="1" outlineLevel="2">
      <c r="A249" s="228"/>
      <c r="B249" s="229"/>
      <c r="C249" s="230"/>
      <c r="D249" s="231" t="s">
        <v>278</v>
      </c>
      <c r="E249" s="232"/>
      <c r="F249" s="233"/>
      <c r="G249" s="379"/>
      <c r="H249" s="380">
        <v>4</v>
      </c>
      <c r="I249" s="234" t="s">
        <v>200</v>
      </c>
      <c r="J249" s="235">
        <v>5550</v>
      </c>
      <c r="K249" s="236">
        <v>22200</v>
      </c>
      <c r="L249" s="235">
        <v>1500</v>
      </c>
      <c r="M249" s="236">
        <v>6000</v>
      </c>
      <c r="N249" s="237">
        <v>0</v>
      </c>
      <c r="O249" s="236">
        <v>0</v>
      </c>
      <c r="P249" s="238">
        <v>28200</v>
      </c>
      <c r="Q249" s="239">
        <f t="shared" si="51"/>
        <v>1.51692540384706E-5</v>
      </c>
      <c r="R249" s="236">
        <f t="shared" si="52"/>
        <v>1.5127456870654901</v>
      </c>
      <c r="S249" s="240">
        <f t="shared" si="53"/>
        <v>55.294117647058798</v>
      </c>
      <c r="T249" s="241"/>
      <c r="U249" s="225"/>
      <c r="V249" s="226"/>
      <c r="W249" s="227"/>
      <c r="X249" s="226"/>
      <c r="Y249" s="226"/>
      <c r="Z249" s="226"/>
      <c r="AA249" s="226"/>
      <c r="AB249" s="226"/>
      <c r="AC249" s="226"/>
      <c r="AD249" s="96">
        <f>IF(X249&lt;&gt;0,IF($X249&gt;=AD$12,#REF!,""),Z249)</f>
        <v>0</v>
      </c>
      <c r="AE249" s="96">
        <f>IF(AA249=" ",IF($X249&gt;=AE$12,#REF!,""),AA249)</f>
        <v>0</v>
      </c>
      <c r="AF249" s="96">
        <f>IF(AB249=" ",IF($X249&gt;=AF$12,#REF!,""),AB249)</f>
        <v>0</v>
      </c>
      <c r="AG249" s="96">
        <f>IF(AC249=" ",IF($X249&gt;=AG$12,#REF!,""),AC249)</f>
        <v>0</v>
      </c>
      <c r="AH249" s="211" t="str">
        <f t="shared" si="54"/>
        <v>0,;!0,;!0,;!0</v>
      </c>
      <c r="AI249" s="211" t="e">
        <f>INDEX([1]Library!$AL:$AL,MATCH(AH249,[1]Library!$AJ:$AJ,0),1)</f>
        <v>#N/A</v>
      </c>
      <c r="AJ249" s="211" t="e">
        <f>TEXT(INDEX([1]Library!$W:$W,MATCH(AH249,[1]Library!$AJ:$AJ,0),1),"")</f>
        <v>#N/A</v>
      </c>
    </row>
    <row r="250" spans="1:36" ht="25.2" hidden="1" customHeight="1" outlineLevel="2">
      <c r="A250" s="228"/>
      <c r="B250" s="229"/>
      <c r="C250" s="230"/>
      <c r="D250" s="231" t="s">
        <v>279</v>
      </c>
      <c r="E250" s="232"/>
      <c r="F250" s="233"/>
      <c r="G250" s="379"/>
      <c r="H250" s="380">
        <v>4</v>
      </c>
      <c r="I250" s="234" t="s">
        <v>200</v>
      </c>
      <c r="J250" s="235">
        <v>51000</v>
      </c>
      <c r="K250" s="236">
        <v>204000</v>
      </c>
      <c r="L250" s="235">
        <v>7650</v>
      </c>
      <c r="M250" s="236">
        <v>30600</v>
      </c>
      <c r="N250" s="237">
        <v>0</v>
      </c>
      <c r="O250" s="236">
        <v>0</v>
      </c>
      <c r="P250" s="238">
        <v>234600</v>
      </c>
      <c r="Q250" s="239">
        <f t="shared" si="51"/>
        <v>1.2619528359663799E-4</v>
      </c>
      <c r="R250" s="236">
        <f t="shared" si="52"/>
        <v>12.584756673246901</v>
      </c>
      <c r="S250" s="240">
        <f t="shared" si="53"/>
        <v>460</v>
      </c>
      <c r="T250" s="241"/>
      <c r="U250" s="225"/>
      <c r="V250" s="226"/>
      <c r="W250" s="227"/>
      <c r="X250" s="226"/>
      <c r="Y250" s="226"/>
      <c r="Z250" s="226"/>
      <c r="AA250" s="226"/>
      <c r="AB250" s="226"/>
      <c r="AC250" s="226"/>
      <c r="AD250" s="96">
        <f>IF(X250&lt;&gt;0,IF($X250&gt;=AD$12,AD249,""),Z250)</f>
        <v>0</v>
      </c>
      <c r="AE250" s="96">
        <f>IF(AA250=" ",IF($X250&gt;=AE$12,AE249,""),AA250)</f>
        <v>0</v>
      </c>
      <c r="AF250" s="96">
        <f>IF(AB250=" ",IF($X250&gt;=AF$12,AF249,""),AB250)</f>
        <v>0</v>
      </c>
      <c r="AG250" s="96">
        <f>IF(AC250=" ",IF($X250&gt;=AG$12,AG249,""),AC250)</f>
        <v>0</v>
      </c>
      <c r="AH250" s="211" t="str">
        <f t="shared" si="54"/>
        <v>0,;!0,;!0,;!0</v>
      </c>
      <c r="AI250" s="211" t="e">
        <f>INDEX([1]Library!$AL:$AL,MATCH(AH250,[1]Library!$AJ:$AJ,0),1)</f>
        <v>#N/A</v>
      </c>
      <c r="AJ250" s="211" t="e">
        <f>TEXT(INDEX([1]Library!$W:$W,MATCH(AH250,[1]Library!$AJ:$AJ,0),1),"")</f>
        <v>#N/A</v>
      </c>
    </row>
    <row r="251" spans="1:36" ht="25.2" hidden="1" customHeight="1" outlineLevel="2">
      <c r="A251" s="228"/>
      <c r="B251" s="229"/>
      <c r="C251" s="230"/>
      <c r="D251" s="231" t="s">
        <v>280</v>
      </c>
      <c r="E251" s="232"/>
      <c r="F251" s="233"/>
      <c r="G251" s="379"/>
      <c r="H251" s="380">
        <v>4</v>
      </c>
      <c r="I251" s="234" t="s">
        <v>200</v>
      </c>
      <c r="J251" s="235">
        <v>9800</v>
      </c>
      <c r="K251" s="236">
        <v>39200</v>
      </c>
      <c r="L251" s="235">
        <v>1470</v>
      </c>
      <c r="M251" s="236">
        <v>5880</v>
      </c>
      <c r="N251" s="237">
        <v>0</v>
      </c>
      <c r="O251" s="236">
        <v>0</v>
      </c>
      <c r="P251" s="238">
        <v>45080</v>
      </c>
      <c r="Q251" s="239">
        <f t="shared" si="51"/>
        <v>2.4249289789157902E-5</v>
      </c>
      <c r="R251" s="236">
        <f t="shared" si="52"/>
        <v>2.41824736074157</v>
      </c>
      <c r="S251" s="240">
        <f t="shared" si="53"/>
        <v>88.392156862745097</v>
      </c>
      <c r="T251" s="241"/>
      <c r="U251" s="225"/>
      <c r="V251" s="226"/>
      <c r="W251" s="227"/>
      <c r="X251" s="226"/>
      <c r="Y251" s="226"/>
      <c r="Z251" s="226"/>
      <c r="AA251" s="226"/>
      <c r="AB251" s="226"/>
      <c r="AC251" s="226"/>
      <c r="AD251" s="96">
        <f>IF(X251&lt;&gt;0,IF($X251&gt;=AD$12,#REF!,""),Z251)</f>
        <v>0</v>
      </c>
      <c r="AE251" s="96">
        <f>IF(AA251=" ",IF($X251&gt;=AE$12,#REF!,""),AA251)</f>
        <v>0</v>
      </c>
      <c r="AF251" s="96">
        <f>IF(AB251=" ",IF($X251&gt;=AF$12,#REF!,""),AB251)</f>
        <v>0</v>
      </c>
      <c r="AG251" s="96">
        <f>IF(AC251=" ",IF($X251&gt;=AG$12,#REF!,""),AC251)</f>
        <v>0</v>
      </c>
      <c r="AH251" s="211" t="str">
        <f t="shared" si="54"/>
        <v>0,;!0,;!0,;!0</v>
      </c>
      <c r="AI251" s="211" t="e">
        <f>INDEX([1]Library!$AL:$AL,MATCH(AH251,[1]Library!$AJ:$AJ,0),1)</f>
        <v>#N/A</v>
      </c>
      <c r="AJ251" s="211" t="e">
        <f>TEXT(INDEX([1]Library!$W:$W,MATCH(AH251,[1]Library!$AJ:$AJ,0),1),"")</f>
        <v>#N/A</v>
      </c>
    </row>
    <row r="252" spans="1:36" ht="25.2" hidden="1" customHeight="1" outlineLevel="2">
      <c r="A252" s="228"/>
      <c r="B252" s="229"/>
      <c r="C252" s="230"/>
      <c r="D252" s="231" t="s">
        <v>281</v>
      </c>
      <c r="E252" s="232"/>
      <c r="F252" s="233"/>
      <c r="G252" s="379"/>
      <c r="H252" s="380">
        <v>4</v>
      </c>
      <c r="I252" s="234" t="s">
        <v>200</v>
      </c>
      <c r="J252" s="235">
        <v>25500</v>
      </c>
      <c r="K252" s="236">
        <v>102000</v>
      </c>
      <c r="L252" s="235">
        <v>3825</v>
      </c>
      <c r="M252" s="236">
        <v>15300</v>
      </c>
      <c r="N252" s="237">
        <v>0</v>
      </c>
      <c r="O252" s="236">
        <v>0</v>
      </c>
      <c r="P252" s="238">
        <v>117300</v>
      </c>
      <c r="Q252" s="239">
        <f t="shared" si="51"/>
        <v>6.3097641798319103E-5</v>
      </c>
      <c r="R252" s="236">
        <f t="shared" si="52"/>
        <v>6.2923783366234698</v>
      </c>
      <c r="S252" s="240">
        <f t="shared" si="53"/>
        <v>230</v>
      </c>
      <c r="T252" s="241"/>
      <c r="U252" s="225"/>
      <c r="V252" s="226"/>
      <c r="W252" s="227"/>
      <c r="X252" s="226"/>
      <c r="Y252" s="226"/>
      <c r="Z252" s="226"/>
      <c r="AA252" s="226"/>
      <c r="AB252" s="226"/>
      <c r="AC252" s="226"/>
      <c r="AD252" s="96">
        <f t="shared" ref="AD252:AD277" si="63">IF(X252&lt;&gt;0,IF($X252&gt;=AD$12,AD251,""),Z252)</f>
        <v>0</v>
      </c>
      <c r="AE252" s="96">
        <f t="shared" ref="AE252:AE277" si="64">IF(AA252=" ",IF($X252&gt;=AE$12,AE251,""),AA252)</f>
        <v>0</v>
      </c>
      <c r="AF252" s="96">
        <f t="shared" ref="AF252:AF277" si="65">IF(AB252=" ",IF($X252&gt;=AF$12,AF251,""),AB252)</f>
        <v>0</v>
      </c>
      <c r="AG252" s="96">
        <f t="shared" ref="AG252:AG277" si="66">IF(AC252=" ",IF($X252&gt;=AG$12,AG251,""),AC252)</f>
        <v>0</v>
      </c>
      <c r="AH252" s="211" t="str">
        <f t="shared" si="54"/>
        <v>0,;!0,;!0,;!0</v>
      </c>
      <c r="AI252" s="211" t="e">
        <f>INDEX([1]Library!$AL:$AL,MATCH(AH252,[1]Library!$AJ:$AJ,0),1)</f>
        <v>#N/A</v>
      </c>
      <c r="AJ252" s="211" t="e">
        <f>TEXT(INDEX([1]Library!$W:$W,MATCH(AH252,[1]Library!$AJ:$AJ,0),1),"")</f>
        <v>#N/A</v>
      </c>
    </row>
    <row r="253" spans="1:36" ht="25.2" hidden="1" customHeight="1" outlineLevel="2">
      <c r="A253" s="228"/>
      <c r="B253" s="229"/>
      <c r="C253" s="230"/>
      <c r="D253" s="231" t="s">
        <v>282</v>
      </c>
      <c r="E253" s="232"/>
      <c r="F253" s="233"/>
      <c r="G253" s="379"/>
      <c r="H253" s="380">
        <v>4</v>
      </c>
      <c r="I253" s="234" t="s">
        <v>200</v>
      </c>
      <c r="J253" s="235">
        <v>5550</v>
      </c>
      <c r="K253" s="236">
        <v>22200</v>
      </c>
      <c r="L253" s="235">
        <v>1500</v>
      </c>
      <c r="M253" s="236">
        <v>6000</v>
      </c>
      <c r="N253" s="237">
        <v>0</v>
      </c>
      <c r="O253" s="236">
        <v>0</v>
      </c>
      <c r="P253" s="238">
        <v>28200</v>
      </c>
      <c r="Q253" s="239">
        <f t="shared" si="51"/>
        <v>1.51692540384706E-5</v>
      </c>
      <c r="R253" s="236">
        <f t="shared" si="52"/>
        <v>1.5127456870654901</v>
      </c>
      <c r="S253" s="240">
        <f t="shared" si="53"/>
        <v>55.294117647058798</v>
      </c>
      <c r="T253" s="241"/>
      <c r="U253" s="225"/>
      <c r="V253" s="226"/>
      <c r="W253" s="227"/>
      <c r="X253" s="226"/>
      <c r="Y253" s="226"/>
      <c r="Z253" s="226"/>
      <c r="AA253" s="226"/>
      <c r="AB253" s="226"/>
      <c r="AC253" s="226"/>
      <c r="AD253" s="96">
        <f t="shared" si="63"/>
        <v>0</v>
      </c>
      <c r="AE253" s="96">
        <f t="shared" si="64"/>
        <v>0</v>
      </c>
      <c r="AF253" s="96">
        <f t="shared" si="65"/>
        <v>0</v>
      </c>
      <c r="AG253" s="96">
        <f t="shared" si="66"/>
        <v>0</v>
      </c>
      <c r="AH253" s="211" t="str">
        <f t="shared" si="54"/>
        <v>0,;!0,;!0,;!0</v>
      </c>
      <c r="AI253" s="211" t="e">
        <f>INDEX([1]Library!$AL:$AL,MATCH(AH253,[1]Library!$AJ:$AJ,0),1)</f>
        <v>#N/A</v>
      </c>
      <c r="AJ253" s="211" t="e">
        <f>TEXT(INDEX([1]Library!$W:$W,MATCH(AH253,[1]Library!$AJ:$AJ,0),1),"")</f>
        <v>#N/A</v>
      </c>
    </row>
    <row r="254" spans="1:36" ht="25.2" hidden="1" customHeight="1" outlineLevel="1" collapsed="1">
      <c r="A254" s="213"/>
      <c r="B254" s="214"/>
      <c r="C254" s="215" t="s">
        <v>283</v>
      </c>
      <c r="D254" s="215"/>
      <c r="E254" s="216"/>
      <c r="F254" s="217"/>
      <c r="G254" s="379"/>
      <c r="H254" s="219">
        <v>1</v>
      </c>
      <c r="I254" s="218" t="s">
        <v>32</v>
      </c>
      <c r="J254" s="219">
        <v>49092.37</v>
      </c>
      <c r="K254" s="219">
        <v>49092.37</v>
      </c>
      <c r="L254" s="219">
        <v>13805.2071428571</v>
      </c>
      <c r="M254" s="219">
        <v>13805.2071428571</v>
      </c>
      <c r="N254" s="219">
        <v>0</v>
      </c>
      <c r="O254" s="219">
        <v>0</v>
      </c>
      <c r="P254" s="220">
        <v>62897.577142857102</v>
      </c>
      <c r="Q254" s="221">
        <f t="shared" si="51"/>
        <v>3.3833664045542599E-5</v>
      </c>
      <c r="R254" s="222">
        <f t="shared" si="52"/>
        <v>3.3740439202030501</v>
      </c>
      <c r="S254" s="223">
        <f t="shared" si="53"/>
        <v>123.328582633053</v>
      </c>
      <c r="T254" s="224"/>
      <c r="U254" s="225"/>
      <c r="V254" s="226"/>
      <c r="W254" s="227"/>
      <c r="X254" s="226"/>
      <c r="Y254" s="226"/>
      <c r="Z254" s="226"/>
      <c r="AA254" s="226"/>
      <c r="AB254" s="226"/>
      <c r="AC254" s="226"/>
      <c r="AD254" s="96">
        <f t="shared" si="63"/>
        <v>0</v>
      </c>
      <c r="AE254" s="96">
        <f t="shared" si="64"/>
        <v>0</v>
      </c>
      <c r="AF254" s="96">
        <f t="shared" si="65"/>
        <v>0</v>
      </c>
      <c r="AG254" s="96">
        <f t="shared" si="66"/>
        <v>0</v>
      </c>
      <c r="AH254" s="211" t="str">
        <f t="shared" si="54"/>
        <v>0,;!0,;!0,;!0</v>
      </c>
      <c r="AI254" s="211" t="e">
        <f>INDEX([1]Library!$AL:$AL,MATCH(AH254,[1]Library!$AJ:$AJ,0),1)</f>
        <v>#N/A</v>
      </c>
      <c r="AJ254" s="211" t="e">
        <f>TEXT(INDEX([1]Library!$W:$W,MATCH(AH254,[1]Library!$AJ:$AJ,0),1),"")</f>
        <v>#N/A</v>
      </c>
    </row>
    <row r="255" spans="1:36" ht="25.2" hidden="1" customHeight="1" outlineLevel="2">
      <c r="A255" s="228"/>
      <c r="B255" s="229"/>
      <c r="C255" s="230"/>
      <c r="D255" s="231" t="s">
        <v>284</v>
      </c>
      <c r="E255" s="232"/>
      <c r="F255" s="233"/>
      <c r="G255" s="379"/>
      <c r="H255" s="380">
        <v>1</v>
      </c>
      <c r="I255" s="234" t="s">
        <v>32</v>
      </c>
      <c r="J255" s="235">
        <v>35237.892857142899</v>
      </c>
      <c r="K255" s="236">
        <v>35237.892857142899</v>
      </c>
      <c r="L255" s="235">
        <v>10571.367857142901</v>
      </c>
      <c r="M255" s="236">
        <v>10571.367857142901</v>
      </c>
      <c r="N255" s="237">
        <v>0</v>
      </c>
      <c r="O255" s="236">
        <v>0</v>
      </c>
      <c r="P255" s="238">
        <v>45809.260714285701</v>
      </c>
      <c r="Q255" s="239">
        <f t="shared" si="51"/>
        <v>2.4641571386153602E-5</v>
      </c>
      <c r="R255" s="236">
        <f t="shared" si="52"/>
        <v>2.4573674316735499</v>
      </c>
      <c r="S255" s="240">
        <f t="shared" si="53"/>
        <v>89.822079831932797</v>
      </c>
      <c r="T255" s="241"/>
      <c r="U255" s="225"/>
      <c r="V255" s="226"/>
      <c r="W255" s="227"/>
      <c r="X255" s="226"/>
      <c r="Y255" s="226"/>
      <c r="Z255" s="226"/>
      <c r="AA255" s="226"/>
      <c r="AB255" s="226"/>
      <c r="AC255" s="226"/>
      <c r="AD255" s="96">
        <f t="shared" si="63"/>
        <v>0</v>
      </c>
      <c r="AE255" s="96">
        <f t="shared" si="64"/>
        <v>0</v>
      </c>
      <c r="AF255" s="96">
        <f t="shared" si="65"/>
        <v>0</v>
      </c>
      <c r="AG255" s="96">
        <f t="shared" si="66"/>
        <v>0</v>
      </c>
      <c r="AH255" s="211" t="str">
        <f t="shared" si="54"/>
        <v>0,;!0,;!0,;!0</v>
      </c>
      <c r="AI255" s="211" t="e">
        <f>INDEX([1]Library!$AL:$AL,MATCH(AH255,[1]Library!$AJ:$AJ,0),1)</f>
        <v>#N/A</v>
      </c>
      <c r="AJ255" s="211" t="e">
        <f>TEXT(INDEX([1]Library!$W:$W,MATCH(AH255,[1]Library!$AJ:$AJ,0),1),"")</f>
        <v>#N/A</v>
      </c>
    </row>
    <row r="256" spans="1:36" ht="25.2" hidden="1" customHeight="1" outlineLevel="2">
      <c r="A256" s="242"/>
      <c r="B256" s="243"/>
      <c r="C256" s="244"/>
      <c r="D256" s="245"/>
      <c r="E256" s="246" t="s">
        <v>285</v>
      </c>
      <c r="F256" s="247"/>
      <c r="G256" s="381"/>
      <c r="H256" s="382">
        <v>52</v>
      </c>
      <c r="I256" s="248" t="s">
        <v>176</v>
      </c>
      <c r="J256" s="249">
        <v>368.98392857142898</v>
      </c>
      <c r="K256" s="250">
        <v>19187.164285714302</v>
      </c>
      <c r="L256" s="249">
        <v>110.695178571429</v>
      </c>
      <c r="M256" s="250">
        <v>5756.1492857142803</v>
      </c>
      <c r="N256" s="251">
        <v>0</v>
      </c>
      <c r="O256" s="250">
        <v>0</v>
      </c>
      <c r="P256" s="252">
        <v>24943.3135714286</v>
      </c>
      <c r="Q256" s="253">
        <f t="shared" si="51"/>
        <v>1.34174276640507E-5</v>
      </c>
      <c r="R256" s="254">
        <f t="shared" si="52"/>
        <v>1.3380457456135</v>
      </c>
      <c r="S256" s="255">
        <f t="shared" si="53"/>
        <v>48.908457983193301</v>
      </c>
      <c r="T256" s="256"/>
      <c r="U256" s="225"/>
      <c r="V256" s="226"/>
      <c r="W256" s="227"/>
      <c r="X256" s="226"/>
      <c r="Y256" s="226"/>
      <c r="Z256" s="226"/>
      <c r="AA256" s="226"/>
      <c r="AB256" s="226"/>
      <c r="AC256" s="226"/>
      <c r="AD256" s="96">
        <f t="shared" si="63"/>
        <v>0</v>
      </c>
      <c r="AE256" s="96">
        <f t="shared" si="64"/>
        <v>0</v>
      </c>
      <c r="AF256" s="96">
        <f t="shared" si="65"/>
        <v>0</v>
      </c>
      <c r="AG256" s="96">
        <f t="shared" si="66"/>
        <v>0</v>
      </c>
      <c r="AH256" s="211" t="str">
        <f t="shared" si="54"/>
        <v>0,;!0,;!0,;!0</v>
      </c>
      <c r="AI256" s="211" t="e">
        <f>INDEX([1]Library!$AL:$AL,MATCH(AH256,[1]Library!$AJ:$AJ,0),1)</f>
        <v>#N/A</v>
      </c>
      <c r="AJ256" s="211" t="e">
        <f>TEXT(INDEX([1]Library!$W:$W,MATCH(AH256,[1]Library!$AJ:$AJ,0),1),"")</f>
        <v>#N/A</v>
      </c>
    </row>
    <row r="257" spans="1:36" ht="25.2" hidden="1" customHeight="1" outlineLevel="2">
      <c r="A257" s="242"/>
      <c r="B257" s="243"/>
      <c r="C257" s="244"/>
      <c r="D257" s="245"/>
      <c r="E257" s="246" t="s">
        <v>286</v>
      </c>
      <c r="F257" s="247"/>
      <c r="G257" s="381"/>
      <c r="H257" s="382">
        <v>52</v>
      </c>
      <c r="I257" s="248" t="s">
        <v>176</v>
      </c>
      <c r="J257" s="249">
        <v>308.66785714285697</v>
      </c>
      <c r="K257" s="250">
        <v>16050.728571428601</v>
      </c>
      <c r="L257" s="249">
        <v>92.600357142857206</v>
      </c>
      <c r="M257" s="250">
        <v>4815.2185714285697</v>
      </c>
      <c r="N257" s="251">
        <v>0</v>
      </c>
      <c r="O257" s="250">
        <v>0</v>
      </c>
      <c r="P257" s="252">
        <v>20865.947142857101</v>
      </c>
      <c r="Q257" s="253">
        <f t="shared" si="51"/>
        <v>1.12241437221028E-5</v>
      </c>
      <c r="R257" s="254">
        <f t="shared" si="52"/>
        <v>1.1193216860600499</v>
      </c>
      <c r="S257" s="255">
        <f t="shared" si="53"/>
        <v>40.913621848739403</v>
      </c>
      <c r="T257" s="256"/>
      <c r="U257" s="225"/>
      <c r="V257" s="226"/>
      <c r="W257" s="227"/>
      <c r="X257" s="226"/>
      <c r="Y257" s="226"/>
      <c r="Z257" s="226"/>
      <c r="AA257" s="226"/>
      <c r="AB257" s="226"/>
      <c r="AC257" s="226"/>
      <c r="AD257" s="96">
        <f t="shared" si="63"/>
        <v>0</v>
      </c>
      <c r="AE257" s="96">
        <f t="shared" si="64"/>
        <v>0</v>
      </c>
      <c r="AF257" s="96">
        <f t="shared" si="65"/>
        <v>0</v>
      </c>
      <c r="AG257" s="96">
        <f t="shared" si="66"/>
        <v>0</v>
      </c>
      <c r="AH257" s="211" t="str">
        <f t="shared" si="54"/>
        <v>0,;!0,;!0,;!0</v>
      </c>
      <c r="AI257" s="211" t="e">
        <f>INDEX([1]Library!$AL:$AL,MATCH(AH257,[1]Library!$AJ:$AJ,0),1)</f>
        <v>#N/A</v>
      </c>
      <c r="AJ257" s="211" t="e">
        <f>TEXT(INDEX([1]Library!$W:$W,MATCH(AH257,[1]Library!$AJ:$AJ,0),1),"")</f>
        <v>#N/A</v>
      </c>
    </row>
    <row r="258" spans="1:36" ht="25.2" hidden="1" customHeight="1" outlineLevel="2">
      <c r="A258" s="228"/>
      <c r="B258" s="229"/>
      <c r="C258" s="230"/>
      <c r="D258" s="231" t="s">
        <v>287</v>
      </c>
      <c r="E258" s="232"/>
      <c r="F258" s="233"/>
      <c r="G258" s="379"/>
      <c r="H258" s="380">
        <v>1</v>
      </c>
      <c r="I258" s="234" t="s">
        <v>32</v>
      </c>
      <c r="J258" s="235">
        <v>13854.4771428571</v>
      </c>
      <c r="K258" s="236">
        <v>13854.4771428571</v>
      </c>
      <c r="L258" s="235">
        <v>3233.8392857142899</v>
      </c>
      <c r="M258" s="236">
        <v>3233.8392857142899</v>
      </c>
      <c r="N258" s="237">
        <v>0</v>
      </c>
      <c r="O258" s="236">
        <v>0</v>
      </c>
      <c r="P258" s="238">
        <v>17088.316428571401</v>
      </c>
      <c r="Q258" s="239">
        <f t="shared" si="51"/>
        <v>9.1920926593890297E-6</v>
      </c>
      <c r="R258" s="236">
        <f t="shared" si="52"/>
        <v>0.91667648852949302</v>
      </c>
      <c r="S258" s="240">
        <f t="shared" si="53"/>
        <v>33.506502801120398</v>
      </c>
      <c r="T258" s="241"/>
      <c r="U258" s="225"/>
      <c r="V258" s="226"/>
      <c r="W258" s="227"/>
      <c r="X258" s="226"/>
      <c r="Y258" s="226"/>
      <c r="Z258" s="226"/>
      <c r="AA258" s="226"/>
      <c r="AB258" s="226"/>
      <c r="AC258" s="226"/>
      <c r="AD258" s="96">
        <f t="shared" si="63"/>
        <v>0</v>
      </c>
      <c r="AE258" s="96">
        <f t="shared" si="64"/>
        <v>0</v>
      </c>
      <c r="AF258" s="96">
        <f t="shared" si="65"/>
        <v>0</v>
      </c>
      <c r="AG258" s="96">
        <f t="shared" si="66"/>
        <v>0</v>
      </c>
      <c r="AH258" s="211" t="str">
        <f t="shared" si="54"/>
        <v>0,;!0,;!0,;!0</v>
      </c>
      <c r="AI258" s="211" t="e">
        <f>INDEX([1]Library!$AL:$AL,MATCH(AH258,[1]Library!$AJ:$AJ,0),1)</f>
        <v>#N/A</v>
      </c>
      <c r="AJ258" s="211" t="e">
        <f>TEXT(INDEX([1]Library!$W:$W,MATCH(AH258,[1]Library!$AJ:$AJ,0),1),"")</f>
        <v>#N/A</v>
      </c>
    </row>
    <row r="259" spans="1:36" ht="25.2" hidden="1" customHeight="1" outlineLevel="2">
      <c r="A259" s="242"/>
      <c r="B259" s="243"/>
      <c r="C259" s="244"/>
      <c r="D259" s="245"/>
      <c r="E259" s="246" t="s">
        <v>288</v>
      </c>
      <c r="F259" s="247"/>
      <c r="G259" s="381"/>
      <c r="H259" s="382">
        <v>4</v>
      </c>
      <c r="I259" s="248" t="s">
        <v>289</v>
      </c>
      <c r="J259" s="249">
        <v>2229.7800000000002</v>
      </c>
      <c r="K259" s="250">
        <v>8919.1200000000008</v>
      </c>
      <c r="L259" s="249">
        <v>500</v>
      </c>
      <c r="M259" s="250">
        <v>2000</v>
      </c>
      <c r="N259" s="251">
        <v>0</v>
      </c>
      <c r="O259" s="250">
        <v>0</v>
      </c>
      <c r="P259" s="252">
        <v>10919.12</v>
      </c>
      <c r="Q259" s="253">
        <f t="shared" si="51"/>
        <v>5.8735781970406004E-6</v>
      </c>
      <c r="R259" s="254">
        <f t="shared" si="52"/>
        <v>0.58573942150888303</v>
      </c>
      <c r="S259" s="255">
        <f t="shared" si="53"/>
        <v>21.4100392156863</v>
      </c>
      <c r="T259" s="256"/>
      <c r="U259" s="225"/>
      <c r="V259" s="226"/>
      <c r="W259" s="227"/>
      <c r="X259" s="226"/>
      <c r="Y259" s="226"/>
      <c r="Z259" s="226"/>
      <c r="AA259" s="226"/>
      <c r="AB259" s="226"/>
      <c r="AC259" s="226"/>
      <c r="AD259" s="96">
        <f t="shared" si="63"/>
        <v>0</v>
      </c>
      <c r="AE259" s="96">
        <f t="shared" si="64"/>
        <v>0</v>
      </c>
      <c r="AF259" s="96">
        <f t="shared" si="65"/>
        <v>0</v>
      </c>
      <c r="AG259" s="96">
        <f t="shared" si="66"/>
        <v>0</v>
      </c>
      <c r="AH259" s="211" t="str">
        <f t="shared" si="54"/>
        <v>0,;!0,;!0,;!0</v>
      </c>
      <c r="AI259" s="211" t="e">
        <f>INDEX([1]Library!$AL:$AL,MATCH(AH259,[1]Library!$AJ:$AJ,0),1)</f>
        <v>#N/A</v>
      </c>
      <c r="AJ259" s="211" t="e">
        <f>TEXT(INDEX([1]Library!$W:$W,MATCH(AH259,[1]Library!$AJ:$AJ,0),1),"")</f>
        <v>#N/A</v>
      </c>
    </row>
    <row r="260" spans="1:36" ht="25.2" hidden="1" customHeight="1" outlineLevel="2">
      <c r="A260" s="242"/>
      <c r="B260" s="243"/>
      <c r="C260" s="244"/>
      <c r="D260" s="245"/>
      <c r="E260" s="246" t="s">
        <v>290</v>
      </c>
      <c r="F260" s="247"/>
      <c r="G260" s="381"/>
      <c r="H260" s="382">
        <v>156</v>
      </c>
      <c r="I260" s="248" t="s">
        <v>176</v>
      </c>
      <c r="J260" s="249">
        <v>22.9821428571429</v>
      </c>
      <c r="K260" s="250">
        <v>3585.2142857142899</v>
      </c>
      <c r="L260" s="249">
        <v>5.7455357142857304</v>
      </c>
      <c r="M260" s="250">
        <v>896.30357142857304</v>
      </c>
      <c r="N260" s="251">
        <v>0</v>
      </c>
      <c r="O260" s="250">
        <v>0</v>
      </c>
      <c r="P260" s="252">
        <v>4481.5178571428696</v>
      </c>
      <c r="Q260" s="253">
        <f t="shared" si="51"/>
        <v>2.4106837891114399E-6</v>
      </c>
      <c r="R260" s="254">
        <f t="shared" si="52"/>
        <v>0.24040414219503001</v>
      </c>
      <c r="S260" s="255">
        <f t="shared" si="53"/>
        <v>8.7872899159664097</v>
      </c>
      <c r="T260" s="256"/>
      <c r="U260" s="225"/>
      <c r="V260" s="226"/>
      <c r="W260" s="227"/>
      <c r="X260" s="226"/>
      <c r="Y260" s="226"/>
      <c r="Z260" s="226"/>
      <c r="AA260" s="226"/>
      <c r="AB260" s="226"/>
      <c r="AC260" s="226"/>
      <c r="AD260" s="96">
        <f t="shared" si="63"/>
        <v>0</v>
      </c>
      <c r="AE260" s="96">
        <f t="shared" si="64"/>
        <v>0</v>
      </c>
      <c r="AF260" s="96">
        <f t="shared" si="65"/>
        <v>0</v>
      </c>
      <c r="AG260" s="96">
        <f t="shared" si="66"/>
        <v>0</v>
      </c>
      <c r="AH260" s="211" t="str">
        <f t="shared" si="54"/>
        <v>0,;!0,;!0,;!0</v>
      </c>
      <c r="AI260" s="211" t="e">
        <f>INDEX([1]Library!$AL:$AL,MATCH(AH260,[1]Library!$AJ:$AJ,0),1)</f>
        <v>#N/A</v>
      </c>
      <c r="AJ260" s="211" t="e">
        <f>TEXT(INDEX([1]Library!$W:$W,MATCH(AH260,[1]Library!$AJ:$AJ,0),1),"")</f>
        <v>#N/A</v>
      </c>
    </row>
    <row r="261" spans="1:36" ht="25.2" hidden="1" customHeight="1" outlineLevel="2">
      <c r="A261" s="242"/>
      <c r="B261" s="243"/>
      <c r="C261" s="244"/>
      <c r="D261" s="245"/>
      <c r="E261" s="246" t="s">
        <v>291</v>
      </c>
      <c r="F261" s="247"/>
      <c r="G261" s="381"/>
      <c r="H261" s="382">
        <v>52</v>
      </c>
      <c r="I261" s="248" t="s">
        <v>176</v>
      </c>
      <c r="J261" s="249">
        <v>25.964285714285701</v>
      </c>
      <c r="K261" s="250">
        <v>1350.1428571428601</v>
      </c>
      <c r="L261" s="249">
        <v>6.4910714285714297</v>
      </c>
      <c r="M261" s="250">
        <v>337.53571428571399</v>
      </c>
      <c r="N261" s="251">
        <v>0</v>
      </c>
      <c r="O261" s="250">
        <v>0</v>
      </c>
      <c r="P261" s="252">
        <v>1687.67857142857</v>
      </c>
      <c r="Q261" s="253">
        <f t="shared" si="51"/>
        <v>9.0783067323698997E-7</v>
      </c>
      <c r="R261" s="254">
        <f t="shared" si="52"/>
        <v>9.0532924825582006E-2</v>
      </c>
      <c r="S261" s="255">
        <f t="shared" si="53"/>
        <v>3.3091736694677798</v>
      </c>
      <c r="T261" s="256"/>
      <c r="U261" s="225"/>
      <c r="V261" s="226"/>
      <c r="W261" s="227"/>
      <c r="X261" s="226"/>
      <c r="Y261" s="226"/>
      <c r="Z261" s="226"/>
      <c r="AA261" s="226"/>
      <c r="AB261" s="226"/>
      <c r="AC261" s="226"/>
      <c r="AD261" s="96">
        <f t="shared" si="63"/>
        <v>0</v>
      </c>
      <c r="AE261" s="96">
        <f t="shared" si="64"/>
        <v>0</v>
      </c>
      <c r="AF261" s="96">
        <f t="shared" si="65"/>
        <v>0</v>
      </c>
      <c r="AG261" s="96">
        <f t="shared" si="66"/>
        <v>0</v>
      </c>
      <c r="AH261" s="211" t="str">
        <f t="shared" si="54"/>
        <v>0,;!0,;!0,;!0</v>
      </c>
      <c r="AI261" s="211" t="e">
        <f>INDEX([1]Library!$AL:$AL,MATCH(AH261,[1]Library!$AJ:$AJ,0),1)</f>
        <v>#N/A</v>
      </c>
      <c r="AJ261" s="211" t="e">
        <f>TEXT(INDEX([1]Library!$W:$W,MATCH(AH261,[1]Library!$AJ:$AJ,0),1),"")</f>
        <v>#N/A</v>
      </c>
    </row>
    <row r="262" spans="1:36" ht="25.2" hidden="1" customHeight="1" outlineLevel="1" collapsed="1">
      <c r="A262" s="213"/>
      <c r="B262" s="214"/>
      <c r="C262" s="215" t="s">
        <v>292</v>
      </c>
      <c r="D262" s="215"/>
      <c r="E262" s="216"/>
      <c r="F262" s="217"/>
      <c r="G262" s="379"/>
      <c r="H262" s="219">
        <v>1</v>
      </c>
      <c r="I262" s="218" t="s">
        <v>32</v>
      </c>
      <c r="J262" s="219">
        <v>675410.68007662799</v>
      </c>
      <c r="K262" s="219">
        <v>675410.68007662799</v>
      </c>
      <c r="L262" s="219">
        <v>193640.14607279701</v>
      </c>
      <c r="M262" s="219">
        <v>193640.14607279701</v>
      </c>
      <c r="N262" s="219">
        <v>0</v>
      </c>
      <c r="O262" s="219">
        <v>0</v>
      </c>
      <c r="P262" s="220">
        <v>869050.826149425</v>
      </c>
      <c r="Q262" s="221">
        <f t="shared" si="51"/>
        <v>4.6747704802139599E-4</v>
      </c>
      <c r="R262" s="222">
        <f t="shared" si="52"/>
        <v>46.618896776533397</v>
      </c>
      <c r="S262" s="223">
        <f t="shared" si="53"/>
        <v>1704.02122774397</v>
      </c>
      <c r="T262" s="224"/>
      <c r="U262" s="225"/>
      <c r="V262" s="226"/>
      <c r="W262" s="227"/>
      <c r="X262" s="226"/>
      <c r="Y262" s="226"/>
      <c r="Z262" s="226"/>
      <c r="AA262" s="226"/>
      <c r="AB262" s="226"/>
      <c r="AC262" s="226"/>
      <c r="AD262" s="96">
        <f t="shared" si="63"/>
        <v>0</v>
      </c>
      <c r="AE262" s="96">
        <f t="shared" si="64"/>
        <v>0</v>
      </c>
      <c r="AF262" s="96">
        <f t="shared" si="65"/>
        <v>0</v>
      </c>
      <c r="AG262" s="96">
        <f t="shared" si="66"/>
        <v>0</v>
      </c>
      <c r="AH262" s="211" t="str">
        <f t="shared" si="54"/>
        <v>0,;!0,;!0,;!0</v>
      </c>
      <c r="AI262" s="211" t="e">
        <f>INDEX([1]Library!$AL:$AL,MATCH(AH262,[1]Library!$AJ:$AJ,0),1)</f>
        <v>#N/A</v>
      </c>
      <c r="AJ262" s="211" t="e">
        <f>TEXT(INDEX([1]Library!$W:$W,MATCH(AH262,[1]Library!$AJ:$AJ,0),1),"")</f>
        <v>#N/A</v>
      </c>
    </row>
    <row r="263" spans="1:36" ht="25.2" hidden="1" customHeight="1" outlineLevel="2">
      <c r="A263" s="228"/>
      <c r="B263" s="229"/>
      <c r="C263" s="230"/>
      <c r="D263" s="231" t="s">
        <v>293</v>
      </c>
      <c r="E263" s="232"/>
      <c r="F263" s="233"/>
      <c r="G263" s="379"/>
      <c r="H263" s="380">
        <v>1</v>
      </c>
      <c r="I263" s="234" t="s">
        <v>32</v>
      </c>
      <c r="J263" s="235">
        <v>35410.6800766284</v>
      </c>
      <c r="K263" s="236">
        <v>35410.6800766284</v>
      </c>
      <c r="L263" s="235">
        <v>33640.146072796902</v>
      </c>
      <c r="M263" s="236">
        <v>33640.146072796902</v>
      </c>
      <c r="N263" s="237">
        <v>0</v>
      </c>
      <c r="O263" s="236">
        <v>0</v>
      </c>
      <c r="P263" s="238">
        <v>69050.826149425295</v>
      </c>
      <c r="Q263" s="239">
        <f t="shared" si="51"/>
        <v>3.7143600121521297E-5</v>
      </c>
      <c r="R263" s="236">
        <f t="shared" si="52"/>
        <v>3.70412551226425</v>
      </c>
      <c r="S263" s="240">
        <f t="shared" si="53"/>
        <v>135.39377676357901</v>
      </c>
      <c r="T263" s="241"/>
      <c r="U263" s="225"/>
      <c r="V263" s="226"/>
      <c r="W263" s="227"/>
      <c r="X263" s="226"/>
      <c r="Y263" s="226"/>
      <c r="Z263" s="226"/>
      <c r="AA263" s="226"/>
      <c r="AB263" s="226"/>
      <c r="AC263" s="226"/>
      <c r="AD263" s="96">
        <f t="shared" si="63"/>
        <v>0</v>
      </c>
      <c r="AE263" s="96">
        <f t="shared" si="64"/>
        <v>0</v>
      </c>
      <c r="AF263" s="96">
        <f t="shared" si="65"/>
        <v>0</v>
      </c>
      <c r="AG263" s="96">
        <f t="shared" si="66"/>
        <v>0</v>
      </c>
      <c r="AH263" s="211" t="str">
        <f t="shared" si="54"/>
        <v>0,;!0,;!0,;!0</v>
      </c>
      <c r="AI263" s="211" t="e">
        <f>INDEX([1]Library!$AL:$AL,MATCH(AH263,[1]Library!$AJ:$AJ,0),1)</f>
        <v>#N/A</v>
      </c>
      <c r="AJ263" s="211" t="e">
        <f>TEXT(INDEX([1]Library!$W:$W,MATCH(AH263,[1]Library!$AJ:$AJ,0),1),"")</f>
        <v>#N/A</v>
      </c>
    </row>
    <row r="264" spans="1:36" ht="25.2" hidden="1" customHeight="1" outlineLevel="2">
      <c r="A264" s="242"/>
      <c r="B264" s="243"/>
      <c r="C264" s="244"/>
      <c r="D264" s="245"/>
      <c r="E264" s="246" t="s">
        <v>294</v>
      </c>
      <c r="F264" s="247"/>
      <c r="G264" s="381"/>
      <c r="H264" s="382">
        <v>20</v>
      </c>
      <c r="I264" s="248" t="s">
        <v>295</v>
      </c>
      <c r="J264" s="249">
        <v>1770.53400383142</v>
      </c>
      <c r="K264" s="250">
        <v>35410.6800766284</v>
      </c>
      <c r="L264" s="249">
        <v>1682.0073036398501</v>
      </c>
      <c r="M264" s="250">
        <v>33640.146072796902</v>
      </c>
      <c r="N264" s="251">
        <v>0</v>
      </c>
      <c r="O264" s="250">
        <v>0</v>
      </c>
      <c r="P264" s="252">
        <v>69050.826149425295</v>
      </c>
      <c r="Q264" s="253">
        <f t="shared" si="51"/>
        <v>3.7143600121521297E-5</v>
      </c>
      <c r="R264" s="254">
        <f t="shared" si="52"/>
        <v>3.70412551226425</v>
      </c>
      <c r="S264" s="255">
        <f t="shared" si="53"/>
        <v>135.39377676357901</v>
      </c>
      <c r="T264" s="256"/>
      <c r="U264" s="225"/>
      <c r="V264" s="226"/>
      <c r="W264" s="227"/>
      <c r="X264" s="226"/>
      <c r="Y264" s="226"/>
      <c r="Z264" s="226"/>
      <c r="AA264" s="226"/>
      <c r="AB264" s="226"/>
      <c r="AC264" s="226"/>
      <c r="AD264" s="96">
        <f t="shared" si="63"/>
        <v>0</v>
      </c>
      <c r="AE264" s="96">
        <f t="shared" si="64"/>
        <v>0</v>
      </c>
      <c r="AF264" s="96">
        <f t="shared" si="65"/>
        <v>0</v>
      </c>
      <c r="AG264" s="96">
        <f t="shared" si="66"/>
        <v>0</v>
      </c>
      <c r="AH264" s="211" t="str">
        <f t="shared" si="54"/>
        <v>0,;!0,;!0,;!0</v>
      </c>
      <c r="AI264" s="211" t="e">
        <f>INDEX([1]Library!$AL:$AL,MATCH(AH264,[1]Library!$AJ:$AJ,0),1)</f>
        <v>#N/A</v>
      </c>
      <c r="AJ264" s="211" t="e">
        <f>TEXT(INDEX([1]Library!$W:$W,MATCH(AH264,[1]Library!$AJ:$AJ,0),1),"")</f>
        <v>#N/A</v>
      </c>
    </row>
    <row r="265" spans="1:36" ht="25.2" hidden="1" customHeight="1" outlineLevel="2">
      <c r="A265" s="228"/>
      <c r="B265" s="229"/>
      <c r="C265" s="230"/>
      <c r="D265" s="231" t="s">
        <v>296</v>
      </c>
      <c r="E265" s="232"/>
      <c r="F265" s="233"/>
      <c r="G265" s="379"/>
      <c r="H265" s="380">
        <v>1</v>
      </c>
      <c r="I265" s="234" t="s">
        <v>32</v>
      </c>
      <c r="J265" s="235">
        <v>640000</v>
      </c>
      <c r="K265" s="236">
        <v>640000</v>
      </c>
      <c r="L265" s="235">
        <v>160000</v>
      </c>
      <c r="M265" s="236">
        <v>160000</v>
      </c>
      <c r="N265" s="237">
        <v>0</v>
      </c>
      <c r="O265" s="236">
        <v>0</v>
      </c>
      <c r="P265" s="238">
        <v>800000</v>
      </c>
      <c r="Q265" s="239">
        <f t="shared" si="51"/>
        <v>4.3033344789987499E-4</v>
      </c>
      <c r="R265" s="236">
        <f t="shared" si="52"/>
        <v>42.914771264269199</v>
      </c>
      <c r="S265" s="240">
        <f t="shared" si="53"/>
        <v>1568.62745098039</v>
      </c>
      <c r="T265" s="241"/>
      <c r="U265" s="225"/>
      <c r="V265" s="226"/>
      <c r="W265" s="227"/>
      <c r="X265" s="226"/>
      <c r="Y265" s="226"/>
      <c r="Z265" s="226"/>
      <c r="AA265" s="226"/>
      <c r="AB265" s="226"/>
      <c r="AC265" s="226"/>
      <c r="AD265" s="96">
        <f t="shared" si="63"/>
        <v>0</v>
      </c>
      <c r="AE265" s="96">
        <f t="shared" si="64"/>
        <v>0</v>
      </c>
      <c r="AF265" s="96">
        <f t="shared" si="65"/>
        <v>0</v>
      </c>
      <c r="AG265" s="96">
        <f t="shared" si="66"/>
        <v>0</v>
      </c>
      <c r="AH265" s="211" t="str">
        <f t="shared" si="54"/>
        <v>0,;!0,;!0,;!0</v>
      </c>
      <c r="AI265" s="211" t="e">
        <f>INDEX([1]Library!$AL:$AL,MATCH(AH265,[1]Library!$AJ:$AJ,0),1)</f>
        <v>#N/A</v>
      </c>
      <c r="AJ265" s="211" t="e">
        <f>TEXT(INDEX([1]Library!$W:$W,MATCH(AH265,[1]Library!$AJ:$AJ,0),1),"")</f>
        <v>#N/A</v>
      </c>
    </row>
    <row r="266" spans="1:36" ht="25.2" hidden="1" customHeight="1" outlineLevel="2">
      <c r="A266" s="242"/>
      <c r="B266" s="243"/>
      <c r="C266" s="244"/>
      <c r="D266" s="245"/>
      <c r="E266" s="246" t="s">
        <v>297</v>
      </c>
      <c r="F266" s="247"/>
      <c r="G266" s="381"/>
      <c r="H266" s="382">
        <v>4</v>
      </c>
      <c r="I266" s="248" t="s">
        <v>200</v>
      </c>
      <c r="J266" s="249">
        <v>35000</v>
      </c>
      <c r="K266" s="250">
        <v>140000</v>
      </c>
      <c r="L266" s="249">
        <v>10000</v>
      </c>
      <c r="M266" s="250">
        <v>40000</v>
      </c>
      <c r="N266" s="251">
        <v>0</v>
      </c>
      <c r="O266" s="250">
        <v>0</v>
      </c>
      <c r="P266" s="252">
        <v>180000</v>
      </c>
      <c r="Q266" s="253">
        <f t="shared" si="51"/>
        <v>9.68250257774718E-5</v>
      </c>
      <c r="R266" s="254">
        <f t="shared" si="52"/>
        <v>9.6558235344605592</v>
      </c>
      <c r="S266" s="255">
        <f t="shared" si="53"/>
        <v>352.941176470588</v>
      </c>
      <c r="T266" s="256"/>
      <c r="U266" s="225"/>
      <c r="V266" s="226"/>
      <c r="W266" s="227"/>
      <c r="X266" s="226"/>
      <c r="Y266" s="226"/>
      <c r="Z266" s="226"/>
      <c r="AA266" s="226"/>
      <c r="AB266" s="226"/>
      <c r="AC266" s="226"/>
      <c r="AD266" s="96">
        <f t="shared" si="63"/>
        <v>0</v>
      </c>
      <c r="AE266" s="96">
        <f t="shared" si="64"/>
        <v>0</v>
      </c>
      <c r="AF266" s="96">
        <f t="shared" si="65"/>
        <v>0</v>
      </c>
      <c r="AG266" s="96">
        <f t="shared" si="66"/>
        <v>0</v>
      </c>
      <c r="AH266" s="211" t="str">
        <f t="shared" si="54"/>
        <v>0,;!0,;!0,;!0</v>
      </c>
      <c r="AI266" s="211" t="e">
        <f>INDEX([1]Library!$AL:$AL,MATCH(AH266,[1]Library!$AJ:$AJ,0),1)</f>
        <v>#N/A</v>
      </c>
      <c r="AJ266" s="211" t="e">
        <f>TEXT(INDEX([1]Library!$W:$W,MATCH(AH266,[1]Library!$AJ:$AJ,0),1),"")</f>
        <v>#N/A</v>
      </c>
    </row>
    <row r="267" spans="1:36" ht="25.2" hidden="1" customHeight="1" outlineLevel="2">
      <c r="A267" s="242"/>
      <c r="B267" s="243"/>
      <c r="C267" s="244"/>
      <c r="D267" s="245"/>
      <c r="E267" s="246" t="s">
        <v>298</v>
      </c>
      <c r="F267" s="247"/>
      <c r="G267" s="381"/>
      <c r="H267" s="382">
        <v>4</v>
      </c>
      <c r="I267" s="248" t="s">
        <v>200</v>
      </c>
      <c r="J267" s="249">
        <v>75000</v>
      </c>
      <c r="K267" s="250">
        <v>300000</v>
      </c>
      <c r="L267" s="249">
        <v>10000</v>
      </c>
      <c r="M267" s="250">
        <v>40000</v>
      </c>
      <c r="N267" s="251">
        <v>0</v>
      </c>
      <c r="O267" s="250">
        <v>0</v>
      </c>
      <c r="P267" s="252">
        <v>340000</v>
      </c>
      <c r="Q267" s="253">
        <f t="shared" si="51"/>
        <v>1.8289171535744699E-4</v>
      </c>
      <c r="R267" s="254">
        <f t="shared" si="52"/>
        <v>18.238777787314401</v>
      </c>
      <c r="S267" s="255">
        <f t="shared" si="53"/>
        <v>666.66666666666697</v>
      </c>
      <c r="T267" s="256"/>
      <c r="U267" s="225"/>
      <c r="V267" s="226"/>
      <c r="W267" s="227"/>
      <c r="X267" s="226"/>
      <c r="Y267" s="226"/>
      <c r="Z267" s="226"/>
      <c r="AA267" s="226"/>
      <c r="AB267" s="226"/>
      <c r="AC267" s="226"/>
      <c r="AD267" s="96">
        <f t="shared" si="63"/>
        <v>0</v>
      </c>
      <c r="AE267" s="96">
        <f t="shared" si="64"/>
        <v>0</v>
      </c>
      <c r="AF267" s="96">
        <f t="shared" si="65"/>
        <v>0</v>
      </c>
      <c r="AG267" s="96">
        <f t="shared" si="66"/>
        <v>0</v>
      </c>
      <c r="AH267" s="211" t="str">
        <f t="shared" si="54"/>
        <v>0,;!0,;!0,;!0</v>
      </c>
      <c r="AI267" s="211" t="e">
        <f>INDEX([1]Library!$AL:$AL,MATCH(AH267,[1]Library!$AJ:$AJ,0),1)</f>
        <v>#N/A</v>
      </c>
      <c r="AJ267" s="211" t="e">
        <f>TEXT(INDEX([1]Library!$W:$W,MATCH(AH267,[1]Library!$AJ:$AJ,0),1),"")</f>
        <v>#N/A</v>
      </c>
    </row>
    <row r="268" spans="1:36" ht="25.2" hidden="1" customHeight="1" outlineLevel="2">
      <c r="A268" s="242"/>
      <c r="B268" s="243"/>
      <c r="C268" s="244"/>
      <c r="D268" s="245"/>
      <c r="E268" s="246" t="s">
        <v>299</v>
      </c>
      <c r="F268" s="247"/>
      <c r="G268" s="381"/>
      <c r="H268" s="382">
        <v>8</v>
      </c>
      <c r="I268" s="248" t="s">
        <v>200</v>
      </c>
      <c r="J268" s="249">
        <v>25000</v>
      </c>
      <c r="K268" s="250">
        <v>200000</v>
      </c>
      <c r="L268" s="249">
        <v>10000</v>
      </c>
      <c r="M268" s="250">
        <v>80000</v>
      </c>
      <c r="N268" s="251">
        <v>0</v>
      </c>
      <c r="O268" s="250">
        <v>0</v>
      </c>
      <c r="P268" s="252">
        <v>280000</v>
      </c>
      <c r="Q268" s="253">
        <f t="shared" si="51"/>
        <v>1.50616706764956E-4</v>
      </c>
      <c r="R268" s="254">
        <f t="shared" si="52"/>
        <v>15.020169942494199</v>
      </c>
      <c r="S268" s="255">
        <f t="shared" si="53"/>
        <v>549.01960784313701</v>
      </c>
      <c r="T268" s="256"/>
      <c r="U268" s="225"/>
      <c r="V268" s="226"/>
      <c r="W268" s="227"/>
      <c r="X268" s="226"/>
      <c r="Y268" s="226"/>
      <c r="Z268" s="226"/>
      <c r="AA268" s="226"/>
      <c r="AB268" s="226"/>
      <c r="AC268" s="226"/>
      <c r="AD268" s="96">
        <f t="shared" si="63"/>
        <v>0</v>
      </c>
      <c r="AE268" s="96">
        <f t="shared" si="64"/>
        <v>0</v>
      </c>
      <c r="AF268" s="96">
        <f t="shared" si="65"/>
        <v>0</v>
      </c>
      <c r="AG268" s="96">
        <f t="shared" si="66"/>
        <v>0</v>
      </c>
      <c r="AH268" s="211" t="str">
        <f t="shared" si="54"/>
        <v>0,;!0,;!0,;!0</v>
      </c>
      <c r="AI268" s="211" t="e">
        <f>INDEX([1]Library!$AL:$AL,MATCH(AH268,[1]Library!$AJ:$AJ,0),1)</f>
        <v>#N/A</v>
      </c>
      <c r="AJ268" s="211" t="e">
        <f>TEXT(INDEX([1]Library!$W:$W,MATCH(AH268,[1]Library!$AJ:$AJ,0),1),"")</f>
        <v>#N/A</v>
      </c>
    </row>
    <row r="269" spans="1:36" ht="25.2" hidden="1" customHeight="1" outlineLevel="1" collapsed="1">
      <c r="A269" s="213"/>
      <c r="B269" s="214"/>
      <c r="C269" s="215" t="s">
        <v>300</v>
      </c>
      <c r="D269" s="215"/>
      <c r="E269" s="216"/>
      <c r="F269" s="217"/>
      <c r="G269" s="379"/>
      <c r="H269" s="219">
        <v>1</v>
      </c>
      <c r="I269" s="218" t="s">
        <v>32</v>
      </c>
      <c r="J269" s="219">
        <v>4605355.2</v>
      </c>
      <c r="K269" s="219">
        <v>4605355.2</v>
      </c>
      <c r="L269" s="219">
        <v>1167406.56</v>
      </c>
      <c r="M269" s="219">
        <v>1167406.56</v>
      </c>
      <c r="N269" s="219">
        <v>0</v>
      </c>
      <c r="O269" s="219">
        <v>0</v>
      </c>
      <c r="P269" s="220">
        <v>5772761.7599999998</v>
      </c>
      <c r="Q269" s="221">
        <f t="shared" ref="Q269:Q332" si="67">P269/P$13</f>
        <v>3.1052655901066899E-3</v>
      </c>
      <c r="R269" s="222">
        <f t="shared" ref="R269:R332" si="68">P269/I$5</f>
        <v>309.6709381169</v>
      </c>
      <c r="S269" s="223">
        <f t="shared" ref="S269:S332" si="69">P269/I$7</f>
        <v>11319.140705882401</v>
      </c>
      <c r="T269" s="224"/>
      <c r="U269" s="225"/>
      <c r="V269" s="226"/>
      <c r="W269" s="227"/>
      <c r="X269" s="226"/>
      <c r="Y269" s="226"/>
      <c r="Z269" s="226"/>
      <c r="AA269" s="226"/>
      <c r="AB269" s="226"/>
      <c r="AC269" s="226"/>
      <c r="AD269" s="96">
        <f t="shared" si="63"/>
        <v>0</v>
      </c>
      <c r="AE269" s="96">
        <f t="shared" si="64"/>
        <v>0</v>
      </c>
      <c r="AF269" s="96">
        <f t="shared" si="65"/>
        <v>0</v>
      </c>
      <c r="AG269" s="96">
        <f t="shared" si="66"/>
        <v>0</v>
      </c>
      <c r="AH269" s="211" t="str">
        <f t="shared" si="54"/>
        <v>0,;!0,;!0,;!0</v>
      </c>
      <c r="AI269" s="211" t="e">
        <f>INDEX([1]Library!$AL:$AL,MATCH(AH269,[1]Library!$AJ:$AJ,0),1)</f>
        <v>#N/A</v>
      </c>
      <c r="AJ269" s="211" t="e">
        <f>TEXT(INDEX([1]Library!$W:$W,MATCH(AH269,[1]Library!$AJ:$AJ,0),1),"")</f>
        <v>#N/A</v>
      </c>
    </row>
    <row r="270" spans="1:36" ht="25.2" hidden="1" customHeight="1" outlineLevel="2">
      <c r="A270" s="228"/>
      <c r="B270" s="229"/>
      <c r="C270" s="230"/>
      <c r="D270" s="231" t="s">
        <v>301</v>
      </c>
      <c r="E270" s="232"/>
      <c r="F270" s="233"/>
      <c r="G270" s="379"/>
      <c r="H270" s="380">
        <v>11040</v>
      </c>
      <c r="I270" s="234" t="s">
        <v>176</v>
      </c>
      <c r="J270" s="235">
        <v>223.13</v>
      </c>
      <c r="K270" s="236">
        <v>2463355.2000000002</v>
      </c>
      <c r="L270" s="235">
        <v>66.938999999999993</v>
      </c>
      <c r="M270" s="236">
        <v>739006.56</v>
      </c>
      <c r="N270" s="237">
        <v>0</v>
      </c>
      <c r="O270" s="236">
        <v>0</v>
      </c>
      <c r="P270" s="238">
        <v>3202361.76</v>
      </c>
      <c r="Q270" s="239">
        <f t="shared" si="67"/>
        <v>1.7226042220043901E-3</v>
      </c>
      <c r="R270" s="236">
        <f t="shared" si="68"/>
        <v>171.78577804480301</v>
      </c>
      <c r="S270" s="240">
        <f t="shared" si="69"/>
        <v>6279.1407058823497</v>
      </c>
      <c r="T270" s="241"/>
      <c r="U270" s="225"/>
      <c r="V270" s="226"/>
      <c r="W270" s="227"/>
      <c r="X270" s="226"/>
      <c r="Y270" s="226"/>
      <c r="Z270" s="226"/>
      <c r="AA270" s="226"/>
      <c r="AB270" s="226"/>
      <c r="AC270" s="226"/>
      <c r="AD270" s="96">
        <f t="shared" si="63"/>
        <v>0</v>
      </c>
      <c r="AE270" s="96">
        <f t="shared" si="64"/>
        <v>0</v>
      </c>
      <c r="AF270" s="96">
        <f t="shared" si="65"/>
        <v>0</v>
      </c>
      <c r="AG270" s="96">
        <f t="shared" si="66"/>
        <v>0</v>
      </c>
      <c r="AH270" s="211" t="str">
        <f t="shared" ref="AH270:AH333" si="70">AD270&amp;",;!"&amp;AE270&amp;",;!"&amp;AF270&amp;",;!"&amp;AG270</f>
        <v>0,;!0,;!0,;!0</v>
      </c>
      <c r="AI270" s="211" t="e">
        <f>INDEX([1]Library!$AL:$AL,MATCH(AH270,[1]Library!$AJ:$AJ,0),1)</f>
        <v>#N/A</v>
      </c>
      <c r="AJ270" s="211" t="e">
        <f>TEXT(INDEX([1]Library!$W:$W,MATCH(AH270,[1]Library!$AJ:$AJ,0),1),"")</f>
        <v>#N/A</v>
      </c>
    </row>
    <row r="271" spans="1:36" ht="25.2" hidden="1" customHeight="1" outlineLevel="2">
      <c r="A271" s="228"/>
      <c r="B271" s="229"/>
      <c r="C271" s="230"/>
      <c r="D271" s="231" t="s">
        <v>302</v>
      </c>
      <c r="E271" s="232"/>
      <c r="F271" s="233"/>
      <c r="G271" s="379"/>
      <c r="H271" s="380">
        <v>2040</v>
      </c>
      <c r="I271" s="234" t="s">
        <v>200</v>
      </c>
      <c r="J271" s="235">
        <v>1050</v>
      </c>
      <c r="K271" s="236">
        <v>2142000</v>
      </c>
      <c r="L271" s="235">
        <v>210</v>
      </c>
      <c r="M271" s="236">
        <v>428400</v>
      </c>
      <c r="N271" s="237">
        <v>0</v>
      </c>
      <c r="O271" s="236">
        <v>0</v>
      </c>
      <c r="P271" s="238">
        <v>2570400</v>
      </c>
      <c r="Q271" s="239">
        <f t="shared" si="67"/>
        <v>1.3826613681023E-3</v>
      </c>
      <c r="R271" s="236">
        <f t="shared" si="68"/>
        <v>137.88516007209699</v>
      </c>
      <c r="S271" s="240">
        <f t="shared" si="69"/>
        <v>5040</v>
      </c>
      <c r="T271" s="241"/>
      <c r="U271" s="225"/>
      <c r="V271" s="226"/>
      <c r="W271" s="227"/>
      <c r="X271" s="226"/>
      <c r="Y271" s="226"/>
      <c r="Z271" s="226"/>
      <c r="AA271" s="226"/>
      <c r="AB271" s="226"/>
      <c r="AC271" s="226"/>
      <c r="AD271" s="96">
        <f t="shared" si="63"/>
        <v>0</v>
      </c>
      <c r="AE271" s="96">
        <f t="shared" si="64"/>
        <v>0</v>
      </c>
      <c r="AF271" s="96">
        <f t="shared" si="65"/>
        <v>0</v>
      </c>
      <c r="AG271" s="96">
        <f t="shared" si="66"/>
        <v>0</v>
      </c>
      <c r="AH271" s="211" t="str">
        <f t="shared" si="70"/>
        <v>0,;!0,;!0,;!0</v>
      </c>
      <c r="AI271" s="211" t="e">
        <f>INDEX([1]Library!$AL:$AL,MATCH(AH271,[1]Library!$AJ:$AJ,0),1)</f>
        <v>#N/A</v>
      </c>
      <c r="AJ271" s="211" t="e">
        <f>TEXT(INDEX([1]Library!$W:$W,MATCH(AH271,[1]Library!$AJ:$AJ,0),1),"")</f>
        <v>#N/A</v>
      </c>
    </row>
    <row r="272" spans="1:36" ht="25.2" hidden="1" customHeight="1" outlineLevel="1" collapsed="1">
      <c r="A272" s="213"/>
      <c r="B272" s="214"/>
      <c r="C272" s="215" t="s">
        <v>303</v>
      </c>
      <c r="D272" s="215"/>
      <c r="E272" s="216"/>
      <c r="F272" s="217"/>
      <c r="G272" s="379"/>
      <c r="H272" s="219">
        <v>1</v>
      </c>
      <c r="I272" s="218" t="s">
        <v>32</v>
      </c>
      <c r="J272" s="219">
        <v>14594682.24</v>
      </c>
      <c r="K272" s="219">
        <v>14594682.24</v>
      </c>
      <c r="L272" s="219">
        <v>4151770.872</v>
      </c>
      <c r="M272" s="219">
        <v>4151770.872</v>
      </c>
      <c r="N272" s="219">
        <v>0</v>
      </c>
      <c r="O272" s="219">
        <v>0</v>
      </c>
      <c r="P272" s="220">
        <v>18746453.112</v>
      </c>
      <c r="Q272" s="221">
        <f t="shared" si="67"/>
        <v>1.0084032254475401E-2</v>
      </c>
      <c r="R272" s="222">
        <f t="shared" si="68"/>
        <v>1005.62468414728</v>
      </c>
      <c r="S272" s="223">
        <f t="shared" si="69"/>
        <v>36757.751199999999</v>
      </c>
      <c r="T272" s="224"/>
      <c r="U272" s="225"/>
      <c r="V272" s="226"/>
      <c r="W272" s="227"/>
      <c r="X272" s="226"/>
      <c r="Y272" s="226"/>
      <c r="Z272" s="226"/>
      <c r="AA272" s="226"/>
      <c r="AB272" s="226"/>
      <c r="AC272" s="226"/>
      <c r="AD272" s="96">
        <f t="shared" si="63"/>
        <v>0</v>
      </c>
      <c r="AE272" s="96">
        <f t="shared" si="64"/>
        <v>0</v>
      </c>
      <c r="AF272" s="96">
        <f t="shared" si="65"/>
        <v>0</v>
      </c>
      <c r="AG272" s="96">
        <f t="shared" si="66"/>
        <v>0</v>
      </c>
      <c r="AH272" s="211" t="str">
        <f t="shared" si="70"/>
        <v>0,;!0,;!0,;!0</v>
      </c>
      <c r="AI272" s="211" t="e">
        <f>INDEX([1]Library!$AL:$AL,MATCH(AH272,[1]Library!$AJ:$AJ,0),1)</f>
        <v>#N/A</v>
      </c>
      <c r="AJ272" s="211" t="e">
        <f>TEXT(INDEX([1]Library!$W:$W,MATCH(AH272,[1]Library!$AJ:$AJ,0),1),"")</f>
        <v>#N/A</v>
      </c>
    </row>
    <row r="273" spans="1:36" ht="25.2" hidden="1" customHeight="1" outlineLevel="2">
      <c r="A273" s="228"/>
      <c r="B273" s="229"/>
      <c r="C273" s="230"/>
      <c r="D273" s="231" t="s">
        <v>304</v>
      </c>
      <c r="E273" s="232"/>
      <c r="F273" s="233"/>
      <c r="G273" s="379"/>
      <c r="H273" s="380">
        <v>14280</v>
      </c>
      <c r="I273" s="234" t="s">
        <v>176</v>
      </c>
      <c r="J273" s="235">
        <v>778.65800000000002</v>
      </c>
      <c r="K273" s="236">
        <v>11119236.24</v>
      </c>
      <c r="L273" s="235">
        <v>233.59739999999999</v>
      </c>
      <c r="M273" s="236">
        <v>3335770.872</v>
      </c>
      <c r="N273" s="237">
        <v>0</v>
      </c>
      <c r="O273" s="236">
        <v>0</v>
      </c>
      <c r="P273" s="238">
        <v>14455007.112</v>
      </c>
      <c r="Q273" s="239">
        <f t="shared" si="67"/>
        <v>7.7755913124052303E-3</v>
      </c>
      <c r="R273" s="236">
        <f t="shared" si="68"/>
        <v>775.41665479358005</v>
      </c>
      <c r="S273" s="240">
        <f t="shared" si="69"/>
        <v>28343.1512</v>
      </c>
      <c r="T273" s="241"/>
      <c r="U273" s="225"/>
      <c r="V273" s="226"/>
      <c r="W273" s="227"/>
      <c r="X273" s="226"/>
      <c r="Y273" s="226"/>
      <c r="Z273" s="226"/>
      <c r="AA273" s="226"/>
      <c r="AB273" s="226"/>
      <c r="AC273" s="226"/>
      <c r="AD273" s="96">
        <f t="shared" si="63"/>
        <v>0</v>
      </c>
      <c r="AE273" s="96">
        <f t="shared" si="64"/>
        <v>0</v>
      </c>
      <c r="AF273" s="96">
        <f t="shared" si="65"/>
        <v>0</v>
      </c>
      <c r="AG273" s="96">
        <f t="shared" si="66"/>
        <v>0</v>
      </c>
      <c r="AH273" s="211" t="str">
        <f t="shared" si="70"/>
        <v>0,;!0,;!0,;!0</v>
      </c>
      <c r="AI273" s="211" t="e">
        <f>INDEX([1]Library!$AL:$AL,MATCH(AH273,[1]Library!$AJ:$AJ,0),1)</f>
        <v>#N/A</v>
      </c>
      <c r="AJ273" s="211" t="e">
        <f>TEXT(INDEX([1]Library!$W:$W,MATCH(AH273,[1]Library!$AJ:$AJ,0),1),"")</f>
        <v>#N/A</v>
      </c>
    </row>
    <row r="274" spans="1:36" ht="25.2" hidden="1" customHeight="1" outlineLevel="2">
      <c r="A274" s="228"/>
      <c r="B274" s="229"/>
      <c r="C274" s="230"/>
      <c r="D274" s="231" t="s">
        <v>305</v>
      </c>
      <c r="E274" s="232"/>
      <c r="F274" s="233"/>
      <c r="G274" s="379"/>
      <c r="H274" s="380">
        <v>2040</v>
      </c>
      <c r="I274" s="234" t="s">
        <v>134</v>
      </c>
      <c r="J274" s="235">
        <v>453.65</v>
      </c>
      <c r="K274" s="236">
        <v>925446</v>
      </c>
      <c r="L274" s="235">
        <v>150</v>
      </c>
      <c r="M274" s="236">
        <v>306000</v>
      </c>
      <c r="N274" s="237">
        <v>0</v>
      </c>
      <c r="O274" s="236">
        <v>0</v>
      </c>
      <c r="P274" s="238">
        <v>1231446</v>
      </c>
      <c r="Q274" s="239">
        <f t="shared" si="67"/>
        <v>6.6241550385313702E-4</v>
      </c>
      <c r="R274" s="236">
        <f t="shared" si="68"/>
        <v>66.059029267873996</v>
      </c>
      <c r="S274" s="240">
        <f t="shared" si="69"/>
        <v>2414.6</v>
      </c>
      <c r="T274" s="241"/>
      <c r="U274" s="225"/>
      <c r="V274" s="226"/>
      <c r="W274" s="227"/>
      <c r="X274" s="226"/>
      <c r="Y274" s="226"/>
      <c r="Z274" s="226"/>
      <c r="AA274" s="226"/>
      <c r="AB274" s="226"/>
      <c r="AC274" s="226"/>
      <c r="AD274" s="96">
        <f t="shared" si="63"/>
        <v>0</v>
      </c>
      <c r="AE274" s="96">
        <f t="shared" si="64"/>
        <v>0</v>
      </c>
      <c r="AF274" s="96">
        <f t="shared" si="65"/>
        <v>0</v>
      </c>
      <c r="AG274" s="96">
        <f t="shared" si="66"/>
        <v>0</v>
      </c>
      <c r="AH274" s="211" t="str">
        <f t="shared" si="70"/>
        <v>0,;!0,;!0,;!0</v>
      </c>
      <c r="AI274" s="211" t="e">
        <f>INDEX([1]Library!$AL:$AL,MATCH(AH274,[1]Library!$AJ:$AJ,0),1)</f>
        <v>#N/A</v>
      </c>
      <c r="AJ274" s="211" t="e">
        <f>TEXT(INDEX([1]Library!$W:$W,MATCH(AH274,[1]Library!$AJ:$AJ,0),1),"")</f>
        <v>#N/A</v>
      </c>
    </row>
    <row r="275" spans="1:36" ht="25.2" hidden="1" customHeight="1" outlineLevel="2">
      <c r="A275" s="228"/>
      <c r="B275" s="229"/>
      <c r="C275" s="230"/>
      <c r="D275" s="231" t="s">
        <v>306</v>
      </c>
      <c r="E275" s="232"/>
      <c r="F275" s="233"/>
      <c r="G275" s="379"/>
      <c r="H275" s="380">
        <v>2040</v>
      </c>
      <c r="I275" s="234" t="s">
        <v>200</v>
      </c>
      <c r="J275" s="235">
        <v>1250</v>
      </c>
      <c r="K275" s="236">
        <v>2550000</v>
      </c>
      <c r="L275" s="235">
        <v>250</v>
      </c>
      <c r="M275" s="236">
        <v>510000</v>
      </c>
      <c r="N275" s="237">
        <v>0</v>
      </c>
      <c r="O275" s="236">
        <v>0</v>
      </c>
      <c r="P275" s="238">
        <v>3060000</v>
      </c>
      <c r="Q275" s="239">
        <f t="shared" si="67"/>
        <v>1.6460254382170199E-3</v>
      </c>
      <c r="R275" s="236">
        <f t="shared" si="68"/>
        <v>164.14900008583001</v>
      </c>
      <c r="S275" s="240">
        <f t="shared" si="69"/>
        <v>6000</v>
      </c>
      <c r="T275" s="241"/>
      <c r="U275" s="225"/>
      <c r="V275" s="226"/>
      <c r="W275" s="227"/>
      <c r="X275" s="226"/>
      <c r="Y275" s="226"/>
      <c r="Z275" s="226"/>
      <c r="AA275" s="226"/>
      <c r="AB275" s="226"/>
      <c r="AC275" s="226"/>
      <c r="AD275" s="96">
        <f t="shared" si="63"/>
        <v>0</v>
      </c>
      <c r="AE275" s="96">
        <f t="shared" si="64"/>
        <v>0</v>
      </c>
      <c r="AF275" s="96">
        <f t="shared" si="65"/>
        <v>0</v>
      </c>
      <c r="AG275" s="96">
        <f t="shared" si="66"/>
        <v>0</v>
      </c>
      <c r="AH275" s="211" t="str">
        <f t="shared" si="70"/>
        <v>0,;!0,;!0,;!0</v>
      </c>
      <c r="AI275" s="211" t="e">
        <f>INDEX([1]Library!$AL:$AL,MATCH(AH275,[1]Library!$AJ:$AJ,0),1)</f>
        <v>#N/A</v>
      </c>
      <c r="AJ275" s="211" t="e">
        <f>TEXT(INDEX([1]Library!$W:$W,MATCH(AH275,[1]Library!$AJ:$AJ,0),1),"")</f>
        <v>#N/A</v>
      </c>
    </row>
    <row r="276" spans="1:36" ht="25.2" hidden="1" customHeight="1" outlineLevel="1" collapsed="1">
      <c r="A276" s="213"/>
      <c r="B276" s="214"/>
      <c r="C276" s="215" t="s">
        <v>307</v>
      </c>
      <c r="D276" s="215"/>
      <c r="E276" s="216"/>
      <c r="F276" s="217"/>
      <c r="G276" s="379"/>
      <c r="H276" s="219">
        <v>1</v>
      </c>
      <c r="I276" s="218" t="s">
        <v>32</v>
      </c>
      <c r="J276" s="219">
        <v>5002591.7140546003</v>
      </c>
      <c r="K276" s="219">
        <v>5002591.7140546003</v>
      </c>
      <c r="L276" s="219">
        <v>1708952.5741327601</v>
      </c>
      <c r="M276" s="219">
        <v>1708952.5741327601</v>
      </c>
      <c r="N276" s="219">
        <v>0</v>
      </c>
      <c r="O276" s="219">
        <v>0</v>
      </c>
      <c r="P276" s="220">
        <v>6711544.2881873604</v>
      </c>
      <c r="Q276" s="221">
        <f t="shared" si="67"/>
        <v>3.6102524928354799E-3</v>
      </c>
      <c r="R276" s="222">
        <f t="shared" si="68"/>
        <v>360.030484946966</v>
      </c>
      <c r="S276" s="223">
        <f t="shared" si="69"/>
        <v>13159.890761151701</v>
      </c>
      <c r="T276" s="224"/>
      <c r="U276" s="225"/>
      <c r="V276" s="226"/>
      <c r="W276" s="227"/>
      <c r="X276" s="226"/>
      <c r="Y276" s="226"/>
      <c r="Z276" s="226"/>
      <c r="AA276" s="226"/>
      <c r="AB276" s="226"/>
      <c r="AC276" s="226"/>
      <c r="AD276" s="96">
        <f t="shared" si="63"/>
        <v>0</v>
      </c>
      <c r="AE276" s="96">
        <f t="shared" si="64"/>
        <v>0</v>
      </c>
      <c r="AF276" s="96">
        <f t="shared" si="65"/>
        <v>0</v>
      </c>
      <c r="AG276" s="96">
        <f t="shared" si="66"/>
        <v>0</v>
      </c>
      <c r="AH276" s="211" t="str">
        <f t="shared" si="70"/>
        <v>0,;!0,;!0,;!0</v>
      </c>
      <c r="AI276" s="211" t="e">
        <f>INDEX([1]Library!$AL:$AL,MATCH(AH276,[1]Library!$AJ:$AJ,0),1)</f>
        <v>#N/A</v>
      </c>
      <c r="AJ276" s="211" t="e">
        <f>TEXT(INDEX([1]Library!$W:$W,MATCH(AH276,[1]Library!$AJ:$AJ,0),1),"")</f>
        <v>#N/A</v>
      </c>
    </row>
    <row r="277" spans="1:36" ht="25.2" hidden="1" customHeight="1" outlineLevel="2">
      <c r="A277" s="228"/>
      <c r="B277" s="229"/>
      <c r="C277" s="230"/>
      <c r="D277" s="231" t="s">
        <v>308</v>
      </c>
      <c r="E277" s="232"/>
      <c r="F277" s="233"/>
      <c r="G277" s="379"/>
      <c r="H277" s="380">
        <v>1</v>
      </c>
      <c r="I277" s="234" t="s">
        <v>32</v>
      </c>
      <c r="J277" s="235">
        <v>814445.64176245197</v>
      </c>
      <c r="K277" s="236">
        <v>814445.64176245197</v>
      </c>
      <c r="L277" s="235">
        <v>773723.35967432999</v>
      </c>
      <c r="M277" s="236">
        <v>773723.35967432999</v>
      </c>
      <c r="N277" s="237">
        <v>0</v>
      </c>
      <c r="O277" s="236">
        <v>0</v>
      </c>
      <c r="P277" s="238">
        <v>1588169.00143678</v>
      </c>
      <c r="Q277" s="239">
        <f t="shared" si="67"/>
        <v>8.5430280279499002E-4</v>
      </c>
      <c r="R277" s="236">
        <f t="shared" si="68"/>
        <v>85.194886782077702</v>
      </c>
      <c r="S277" s="240">
        <f t="shared" si="69"/>
        <v>3114.0568655623101</v>
      </c>
      <c r="T277" s="241"/>
      <c r="U277" s="225"/>
      <c r="V277" s="226"/>
      <c r="W277" s="227"/>
      <c r="X277" s="226"/>
      <c r="Y277" s="226"/>
      <c r="Z277" s="226"/>
      <c r="AA277" s="226"/>
      <c r="AB277" s="226"/>
      <c r="AC277" s="226"/>
      <c r="AD277" s="96">
        <f t="shared" si="63"/>
        <v>0</v>
      </c>
      <c r="AE277" s="96">
        <f t="shared" si="64"/>
        <v>0</v>
      </c>
      <c r="AF277" s="96">
        <f t="shared" si="65"/>
        <v>0</v>
      </c>
      <c r="AG277" s="96">
        <f t="shared" si="66"/>
        <v>0</v>
      </c>
      <c r="AH277" s="211" t="str">
        <f t="shared" si="70"/>
        <v>0,;!0,;!0,;!0</v>
      </c>
      <c r="AI277" s="211" t="e">
        <f>INDEX([1]Library!$AL:$AL,MATCH(AH277,[1]Library!$AJ:$AJ,0),1)</f>
        <v>#N/A</v>
      </c>
      <c r="AJ277" s="211" t="e">
        <f>TEXT(INDEX([1]Library!$W:$W,MATCH(AH277,[1]Library!$AJ:$AJ,0),1),"")</f>
        <v>#N/A</v>
      </c>
    </row>
    <row r="278" spans="1:36" ht="25.2" hidden="1" customHeight="1" outlineLevel="2">
      <c r="A278" s="242"/>
      <c r="B278" s="243"/>
      <c r="C278" s="244"/>
      <c r="D278" s="245"/>
      <c r="E278" s="246" t="s">
        <v>309</v>
      </c>
      <c r="F278" s="247"/>
      <c r="G278" s="381"/>
      <c r="H278" s="382">
        <v>244</v>
      </c>
      <c r="I278" s="248" t="s">
        <v>295</v>
      </c>
      <c r="J278" s="249">
        <v>1770.53400383142</v>
      </c>
      <c r="K278" s="250">
        <v>432010.296934866</v>
      </c>
      <c r="L278" s="249">
        <v>1682.0073036398501</v>
      </c>
      <c r="M278" s="250">
        <v>410409.78208812303</v>
      </c>
      <c r="N278" s="251">
        <v>0</v>
      </c>
      <c r="O278" s="250">
        <v>0</v>
      </c>
      <c r="P278" s="252">
        <v>842420.07902298903</v>
      </c>
      <c r="Q278" s="253">
        <f t="shared" si="67"/>
        <v>4.5315192148256001E-4</v>
      </c>
      <c r="R278" s="254">
        <f t="shared" si="68"/>
        <v>45.190331249623902</v>
      </c>
      <c r="S278" s="255">
        <f t="shared" si="69"/>
        <v>1651.80407651566</v>
      </c>
      <c r="T278" s="256"/>
      <c r="U278" s="225"/>
      <c r="V278" s="226"/>
      <c r="W278" s="227"/>
      <c r="X278" s="226"/>
      <c r="Y278" s="226"/>
      <c r="Z278" s="226"/>
      <c r="AA278" s="226"/>
      <c r="AB278" s="226"/>
      <c r="AC278" s="226"/>
      <c r="AD278" s="96">
        <f>IF(X278&lt;&gt;0,IF($X278&gt;=AD$12,#REF!,""),Z278)</f>
        <v>0</v>
      </c>
      <c r="AE278" s="96">
        <f>IF(AA278=" ",IF($X278&gt;=AE$12,#REF!,""),AA278)</f>
        <v>0</v>
      </c>
      <c r="AF278" s="96">
        <f>IF(AB278=" ",IF($X278&gt;=AF$12,#REF!,""),AB278)</f>
        <v>0</v>
      </c>
      <c r="AG278" s="96">
        <f>IF(AC278=" ",IF($X278&gt;=AG$12,#REF!,""),AC278)</f>
        <v>0</v>
      </c>
      <c r="AH278" s="211" t="str">
        <f t="shared" si="70"/>
        <v>0,;!0,;!0,;!0</v>
      </c>
      <c r="AI278" s="211" t="e">
        <f>INDEX([1]Library!$AL:$AL,MATCH(AH278,[1]Library!$AJ:$AJ,0),1)</f>
        <v>#N/A</v>
      </c>
      <c r="AJ278" s="211" t="e">
        <f>TEXT(INDEX([1]Library!$W:$W,MATCH(AH278,[1]Library!$AJ:$AJ,0),1),"")</f>
        <v>#N/A</v>
      </c>
    </row>
    <row r="279" spans="1:36" ht="25.2" hidden="1" customHeight="1" outlineLevel="2">
      <c r="A279" s="242"/>
      <c r="B279" s="243"/>
      <c r="C279" s="244"/>
      <c r="D279" s="245"/>
      <c r="E279" s="246" t="s">
        <v>310</v>
      </c>
      <c r="F279" s="247"/>
      <c r="G279" s="381"/>
      <c r="H279" s="382">
        <v>120</v>
      </c>
      <c r="I279" s="248" t="s">
        <v>295</v>
      </c>
      <c r="J279" s="249">
        <v>1770.53400383142</v>
      </c>
      <c r="K279" s="250">
        <v>212464.08045976999</v>
      </c>
      <c r="L279" s="249">
        <v>1682.0073036398501</v>
      </c>
      <c r="M279" s="250">
        <v>201840.87643678201</v>
      </c>
      <c r="N279" s="251">
        <v>0</v>
      </c>
      <c r="O279" s="250">
        <v>0</v>
      </c>
      <c r="P279" s="252">
        <v>414304.956896552</v>
      </c>
      <c r="Q279" s="253">
        <f t="shared" si="67"/>
        <v>2.2286160072912799E-4</v>
      </c>
      <c r="R279" s="254">
        <f t="shared" si="68"/>
        <v>22.2247530735855</v>
      </c>
      <c r="S279" s="255">
        <f t="shared" si="69"/>
        <v>812.36266058147498</v>
      </c>
      <c r="T279" s="256"/>
      <c r="U279" s="225"/>
      <c r="V279" s="226"/>
      <c r="W279" s="227"/>
      <c r="X279" s="226"/>
      <c r="Y279" s="226"/>
      <c r="Z279" s="226"/>
      <c r="AA279" s="226"/>
      <c r="AB279" s="226"/>
      <c r="AC279" s="226"/>
      <c r="AD279" s="96">
        <f>IF(X279&lt;&gt;0,IF($X279&gt;=AD$12,AD278,""),Z279)</f>
        <v>0</v>
      </c>
      <c r="AE279" s="96">
        <f t="shared" ref="AE279:AG281" si="71">IF(AA279=" ",IF($X279&gt;=AE$12,AE278,""),AA279)</f>
        <v>0</v>
      </c>
      <c r="AF279" s="96">
        <f t="shared" si="71"/>
        <v>0</v>
      </c>
      <c r="AG279" s="96">
        <f t="shared" si="71"/>
        <v>0</v>
      </c>
      <c r="AH279" s="211" t="str">
        <f t="shared" si="70"/>
        <v>0,;!0,;!0,;!0</v>
      </c>
      <c r="AI279" s="211" t="e">
        <f>INDEX([1]Library!$AL:$AL,MATCH(AH279,[1]Library!$AJ:$AJ,0),1)</f>
        <v>#N/A</v>
      </c>
      <c r="AJ279" s="211" t="e">
        <f>TEXT(INDEX([1]Library!$W:$W,MATCH(AH279,[1]Library!$AJ:$AJ,0),1),"")</f>
        <v>#N/A</v>
      </c>
    </row>
    <row r="280" spans="1:36" ht="25.2" hidden="1" customHeight="1" outlineLevel="2">
      <c r="A280" s="242"/>
      <c r="B280" s="243"/>
      <c r="C280" s="244"/>
      <c r="D280" s="245"/>
      <c r="E280" s="246" t="s">
        <v>311</v>
      </c>
      <c r="F280" s="247"/>
      <c r="G280" s="381"/>
      <c r="H280" s="382">
        <v>96</v>
      </c>
      <c r="I280" s="248" t="s">
        <v>295</v>
      </c>
      <c r="J280" s="249">
        <v>1770.53400383142</v>
      </c>
      <c r="K280" s="250">
        <v>169971.26436781601</v>
      </c>
      <c r="L280" s="249">
        <v>1682.0073036398501</v>
      </c>
      <c r="M280" s="250">
        <v>161472.701149425</v>
      </c>
      <c r="N280" s="251">
        <v>0</v>
      </c>
      <c r="O280" s="250">
        <v>0</v>
      </c>
      <c r="P280" s="252">
        <v>331443.96551724098</v>
      </c>
      <c r="Q280" s="253">
        <f t="shared" si="67"/>
        <v>1.7828928058330199E-4</v>
      </c>
      <c r="R280" s="254">
        <f t="shared" si="68"/>
        <v>17.779802458868399</v>
      </c>
      <c r="S280" s="255">
        <f t="shared" si="69"/>
        <v>649.89012846517801</v>
      </c>
      <c r="T280" s="256"/>
      <c r="U280" s="225"/>
      <c r="V280" s="226"/>
      <c r="W280" s="227"/>
      <c r="X280" s="226"/>
      <c r="Y280" s="226"/>
      <c r="Z280" s="226"/>
      <c r="AA280" s="226"/>
      <c r="AB280" s="226"/>
      <c r="AC280" s="226"/>
      <c r="AD280" s="96">
        <f>IF(X280&lt;&gt;0,IF($X280&gt;=AD$12,AD279,""),Z280)</f>
        <v>0</v>
      </c>
      <c r="AE280" s="96">
        <f t="shared" si="71"/>
        <v>0</v>
      </c>
      <c r="AF280" s="96">
        <f t="shared" si="71"/>
        <v>0</v>
      </c>
      <c r="AG280" s="96">
        <f t="shared" si="71"/>
        <v>0</v>
      </c>
      <c r="AH280" s="211" t="str">
        <f t="shared" si="70"/>
        <v>0,;!0,;!0,;!0</v>
      </c>
      <c r="AI280" s="211" t="e">
        <f>INDEX([1]Library!$AL:$AL,MATCH(AH280,[1]Library!$AJ:$AJ,0),1)</f>
        <v>#N/A</v>
      </c>
      <c r="AJ280" s="211" t="e">
        <f>TEXT(INDEX([1]Library!$W:$W,MATCH(AH280,[1]Library!$AJ:$AJ,0),1),"")</f>
        <v>#N/A</v>
      </c>
    </row>
    <row r="281" spans="1:36" ht="25.2" hidden="1" customHeight="1" outlineLevel="2">
      <c r="A281" s="228"/>
      <c r="B281" s="229"/>
      <c r="C281" s="230"/>
      <c r="D281" s="231" t="s">
        <v>312</v>
      </c>
      <c r="E281" s="232"/>
      <c r="F281" s="233"/>
      <c r="G281" s="379"/>
      <c r="H281" s="380">
        <v>1</v>
      </c>
      <c r="I281" s="234" t="s">
        <v>32</v>
      </c>
      <c r="J281" s="235">
        <v>4188146.0722921402</v>
      </c>
      <c r="K281" s="236">
        <v>4188146.0722921402</v>
      </c>
      <c r="L281" s="235">
        <v>935229.21445842902</v>
      </c>
      <c r="M281" s="236">
        <v>935229.21445842902</v>
      </c>
      <c r="N281" s="237">
        <v>0</v>
      </c>
      <c r="O281" s="236">
        <v>0</v>
      </c>
      <c r="P281" s="238">
        <v>5123375.2867505699</v>
      </c>
      <c r="Q281" s="239">
        <f t="shared" si="67"/>
        <v>2.7559496900404802E-3</v>
      </c>
      <c r="R281" s="236">
        <f t="shared" si="68"/>
        <v>274.83559816488798</v>
      </c>
      <c r="S281" s="240">
        <f t="shared" si="69"/>
        <v>10045.8338955894</v>
      </c>
      <c r="T281" s="241"/>
      <c r="U281" s="225"/>
      <c r="V281" s="226"/>
      <c r="W281" s="227"/>
      <c r="X281" s="226"/>
      <c r="Y281" s="226"/>
      <c r="Z281" s="226"/>
      <c r="AA281" s="226"/>
      <c r="AB281" s="226"/>
      <c r="AC281" s="226"/>
      <c r="AD281" s="96">
        <f>IF(X281&lt;&gt;0,IF($X281&gt;=AD$12,AD280,""),Z281)</f>
        <v>0</v>
      </c>
      <c r="AE281" s="96">
        <f t="shared" si="71"/>
        <v>0</v>
      </c>
      <c r="AF281" s="96">
        <f t="shared" si="71"/>
        <v>0</v>
      </c>
      <c r="AG281" s="96">
        <f t="shared" si="71"/>
        <v>0</v>
      </c>
      <c r="AH281" s="211" t="str">
        <f t="shared" si="70"/>
        <v>0,;!0,;!0,;!0</v>
      </c>
      <c r="AI281" s="211" t="e">
        <f>INDEX([1]Library!$AL:$AL,MATCH(AH281,[1]Library!$AJ:$AJ,0),1)</f>
        <v>#N/A</v>
      </c>
      <c r="AJ281" s="211" t="e">
        <f>TEXT(INDEX([1]Library!$W:$W,MATCH(AH281,[1]Library!$AJ:$AJ,0),1),"")</f>
        <v>#N/A</v>
      </c>
    </row>
    <row r="282" spans="1:36" ht="25.2" hidden="1" customHeight="1" outlineLevel="2">
      <c r="A282" s="242"/>
      <c r="B282" s="243"/>
      <c r="C282" s="244"/>
      <c r="D282" s="245"/>
      <c r="E282" s="246" t="s">
        <v>313</v>
      </c>
      <c r="F282" s="247"/>
      <c r="G282" s="381"/>
      <c r="H282" s="382">
        <v>8</v>
      </c>
      <c r="I282" s="248" t="s">
        <v>200</v>
      </c>
      <c r="J282" s="249">
        <v>26040.0520801042</v>
      </c>
      <c r="K282" s="250">
        <v>208320.41664083299</v>
      </c>
      <c r="L282" s="249">
        <v>5208.0104160208302</v>
      </c>
      <c r="M282" s="250">
        <v>41664.0833281667</v>
      </c>
      <c r="N282" s="251">
        <v>0</v>
      </c>
      <c r="O282" s="250">
        <v>0</v>
      </c>
      <c r="P282" s="252">
        <v>249984.499969</v>
      </c>
      <c r="Q282" s="253">
        <f t="shared" si="67"/>
        <v>1.3447086474148299E-4</v>
      </c>
      <c r="R282" s="254">
        <f t="shared" si="68"/>
        <v>13.4100345447279</v>
      </c>
      <c r="S282" s="255">
        <f t="shared" si="69"/>
        <v>490.16568621372602</v>
      </c>
      <c r="T282" s="256"/>
      <c r="U282" s="225"/>
      <c r="V282" s="226"/>
      <c r="W282" s="227"/>
      <c r="X282" s="226"/>
      <c r="Y282" s="226"/>
      <c r="Z282" s="226"/>
      <c r="AA282" s="226"/>
      <c r="AB282" s="226"/>
      <c r="AC282" s="226"/>
      <c r="AD282" s="96">
        <f>IF(X282&lt;&gt;0,IF($X282&gt;=AD$12,#REF!,""),Z282)</f>
        <v>0</v>
      </c>
      <c r="AE282" s="96">
        <f>IF(AA282=" ",IF($X282&gt;=AE$12,#REF!,""),AA282)</f>
        <v>0</v>
      </c>
      <c r="AF282" s="96">
        <f>IF(AB282=" ",IF($X282&gt;=AF$12,#REF!,""),AB282)</f>
        <v>0</v>
      </c>
      <c r="AG282" s="96">
        <f>IF(AC282=" ",IF($X282&gt;=AG$12,#REF!,""),AC282)</f>
        <v>0</v>
      </c>
      <c r="AH282" s="211" t="str">
        <f t="shared" si="70"/>
        <v>0,;!0,;!0,;!0</v>
      </c>
      <c r="AI282" s="211" t="e">
        <f>INDEX([1]Library!$AL:$AL,MATCH(AH282,[1]Library!$AJ:$AJ,0),1)</f>
        <v>#N/A</v>
      </c>
      <c r="AJ282" s="211" t="e">
        <f>TEXT(INDEX([1]Library!$W:$W,MATCH(AH282,[1]Library!$AJ:$AJ,0),1),"")</f>
        <v>#N/A</v>
      </c>
    </row>
    <row r="283" spans="1:36" ht="25.2" hidden="1" customHeight="1" outlineLevel="2">
      <c r="A283" s="242"/>
      <c r="B283" s="243"/>
      <c r="C283" s="244"/>
      <c r="D283" s="245"/>
      <c r="E283" s="246" t="s">
        <v>314</v>
      </c>
      <c r="F283" s="247"/>
      <c r="G283" s="381"/>
      <c r="H283" s="382">
        <v>120</v>
      </c>
      <c r="I283" s="248" t="s">
        <v>200</v>
      </c>
      <c r="J283" s="249">
        <v>17732.035464070901</v>
      </c>
      <c r="K283" s="250">
        <v>2127844.2556885099</v>
      </c>
      <c r="L283" s="249">
        <v>3546.40709281419</v>
      </c>
      <c r="M283" s="250">
        <v>425568.851137702</v>
      </c>
      <c r="N283" s="251">
        <v>0</v>
      </c>
      <c r="O283" s="250">
        <v>0</v>
      </c>
      <c r="P283" s="252">
        <v>2553413.1068262099</v>
      </c>
      <c r="Q283" s="253">
        <f t="shared" si="67"/>
        <v>1.3735238327165699E-3</v>
      </c>
      <c r="R283" s="254">
        <f t="shared" si="68"/>
        <v>136.973924278292</v>
      </c>
      <c r="S283" s="255">
        <f t="shared" si="69"/>
        <v>5006.6923663259004</v>
      </c>
      <c r="T283" s="256"/>
      <c r="U283" s="225"/>
      <c r="V283" s="226"/>
      <c r="W283" s="227"/>
      <c r="X283" s="226"/>
      <c r="Y283" s="226"/>
      <c r="Z283" s="226"/>
      <c r="AA283" s="226"/>
      <c r="AB283" s="226"/>
      <c r="AC283" s="226"/>
      <c r="AD283" s="96">
        <f>IF(X283&lt;&gt;0,IF($X283&gt;=AD$12,AD282,""),Z283)</f>
        <v>0</v>
      </c>
      <c r="AE283" s="96">
        <f>IF(AA283=" ",IF($X283&gt;=AE$12,AE282,""),AA283)</f>
        <v>0</v>
      </c>
      <c r="AF283" s="96">
        <f>IF(AB283=" ",IF($X283&gt;=AF$12,AF282,""),AB283)</f>
        <v>0</v>
      </c>
      <c r="AG283" s="96">
        <f>IF(AC283=" ",IF($X283&gt;=AG$12,AG282,""),AC283)</f>
        <v>0</v>
      </c>
      <c r="AH283" s="211" t="str">
        <f t="shared" si="70"/>
        <v>0,;!0,;!0,;!0</v>
      </c>
      <c r="AI283" s="211" t="e">
        <f>INDEX([1]Library!$AL:$AL,MATCH(AH283,[1]Library!$AJ:$AJ,0),1)</f>
        <v>#N/A</v>
      </c>
      <c r="AJ283" s="211" t="e">
        <f>TEXT(INDEX([1]Library!$W:$W,MATCH(AH283,[1]Library!$AJ:$AJ,0),1),"")</f>
        <v>#N/A</v>
      </c>
    </row>
    <row r="284" spans="1:36" ht="25.2" hidden="1" customHeight="1" outlineLevel="2">
      <c r="A284" s="242"/>
      <c r="B284" s="243"/>
      <c r="C284" s="244"/>
      <c r="D284" s="245"/>
      <c r="E284" s="246" t="s">
        <v>315</v>
      </c>
      <c r="F284" s="247"/>
      <c r="G284" s="381"/>
      <c r="H284" s="382">
        <v>8</v>
      </c>
      <c r="I284" s="248" t="s">
        <v>200</v>
      </c>
      <c r="J284" s="249">
        <v>37497.674995349997</v>
      </c>
      <c r="K284" s="250">
        <v>299981.39996279997</v>
      </c>
      <c r="L284" s="249">
        <v>7499.5349990699997</v>
      </c>
      <c r="M284" s="250">
        <v>59996.279992559997</v>
      </c>
      <c r="N284" s="251">
        <v>0</v>
      </c>
      <c r="O284" s="250">
        <v>0</v>
      </c>
      <c r="P284" s="252">
        <v>359977.67995536001</v>
      </c>
      <c r="Q284" s="253">
        <f t="shared" si="67"/>
        <v>1.9363804522773499E-4</v>
      </c>
      <c r="R284" s="254">
        <f t="shared" si="68"/>
        <v>19.310449744408199</v>
      </c>
      <c r="S284" s="255">
        <f t="shared" si="69"/>
        <v>705.83858814776499</v>
      </c>
      <c r="T284" s="256"/>
      <c r="U284" s="225"/>
      <c r="V284" s="226"/>
      <c r="W284" s="227"/>
      <c r="X284" s="226"/>
      <c r="Y284" s="226"/>
      <c r="Z284" s="226"/>
      <c r="AA284" s="226"/>
      <c r="AB284" s="226"/>
      <c r="AC284" s="226"/>
      <c r="AD284" s="96">
        <f>IF(X284&lt;&gt;0,IF($X284&gt;=AD$12,#REF!,""),Z284)</f>
        <v>0</v>
      </c>
      <c r="AE284" s="96">
        <f>IF(AA284=" ",IF($X284&gt;=AE$12,#REF!,""),AA284)</f>
        <v>0</v>
      </c>
      <c r="AF284" s="96">
        <f>IF(AB284=" ",IF($X284&gt;=AF$12,#REF!,""),AB284)</f>
        <v>0</v>
      </c>
      <c r="AG284" s="96">
        <f>IF(AC284=" ",IF($X284&gt;=AG$12,#REF!,""),AC284)</f>
        <v>0</v>
      </c>
      <c r="AH284" s="211" t="str">
        <f t="shared" si="70"/>
        <v>0,;!0,;!0,;!0</v>
      </c>
      <c r="AI284" s="211" t="e">
        <f>INDEX([1]Library!$AL:$AL,MATCH(AH284,[1]Library!$AJ:$AJ,0),1)</f>
        <v>#N/A</v>
      </c>
      <c r="AJ284" s="211" t="e">
        <f>TEXT(INDEX([1]Library!$W:$W,MATCH(AH284,[1]Library!$AJ:$AJ,0),1),"")</f>
        <v>#N/A</v>
      </c>
    </row>
    <row r="285" spans="1:36" ht="25.2" hidden="1" customHeight="1" outlineLevel="2">
      <c r="A285" s="242"/>
      <c r="B285" s="243"/>
      <c r="C285" s="244"/>
      <c r="D285" s="245"/>
      <c r="E285" s="246" t="s">
        <v>316</v>
      </c>
      <c r="F285" s="247"/>
      <c r="G285" s="381"/>
      <c r="H285" s="382">
        <v>8</v>
      </c>
      <c r="I285" s="248" t="s">
        <v>200</v>
      </c>
      <c r="J285" s="249">
        <v>5000</v>
      </c>
      <c r="K285" s="250">
        <v>40000</v>
      </c>
      <c r="L285" s="249">
        <v>1500</v>
      </c>
      <c r="M285" s="250">
        <v>12000</v>
      </c>
      <c r="N285" s="251">
        <v>0</v>
      </c>
      <c r="O285" s="250">
        <v>0</v>
      </c>
      <c r="P285" s="252">
        <v>52000</v>
      </c>
      <c r="Q285" s="253">
        <f t="shared" si="67"/>
        <v>2.7971674113491899E-5</v>
      </c>
      <c r="R285" s="254">
        <f t="shared" si="68"/>
        <v>2.7894601321775001</v>
      </c>
      <c r="S285" s="255">
        <f t="shared" si="69"/>
        <v>101.960784313725</v>
      </c>
      <c r="T285" s="256"/>
      <c r="U285" s="225"/>
      <c r="V285" s="226"/>
      <c r="W285" s="227"/>
      <c r="X285" s="226"/>
      <c r="Y285" s="226"/>
      <c r="Z285" s="226"/>
      <c r="AA285" s="226"/>
      <c r="AB285" s="226"/>
      <c r="AC285" s="226"/>
      <c r="AD285" s="96">
        <f t="shared" ref="AD285:AD290" si="72">IF(X285&lt;&gt;0,IF($X285&gt;=AD$12,AD284,""),Z285)</f>
        <v>0</v>
      </c>
      <c r="AE285" s="96">
        <f t="shared" ref="AE285:AE290" si="73">IF(AA285=" ",IF($X285&gt;=AE$12,AE284,""),AA285)</f>
        <v>0</v>
      </c>
      <c r="AF285" s="96">
        <f t="shared" ref="AF285:AF290" si="74">IF(AB285=" ",IF($X285&gt;=AF$12,AF284,""),AB285)</f>
        <v>0</v>
      </c>
      <c r="AG285" s="96">
        <f t="shared" ref="AG285:AG290" si="75">IF(AC285=" ",IF($X285&gt;=AG$12,AG284,""),AC285)</f>
        <v>0</v>
      </c>
      <c r="AH285" s="211" t="str">
        <f t="shared" si="70"/>
        <v>0,;!0,;!0,;!0</v>
      </c>
      <c r="AI285" s="211" t="e">
        <f>INDEX([1]Library!$AL:$AL,MATCH(AH285,[1]Library!$AJ:$AJ,0),1)</f>
        <v>#N/A</v>
      </c>
      <c r="AJ285" s="211" t="e">
        <f>TEXT(INDEX([1]Library!$W:$W,MATCH(AH285,[1]Library!$AJ:$AJ,0),1),"")</f>
        <v>#N/A</v>
      </c>
    </row>
    <row r="286" spans="1:36" ht="25.2" hidden="1" customHeight="1" outlineLevel="2">
      <c r="A286" s="242"/>
      <c r="B286" s="243"/>
      <c r="C286" s="244"/>
      <c r="D286" s="245"/>
      <c r="E286" s="246" t="s">
        <v>317</v>
      </c>
      <c r="F286" s="247"/>
      <c r="G286" s="381"/>
      <c r="H286" s="382">
        <v>16</v>
      </c>
      <c r="I286" s="248" t="s">
        <v>200</v>
      </c>
      <c r="J286" s="249">
        <v>25000</v>
      </c>
      <c r="K286" s="250">
        <v>400000</v>
      </c>
      <c r="L286" s="249">
        <v>7500</v>
      </c>
      <c r="M286" s="250">
        <v>120000</v>
      </c>
      <c r="N286" s="251">
        <v>0</v>
      </c>
      <c r="O286" s="250">
        <v>0</v>
      </c>
      <c r="P286" s="252">
        <v>520000</v>
      </c>
      <c r="Q286" s="253">
        <f t="shared" si="67"/>
        <v>2.7971674113491901E-4</v>
      </c>
      <c r="R286" s="254">
        <f t="shared" si="68"/>
        <v>27.894601321774999</v>
      </c>
      <c r="S286" s="255">
        <f t="shared" si="69"/>
        <v>1019.60784313725</v>
      </c>
      <c r="T286" s="256"/>
      <c r="U286" s="225"/>
      <c r="V286" s="226"/>
      <c r="W286" s="227"/>
      <c r="X286" s="226"/>
      <c r="Y286" s="226"/>
      <c r="Z286" s="226"/>
      <c r="AA286" s="226"/>
      <c r="AB286" s="226"/>
      <c r="AC286" s="226"/>
      <c r="AD286" s="96">
        <f t="shared" si="72"/>
        <v>0</v>
      </c>
      <c r="AE286" s="96">
        <f t="shared" si="73"/>
        <v>0</v>
      </c>
      <c r="AF286" s="96">
        <f t="shared" si="74"/>
        <v>0</v>
      </c>
      <c r="AG286" s="96">
        <f t="shared" si="75"/>
        <v>0</v>
      </c>
      <c r="AH286" s="211" t="str">
        <f t="shared" si="70"/>
        <v>0,;!0,;!0,;!0</v>
      </c>
      <c r="AI286" s="211" t="e">
        <f>INDEX([1]Library!$AL:$AL,MATCH(AH286,[1]Library!$AJ:$AJ,0),1)</f>
        <v>#N/A</v>
      </c>
      <c r="AJ286" s="211" t="e">
        <f>TEXT(INDEX([1]Library!$W:$W,MATCH(AH286,[1]Library!$AJ:$AJ,0),1),"")</f>
        <v>#N/A</v>
      </c>
    </row>
    <row r="287" spans="1:36" ht="25.2" hidden="1" customHeight="1" outlineLevel="2">
      <c r="A287" s="242"/>
      <c r="B287" s="243"/>
      <c r="C287" s="244"/>
      <c r="D287" s="245"/>
      <c r="E287" s="246" t="s">
        <v>318</v>
      </c>
      <c r="F287" s="247"/>
      <c r="G287" s="381"/>
      <c r="H287" s="382">
        <v>8</v>
      </c>
      <c r="I287" s="248" t="s">
        <v>200</v>
      </c>
      <c r="J287" s="249">
        <v>71500</v>
      </c>
      <c r="K287" s="250">
        <v>572000</v>
      </c>
      <c r="L287" s="249">
        <v>7500</v>
      </c>
      <c r="M287" s="250">
        <v>60000</v>
      </c>
      <c r="N287" s="251">
        <v>0</v>
      </c>
      <c r="O287" s="250">
        <v>0</v>
      </c>
      <c r="P287" s="252">
        <v>632000</v>
      </c>
      <c r="Q287" s="253">
        <f t="shared" si="67"/>
        <v>3.3996342384090198E-4</v>
      </c>
      <c r="R287" s="254">
        <f t="shared" si="68"/>
        <v>33.902669298772601</v>
      </c>
      <c r="S287" s="255">
        <f t="shared" si="69"/>
        <v>1239.2156862745101</v>
      </c>
      <c r="T287" s="256"/>
      <c r="U287" s="225"/>
      <c r="V287" s="226"/>
      <c r="W287" s="227"/>
      <c r="X287" s="226"/>
      <c r="Y287" s="226"/>
      <c r="Z287" s="226"/>
      <c r="AA287" s="226"/>
      <c r="AB287" s="226"/>
      <c r="AC287" s="226"/>
      <c r="AD287" s="96">
        <f t="shared" si="72"/>
        <v>0</v>
      </c>
      <c r="AE287" s="96">
        <f t="shared" si="73"/>
        <v>0</v>
      </c>
      <c r="AF287" s="96">
        <f t="shared" si="74"/>
        <v>0</v>
      </c>
      <c r="AG287" s="96">
        <f t="shared" si="75"/>
        <v>0</v>
      </c>
      <c r="AH287" s="211" t="str">
        <f t="shared" si="70"/>
        <v>0,;!0,;!0,;!0</v>
      </c>
      <c r="AI287" s="211" t="e">
        <f>INDEX([1]Library!$AL:$AL,MATCH(AH287,[1]Library!$AJ:$AJ,0),1)</f>
        <v>#N/A</v>
      </c>
      <c r="AJ287" s="211" t="e">
        <f>TEXT(INDEX([1]Library!$W:$W,MATCH(AH287,[1]Library!$AJ:$AJ,0),1),"")</f>
        <v>#N/A</v>
      </c>
    </row>
    <row r="288" spans="1:36" ht="25.2" hidden="1" customHeight="1" outlineLevel="2">
      <c r="A288" s="242"/>
      <c r="B288" s="243"/>
      <c r="C288" s="244"/>
      <c r="D288" s="245"/>
      <c r="E288" s="246" t="s">
        <v>319</v>
      </c>
      <c r="F288" s="247"/>
      <c r="G288" s="381"/>
      <c r="H288" s="382">
        <v>1</v>
      </c>
      <c r="I288" s="248" t="s">
        <v>32</v>
      </c>
      <c r="J288" s="249">
        <v>540000</v>
      </c>
      <c r="K288" s="250">
        <v>540000</v>
      </c>
      <c r="L288" s="249">
        <v>216000</v>
      </c>
      <c r="M288" s="250">
        <v>216000</v>
      </c>
      <c r="N288" s="251">
        <v>0</v>
      </c>
      <c r="O288" s="250">
        <v>0</v>
      </c>
      <c r="P288" s="252">
        <v>756000</v>
      </c>
      <c r="Q288" s="253">
        <f t="shared" si="67"/>
        <v>4.0666510826538202E-4</v>
      </c>
      <c r="R288" s="254">
        <f t="shared" si="68"/>
        <v>40.554458844734398</v>
      </c>
      <c r="S288" s="255">
        <f t="shared" si="69"/>
        <v>1482.35294117647</v>
      </c>
      <c r="T288" s="256"/>
      <c r="U288" s="225"/>
      <c r="V288" s="226"/>
      <c r="W288" s="227"/>
      <c r="X288" s="226"/>
      <c r="Y288" s="226"/>
      <c r="Z288" s="226"/>
      <c r="AA288" s="226"/>
      <c r="AB288" s="226"/>
      <c r="AC288" s="226"/>
      <c r="AD288" s="96">
        <f t="shared" si="72"/>
        <v>0</v>
      </c>
      <c r="AE288" s="96">
        <f t="shared" si="73"/>
        <v>0</v>
      </c>
      <c r="AF288" s="96">
        <f t="shared" si="74"/>
        <v>0</v>
      </c>
      <c r="AG288" s="96">
        <f t="shared" si="75"/>
        <v>0</v>
      </c>
      <c r="AH288" s="211" t="str">
        <f t="shared" si="70"/>
        <v>0,;!0,;!0,;!0</v>
      </c>
      <c r="AI288" s="211" t="e">
        <f>INDEX([1]Library!$AL:$AL,MATCH(AH288,[1]Library!$AJ:$AJ,0),1)</f>
        <v>#N/A</v>
      </c>
      <c r="AJ288" s="211" t="e">
        <f>TEXT(INDEX([1]Library!$W:$W,MATCH(AH288,[1]Library!$AJ:$AJ,0),1),"")</f>
        <v>#N/A</v>
      </c>
    </row>
    <row r="289" spans="1:36" ht="25.2" hidden="1" customHeight="1" outlineLevel="1" collapsed="1">
      <c r="A289" s="213"/>
      <c r="B289" s="214"/>
      <c r="C289" s="215" t="s">
        <v>320</v>
      </c>
      <c r="D289" s="215"/>
      <c r="E289" s="216"/>
      <c r="F289" s="217"/>
      <c r="G289" s="379"/>
      <c r="H289" s="219">
        <v>1</v>
      </c>
      <c r="I289" s="218" t="s">
        <v>32</v>
      </c>
      <c r="J289" s="219">
        <v>1344728.94108692</v>
      </c>
      <c r="K289" s="219">
        <v>1344728.94108692</v>
      </c>
      <c r="L289" s="219">
        <v>304808.21637830301</v>
      </c>
      <c r="M289" s="219">
        <v>304808.21637830301</v>
      </c>
      <c r="N289" s="219">
        <v>0</v>
      </c>
      <c r="O289" s="219">
        <v>0</v>
      </c>
      <c r="P289" s="220">
        <v>1649537.15746522</v>
      </c>
      <c r="Q289" s="221">
        <f t="shared" si="67"/>
        <v>8.8731376551370996E-4</v>
      </c>
      <c r="R289" s="222">
        <f t="shared" si="68"/>
        <v>88.486887255665806</v>
      </c>
      <c r="S289" s="223">
        <f t="shared" si="69"/>
        <v>3234.38658326514</v>
      </c>
      <c r="T289" s="224"/>
      <c r="U289" s="225"/>
      <c r="V289" s="226"/>
      <c r="W289" s="227"/>
      <c r="X289" s="226"/>
      <c r="Y289" s="226"/>
      <c r="Z289" s="226"/>
      <c r="AA289" s="226"/>
      <c r="AB289" s="226"/>
      <c r="AC289" s="226"/>
      <c r="AD289" s="96">
        <f t="shared" si="72"/>
        <v>0</v>
      </c>
      <c r="AE289" s="96">
        <f t="shared" si="73"/>
        <v>0</v>
      </c>
      <c r="AF289" s="96">
        <f t="shared" si="74"/>
        <v>0</v>
      </c>
      <c r="AG289" s="96">
        <f t="shared" si="75"/>
        <v>0</v>
      </c>
      <c r="AH289" s="211" t="str">
        <f t="shared" si="70"/>
        <v>0,;!0,;!0,;!0</v>
      </c>
      <c r="AI289" s="211" t="e">
        <f>INDEX([1]Library!$AL:$AL,MATCH(AH289,[1]Library!$AJ:$AJ,0),1)</f>
        <v>#N/A</v>
      </c>
      <c r="AJ289" s="211" t="e">
        <f>TEXT(INDEX([1]Library!$W:$W,MATCH(AH289,[1]Library!$AJ:$AJ,0),1),"")</f>
        <v>#N/A</v>
      </c>
    </row>
    <row r="290" spans="1:36" ht="25.2" hidden="1" customHeight="1" outlineLevel="2">
      <c r="A290" s="228"/>
      <c r="B290" s="229"/>
      <c r="C290" s="230"/>
      <c r="D290" s="231" t="s">
        <v>321</v>
      </c>
      <c r="E290" s="232"/>
      <c r="F290" s="233"/>
      <c r="G290" s="379"/>
      <c r="H290" s="380">
        <v>1</v>
      </c>
      <c r="I290" s="234" t="s">
        <v>32</v>
      </c>
      <c r="J290" s="235">
        <v>99149.904214559399</v>
      </c>
      <c r="K290" s="236">
        <v>99149.904214559399</v>
      </c>
      <c r="L290" s="235">
        <v>94192.409003831403</v>
      </c>
      <c r="M290" s="236">
        <v>94192.409003831403</v>
      </c>
      <c r="N290" s="237">
        <v>0</v>
      </c>
      <c r="O290" s="236">
        <v>0</v>
      </c>
      <c r="P290" s="238">
        <v>193342.31321839101</v>
      </c>
      <c r="Q290" s="239">
        <f t="shared" si="67"/>
        <v>1.0400208034026E-4</v>
      </c>
      <c r="R290" s="236">
        <f t="shared" si="68"/>
        <v>10.371551434339899</v>
      </c>
      <c r="S290" s="240">
        <f t="shared" si="69"/>
        <v>379.10257493802197</v>
      </c>
      <c r="T290" s="241"/>
      <c r="U290" s="225"/>
      <c r="V290" s="226"/>
      <c r="W290" s="227"/>
      <c r="X290" s="226"/>
      <c r="Y290" s="226"/>
      <c r="Z290" s="226"/>
      <c r="AA290" s="226"/>
      <c r="AB290" s="226"/>
      <c r="AC290" s="226"/>
      <c r="AD290" s="96">
        <f t="shared" si="72"/>
        <v>0</v>
      </c>
      <c r="AE290" s="96">
        <f t="shared" si="73"/>
        <v>0</v>
      </c>
      <c r="AF290" s="96">
        <f t="shared" si="74"/>
        <v>0</v>
      </c>
      <c r="AG290" s="96">
        <f t="shared" si="75"/>
        <v>0</v>
      </c>
      <c r="AH290" s="211" t="str">
        <f t="shared" si="70"/>
        <v>0,;!0,;!0,;!0</v>
      </c>
      <c r="AI290" s="211" t="e">
        <f>INDEX([1]Library!$AL:$AL,MATCH(AH290,[1]Library!$AJ:$AJ,0),1)</f>
        <v>#N/A</v>
      </c>
      <c r="AJ290" s="211" t="e">
        <f>TEXT(INDEX([1]Library!$W:$W,MATCH(AH290,[1]Library!$AJ:$AJ,0),1),"")</f>
        <v>#N/A</v>
      </c>
    </row>
    <row r="291" spans="1:36" ht="25.2" hidden="1" customHeight="1" outlineLevel="2">
      <c r="A291" s="242"/>
      <c r="B291" s="243"/>
      <c r="C291" s="244"/>
      <c r="D291" s="245"/>
      <c r="E291" s="246" t="s">
        <v>322</v>
      </c>
      <c r="F291" s="247"/>
      <c r="G291" s="381"/>
      <c r="H291" s="382">
        <v>56</v>
      </c>
      <c r="I291" s="248" t="s">
        <v>295</v>
      </c>
      <c r="J291" s="249">
        <v>1770.53400383142</v>
      </c>
      <c r="K291" s="250">
        <v>99149.904214559399</v>
      </c>
      <c r="L291" s="249">
        <v>1682.0073036398501</v>
      </c>
      <c r="M291" s="250">
        <v>94192.409003831403</v>
      </c>
      <c r="N291" s="251">
        <v>0</v>
      </c>
      <c r="O291" s="250">
        <v>0</v>
      </c>
      <c r="P291" s="252">
        <v>193342.31321839101</v>
      </c>
      <c r="Q291" s="253">
        <f t="shared" si="67"/>
        <v>1.0400208034026E-4</v>
      </c>
      <c r="R291" s="254">
        <f t="shared" si="68"/>
        <v>10.371551434339899</v>
      </c>
      <c r="S291" s="255">
        <f t="shared" si="69"/>
        <v>379.10257493802197</v>
      </c>
      <c r="T291" s="256"/>
      <c r="U291" s="225"/>
      <c r="V291" s="226"/>
      <c r="W291" s="227"/>
      <c r="X291" s="226"/>
      <c r="Y291" s="226"/>
      <c r="Z291" s="226"/>
      <c r="AA291" s="226"/>
      <c r="AB291" s="226"/>
      <c r="AC291" s="226"/>
      <c r="AD291" s="96">
        <f>IF(X291&lt;&gt;0,IF($X291&gt;=AD$12,#REF!,""),Z291)</f>
        <v>0</v>
      </c>
      <c r="AE291" s="96">
        <f>IF(AA291=" ",IF($X291&gt;=AE$12,#REF!,""),AA291)</f>
        <v>0</v>
      </c>
      <c r="AF291" s="96">
        <f>IF(AB291=" ",IF($X291&gt;=AF$12,#REF!,""),AB291)</f>
        <v>0</v>
      </c>
      <c r="AG291" s="96">
        <f>IF(AC291=" ",IF($X291&gt;=AG$12,#REF!,""),AC291)</f>
        <v>0</v>
      </c>
      <c r="AH291" s="211" t="str">
        <f t="shared" si="70"/>
        <v>0,;!0,;!0,;!0</v>
      </c>
      <c r="AI291" s="211" t="e">
        <f>INDEX([1]Library!$AL:$AL,MATCH(AH291,[1]Library!$AJ:$AJ,0),1)</f>
        <v>#N/A</v>
      </c>
      <c r="AJ291" s="211" t="e">
        <f>TEXT(INDEX([1]Library!$W:$W,MATCH(AH291,[1]Library!$AJ:$AJ,0),1),"")</f>
        <v>#N/A</v>
      </c>
    </row>
    <row r="292" spans="1:36" ht="25.2" hidden="1" customHeight="1" outlineLevel="2">
      <c r="A292" s="228"/>
      <c r="B292" s="229"/>
      <c r="C292" s="230"/>
      <c r="D292" s="231" t="s">
        <v>323</v>
      </c>
      <c r="E292" s="232"/>
      <c r="F292" s="233"/>
      <c r="G292" s="379"/>
      <c r="H292" s="380">
        <v>1</v>
      </c>
      <c r="I292" s="234" t="s">
        <v>32</v>
      </c>
      <c r="J292" s="235">
        <v>1245579.0368723599</v>
      </c>
      <c r="K292" s="236">
        <v>1245579.0368723599</v>
      </c>
      <c r="L292" s="235">
        <v>210615.807374472</v>
      </c>
      <c r="M292" s="236">
        <v>210615.807374472</v>
      </c>
      <c r="N292" s="237">
        <v>0</v>
      </c>
      <c r="O292" s="236">
        <v>0</v>
      </c>
      <c r="P292" s="238">
        <v>1456194.8442468301</v>
      </c>
      <c r="Q292" s="239">
        <f t="shared" si="67"/>
        <v>7.8331168517344995E-4</v>
      </c>
      <c r="R292" s="236">
        <f t="shared" si="68"/>
        <v>78.115335821325999</v>
      </c>
      <c r="S292" s="240">
        <f t="shared" si="69"/>
        <v>2855.2840083271199</v>
      </c>
      <c r="T292" s="241"/>
      <c r="U292" s="225"/>
      <c r="V292" s="226"/>
      <c r="W292" s="227"/>
      <c r="X292" s="226"/>
      <c r="Y292" s="226"/>
      <c r="Z292" s="226"/>
      <c r="AA292" s="226"/>
      <c r="AB292" s="226"/>
      <c r="AC292" s="226"/>
      <c r="AD292" s="96">
        <f>IF(X292&lt;&gt;0,IF($X292&gt;=AD$12,AD291,""),Z292)</f>
        <v>0</v>
      </c>
      <c r="AE292" s="96">
        <f>IF(AA292=" ",IF($X292&gt;=AE$12,AE291,""),AA292)</f>
        <v>0</v>
      </c>
      <c r="AF292" s="96">
        <f>IF(AB292=" ",IF($X292&gt;=AF$12,AF291,""),AB292)</f>
        <v>0</v>
      </c>
      <c r="AG292" s="96">
        <f>IF(AC292=" ",IF($X292&gt;=AG$12,AG291,""),AC292)</f>
        <v>0</v>
      </c>
      <c r="AH292" s="211" t="str">
        <f t="shared" si="70"/>
        <v>0,;!0,;!0,;!0</v>
      </c>
      <c r="AI292" s="211" t="e">
        <f>INDEX([1]Library!$AL:$AL,MATCH(AH292,[1]Library!$AJ:$AJ,0),1)</f>
        <v>#N/A</v>
      </c>
      <c r="AJ292" s="211" t="e">
        <f>TEXT(INDEX([1]Library!$W:$W,MATCH(AH292,[1]Library!$AJ:$AJ,0),1),"")</f>
        <v>#N/A</v>
      </c>
    </row>
    <row r="293" spans="1:36" ht="25.2" hidden="1" customHeight="1" outlineLevel="2">
      <c r="A293" s="242"/>
      <c r="B293" s="243"/>
      <c r="C293" s="244"/>
      <c r="D293" s="245"/>
      <c r="E293" s="246" t="s">
        <v>313</v>
      </c>
      <c r="F293" s="247"/>
      <c r="G293" s="381"/>
      <c r="H293" s="382">
        <v>4</v>
      </c>
      <c r="I293" s="248" t="s">
        <v>200</v>
      </c>
      <c r="J293" s="249">
        <v>26040.0520801042</v>
      </c>
      <c r="K293" s="250">
        <v>104160.208320417</v>
      </c>
      <c r="L293" s="249">
        <v>5208.0104160208302</v>
      </c>
      <c r="M293" s="250">
        <v>20832.041664083299</v>
      </c>
      <c r="N293" s="251">
        <v>0</v>
      </c>
      <c r="O293" s="250">
        <v>0</v>
      </c>
      <c r="P293" s="252">
        <v>124992.2499845</v>
      </c>
      <c r="Q293" s="253">
        <f t="shared" si="67"/>
        <v>6.7235432370741304E-5</v>
      </c>
      <c r="R293" s="254">
        <f t="shared" si="68"/>
        <v>6.7050172723639596</v>
      </c>
      <c r="S293" s="255">
        <f t="shared" si="69"/>
        <v>245.08284310686301</v>
      </c>
      <c r="T293" s="256"/>
      <c r="U293" s="225"/>
      <c r="V293" s="226"/>
      <c r="W293" s="227"/>
      <c r="X293" s="226"/>
      <c r="Y293" s="226"/>
      <c r="Z293" s="226"/>
      <c r="AA293" s="226"/>
      <c r="AB293" s="226"/>
      <c r="AC293" s="226"/>
      <c r="AD293" s="96">
        <f>IF(X293&lt;&gt;0,IF($X293&gt;=AD$12,#REF!,""),Z293)</f>
        <v>0</v>
      </c>
      <c r="AE293" s="96">
        <f>IF(AA293=" ",IF($X293&gt;=AE$12,#REF!,""),AA293)</f>
        <v>0</v>
      </c>
      <c r="AF293" s="96">
        <f>IF(AB293=" ",IF($X293&gt;=AF$12,#REF!,""),AB293)</f>
        <v>0</v>
      </c>
      <c r="AG293" s="96">
        <f>IF(AC293=" ",IF($X293&gt;=AG$12,#REF!,""),AC293)</f>
        <v>0</v>
      </c>
      <c r="AH293" s="211" t="str">
        <f t="shared" si="70"/>
        <v>0,;!0,;!0,;!0</v>
      </c>
      <c r="AI293" s="211" t="e">
        <f>INDEX([1]Library!$AL:$AL,MATCH(AH293,[1]Library!$AJ:$AJ,0),1)</f>
        <v>#N/A</v>
      </c>
      <c r="AJ293" s="211" t="e">
        <f>TEXT(INDEX([1]Library!$W:$W,MATCH(AH293,[1]Library!$AJ:$AJ,0),1),"")</f>
        <v>#N/A</v>
      </c>
    </row>
    <row r="294" spans="1:36" ht="25.2" hidden="1" customHeight="1" outlineLevel="2">
      <c r="A294" s="242"/>
      <c r="B294" s="243"/>
      <c r="C294" s="244"/>
      <c r="D294" s="245"/>
      <c r="E294" s="246" t="s">
        <v>324</v>
      </c>
      <c r="F294" s="247"/>
      <c r="G294" s="381"/>
      <c r="H294" s="382">
        <v>4</v>
      </c>
      <c r="I294" s="248" t="s">
        <v>200</v>
      </c>
      <c r="J294" s="249">
        <v>39283.278566557099</v>
      </c>
      <c r="K294" s="250">
        <v>157133.11426622901</v>
      </c>
      <c r="L294" s="249">
        <v>7856.6557133114302</v>
      </c>
      <c r="M294" s="250">
        <v>31426.622853245699</v>
      </c>
      <c r="N294" s="251">
        <v>0</v>
      </c>
      <c r="O294" s="250">
        <v>0</v>
      </c>
      <c r="P294" s="252">
        <v>188559.73711947401</v>
      </c>
      <c r="Q294" s="253">
        <f t="shared" si="67"/>
        <v>1.01429452262147E-4</v>
      </c>
      <c r="R294" s="254">
        <f t="shared" si="68"/>
        <v>10.114997485166199</v>
      </c>
      <c r="S294" s="255">
        <f t="shared" si="69"/>
        <v>369.72497474406703</v>
      </c>
      <c r="T294" s="256"/>
      <c r="U294" s="225"/>
      <c r="V294" s="226"/>
      <c r="W294" s="227"/>
      <c r="X294" s="226"/>
      <c r="Y294" s="226"/>
      <c r="Z294" s="226"/>
      <c r="AA294" s="226"/>
      <c r="AB294" s="226"/>
      <c r="AC294" s="226"/>
      <c r="AD294" s="96">
        <f>IF(X294&lt;&gt;0,IF($X294&gt;=AD$12,#REF!,""),Z294)</f>
        <v>0</v>
      </c>
      <c r="AE294" s="96">
        <f>IF(AA294=" ",IF($X294&gt;=AE$12,#REF!,""),AA294)</f>
        <v>0</v>
      </c>
      <c r="AF294" s="96">
        <f>IF(AB294=" ",IF($X294&gt;=AF$12,#REF!,""),AB294)</f>
        <v>0</v>
      </c>
      <c r="AG294" s="96">
        <f>IF(AC294=" ",IF($X294&gt;=AG$12,#REF!,""),AC294)</f>
        <v>0</v>
      </c>
      <c r="AH294" s="211" t="str">
        <f t="shared" si="70"/>
        <v>0,;!0,;!0,;!0</v>
      </c>
      <c r="AI294" s="211" t="e">
        <f>INDEX([1]Library!$AL:$AL,MATCH(AH294,[1]Library!$AJ:$AJ,0),1)</f>
        <v>#N/A</v>
      </c>
      <c r="AJ294" s="211" t="e">
        <f>TEXT(INDEX([1]Library!$W:$W,MATCH(AH294,[1]Library!$AJ:$AJ,0),1),"")</f>
        <v>#N/A</v>
      </c>
    </row>
    <row r="295" spans="1:36" ht="25.2" hidden="1" customHeight="1" outlineLevel="2">
      <c r="A295" s="242"/>
      <c r="B295" s="243"/>
      <c r="C295" s="244"/>
      <c r="D295" s="245"/>
      <c r="E295" s="246" t="s">
        <v>316</v>
      </c>
      <c r="F295" s="247"/>
      <c r="G295" s="381"/>
      <c r="H295" s="382">
        <v>4</v>
      </c>
      <c r="I295" s="248" t="s">
        <v>200</v>
      </c>
      <c r="J295" s="249">
        <v>5000</v>
      </c>
      <c r="K295" s="250">
        <v>20000</v>
      </c>
      <c r="L295" s="249">
        <v>1500</v>
      </c>
      <c r="M295" s="250">
        <v>6000</v>
      </c>
      <c r="N295" s="251">
        <v>0</v>
      </c>
      <c r="O295" s="250">
        <v>0</v>
      </c>
      <c r="P295" s="252">
        <v>26000</v>
      </c>
      <c r="Q295" s="253">
        <f t="shared" si="67"/>
        <v>1.39858370567459E-5</v>
      </c>
      <c r="R295" s="254">
        <f t="shared" si="68"/>
        <v>1.3947300660887501</v>
      </c>
      <c r="S295" s="255">
        <f t="shared" si="69"/>
        <v>50.980392156862699</v>
      </c>
      <c r="T295" s="256"/>
      <c r="U295" s="225"/>
      <c r="V295" s="226"/>
      <c r="W295" s="227"/>
      <c r="X295" s="226"/>
      <c r="Y295" s="226"/>
      <c r="Z295" s="226"/>
      <c r="AA295" s="226"/>
      <c r="AB295" s="226"/>
      <c r="AC295" s="226"/>
      <c r="AD295" s="96">
        <f t="shared" ref="AD295:AD310" si="76">IF(X295&lt;&gt;0,IF($X295&gt;=AD$12,AD294,""),Z295)</f>
        <v>0</v>
      </c>
      <c r="AE295" s="96">
        <f t="shared" ref="AE295:AE310" si="77">IF(AA295=" ",IF($X295&gt;=AE$12,AE294,""),AA295)</f>
        <v>0</v>
      </c>
      <c r="AF295" s="96">
        <f t="shared" ref="AF295:AF310" si="78">IF(AB295=" ",IF($X295&gt;=AF$12,AF294,""),AB295)</f>
        <v>0</v>
      </c>
      <c r="AG295" s="96">
        <f t="shared" ref="AG295:AG310" si="79">IF(AC295=" ",IF($X295&gt;=AG$12,AG294,""),AC295)</f>
        <v>0</v>
      </c>
      <c r="AH295" s="211" t="str">
        <f t="shared" si="70"/>
        <v>0,;!0,;!0,;!0</v>
      </c>
      <c r="AI295" s="211" t="e">
        <f>INDEX([1]Library!$AL:$AL,MATCH(AH295,[1]Library!$AJ:$AJ,0),1)</f>
        <v>#N/A</v>
      </c>
      <c r="AJ295" s="211" t="e">
        <f>TEXT(INDEX([1]Library!$W:$W,MATCH(AH295,[1]Library!$AJ:$AJ,0),1),"")</f>
        <v>#N/A</v>
      </c>
    </row>
    <row r="296" spans="1:36" ht="25.2" hidden="1" customHeight="1" outlineLevel="2">
      <c r="A296" s="242"/>
      <c r="B296" s="243"/>
      <c r="C296" s="244"/>
      <c r="D296" s="245"/>
      <c r="E296" s="246" t="s">
        <v>317</v>
      </c>
      <c r="F296" s="247"/>
      <c r="G296" s="381"/>
      <c r="H296" s="382">
        <v>8</v>
      </c>
      <c r="I296" s="248" t="s">
        <v>200</v>
      </c>
      <c r="J296" s="249">
        <v>33750</v>
      </c>
      <c r="K296" s="250">
        <v>270000</v>
      </c>
      <c r="L296" s="249">
        <v>3375</v>
      </c>
      <c r="M296" s="250">
        <v>27000</v>
      </c>
      <c r="N296" s="251">
        <v>0</v>
      </c>
      <c r="O296" s="250">
        <v>0</v>
      </c>
      <c r="P296" s="252">
        <v>297000</v>
      </c>
      <c r="Q296" s="253">
        <f t="shared" si="67"/>
        <v>1.5976129253282901E-4</v>
      </c>
      <c r="R296" s="254">
        <f t="shared" si="68"/>
        <v>15.9321088318599</v>
      </c>
      <c r="S296" s="255">
        <f t="shared" si="69"/>
        <v>582.35294117647095</v>
      </c>
      <c r="T296" s="256"/>
      <c r="U296" s="225"/>
      <c r="V296" s="226"/>
      <c r="W296" s="227"/>
      <c r="X296" s="226"/>
      <c r="Y296" s="226"/>
      <c r="Z296" s="226"/>
      <c r="AA296" s="226"/>
      <c r="AB296" s="226"/>
      <c r="AC296" s="226"/>
      <c r="AD296" s="96">
        <f t="shared" si="76"/>
        <v>0</v>
      </c>
      <c r="AE296" s="96">
        <f t="shared" si="77"/>
        <v>0</v>
      </c>
      <c r="AF296" s="96">
        <f t="shared" si="78"/>
        <v>0</v>
      </c>
      <c r="AG296" s="96">
        <f t="shared" si="79"/>
        <v>0</v>
      </c>
      <c r="AH296" s="211" t="str">
        <f t="shared" si="70"/>
        <v>0,;!0,;!0,;!0</v>
      </c>
      <c r="AI296" s="211" t="e">
        <f>INDEX([1]Library!$AL:$AL,MATCH(AH296,[1]Library!$AJ:$AJ,0),1)</f>
        <v>#N/A</v>
      </c>
      <c r="AJ296" s="211" t="e">
        <f>TEXT(INDEX([1]Library!$W:$W,MATCH(AH296,[1]Library!$AJ:$AJ,0),1),"")</f>
        <v>#N/A</v>
      </c>
    </row>
    <row r="297" spans="1:36" ht="25.2" hidden="1" customHeight="1" outlineLevel="2">
      <c r="A297" s="242"/>
      <c r="B297" s="243"/>
      <c r="C297" s="244"/>
      <c r="D297" s="245"/>
      <c r="E297" s="246" t="s">
        <v>318</v>
      </c>
      <c r="F297" s="247"/>
      <c r="G297" s="381"/>
      <c r="H297" s="382">
        <v>4</v>
      </c>
      <c r="I297" s="248" t="s">
        <v>200</v>
      </c>
      <c r="J297" s="249">
        <v>106071.428571429</v>
      </c>
      <c r="K297" s="250">
        <v>424285.71428571403</v>
      </c>
      <c r="L297" s="249">
        <v>4339.2857142857101</v>
      </c>
      <c r="M297" s="250">
        <v>17357.142857142899</v>
      </c>
      <c r="N297" s="251">
        <v>0</v>
      </c>
      <c r="O297" s="250">
        <v>0</v>
      </c>
      <c r="P297" s="252">
        <v>441642.85714285698</v>
      </c>
      <c r="Q297" s="253">
        <f t="shared" si="67"/>
        <v>2.37567116818297E-4</v>
      </c>
      <c r="R297" s="254">
        <f t="shared" si="68"/>
        <v>23.69125274348</v>
      </c>
      <c r="S297" s="255">
        <f t="shared" si="69"/>
        <v>865.96638655462198</v>
      </c>
      <c r="T297" s="256"/>
      <c r="U297" s="225"/>
      <c r="V297" s="226"/>
      <c r="W297" s="227"/>
      <c r="X297" s="226"/>
      <c r="Y297" s="226"/>
      <c r="Z297" s="226"/>
      <c r="AA297" s="226"/>
      <c r="AB297" s="226"/>
      <c r="AC297" s="226"/>
      <c r="AD297" s="96">
        <f t="shared" si="76"/>
        <v>0</v>
      </c>
      <c r="AE297" s="96">
        <f t="shared" si="77"/>
        <v>0</v>
      </c>
      <c r="AF297" s="96">
        <f t="shared" si="78"/>
        <v>0</v>
      </c>
      <c r="AG297" s="96">
        <f t="shared" si="79"/>
        <v>0</v>
      </c>
      <c r="AH297" s="211" t="str">
        <f t="shared" si="70"/>
        <v>0,;!0,;!0,;!0</v>
      </c>
      <c r="AI297" s="211" t="e">
        <f>INDEX([1]Library!$AL:$AL,MATCH(AH297,[1]Library!$AJ:$AJ,0),1)</f>
        <v>#N/A</v>
      </c>
      <c r="AJ297" s="211" t="e">
        <f>TEXT(INDEX([1]Library!$W:$W,MATCH(AH297,[1]Library!$AJ:$AJ,0),1),"")</f>
        <v>#N/A</v>
      </c>
    </row>
    <row r="298" spans="1:36" ht="25.2" hidden="1" customHeight="1" outlineLevel="2">
      <c r="A298" s="242"/>
      <c r="B298" s="243"/>
      <c r="C298" s="244"/>
      <c r="D298" s="245"/>
      <c r="E298" s="246" t="s">
        <v>319</v>
      </c>
      <c r="F298" s="247"/>
      <c r="G298" s="381"/>
      <c r="H298" s="382">
        <v>1</v>
      </c>
      <c r="I298" s="248" t="s">
        <v>32</v>
      </c>
      <c r="J298" s="249">
        <v>270000</v>
      </c>
      <c r="K298" s="250">
        <v>270000</v>
      </c>
      <c r="L298" s="249">
        <v>108000</v>
      </c>
      <c r="M298" s="250">
        <v>108000</v>
      </c>
      <c r="N298" s="251">
        <v>0</v>
      </c>
      <c r="O298" s="250">
        <v>0</v>
      </c>
      <c r="P298" s="252">
        <v>378000</v>
      </c>
      <c r="Q298" s="253">
        <f t="shared" si="67"/>
        <v>2.0333255413269101E-4</v>
      </c>
      <c r="R298" s="254">
        <f t="shared" si="68"/>
        <v>20.277229422367199</v>
      </c>
      <c r="S298" s="255">
        <f t="shared" si="69"/>
        <v>741.17647058823502</v>
      </c>
      <c r="T298" s="256"/>
      <c r="U298" s="225"/>
      <c r="V298" s="226"/>
      <c r="W298" s="227"/>
      <c r="X298" s="226"/>
      <c r="Y298" s="226"/>
      <c r="Z298" s="226"/>
      <c r="AA298" s="226"/>
      <c r="AB298" s="226"/>
      <c r="AC298" s="226"/>
      <c r="AD298" s="96">
        <f t="shared" si="76"/>
        <v>0</v>
      </c>
      <c r="AE298" s="96">
        <f t="shared" si="77"/>
        <v>0</v>
      </c>
      <c r="AF298" s="96">
        <f t="shared" si="78"/>
        <v>0</v>
      </c>
      <c r="AG298" s="96">
        <f t="shared" si="79"/>
        <v>0</v>
      </c>
      <c r="AH298" s="211" t="str">
        <f t="shared" si="70"/>
        <v>0,;!0,;!0,;!0</v>
      </c>
      <c r="AI298" s="211" t="e">
        <f>INDEX([1]Library!$AL:$AL,MATCH(AH298,[1]Library!$AJ:$AJ,0),1)</f>
        <v>#N/A</v>
      </c>
      <c r="AJ298" s="211" t="e">
        <f>TEXT(INDEX([1]Library!$W:$W,MATCH(AH298,[1]Library!$AJ:$AJ,0),1),"")</f>
        <v>#N/A</v>
      </c>
    </row>
    <row r="299" spans="1:36" ht="25.2" hidden="1" customHeight="1" outlineLevel="1">
      <c r="A299" s="213"/>
      <c r="B299" s="214"/>
      <c r="C299" s="215" t="s">
        <v>325</v>
      </c>
      <c r="D299" s="215"/>
      <c r="E299" s="216"/>
      <c r="F299" s="217"/>
      <c r="G299" s="379"/>
      <c r="H299" s="219">
        <v>1</v>
      </c>
      <c r="I299" s="218" t="s">
        <v>32</v>
      </c>
      <c r="J299" s="219">
        <v>700000</v>
      </c>
      <c r="K299" s="219">
        <v>700000</v>
      </c>
      <c r="L299" s="219">
        <v>210000</v>
      </c>
      <c r="M299" s="219">
        <v>210000</v>
      </c>
      <c r="N299" s="219">
        <v>0</v>
      </c>
      <c r="O299" s="219">
        <v>0</v>
      </c>
      <c r="P299" s="220">
        <v>910000</v>
      </c>
      <c r="Q299" s="221">
        <f t="shared" si="67"/>
        <v>4.89504296986108E-4</v>
      </c>
      <c r="R299" s="222">
        <f t="shared" si="68"/>
        <v>48.815552313106203</v>
      </c>
      <c r="S299" s="223">
        <f t="shared" si="69"/>
        <v>1784.3137254902001</v>
      </c>
      <c r="T299" s="224"/>
      <c r="U299" s="225"/>
      <c r="V299" s="226"/>
      <c r="W299" s="227"/>
      <c r="X299" s="226"/>
      <c r="Y299" s="226"/>
      <c r="Z299" s="226"/>
      <c r="AA299" s="226"/>
      <c r="AB299" s="226"/>
      <c r="AC299" s="226"/>
      <c r="AD299" s="96">
        <f t="shared" si="76"/>
        <v>0</v>
      </c>
      <c r="AE299" s="96">
        <f t="shared" si="77"/>
        <v>0</v>
      </c>
      <c r="AF299" s="96">
        <f t="shared" si="78"/>
        <v>0</v>
      </c>
      <c r="AG299" s="96">
        <f t="shared" si="79"/>
        <v>0</v>
      </c>
      <c r="AH299" s="211" t="str">
        <f t="shared" si="70"/>
        <v>0,;!0,;!0,;!0</v>
      </c>
      <c r="AI299" s="211" t="e">
        <f>INDEX([1]Library!$AL:$AL,MATCH(AH299,[1]Library!$AJ:$AJ,0),1)</f>
        <v>#N/A</v>
      </c>
      <c r="AJ299" s="211" t="e">
        <f>TEXT(INDEX([1]Library!$W:$W,MATCH(AH299,[1]Library!$AJ:$AJ,0),1),"")</f>
        <v>#N/A</v>
      </c>
    </row>
    <row r="300" spans="1:36" ht="25.2" hidden="1" customHeight="1" outlineLevel="1">
      <c r="A300" s="213"/>
      <c r="B300" s="214"/>
      <c r="C300" s="215" t="s">
        <v>326</v>
      </c>
      <c r="D300" s="215"/>
      <c r="E300" s="216"/>
      <c r="F300" s="217"/>
      <c r="G300" s="379"/>
      <c r="H300" s="219">
        <v>1</v>
      </c>
      <c r="I300" s="218" t="s">
        <v>32</v>
      </c>
      <c r="J300" s="219">
        <v>952015.33649956295</v>
      </c>
      <c r="K300" s="219">
        <v>952015.33649956295</v>
      </c>
      <c r="L300" s="219">
        <v>95201.533649956298</v>
      </c>
      <c r="M300" s="219">
        <v>95201.533649956298</v>
      </c>
      <c r="N300" s="219">
        <v>0</v>
      </c>
      <c r="O300" s="219">
        <v>0</v>
      </c>
      <c r="P300" s="220">
        <v>1047216.87014952</v>
      </c>
      <c r="Q300" s="221">
        <f t="shared" si="67"/>
        <v>5.6331555803794896E-4</v>
      </c>
      <c r="R300" s="222">
        <f t="shared" si="68"/>
        <v>56.176340558188102</v>
      </c>
      <c r="S300" s="223">
        <f t="shared" si="69"/>
        <v>2053.3664120578801</v>
      </c>
      <c r="T300" s="224"/>
      <c r="U300" s="225"/>
      <c r="V300" s="226"/>
      <c r="W300" s="227"/>
      <c r="X300" s="226"/>
      <c r="Y300" s="226"/>
      <c r="Z300" s="226"/>
      <c r="AA300" s="226"/>
      <c r="AB300" s="226"/>
      <c r="AC300" s="226"/>
      <c r="AD300" s="96">
        <f t="shared" si="76"/>
        <v>0</v>
      </c>
      <c r="AE300" s="96">
        <f t="shared" si="77"/>
        <v>0</v>
      </c>
      <c r="AF300" s="96">
        <f t="shared" si="78"/>
        <v>0</v>
      </c>
      <c r="AG300" s="96">
        <f t="shared" si="79"/>
        <v>0</v>
      </c>
      <c r="AH300" s="211" t="str">
        <f t="shared" si="70"/>
        <v>0,;!0,;!0,;!0</v>
      </c>
      <c r="AI300" s="211" t="e">
        <f>INDEX([1]Library!$AL:$AL,MATCH(AH300,[1]Library!$AJ:$AJ,0),1)</f>
        <v>#N/A</v>
      </c>
      <c r="AJ300" s="211" t="e">
        <f>TEXT(INDEX([1]Library!$W:$W,MATCH(AH300,[1]Library!$AJ:$AJ,0),1),"")</f>
        <v>#N/A</v>
      </c>
    </row>
    <row r="301" spans="1:36" ht="25.2" hidden="1" customHeight="1" outlineLevel="1">
      <c r="A301" s="213"/>
      <c r="B301" s="214"/>
      <c r="C301" s="215" t="s">
        <v>327</v>
      </c>
      <c r="D301" s="215"/>
      <c r="E301" s="216"/>
      <c r="F301" s="217"/>
      <c r="G301" s="379"/>
      <c r="H301" s="219">
        <v>1</v>
      </c>
      <c r="I301" s="218" t="s">
        <v>32</v>
      </c>
      <c r="J301" s="219">
        <v>1190019.1706244501</v>
      </c>
      <c r="K301" s="219">
        <v>1190019.1706244501</v>
      </c>
      <c r="L301" s="219">
        <v>119001.91706244501</v>
      </c>
      <c r="M301" s="219">
        <v>119001.91706244501</v>
      </c>
      <c r="N301" s="219">
        <v>0</v>
      </c>
      <c r="O301" s="219">
        <v>0</v>
      </c>
      <c r="P301" s="220">
        <v>1309021.0876869</v>
      </c>
      <c r="Q301" s="221">
        <f t="shared" si="67"/>
        <v>7.0414444754743604E-4</v>
      </c>
      <c r="R301" s="222">
        <f t="shared" si="68"/>
        <v>70.220425697735195</v>
      </c>
      <c r="S301" s="223">
        <f t="shared" si="69"/>
        <v>2566.70801507235</v>
      </c>
      <c r="T301" s="224"/>
      <c r="U301" s="225"/>
      <c r="V301" s="226"/>
      <c r="W301" s="227"/>
      <c r="X301" s="226"/>
      <c r="Y301" s="226"/>
      <c r="Z301" s="226"/>
      <c r="AA301" s="226"/>
      <c r="AB301" s="226"/>
      <c r="AC301" s="226"/>
      <c r="AD301" s="96">
        <f t="shared" si="76"/>
        <v>0</v>
      </c>
      <c r="AE301" s="96">
        <f t="shared" si="77"/>
        <v>0</v>
      </c>
      <c r="AF301" s="96">
        <f t="shared" si="78"/>
        <v>0</v>
      </c>
      <c r="AG301" s="96">
        <f t="shared" si="79"/>
        <v>0</v>
      </c>
      <c r="AH301" s="211" t="str">
        <f t="shared" si="70"/>
        <v>0,;!0,;!0,;!0</v>
      </c>
      <c r="AI301" s="211" t="e">
        <f>INDEX([1]Library!$AL:$AL,MATCH(AH301,[1]Library!$AJ:$AJ,0),1)</f>
        <v>#N/A</v>
      </c>
      <c r="AJ301" s="211" t="e">
        <f>TEXT(INDEX([1]Library!$W:$W,MATCH(AH301,[1]Library!$AJ:$AJ,0),1),"")</f>
        <v>#N/A</v>
      </c>
    </row>
    <row r="302" spans="1:36" ht="25.2" hidden="1" customHeight="1" outlineLevel="1">
      <c r="A302" s="213"/>
      <c r="B302" s="214"/>
      <c r="C302" s="215" t="s">
        <v>328</v>
      </c>
      <c r="D302" s="215"/>
      <c r="E302" s="216"/>
      <c r="F302" s="217"/>
      <c r="G302" s="379"/>
      <c r="H302" s="219">
        <v>1</v>
      </c>
      <c r="I302" s="218" t="s">
        <v>32</v>
      </c>
      <c r="J302" s="219">
        <v>238003.834124891</v>
      </c>
      <c r="K302" s="219">
        <v>238003.834124891</v>
      </c>
      <c r="L302" s="219">
        <v>23800.3834124891</v>
      </c>
      <c r="M302" s="219">
        <v>23800.3834124891</v>
      </c>
      <c r="N302" s="219">
        <v>0</v>
      </c>
      <c r="O302" s="219">
        <v>0</v>
      </c>
      <c r="P302" s="220">
        <v>261804.21753738</v>
      </c>
      <c r="Q302" s="221">
        <f t="shared" si="67"/>
        <v>1.40828889509487E-4</v>
      </c>
      <c r="R302" s="222">
        <f t="shared" si="68"/>
        <v>14.044085139547001</v>
      </c>
      <c r="S302" s="223">
        <f t="shared" si="69"/>
        <v>513.34160301447105</v>
      </c>
      <c r="T302" s="224"/>
      <c r="U302" s="225"/>
      <c r="V302" s="226"/>
      <c r="W302" s="227"/>
      <c r="X302" s="226"/>
      <c r="Y302" s="226"/>
      <c r="Z302" s="226"/>
      <c r="AA302" s="226"/>
      <c r="AB302" s="226"/>
      <c r="AC302" s="226"/>
      <c r="AD302" s="96">
        <f t="shared" si="76"/>
        <v>0</v>
      </c>
      <c r="AE302" s="96">
        <f t="shared" si="77"/>
        <v>0</v>
      </c>
      <c r="AF302" s="96">
        <f t="shared" si="78"/>
        <v>0</v>
      </c>
      <c r="AG302" s="96">
        <f t="shared" si="79"/>
        <v>0</v>
      </c>
      <c r="AH302" s="211" t="str">
        <f t="shared" si="70"/>
        <v>0,;!0,;!0,;!0</v>
      </c>
      <c r="AI302" s="211" t="e">
        <f>INDEX([1]Library!$AL:$AL,MATCH(AH302,[1]Library!$AJ:$AJ,0),1)</f>
        <v>#N/A</v>
      </c>
      <c r="AJ302" s="211" t="e">
        <f>TEXT(INDEX([1]Library!$W:$W,MATCH(AH302,[1]Library!$AJ:$AJ,0),1),"")</f>
        <v>#N/A</v>
      </c>
    </row>
    <row r="303" spans="1:36" ht="25.2" hidden="1" customHeight="1" outlineLevel="1">
      <c r="A303" s="213"/>
      <c r="B303" s="214"/>
      <c r="C303" s="215" t="s">
        <v>329</v>
      </c>
      <c r="D303" s="215"/>
      <c r="E303" s="216"/>
      <c r="F303" s="217"/>
      <c r="G303" s="379"/>
      <c r="H303" s="219">
        <v>1</v>
      </c>
      <c r="I303" s="218" t="s">
        <v>32</v>
      </c>
      <c r="J303" s="219">
        <v>476007.66824978101</v>
      </c>
      <c r="K303" s="219">
        <v>476007.66824978101</v>
      </c>
      <c r="L303" s="219">
        <v>47600.766824978098</v>
      </c>
      <c r="M303" s="219">
        <v>47600.766824978098</v>
      </c>
      <c r="N303" s="219">
        <v>0</v>
      </c>
      <c r="O303" s="219">
        <v>0</v>
      </c>
      <c r="P303" s="220">
        <v>523608.43507475901</v>
      </c>
      <c r="Q303" s="221">
        <f t="shared" si="67"/>
        <v>2.8165777901897399E-4</v>
      </c>
      <c r="R303" s="222">
        <f t="shared" si="68"/>
        <v>28.088170279094001</v>
      </c>
      <c r="S303" s="223">
        <f t="shared" si="69"/>
        <v>1026.68320602894</v>
      </c>
      <c r="T303" s="224"/>
      <c r="U303" s="225"/>
      <c r="V303" s="226"/>
      <c r="W303" s="227"/>
      <c r="X303" s="226"/>
      <c r="Y303" s="226"/>
      <c r="Z303" s="226"/>
      <c r="AA303" s="226"/>
      <c r="AB303" s="226"/>
      <c r="AC303" s="226"/>
      <c r="AD303" s="96">
        <f t="shared" si="76"/>
        <v>0</v>
      </c>
      <c r="AE303" s="96">
        <f t="shared" si="77"/>
        <v>0</v>
      </c>
      <c r="AF303" s="96">
        <f t="shared" si="78"/>
        <v>0</v>
      </c>
      <c r="AG303" s="96">
        <f t="shared" si="79"/>
        <v>0</v>
      </c>
      <c r="AH303" s="211" t="str">
        <f t="shared" si="70"/>
        <v>0,;!0,;!0,;!0</v>
      </c>
      <c r="AI303" s="211" t="e">
        <f>INDEX([1]Library!$AL:$AL,MATCH(AH303,[1]Library!$AJ:$AJ,0),1)</f>
        <v>#N/A</v>
      </c>
      <c r="AJ303" s="211" t="e">
        <f>TEXT(INDEX([1]Library!$W:$W,MATCH(AH303,[1]Library!$AJ:$AJ,0),1),"")</f>
        <v>#N/A</v>
      </c>
    </row>
    <row r="304" spans="1:36" ht="25.2" hidden="1" customHeight="1" outlineLevel="1">
      <c r="A304" s="213"/>
      <c r="B304" s="214"/>
      <c r="C304" s="215" t="s">
        <v>330</v>
      </c>
      <c r="D304" s="215"/>
      <c r="E304" s="216"/>
      <c r="F304" s="217"/>
      <c r="G304" s="379"/>
      <c r="H304" s="219">
        <v>1</v>
      </c>
      <c r="I304" s="218" t="s">
        <v>32</v>
      </c>
      <c r="J304" s="219">
        <v>0</v>
      </c>
      <c r="K304" s="219">
        <v>0</v>
      </c>
      <c r="L304" s="219">
        <v>0</v>
      </c>
      <c r="M304" s="219">
        <v>0</v>
      </c>
      <c r="N304" s="219">
        <v>1643596.1296067501</v>
      </c>
      <c r="O304" s="219">
        <v>1643596.1296067501</v>
      </c>
      <c r="P304" s="220">
        <v>1643596.1296067501</v>
      </c>
      <c r="Q304" s="221">
        <f t="shared" si="67"/>
        <v>8.8411798676070398E-4</v>
      </c>
      <c r="R304" s="222">
        <f t="shared" si="68"/>
        <v>88.168189941139701</v>
      </c>
      <c r="S304" s="223">
        <f t="shared" si="69"/>
        <v>3222.7375090328401</v>
      </c>
      <c r="T304" s="224"/>
      <c r="U304" s="225"/>
      <c r="V304" s="226"/>
      <c r="W304" s="227"/>
      <c r="X304" s="226"/>
      <c r="Y304" s="226"/>
      <c r="Z304" s="226"/>
      <c r="AA304" s="226"/>
      <c r="AB304" s="226"/>
      <c r="AC304" s="226"/>
      <c r="AD304" s="96">
        <f t="shared" si="76"/>
        <v>0</v>
      </c>
      <c r="AE304" s="96">
        <f t="shared" si="77"/>
        <v>0</v>
      </c>
      <c r="AF304" s="96">
        <f t="shared" si="78"/>
        <v>0</v>
      </c>
      <c r="AG304" s="96">
        <f t="shared" si="79"/>
        <v>0</v>
      </c>
      <c r="AH304" s="211" t="str">
        <f t="shared" si="70"/>
        <v>0,;!0,;!0,;!0</v>
      </c>
      <c r="AI304" s="211" t="e">
        <f>INDEX([1]Library!$AL:$AL,MATCH(AH304,[1]Library!$AJ:$AJ,0),1)</f>
        <v>#N/A</v>
      </c>
      <c r="AJ304" s="211" t="e">
        <f>TEXT(INDEX([1]Library!$W:$W,MATCH(AH304,[1]Library!$AJ:$AJ,0),1),"")</f>
        <v>#N/A</v>
      </c>
    </row>
    <row r="305" spans="1:36" ht="25.2" customHeight="1" collapsed="1">
      <c r="A305" s="198" t="s">
        <v>331</v>
      </c>
      <c r="B305" s="199" t="s">
        <v>332</v>
      </c>
      <c r="C305" s="200"/>
      <c r="D305" s="200"/>
      <c r="E305" s="201"/>
      <c r="F305" s="202"/>
      <c r="G305" s="379"/>
      <c r="H305" s="378">
        <v>1</v>
      </c>
      <c r="I305" s="203" t="s">
        <v>32</v>
      </c>
      <c r="J305" s="204">
        <v>84842275.341692299</v>
      </c>
      <c r="K305" s="205">
        <v>84842275.341692299</v>
      </c>
      <c r="L305" s="204">
        <v>30508811.054083399</v>
      </c>
      <c r="M305" s="205">
        <v>30508811.054083399</v>
      </c>
      <c r="N305" s="204">
        <v>26725774.446955599</v>
      </c>
      <c r="O305" s="205">
        <v>26725774.446955599</v>
      </c>
      <c r="P305" s="206">
        <v>142076860.842731</v>
      </c>
      <c r="Q305" s="207">
        <f t="shared" si="67"/>
        <v>7.6425531741554004E-2</v>
      </c>
      <c r="R305" s="205">
        <f t="shared" si="68"/>
        <v>7621.4949812639998</v>
      </c>
      <c r="S305" s="208">
        <f t="shared" si="69"/>
        <v>278582.08008378599</v>
      </c>
      <c r="T305" s="209"/>
      <c r="U305" s="225"/>
      <c r="V305" s="226"/>
      <c r="W305" s="227"/>
      <c r="X305" s="226"/>
      <c r="Y305" s="226"/>
      <c r="Z305" s="226"/>
      <c r="AA305" s="226"/>
      <c r="AB305" s="226"/>
      <c r="AC305" s="226"/>
      <c r="AD305" s="96">
        <f t="shared" si="76"/>
        <v>0</v>
      </c>
      <c r="AE305" s="96">
        <f t="shared" si="77"/>
        <v>0</v>
      </c>
      <c r="AF305" s="96">
        <f t="shared" si="78"/>
        <v>0</v>
      </c>
      <c r="AG305" s="96">
        <f t="shared" si="79"/>
        <v>0</v>
      </c>
      <c r="AH305" s="211" t="str">
        <f t="shared" si="70"/>
        <v>0,;!0,;!0,;!0</v>
      </c>
      <c r="AI305" s="211" t="e">
        <f>INDEX([1]Library!$AL:$AL,MATCH(AH305,[1]Library!$AJ:$AJ,0),1)</f>
        <v>#N/A</v>
      </c>
      <c r="AJ305" s="211" t="e">
        <f>TEXT(INDEX([1]Library!$W:$W,MATCH(AH305,[1]Library!$AJ:$AJ,0),1),"")</f>
        <v>#N/A</v>
      </c>
    </row>
    <row r="306" spans="1:36" ht="25.2" hidden="1" customHeight="1" outlineLevel="1" collapsed="1">
      <c r="A306" s="213"/>
      <c r="B306" s="214"/>
      <c r="C306" s="215" t="s">
        <v>333</v>
      </c>
      <c r="D306" s="215"/>
      <c r="E306" s="216"/>
      <c r="F306" s="217"/>
      <c r="G306" s="379"/>
      <c r="H306" s="219">
        <v>1</v>
      </c>
      <c r="I306" s="218" t="s">
        <v>32</v>
      </c>
      <c r="J306" s="219">
        <v>3348063.4892071402</v>
      </c>
      <c r="K306" s="219">
        <v>3348063.4892071402</v>
      </c>
      <c r="L306" s="219">
        <v>795482.14843178599</v>
      </c>
      <c r="M306" s="219">
        <v>795482.14843178599</v>
      </c>
      <c r="N306" s="219">
        <v>0</v>
      </c>
      <c r="O306" s="219">
        <v>0</v>
      </c>
      <c r="P306" s="220">
        <v>4143545.6376389302</v>
      </c>
      <c r="Q306" s="221">
        <f t="shared" si="67"/>
        <v>2.2288828509695602E-3</v>
      </c>
      <c r="R306" s="222">
        <f t="shared" si="68"/>
        <v>222.27414157791901</v>
      </c>
      <c r="S306" s="223">
        <f t="shared" si="69"/>
        <v>8124.5992894881001</v>
      </c>
      <c r="T306" s="224"/>
      <c r="U306" s="225"/>
      <c r="V306" s="226"/>
      <c r="W306" s="227"/>
      <c r="X306" s="226"/>
      <c r="Y306" s="226"/>
      <c r="Z306" s="226"/>
      <c r="AA306" s="226"/>
      <c r="AB306" s="226"/>
      <c r="AC306" s="226"/>
      <c r="AD306" s="96">
        <f t="shared" si="76"/>
        <v>0</v>
      </c>
      <c r="AE306" s="96">
        <f t="shared" si="77"/>
        <v>0</v>
      </c>
      <c r="AF306" s="96">
        <f t="shared" si="78"/>
        <v>0</v>
      </c>
      <c r="AG306" s="96">
        <f t="shared" si="79"/>
        <v>0</v>
      </c>
      <c r="AH306" s="211" t="str">
        <f t="shared" si="70"/>
        <v>0,;!0,;!0,;!0</v>
      </c>
      <c r="AI306" s="211" t="e">
        <f>INDEX([1]Library!$AL:$AL,MATCH(AH306,[1]Library!$AJ:$AJ,0),1)</f>
        <v>#N/A</v>
      </c>
      <c r="AJ306" s="211" t="e">
        <f>TEXT(INDEX([1]Library!$W:$W,MATCH(AH306,[1]Library!$AJ:$AJ,0),1),"")</f>
        <v>#N/A</v>
      </c>
    </row>
    <row r="307" spans="1:36" ht="25.2" hidden="1" customHeight="1" outlineLevel="2">
      <c r="A307" s="228"/>
      <c r="B307" s="229"/>
      <c r="C307" s="230"/>
      <c r="D307" s="231" t="s">
        <v>334</v>
      </c>
      <c r="E307" s="232"/>
      <c r="F307" s="233"/>
      <c r="G307" s="379"/>
      <c r="H307" s="380">
        <v>4</v>
      </c>
      <c r="I307" s="234" t="s">
        <v>200</v>
      </c>
      <c r="J307" s="235">
        <v>96638.651785714304</v>
      </c>
      <c r="K307" s="236">
        <v>386554.60714285698</v>
      </c>
      <c r="L307" s="235">
        <v>31250</v>
      </c>
      <c r="M307" s="236">
        <v>125000</v>
      </c>
      <c r="N307" s="237">
        <v>0</v>
      </c>
      <c r="O307" s="236">
        <v>0</v>
      </c>
      <c r="P307" s="238">
        <v>511554.60714285698</v>
      </c>
      <c r="Q307" s="239">
        <f t="shared" si="67"/>
        <v>2.7517382235106499E-4</v>
      </c>
      <c r="R307" s="236">
        <f t="shared" si="68"/>
        <v>27.441561193398499</v>
      </c>
      <c r="S307" s="240">
        <f t="shared" si="69"/>
        <v>1003.0482492997201</v>
      </c>
      <c r="T307" s="241"/>
      <c r="U307" s="225"/>
      <c r="V307" s="226"/>
      <c r="W307" s="227"/>
      <c r="X307" s="226"/>
      <c r="Y307" s="226"/>
      <c r="Z307" s="226"/>
      <c r="AA307" s="226"/>
      <c r="AB307" s="226"/>
      <c r="AC307" s="226"/>
      <c r="AD307" s="96">
        <f t="shared" si="76"/>
        <v>0</v>
      </c>
      <c r="AE307" s="96">
        <f t="shared" si="77"/>
        <v>0</v>
      </c>
      <c r="AF307" s="96">
        <f t="shared" si="78"/>
        <v>0</v>
      </c>
      <c r="AG307" s="96">
        <f t="shared" si="79"/>
        <v>0</v>
      </c>
      <c r="AH307" s="211" t="str">
        <f t="shared" si="70"/>
        <v>0,;!0,;!0,;!0</v>
      </c>
      <c r="AI307" s="211" t="e">
        <f>INDEX([1]Library!$AL:$AL,MATCH(AH307,[1]Library!$AJ:$AJ,0),1)</f>
        <v>#N/A</v>
      </c>
      <c r="AJ307" s="211" t="e">
        <f>TEXT(INDEX([1]Library!$W:$W,MATCH(AH307,[1]Library!$AJ:$AJ,0),1),"")</f>
        <v>#N/A</v>
      </c>
    </row>
    <row r="308" spans="1:36" ht="25.2" hidden="1" customHeight="1" outlineLevel="2">
      <c r="A308" s="228"/>
      <c r="B308" s="229"/>
      <c r="C308" s="230"/>
      <c r="D308" s="231" t="s">
        <v>335</v>
      </c>
      <c r="E308" s="232"/>
      <c r="F308" s="233"/>
      <c r="G308" s="379"/>
      <c r="H308" s="380">
        <v>4</v>
      </c>
      <c r="I308" s="234" t="s">
        <v>200</v>
      </c>
      <c r="J308" s="235">
        <v>107551.875</v>
      </c>
      <c r="K308" s="236">
        <v>430207.5</v>
      </c>
      <c r="L308" s="235">
        <v>33233.529374999998</v>
      </c>
      <c r="M308" s="236">
        <v>132934.11749999999</v>
      </c>
      <c r="N308" s="237">
        <v>0</v>
      </c>
      <c r="O308" s="236">
        <v>0</v>
      </c>
      <c r="P308" s="238">
        <v>563141.61750000005</v>
      </c>
      <c r="Q308" s="239">
        <f t="shared" si="67"/>
        <v>3.0292334239336E-4</v>
      </c>
      <c r="R308" s="236">
        <f t="shared" si="68"/>
        <v>30.208867130503801</v>
      </c>
      <c r="S308" s="240">
        <f t="shared" si="69"/>
        <v>1104.1992499999999</v>
      </c>
      <c r="T308" s="241"/>
      <c r="U308" s="225"/>
      <c r="V308" s="226"/>
      <c r="W308" s="227"/>
      <c r="X308" s="226"/>
      <c r="Y308" s="226"/>
      <c r="Z308" s="226"/>
      <c r="AA308" s="226"/>
      <c r="AB308" s="226"/>
      <c r="AC308" s="226"/>
      <c r="AD308" s="96">
        <f t="shared" si="76"/>
        <v>0</v>
      </c>
      <c r="AE308" s="96">
        <f t="shared" si="77"/>
        <v>0</v>
      </c>
      <c r="AF308" s="96">
        <f t="shared" si="78"/>
        <v>0</v>
      </c>
      <c r="AG308" s="96">
        <f t="shared" si="79"/>
        <v>0</v>
      </c>
      <c r="AH308" s="211" t="str">
        <f t="shared" si="70"/>
        <v>0,;!0,;!0,;!0</v>
      </c>
      <c r="AI308" s="211" t="e">
        <f>INDEX([1]Library!$AL:$AL,MATCH(AH308,[1]Library!$AJ:$AJ,0),1)</f>
        <v>#N/A</v>
      </c>
      <c r="AJ308" s="211" t="e">
        <f>TEXT(INDEX([1]Library!$W:$W,MATCH(AH308,[1]Library!$AJ:$AJ,0),1),"")</f>
        <v>#N/A</v>
      </c>
    </row>
    <row r="309" spans="1:36" ht="25.2" hidden="1" customHeight="1" outlineLevel="2">
      <c r="A309" s="228"/>
      <c r="B309" s="229"/>
      <c r="C309" s="230"/>
      <c r="D309" s="231" t="s">
        <v>336</v>
      </c>
      <c r="E309" s="232"/>
      <c r="F309" s="233"/>
      <c r="G309" s="379"/>
      <c r="H309" s="380">
        <v>4</v>
      </c>
      <c r="I309" s="234" t="s">
        <v>200</v>
      </c>
      <c r="J309" s="235">
        <v>18536.77</v>
      </c>
      <c r="K309" s="236">
        <v>74147.08</v>
      </c>
      <c r="L309" s="235">
        <v>7398.18</v>
      </c>
      <c r="M309" s="236">
        <v>29592.720000000001</v>
      </c>
      <c r="N309" s="237">
        <v>0</v>
      </c>
      <c r="O309" s="236">
        <v>0</v>
      </c>
      <c r="P309" s="238">
        <v>103739.8</v>
      </c>
      <c r="Q309" s="239">
        <f t="shared" si="67"/>
        <v>5.5803382273054399E-5</v>
      </c>
      <c r="R309" s="236">
        <f t="shared" si="68"/>
        <v>5.5649622350012899</v>
      </c>
      <c r="S309" s="240">
        <f t="shared" si="69"/>
        <v>203.41137254902</v>
      </c>
      <c r="T309" s="241"/>
      <c r="U309" s="225"/>
      <c r="V309" s="226"/>
      <c r="W309" s="227"/>
      <c r="X309" s="226"/>
      <c r="Y309" s="226"/>
      <c r="Z309" s="226"/>
      <c r="AA309" s="226"/>
      <c r="AB309" s="226"/>
      <c r="AC309" s="226"/>
      <c r="AD309" s="96">
        <f t="shared" si="76"/>
        <v>0</v>
      </c>
      <c r="AE309" s="96">
        <f t="shared" si="77"/>
        <v>0</v>
      </c>
      <c r="AF309" s="96">
        <f t="shared" si="78"/>
        <v>0</v>
      </c>
      <c r="AG309" s="96">
        <f t="shared" si="79"/>
        <v>0</v>
      </c>
      <c r="AH309" s="211" t="str">
        <f t="shared" si="70"/>
        <v>0,;!0,;!0,;!0</v>
      </c>
      <c r="AI309" s="211" t="e">
        <f>INDEX([1]Library!$AL:$AL,MATCH(AH309,[1]Library!$AJ:$AJ,0),1)</f>
        <v>#N/A</v>
      </c>
      <c r="AJ309" s="211" t="e">
        <f>TEXT(INDEX([1]Library!$W:$W,MATCH(AH309,[1]Library!$AJ:$AJ,0),1),"")</f>
        <v>#N/A</v>
      </c>
    </row>
    <row r="310" spans="1:36" ht="25.2" hidden="1" customHeight="1" outlineLevel="2">
      <c r="A310" s="228"/>
      <c r="B310" s="229"/>
      <c r="C310" s="230"/>
      <c r="D310" s="231" t="s">
        <v>337</v>
      </c>
      <c r="E310" s="232"/>
      <c r="F310" s="233"/>
      <c r="G310" s="379"/>
      <c r="H310" s="380">
        <v>12</v>
      </c>
      <c r="I310" s="234" t="s">
        <v>134</v>
      </c>
      <c r="J310" s="235">
        <v>5000</v>
      </c>
      <c r="K310" s="236">
        <v>60000</v>
      </c>
      <c r="L310" s="235">
        <v>2276.7857142857101</v>
      </c>
      <c r="M310" s="236">
        <v>27321.428571428602</v>
      </c>
      <c r="N310" s="237">
        <v>0</v>
      </c>
      <c r="O310" s="236">
        <v>0</v>
      </c>
      <c r="P310" s="238">
        <v>87321.428571428594</v>
      </c>
      <c r="Q310" s="239">
        <f t="shared" si="67"/>
        <v>4.6971664290856902E-5</v>
      </c>
      <c r="R310" s="236">
        <f t="shared" si="68"/>
        <v>4.6842239170150997</v>
      </c>
      <c r="S310" s="240">
        <f t="shared" si="69"/>
        <v>171.218487394958</v>
      </c>
      <c r="T310" s="241"/>
      <c r="U310" s="225"/>
      <c r="V310" s="226"/>
      <c r="W310" s="227"/>
      <c r="X310" s="226"/>
      <c r="Y310" s="226"/>
      <c r="Z310" s="226"/>
      <c r="AA310" s="226"/>
      <c r="AB310" s="226"/>
      <c r="AC310" s="226"/>
      <c r="AD310" s="96">
        <f t="shared" si="76"/>
        <v>0</v>
      </c>
      <c r="AE310" s="96">
        <f t="shared" si="77"/>
        <v>0</v>
      </c>
      <c r="AF310" s="96">
        <f t="shared" si="78"/>
        <v>0</v>
      </c>
      <c r="AG310" s="96">
        <f t="shared" si="79"/>
        <v>0</v>
      </c>
      <c r="AH310" s="211" t="str">
        <f t="shared" si="70"/>
        <v>0,;!0,;!0,;!0</v>
      </c>
      <c r="AI310" s="211" t="e">
        <f>INDEX([1]Library!$AL:$AL,MATCH(AH310,[1]Library!$AJ:$AJ,0),1)</f>
        <v>#N/A</v>
      </c>
      <c r="AJ310" s="211" t="e">
        <f>TEXT(INDEX([1]Library!$W:$W,MATCH(AH310,[1]Library!$AJ:$AJ,0),1),"")</f>
        <v>#N/A</v>
      </c>
    </row>
    <row r="311" spans="1:36" ht="25.2" hidden="1" customHeight="1" outlineLevel="2">
      <c r="A311" s="228"/>
      <c r="B311" s="229"/>
      <c r="C311" s="230"/>
      <c r="D311" s="231" t="s">
        <v>338</v>
      </c>
      <c r="E311" s="232"/>
      <c r="F311" s="233"/>
      <c r="G311" s="379"/>
      <c r="H311" s="380">
        <v>412</v>
      </c>
      <c r="I311" s="234" t="s">
        <v>176</v>
      </c>
      <c r="J311" s="235">
        <v>413.919642857143</v>
      </c>
      <c r="K311" s="236">
        <v>170534.89285714299</v>
      </c>
      <c r="L311" s="235">
        <v>124.175892857143</v>
      </c>
      <c r="M311" s="236">
        <v>51160.467857142801</v>
      </c>
      <c r="N311" s="237">
        <v>0</v>
      </c>
      <c r="O311" s="236">
        <v>0</v>
      </c>
      <c r="P311" s="238">
        <v>221695.36071428601</v>
      </c>
      <c r="Q311" s="239">
        <f t="shared" si="67"/>
        <v>1.19253661199482E-4</v>
      </c>
      <c r="R311" s="236">
        <f t="shared" si="68"/>
        <v>11.892507119254001</v>
      </c>
      <c r="S311" s="240">
        <f t="shared" si="69"/>
        <v>434.69678571428602</v>
      </c>
      <c r="T311" s="241"/>
      <c r="U311" s="225"/>
      <c r="V311" s="226"/>
      <c r="W311" s="227"/>
      <c r="X311" s="226"/>
      <c r="Y311" s="226"/>
      <c r="Z311" s="226"/>
      <c r="AA311" s="226"/>
      <c r="AB311" s="226"/>
      <c r="AC311" s="226"/>
      <c r="AD311" s="96">
        <f>IF(X311&lt;&gt;0,IF($X311&gt;=AD$12,#REF!,""),Z311)</f>
        <v>0</v>
      </c>
      <c r="AE311" s="96">
        <f>IF(AA311=" ",IF($X311&gt;=AE$12,#REF!,""),AA311)</f>
        <v>0</v>
      </c>
      <c r="AF311" s="96">
        <f>IF(AB311=" ",IF($X311&gt;=AF$12,#REF!,""),AB311)</f>
        <v>0</v>
      </c>
      <c r="AG311" s="96">
        <f>IF(AC311=" ",IF($X311&gt;=AG$12,#REF!,""),AC311)</f>
        <v>0</v>
      </c>
      <c r="AH311" s="211" t="str">
        <f t="shared" si="70"/>
        <v>0,;!0,;!0,;!0</v>
      </c>
      <c r="AI311" s="211" t="e">
        <f>INDEX([1]Library!$AL:$AL,MATCH(AH311,[1]Library!$AJ:$AJ,0),1)</f>
        <v>#N/A</v>
      </c>
      <c r="AJ311" s="211" t="e">
        <f>TEXT(INDEX([1]Library!$W:$W,MATCH(AH311,[1]Library!$AJ:$AJ,0),1),"")</f>
        <v>#N/A</v>
      </c>
    </row>
    <row r="312" spans="1:36" ht="25.2" hidden="1" customHeight="1" outlineLevel="2">
      <c r="A312" s="228"/>
      <c r="B312" s="229"/>
      <c r="C312" s="230"/>
      <c r="D312" s="231" t="s">
        <v>339</v>
      </c>
      <c r="E312" s="232"/>
      <c r="F312" s="233"/>
      <c r="G312" s="379"/>
      <c r="H312" s="380">
        <v>280</v>
      </c>
      <c r="I312" s="234" t="s">
        <v>176</v>
      </c>
      <c r="J312" s="235">
        <v>331.13571428571402</v>
      </c>
      <c r="K312" s="236">
        <v>92718</v>
      </c>
      <c r="L312" s="235">
        <v>99.340714285714299</v>
      </c>
      <c r="M312" s="236">
        <v>27815.4</v>
      </c>
      <c r="N312" s="237">
        <v>0</v>
      </c>
      <c r="O312" s="236">
        <v>0</v>
      </c>
      <c r="P312" s="238">
        <v>120533.4</v>
      </c>
      <c r="Q312" s="239">
        <f t="shared" si="67"/>
        <v>6.4836942011368501E-5</v>
      </c>
      <c r="R312" s="236">
        <f t="shared" si="68"/>
        <v>6.4658291133808303</v>
      </c>
      <c r="S312" s="240">
        <f t="shared" si="69"/>
        <v>236.34</v>
      </c>
      <c r="T312" s="241"/>
      <c r="U312" s="225"/>
      <c r="V312" s="226"/>
      <c r="W312" s="227"/>
      <c r="X312" s="226"/>
      <c r="Y312" s="226"/>
      <c r="Z312" s="226"/>
      <c r="AA312" s="226"/>
      <c r="AB312" s="226"/>
      <c r="AC312" s="226"/>
      <c r="AD312" s="96">
        <f t="shared" ref="AD312:AD325" si="80">IF(X312&lt;&gt;0,IF($X312&gt;=AD$12,AD311,""),Z312)</f>
        <v>0</v>
      </c>
      <c r="AE312" s="96">
        <f t="shared" ref="AE312:AE325" si="81">IF(AA312=" ",IF($X312&gt;=AE$12,AE311,""),AA312)</f>
        <v>0</v>
      </c>
      <c r="AF312" s="96">
        <f t="shared" ref="AF312:AF325" si="82">IF(AB312=" ",IF($X312&gt;=AF$12,AF311,""),AB312)</f>
        <v>0</v>
      </c>
      <c r="AG312" s="96">
        <f t="shared" ref="AG312:AG325" si="83">IF(AC312=" ",IF($X312&gt;=AG$12,AG311,""),AC312)</f>
        <v>0</v>
      </c>
      <c r="AH312" s="211" t="str">
        <f t="shared" si="70"/>
        <v>0,;!0,;!0,;!0</v>
      </c>
      <c r="AI312" s="211" t="e">
        <f>INDEX([1]Library!$AL:$AL,MATCH(AH312,[1]Library!$AJ:$AJ,0),1)</f>
        <v>#N/A</v>
      </c>
      <c r="AJ312" s="211" t="e">
        <f>TEXT(INDEX([1]Library!$W:$W,MATCH(AH312,[1]Library!$AJ:$AJ,0),1),"")</f>
        <v>#N/A</v>
      </c>
    </row>
    <row r="313" spans="1:36" ht="25.2" hidden="1" customHeight="1" outlineLevel="2">
      <c r="A313" s="228"/>
      <c r="B313" s="229"/>
      <c r="C313" s="230"/>
      <c r="D313" s="231" t="s">
        <v>340</v>
      </c>
      <c r="E313" s="232"/>
      <c r="F313" s="233"/>
      <c r="G313" s="379"/>
      <c r="H313" s="380">
        <v>72</v>
      </c>
      <c r="I313" s="234" t="s">
        <v>176</v>
      </c>
      <c r="J313" s="235">
        <v>281.46535714285699</v>
      </c>
      <c r="K313" s="236">
        <v>20265.5057142857</v>
      </c>
      <c r="L313" s="235">
        <v>84.439607142857099</v>
      </c>
      <c r="M313" s="236">
        <v>6079.6517142857101</v>
      </c>
      <c r="N313" s="237">
        <v>0</v>
      </c>
      <c r="O313" s="236">
        <v>0</v>
      </c>
      <c r="P313" s="238">
        <v>26345.157428571401</v>
      </c>
      <c r="Q313" s="239">
        <f t="shared" si="67"/>
        <v>1.4171503039627701E-5</v>
      </c>
      <c r="R313" s="236">
        <f t="shared" si="68"/>
        <v>1.4132455062103799</v>
      </c>
      <c r="S313" s="240">
        <f t="shared" si="69"/>
        <v>51.657171428571402</v>
      </c>
      <c r="T313" s="241"/>
      <c r="U313" s="225"/>
      <c r="V313" s="226"/>
      <c r="W313" s="227"/>
      <c r="X313" s="226"/>
      <c r="Y313" s="226"/>
      <c r="Z313" s="226"/>
      <c r="AA313" s="226"/>
      <c r="AB313" s="226"/>
      <c r="AC313" s="226"/>
      <c r="AD313" s="96">
        <f t="shared" si="80"/>
        <v>0</v>
      </c>
      <c r="AE313" s="96">
        <f t="shared" si="81"/>
        <v>0</v>
      </c>
      <c r="AF313" s="96">
        <f t="shared" si="82"/>
        <v>0</v>
      </c>
      <c r="AG313" s="96">
        <f t="shared" si="83"/>
        <v>0</v>
      </c>
      <c r="AH313" s="211" t="str">
        <f t="shared" si="70"/>
        <v>0,;!0,;!0,;!0</v>
      </c>
      <c r="AI313" s="211" t="e">
        <f>INDEX([1]Library!$AL:$AL,MATCH(AH313,[1]Library!$AJ:$AJ,0),1)</f>
        <v>#N/A</v>
      </c>
      <c r="AJ313" s="211" t="e">
        <f>TEXT(INDEX([1]Library!$W:$W,MATCH(AH313,[1]Library!$AJ:$AJ,0),1),"")</f>
        <v>#N/A</v>
      </c>
    </row>
    <row r="314" spans="1:36" ht="25.2" hidden="1" customHeight="1" outlineLevel="2">
      <c r="A314" s="228"/>
      <c r="B314" s="229"/>
      <c r="C314" s="230"/>
      <c r="D314" s="231" t="s">
        <v>341</v>
      </c>
      <c r="E314" s="232"/>
      <c r="F314" s="233"/>
      <c r="G314" s="379"/>
      <c r="H314" s="380">
        <v>300</v>
      </c>
      <c r="I314" s="234" t="s">
        <v>176</v>
      </c>
      <c r="J314" s="235">
        <v>239.24555357142901</v>
      </c>
      <c r="K314" s="236">
        <v>71773.666071428597</v>
      </c>
      <c r="L314" s="235">
        <v>71.773666071428593</v>
      </c>
      <c r="M314" s="236">
        <v>21532.099821428601</v>
      </c>
      <c r="N314" s="237">
        <v>0</v>
      </c>
      <c r="O314" s="236">
        <v>0</v>
      </c>
      <c r="P314" s="238">
        <v>93305.765892857104</v>
      </c>
      <c r="Q314" s="239">
        <f t="shared" si="67"/>
        <v>5.0190739932014699E-5</v>
      </c>
      <c r="R314" s="236">
        <f t="shared" si="68"/>
        <v>5.0052445011617603</v>
      </c>
      <c r="S314" s="240">
        <f t="shared" si="69"/>
        <v>182.95248214285701</v>
      </c>
      <c r="T314" s="241"/>
      <c r="U314" s="225"/>
      <c r="V314" s="226"/>
      <c r="W314" s="227"/>
      <c r="X314" s="226"/>
      <c r="Y314" s="226"/>
      <c r="Z314" s="226"/>
      <c r="AA314" s="226"/>
      <c r="AB314" s="226"/>
      <c r="AC314" s="226"/>
      <c r="AD314" s="96">
        <f t="shared" si="80"/>
        <v>0</v>
      </c>
      <c r="AE314" s="96">
        <f t="shared" si="81"/>
        <v>0</v>
      </c>
      <c r="AF314" s="96">
        <f t="shared" si="82"/>
        <v>0</v>
      </c>
      <c r="AG314" s="96">
        <f t="shared" si="83"/>
        <v>0</v>
      </c>
      <c r="AH314" s="211" t="str">
        <f t="shared" si="70"/>
        <v>0,;!0,;!0,;!0</v>
      </c>
      <c r="AI314" s="211" t="e">
        <f>INDEX([1]Library!$AL:$AL,MATCH(AH314,[1]Library!$AJ:$AJ,0),1)</f>
        <v>#N/A</v>
      </c>
      <c r="AJ314" s="211" t="e">
        <f>TEXT(INDEX([1]Library!$W:$W,MATCH(AH314,[1]Library!$AJ:$AJ,0),1),"")</f>
        <v>#N/A</v>
      </c>
    </row>
    <row r="315" spans="1:36" ht="25.2" hidden="1" customHeight="1" outlineLevel="2">
      <c r="A315" s="228"/>
      <c r="B315" s="229"/>
      <c r="C315" s="230"/>
      <c r="D315" s="231" t="s">
        <v>342</v>
      </c>
      <c r="E315" s="232"/>
      <c r="F315" s="233"/>
      <c r="G315" s="379"/>
      <c r="H315" s="380">
        <v>232</v>
      </c>
      <c r="I315" s="234" t="s">
        <v>176</v>
      </c>
      <c r="J315" s="235">
        <v>191.396442857143</v>
      </c>
      <c r="K315" s="236">
        <v>44403.974742857099</v>
      </c>
      <c r="L315" s="235">
        <v>57.418932857142799</v>
      </c>
      <c r="M315" s="236">
        <v>13321.192422857101</v>
      </c>
      <c r="N315" s="237">
        <v>0</v>
      </c>
      <c r="O315" s="236">
        <v>0</v>
      </c>
      <c r="P315" s="238">
        <v>57725.167165714302</v>
      </c>
      <c r="Q315" s="239">
        <f t="shared" si="67"/>
        <v>3.1051337771273101E-5</v>
      </c>
      <c r="R315" s="236">
        <f t="shared" si="68"/>
        <v>3.09657793138541</v>
      </c>
      <c r="S315" s="240">
        <f t="shared" si="69"/>
        <v>113.186602285714</v>
      </c>
      <c r="T315" s="241"/>
      <c r="U315" s="225"/>
      <c r="V315" s="226"/>
      <c r="W315" s="227"/>
      <c r="X315" s="226"/>
      <c r="Y315" s="226"/>
      <c r="Z315" s="226"/>
      <c r="AA315" s="226"/>
      <c r="AB315" s="226"/>
      <c r="AC315" s="226"/>
      <c r="AD315" s="96">
        <f t="shared" si="80"/>
        <v>0</v>
      </c>
      <c r="AE315" s="96">
        <f t="shared" si="81"/>
        <v>0</v>
      </c>
      <c r="AF315" s="96">
        <f t="shared" si="82"/>
        <v>0</v>
      </c>
      <c r="AG315" s="96">
        <f t="shared" si="83"/>
        <v>0</v>
      </c>
      <c r="AH315" s="211" t="str">
        <f t="shared" si="70"/>
        <v>0,;!0,;!0,;!0</v>
      </c>
      <c r="AI315" s="211" t="e">
        <f>INDEX([1]Library!$AL:$AL,MATCH(AH315,[1]Library!$AJ:$AJ,0),1)</f>
        <v>#N/A</v>
      </c>
      <c r="AJ315" s="211" t="e">
        <f>TEXT(INDEX([1]Library!$W:$W,MATCH(AH315,[1]Library!$AJ:$AJ,0),1),"")</f>
        <v>#N/A</v>
      </c>
    </row>
    <row r="316" spans="1:36" ht="25.2" hidden="1" customHeight="1" outlineLevel="2">
      <c r="A316" s="228"/>
      <c r="B316" s="229"/>
      <c r="C316" s="230"/>
      <c r="D316" s="231" t="s">
        <v>343</v>
      </c>
      <c r="E316" s="232"/>
      <c r="F316" s="233"/>
      <c r="G316" s="379"/>
      <c r="H316" s="380">
        <v>8</v>
      </c>
      <c r="I316" s="234" t="s">
        <v>200</v>
      </c>
      <c r="J316" s="235">
        <v>53437.5</v>
      </c>
      <c r="K316" s="236">
        <v>427500</v>
      </c>
      <c r="L316" s="235">
        <v>16512.1875</v>
      </c>
      <c r="M316" s="236">
        <v>132097.5</v>
      </c>
      <c r="N316" s="237">
        <v>0</v>
      </c>
      <c r="O316" s="236">
        <v>0</v>
      </c>
      <c r="P316" s="238">
        <v>559597.5</v>
      </c>
      <c r="Q316" s="239">
        <f t="shared" si="67"/>
        <v>3.0101690201393802E-4</v>
      </c>
      <c r="R316" s="236">
        <f t="shared" si="68"/>
        <v>30.0187483906961</v>
      </c>
      <c r="S316" s="240">
        <f t="shared" si="69"/>
        <v>1097.25</v>
      </c>
      <c r="T316" s="241"/>
      <c r="U316" s="225"/>
      <c r="V316" s="226"/>
      <c r="W316" s="227"/>
      <c r="X316" s="226"/>
      <c r="Y316" s="226"/>
      <c r="Z316" s="226"/>
      <c r="AA316" s="226"/>
      <c r="AB316" s="226"/>
      <c r="AC316" s="226"/>
      <c r="AD316" s="96">
        <f t="shared" si="80"/>
        <v>0</v>
      </c>
      <c r="AE316" s="96">
        <f t="shared" si="81"/>
        <v>0</v>
      </c>
      <c r="AF316" s="96">
        <f t="shared" si="82"/>
        <v>0</v>
      </c>
      <c r="AG316" s="96">
        <f t="shared" si="83"/>
        <v>0</v>
      </c>
      <c r="AH316" s="211" t="str">
        <f t="shared" si="70"/>
        <v>0,;!0,;!0,;!0</v>
      </c>
      <c r="AI316" s="211" t="e">
        <f>INDEX([1]Library!$AL:$AL,MATCH(AH316,[1]Library!$AJ:$AJ,0),1)</f>
        <v>#N/A</v>
      </c>
      <c r="AJ316" s="211" t="e">
        <f>TEXT(INDEX([1]Library!$W:$W,MATCH(AH316,[1]Library!$AJ:$AJ,0),1),"")</f>
        <v>#N/A</v>
      </c>
    </row>
    <row r="317" spans="1:36" ht="25.2" hidden="1" customHeight="1" outlineLevel="2">
      <c r="A317" s="228"/>
      <c r="B317" s="229"/>
      <c r="C317" s="230"/>
      <c r="D317" s="231" t="s">
        <v>344</v>
      </c>
      <c r="E317" s="232"/>
      <c r="F317" s="233"/>
      <c r="G317" s="379"/>
      <c r="H317" s="380">
        <v>144</v>
      </c>
      <c r="I317" s="234" t="s">
        <v>200</v>
      </c>
      <c r="J317" s="235">
        <v>7971.09375</v>
      </c>
      <c r="K317" s="236">
        <v>1147837.5</v>
      </c>
      <c r="L317" s="235">
        <v>821.02265624999995</v>
      </c>
      <c r="M317" s="236">
        <v>118227.2625</v>
      </c>
      <c r="N317" s="237">
        <v>0</v>
      </c>
      <c r="O317" s="236">
        <v>0</v>
      </c>
      <c r="P317" s="238">
        <v>1266064.7625</v>
      </c>
      <c r="Q317" s="239">
        <f t="shared" si="67"/>
        <v>6.81037518138952E-4</v>
      </c>
      <c r="R317" s="236">
        <f t="shared" si="68"/>
        <v>67.9160996105485</v>
      </c>
      <c r="S317" s="240">
        <f t="shared" si="69"/>
        <v>2482.4799264705898</v>
      </c>
      <c r="T317" s="241"/>
      <c r="U317" s="225"/>
      <c r="V317" s="226"/>
      <c r="W317" s="227"/>
      <c r="X317" s="226"/>
      <c r="Y317" s="226"/>
      <c r="Z317" s="226"/>
      <c r="AA317" s="226"/>
      <c r="AB317" s="226"/>
      <c r="AC317" s="226"/>
      <c r="AD317" s="96">
        <f t="shared" si="80"/>
        <v>0</v>
      </c>
      <c r="AE317" s="96">
        <f t="shared" si="81"/>
        <v>0</v>
      </c>
      <c r="AF317" s="96">
        <f t="shared" si="82"/>
        <v>0</v>
      </c>
      <c r="AG317" s="96">
        <f t="shared" si="83"/>
        <v>0</v>
      </c>
      <c r="AH317" s="211" t="str">
        <f t="shared" si="70"/>
        <v>0,;!0,;!0,;!0</v>
      </c>
      <c r="AI317" s="211" t="e">
        <f>INDEX([1]Library!$AL:$AL,MATCH(AH317,[1]Library!$AJ:$AJ,0),1)</f>
        <v>#N/A</v>
      </c>
      <c r="AJ317" s="211" t="e">
        <f>TEXT(INDEX([1]Library!$W:$W,MATCH(AH317,[1]Library!$AJ:$AJ,0),1),"")</f>
        <v>#N/A</v>
      </c>
    </row>
    <row r="318" spans="1:36" s="97" customFormat="1" ht="25.2" hidden="1" customHeight="1" outlineLevel="2">
      <c r="A318" s="257"/>
      <c r="B318" s="258"/>
      <c r="C318" s="259"/>
      <c r="D318" s="260" t="s">
        <v>337</v>
      </c>
      <c r="E318" s="261"/>
      <c r="F318" s="262"/>
      <c r="G318" s="383"/>
      <c r="H318" s="384">
        <v>12</v>
      </c>
      <c r="I318" s="263" t="s">
        <v>134</v>
      </c>
      <c r="J318" s="264"/>
      <c r="K318" s="265"/>
      <c r="L318" s="264"/>
      <c r="M318" s="265"/>
      <c r="N318" s="264"/>
      <c r="O318" s="265"/>
      <c r="P318" s="266"/>
      <c r="Q318" s="267"/>
      <c r="R318" s="265"/>
      <c r="S318" s="268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385">
        <f t="shared" si="80"/>
        <v>0</v>
      </c>
      <c r="AE318" s="385">
        <f t="shared" si="81"/>
        <v>0</v>
      </c>
      <c r="AF318" s="385">
        <f t="shared" si="82"/>
        <v>0</v>
      </c>
      <c r="AG318" s="385">
        <f t="shared" si="83"/>
        <v>0</v>
      </c>
      <c r="AH318" s="386" t="str">
        <f t="shared" si="70"/>
        <v>0,;!0,;!0,;!0</v>
      </c>
      <c r="AI318" s="386" t="e">
        <f>INDEX([1]Library!$AL:$AL,MATCH(AH318,[1]Library!$AJ:$AJ,0),1)</f>
        <v>#N/A</v>
      </c>
      <c r="AJ318" s="386" t="e">
        <f>TEXT(INDEX([1]Library!$W:$W,MATCH(AH318,[1]Library!$AJ:$AJ,0),1),"")</f>
        <v>#N/A</v>
      </c>
    </row>
    <row r="319" spans="1:36" ht="25.2" hidden="1" customHeight="1" outlineLevel="2">
      <c r="A319" s="228"/>
      <c r="B319" s="229"/>
      <c r="C319" s="230"/>
      <c r="D319" s="231" t="s">
        <v>345</v>
      </c>
      <c r="E319" s="232"/>
      <c r="F319" s="233"/>
      <c r="G319" s="379"/>
      <c r="H319" s="380">
        <v>28</v>
      </c>
      <c r="I319" s="234" t="s">
        <v>134</v>
      </c>
      <c r="J319" s="235">
        <v>11121.848214285699</v>
      </c>
      <c r="K319" s="236">
        <v>311411.75</v>
      </c>
      <c r="L319" s="235">
        <v>2224.3696428571402</v>
      </c>
      <c r="M319" s="236">
        <v>62282.35</v>
      </c>
      <c r="N319" s="237">
        <v>0</v>
      </c>
      <c r="O319" s="236">
        <v>0</v>
      </c>
      <c r="P319" s="238">
        <v>373694.1</v>
      </c>
      <c r="Q319" s="239">
        <f t="shared" si="67"/>
        <v>2.0101633814105101E-4</v>
      </c>
      <c r="R319" s="236">
        <f t="shared" si="68"/>
        <v>20.046246030383699</v>
      </c>
      <c r="S319" s="240">
        <f t="shared" si="69"/>
        <v>732.73352941176495</v>
      </c>
      <c r="T319" s="241"/>
      <c r="U319" s="225"/>
      <c r="V319" s="226"/>
      <c r="W319" s="227"/>
      <c r="X319" s="226"/>
      <c r="Y319" s="226"/>
      <c r="Z319" s="226"/>
      <c r="AA319" s="226"/>
      <c r="AB319" s="226"/>
      <c r="AC319" s="226"/>
      <c r="AD319" s="96">
        <f t="shared" si="80"/>
        <v>0</v>
      </c>
      <c r="AE319" s="96">
        <f t="shared" si="81"/>
        <v>0</v>
      </c>
      <c r="AF319" s="96">
        <f t="shared" si="82"/>
        <v>0</v>
      </c>
      <c r="AG319" s="96">
        <f t="shared" si="83"/>
        <v>0</v>
      </c>
      <c r="AH319" s="211" t="str">
        <f t="shared" si="70"/>
        <v>0,;!0,;!0,;!0</v>
      </c>
      <c r="AI319" s="211" t="e">
        <f>INDEX([1]Library!$AL:$AL,MATCH(AH319,[1]Library!$AJ:$AJ,0),1)</f>
        <v>#N/A</v>
      </c>
      <c r="AJ319" s="211" t="e">
        <f>TEXT(INDEX([1]Library!$W:$W,MATCH(AH319,[1]Library!$AJ:$AJ,0),1),"")</f>
        <v>#N/A</v>
      </c>
    </row>
    <row r="320" spans="1:36" ht="25.2" hidden="1" customHeight="1" outlineLevel="2">
      <c r="A320" s="228"/>
      <c r="B320" s="229"/>
      <c r="C320" s="230"/>
      <c r="D320" s="231" t="s">
        <v>346</v>
      </c>
      <c r="E320" s="232"/>
      <c r="F320" s="233"/>
      <c r="G320" s="379"/>
      <c r="H320" s="380">
        <v>688</v>
      </c>
      <c r="I320" s="234" t="s">
        <v>176</v>
      </c>
      <c r="J320" s="235">
        <v>68.319999999999993</v>
      </c>
      <c r="K320" s="236">
        <v>47004.160000000003</v>
      </c>
      <c r="L320" s="235">
        <v>20.495999999999999</v>
      </c>
      <c r="M320" s="236">
        <v>14101.248</v>
      </c>
      <c r="N320" s="237">
        <v>0</v>
      </c>
      <c r="O320" s="236">
        <v>0</v>
      </c>
      <c r="P320" s="238">
        <v>61105.408000000003</v>
      </c>
      <c r="Q320" s="239">
        <f t="shared" si="67"/>
        <v>3.2869626137460802E-5</v>
      </c>
      <c r="R320" s="236">
        <f t="shared" si="68"/>
        <v>3.2779057591623002</v>
      </c>
      <c r="S320" s="240">
        <f t="shared" si="69"/>
        <v>119.814525490196</v>
      </c>
      <c r="T320" s="241"/>
      <c r="U320" s="225"/>
      <c r="V320" s="226"/>
      <c r="W320" s="227"/>
      <c r="X320" s="226"/>
      <c r="Y320" s="226"/>
      <c r="Z320" s="226"/>
      <c r="AA320" s="226"/>
      <c r="AB320" s="226"/>
      <c r="AC320" s="226"/>
      <c r="AD320" s="96">
        <f t="shared" si="80"/>
        <v>0</v>
      </c>
      <c r="AE320" s="96">
        <f t="shared" si="81"/>
        <v>0</v>
      </c>
      <c r="AF320" s="96">
        <f t="shared" si="82"/>
        <v>0</v>
      </c>
      <c r="AG320" s="96">
        <f t="shared" si="83"/>
        <v>0</v>
      </c>
      <c r="AH320" s="211" t="str">
        <f t="shared" si="70"/>
        <v>0,;!0,;!0,;!0</v>
      </c>
      <c r="AI320" s="211" t="e">
        <f>INDEX([1]Library!$AL:$AL,MATCH(AH320,[1]Library!$AJ:$AJ,0),1)</f>
        <v>#N/A</v>
      </c>
      <c r="AJ320" s="211" t="e">
        <f>TEXT(INDEX([1]Library!$W:$W,MATCH(AH320,[1]Library!$AJ:$AJ,0),1),"")</f>
        <v>#N/A</v>
      </c>
    </row>
    <row r="321" spans="1:36" ht="25.2" hidden="1" customHeight="1" outlineLevel="2">
      <c r="A321" s="228"/>
      <c r="B321" s="229"/>
      <c r="C321" s="230"/>
      <c r="D321" s="231" t="s">
        <v>347</v>
      </c>
      <c r="E321" s="232"/>
      <c r="F321" s="233"/>
      <c r="G321" s="379"/>
      <c r="H321" s="380">
        <v>600</v>
      </c>
      <c r="I321" s="234" t="s">
        <v>176</v>
      </c>
      <c r="J321" s="235">
        <v>38.151785714285701</v>
      </c>
      <c r="K321" s="236">
        <v>22891.071428571398</v>
      </c>
      <c r="L321" s="235">
        <v>46.491071428571402</v>
      </c>
      <c r="M321" s="236">
        <v>27894.642857142899</v>
      </c>
      <c r="N321" s="237">
        <v>0</v>
      </c>
      <c r="O321" s="236">
        <v>0</v>
      </c>
      <c r="P321" s="238">
        <v>50785.714285714297</v>
      </c>
      <c r="Q321" s="239">
        <f t="shared" si="67"/>
        <v>2.7318489415786701E-5</v>
      </c>
      <c r="R321" s="236">
        <f t="shared" si="68"/>
        <v>2.7243216400799399</v>
      </c>
      <c r="S321" s="240">
        <f t="shared" si="69"/>
        <v>99.579831932773104</v>
      </c>
      <c r="T321" s="241"/>
      <c r="U321" s="225"/>
      <c r="V321" s="226"/>
      <c r="W321" s="227"/>
      <c r="X321" s="226"/>
      <c r="Y321" s="226"/>
      <c r="Z321" s="226"/>
      <c r="AA321" s="226"/>
      <c r="AB321" s="226"/>
      <c r="AC321" s="226"/>
      <c r="AD321" s="96">
        <f t="shared" si="80"/>
        <v>0</v>
      </c>
      <c r="AE321" s="96">
        <f t="shared" si="81"/>
        <v>0</v>
      </c>
      <c r="AF321" s="96">
        <f t="shared" si="82"/>
        <v>0</v>
      </c>
      <c r="AG321" s="96">
        <f t="shared" si="83"/>
        <v>0</v>
      </c>
      <c r="AH321" s="211" t="str">
        <f t="shared" si="70"/>
        <v>0,;!0,;!0,;!0</v>
      </c>
      <c r="AI321" s="211" t="e">
        <f>INDEX([1]Library!$AL:$AL,MATCH(AH321,[1]Library!$AJ:$AJ,0),1)</f>
        <v>#N/A</v>
      </c>
      <c r="AJ321" s="211" t="e">
        <f>TEXT(INDEX([1]Library!$W:$W,MATCH(AH321,[1]Library!$AJ:$AJ,0),1),"")</f>
        <v>#N/A</v>
      </c>
    </row>
    <row r="322" spans="1:36" ht="25.2" hidden="1" customHeight="1" outlineLevel="2">
      <c r="A322" s="228"/>
      <c r="B322" s="229"/>
      <c r="C322" s="230"/>
      <c r="D322" s="231" t="s">
        <v>348</v>
      </c>
      <c r="E322" s="232"/>
      <c r="F322" s="233"/>
      <c r="G322" s="379"/>
      <c r="H322" s="380">
        <v>20</v>
      </c>
      <c r="I322" s="234" t="s">
        <v>200</v>
      </c>
      <c r="J322" s="235">
        <v>2040.6890625000001</v>
      </c>
      <c r="K322" s="236">
        <v>40813.78125</v>
      </c>
      <c r="L322" s="235">
        <v>306.10335937500003</v>
      </c>
      <c r="M322" s="236">
        <v>6122.0671874999998</v>
      </c>
      <c r="N322" s="237">
        <v>0</v>
      </c>
      <c r="O322" s="236">
        <v>0</v>
      </c>
      <c r="P322" s="238">
        <v>46935.848437499997</v>
      </c>
      <c r="Q322" s="239">
        <f t="shared" si="67"/>
        <v>2.5247581860269199E-5</v>
      </c>
      <c r="R322" s="236">
        <f t="shared" si="68"/>
        <v>2.5178014997371498</v>
      </c>
      <c r="S322" s="240">
        <f t="shared" si="69"/>
        <v>92.031075367647006</v>
      </c>
      <c r="T322" s="241"/>
      <c r="U322" s="225"/>
      <c r="V322" s="226"/>
      <c r="W322" s="227"/>
      <c r="X322" s="226"/>
      <c r="Y322" s="226"/>
      <c r="Z322" s="226"/>
      <c r="AA322" s="226"/>
      <c r="AB322" s="226"/>
      <c r="AC322" s="226"/>
      <c r="AD322" s="96">
        <f t="shared" si="80"/>
        <v>0</v>
      </c>
      <c r="AE322" s="96">
        <f t="shared" si="81"/>
        <v>0</v>
      </c>
      <c r="AF322" s="96">
        <f t="shared" si="82"/>
        <v>0</v>
      </c>
      <c r="AG322" s="96">
        <f t="shared" si="83"/>
        <v>0</v>
      </c>
      <c r="AH322" s="211" t="str">
        <f t="shared" si="70"/>
        <v>0,;!0,;!0,;!0</v>
      </c>
      <c r="AI322" s="211" t="e">
        <f>INDEX([1]Library!$AL:$AL,MATCH(AH322,[1]Library!$AJ:$AJ,0),1)</f>
        <v>#N/A</v>
      </c>
      <c r="AJ322" s="211" t="e">
        <f>TEXT(INDEX([1]Library!$W:$W,MATCH(AH322,[1]Library!$AJ:$AJ,0),1),"")</f>
        <v>#N/A</v>
      </c>
    </row>
    <row r="323" spans="1:36" ht="25.2" hidden="1" customHeight="1" outlineLevel="1" collapsed="1">
      <c r="A323" s="213"/>
      <c r="B323" s="214"/>
      <c r="C323" s="215" t="s">
        <v>349</v>
      </c>
      <c r="D323" s="215"/>
      <c r="E323" s="216"/>
      <c r="F323" s="217"/>
      <c r="G323" s="379"/>
      <c r="H323" s="219">
        <v>1</v>
      </c>
      <c r="I323" s="218" t="s">
        <v>32</v>
      </c>
      <c r="J323" s="219">
        <v>2135400</v>
      </c>
      <c r="K323" s="219">
        <v>2135400</v>
      </c>
      <c r="L323" s="219">
        <v>427080</v>
      </c>
      <c r="M323" s="219">
        <v>427080</v>
      </c>
      <c r="N323" s="219">
        <v>15933912</v>
      </c>
      <c r="O323" s="219">
        <v>15933912</v>
      </c>
      <c r="P323" s="220">
        <v>18496392</v>
      </c>
      <c r="Q323" s="221">
        <f t="shared" si="67"/>
        <v>9.9495201788345894E-3</v>
      </c>
      <c r="R323" s="222">
        <f t="shared" si="68"/>
        <v>992.21053986782294</v>
      </c>
      <c r="S323" s="223">
        <f t="shared" si="69"/>
        <v>36267.435294117597</v>
      </c>
      <c r="T323" s="224"/>
      <c r="U323" s="225"/>
      <c r="V323" s="226"/>
      <c r="W323" s="227"/>
      <c r="X323" s="226"/>
      <c r="Y323" s="226"/>
      <c r="Z323" s="226"/>
      <c r="AA323" s="226"/>
      <c r="AB323" s="226"/>
      <c r="AC323" s="226"/>
      <c r="AD323" s="96">
        <f t="shared" si="80"/>
        <v>0</v>
      </c>
      <c r="AE323" s="96">
        <f t="shared" si="81"/>
        <v>0</v>
      </c>
      <c r="AF323" s="96">
        <f t="shared" si="82"/>
        <v>0</v>
      </c>
      <c r="AG323" s="96">
        <f t="shared" si="83"/>
        <v>0</v>
      </c>
      <c r="AH323" s="211" t="str">
        <f t="shared" si="70"/>
        <v>0,;!0,;!0,;!0</v>
      </c>
      <c r="AI323" s="211" t="e">
        <f>INDEX([1]Library!$AL:$AL,MATCH(AH323,[1]Library!$AJ:$AJ,0),1)</f>
        <v>#N/A</v>
      </c>
      <c r="AJ323" s="211" t="e">
        <f>TEXT(INDEX([1]Library!$W:$W,MATCH(AH323,[1]Library!$AJ:$AJ,0),1),"")</f>
        <v>#N/A</v>
      </c>
    </row>
    <row r="324" spans="1:36" ht="25.2" hidden="1" customHeight="1" outlineLevel="2">
      <c r="A324" s="228"/>
      <c r="B324" s="229"/>
      <c r="C324" s="230"/>
      <c r="D324" s="231" t="s">
        <v>350</v>
      </c>
      <c r="E324" s="232"/>
      <c r="F324" s="233"/>
      <c r="G324" s="379"/>
      <c r="H324" s="380">
        <v>1</v>
      </c>
      <c r="I324" s="234" t="s">
        <v>32</v>
      </c>
      <c r="J324" s="235">
        <v>0</v>
      </c>
      <c r="K324" s="236">
        <v>0</v>
      </c>
      <c r="L324" s="235">
        <v>0</v>
      </c>
      <c r="M324" s="236">
        <v>0</v>
      </c>
      <c r="N324" s="237">
        <v>15933912</v>
      </c>
      <c r="O324" s="236">
        <v>15933912</v>
      </c>
      <c r="P324" s="238">
        <v>15933912</v>
      </c>
      <c r="Q324" s="239">
        <f t="shared" si="67"/>
        <v>8.5711191118665007E-3</v>
      </c>
      <c r="R324" s="236">
        <f t="shared" si="68"/>
        <v>854.75023603124203</v>
      </c>
      <c r="S324" s="240">
        <f t="shared" si="69"/>
        <v>31242.964705882401</v>
      </c>
      <c r="T324" s="241"/>
      <c r="U324" s="225"/>
      <c r="V324" s="226"/>
      <c r="W324" s="227"/>
      <c r="X324" s="226"/>
      <c r="Y324" s="226"/>
      <c r="Z324" s="226"/>
      <c r="AA324" s="226"/>
      <c r="AB324" s="226"/>
      <c r="AC324" s="226"/>
      <c r="AD324" s="96">
        <f t="shared" si="80"/>
        <v>0</v>
      </c>
      <c r="AE324" s="96">
        <f t="shared" si="81"/>
        <v>0</v>
      </c>
      <c r="AF324" s="96">
        <f t="shared" si="82"/>
        <v>0</v>
      </c>
      <c r="AG324" s="96">
        <f t="shared" si="83"/>
        <v>0</v>
      </c>
      <c r="AH324" s="211" t="str">
        <f t="shared" si="70"/>
        <v>0,;!0,;!0,;!0</v>
      </c>
      <c r="AI324" s="211" t="e">
        <f>INDEX([1]Library!$AL:$AL,MATCH(AH324,[1]Library!$AJ:$AJ,0),1)</f>
        <v>#N/A</v>
      </c>
      <c r="AJ324" s="211" t="e">
        <f>TEXT(INDEX([1]Library!$W:$W,MATCH(AH324,[1]Library!$AJ:$AJ,0),1),"")</f>
        <v>#N/A</v>
      </c>
    </row>
    <row r="325" spans="1:36" ht="25.2" hidden="1" customHeight="1" outlineLevel="2">
      <c r="A325" s="242"/>
      <c r="B325" s="243"/>
      <c r="C325" s="244"/>
      <c r="D325" s="245"/>
      <c r="E325" s="246" t="s">
        <v>351</v>
      </c>
      <c r="F325" s="247"/>
      <c r="G325" s="381"/>
      <c r="H325" s="382">
        <v>492</v>
      </c>
      <c r="I325" s="248" t="s">
        <v>176</v>
      </c>
      <c r="J325" s="249">
        <v>0</v>
      </c>
      <c r="K325" s="250">
        <v>0</v>
      </c>
      <c r="L325" s="249">
        <v>0</v>
      </c>
      <c r="M325" s="250">
        <v>0</v>
      </c>
      <c r="N325" s="251">
        <v>32386</v>
      </c>
      <c r="O325" s="250">
        <v>15933912</v>
      </c>
      <c r="P325" s="252">
        <v>15933912</v>
      </c>
      <c r="Q325" s="253">
        <f t="shared" si="67"/>
        <v>8.5711191118665007E-3</v>
      </c>
      <c r="R325" s="254">
        <f t="shared" si="68"/>
        <v>854.75023603124203</v>
      </c>
      <c r="S325" s="255">
        <f t="shared" si="69"/>
        <v>31242.964705882401</v>
      </c>
      <c r="T325" s="256"/>
      <c r="U325" s="225"/>
      <c r="V325" s="226"/>
      <c r="W325" s="227"/>
      <c r="X325" s="226"/>
      <c r="Y325" s="226"/>
      <c r="Z325" s="226"/>
      <c r="AA325" s="226"/>
      <c r="AB325" s="226"/>
      <c r="AC325" s="226"/>
      <c r="AD325" s="96">
        <f t="shared" si="80"/>
        <v>0</v>
      </c>
      <c r="AE325" s="96">
        <f t="shared" si="81"/>
        <v>0</v>
      </c>
      <c r="AF325" s="96">
        <f t="shared" si="82"/>
        <v>0</v>
      </c>
      <c r="AG325" s="96">
        <f t="shared" si="83"/>
        <v>0</v>
      </c>
      <c r="AH325" s="211" t="str">
        <f t="shared" si="70"/>
        <v>0,;!0,;!0,;!0</v>
      </c>
      <c r="AI325" s="211" t="e">
        <f>INDEX([1]Library!$AL:$AL,MATCH(AH325,[1]Library!$AJ:$AJ,0),1)</f>
        <v>#N/A</v>
      </c>
      <c r="AJ325" s="211" t="e">
        <f>TEXT(INDEX([1]Library!$W:$W,MATCH(AH325,[1]Library!$AJ:$AJ,0),1),"")</f>
        <v>#N/A</v>
      </c>
    </row>
    <row r="326" spans="1:36" ht="25.2" hidden="1" customHeight="1" outlineLevel="2">
      <c r="A326" s="228"/>
      <c r="B326" s="229"/>
      <c r="C326" s="230"/>
      <c r="D326" s="231" t="s">
        <v>352</v>
      </c>
      <c r="E326" s="232"/>
      <c r="F326" s="233"/>
      <c r="G326" s="379"/>
      <c r="H326" s="380">
        <v>1</v>
      </c>
      <c r="I326" s="234" t="s">
        <v>32</v>
      </c>
      <c r="J326" s="235">
        <v>2135400</v>
      </c>
      <c r="K326" s="236">
        <v>2135400</v>
      </c>
      <c r="L326" s="235">
        <v>427080</v>
      </c>
      <c r="M326" s="236">
        <v>427080</v>
      </c>
      <c r="N326" s="237">
        <v>0</v>
      </c>
      <c r="O326" s="236">
        <v>0</v>
      </c>
      <c r="P326" s="238">
        <v>2562480</v>
      </c>
      <c r="Q326" s="239">
        <f t="shared" si="67"/>
        <v>1.3784010669680899E-3</v>
      </c>
      <c r="R326" s="236">
        <f t="shared" si="68"/>
        <v>137.46030383658101</v>
      </c>
      <c r="S326" s="240">
        <f t="shared" si="69"/>
        <v>5024.4705882352901</v>
      </c>
      <c r="T326" s="241"/>
      <c r="U326" s="225"/>
      <c r="V326" s="226"/>
      <c r="W326" s="227"/>
      <c r="X326" s="226"/>
      <c r="Y326" s="226"/>
      <c r="Z326" s="226"/>
      <c r="AA326" s="226"/>
      <c r="AB326" s="226"/>
      <c r="AC326" s="226"/>
      <c r="AD326" s="96">
        <f>IF(X326&lt;&gt;0,IF($X326&gt;=AD$12,#REF!,""),Z326)</f>
        <v>0</v>
      </c>
      <c r="AE326" s="96">
        <f>IF(AA326=" ",IF($X326&gt;=AE$12,#REF!,""),AA326)</f>
        <v>0</v>
      </c>
      <c r="AF326" s="96">
        <f>IF(AB326=" ",IF($X326&gt;=AF$12,#REF!,""),AB326)</f>
        <v>0</v>
      </c>
      <c r="AG326" s="96">
        <f>IF(AC326=" ",IF($X326&gt;=AG$12,#REF!,""),AC326)</f>
        <v>0</v>
      </c>
      <c r="AH326" s="211" t="str">
        <f t="shared" si="70"/>
        <v>0,;!0,;!0,;!0</v>
      </c>
      <c r="AI326" s="211" t="e">
        <f>INDEX([1]Library!$AL:$AL,MATCH(AH326,[1]Library!$AJ:$AJ,0),1)</f>
        <v>#N/A</v>
      </c>
      <c r="AJ326" s="211" t="e">
        <f>TEXT(INDEX([1]Library!$W:$W,MATCH(AH326,[1]Library!$AJ:$AJ,0),1),"")</f>
        <v>#N/A</v>
      </c>
    </row>
    <row r="327" spans="1:36" ht="25.2" hidden="1" customHeight="1" outlineLevel="2">
      <c r="A327" s="242"/>
      <c r="B327" s="243"/>
      <c r="C327" s="244"/>
      <c r="D327" s="245"/>
      <c r="E327" s="246" t="s">
        <v>353</v>
      </c>
      <c r="F327" s="247"/>
      <c r="G327" s="381"/>
      <c r="H327" s="382">
        <v>60</v>
      </c>
      <c r="I327" s="248" t="s">
        <v>354</v>
      </c>
      <c r="J327" s="249">
        <v>35590</v>
      </c>
      <c r="K327" s="250">
        <v>2135400</v>
      </c>
      <c r="L327" s="249">
        <v>7118</v>
      </c>
      <c r="M327" s="250">
        <v>427080</v>
      </c>
      <c r="N327" s="251">
        <v>0</v>
      </c>
      <c r="O327" s="250">
        <v>0</v>
      </c>
      <c r="P327" s="252">
        <v>2562480</v>
      </c>
      <c r="Q327" s="253">
        <f t="shared" si="67"/>
        <v>1.3784010669680899E-3</v>
      </c>
      <c r="R327" s="254">
        <f t="shared" si="68"/>
        <v>137.46030383658101</v>
      </c>
      <c r="S327" s="255">
        <f t="shared" si="69"/>
        <v>5024.4705882352901</v>
      </c>
      <c r="T327" s="256"/>
      <c r="U327" s="225"/>
      <c r="V327" s="226"/>
      <c r="W327" s="227"/>
      <c r="X327" s="226"/>
      <c r="Y327" s="226"/>
      <c r="Z327" s="226"/>
      <c r="AA327" s="226"/>
      <c r="AB327" s="226"/>
      <c r="AC327" s="226"/>
      <c r="AD327" s="96">
        <f t="shared" ref="AD327:AD368" si="84">IF(X327&lt;&gt;0,IF($X327&gt;=AD$12,AD326,""),Z327)</f>
        <v>0</v>
      </c>
      <c r="AE327" s="96">
        <f t="shared" ref="AE327:AE368" si="85">IF(AA327=" ",IF($X327&gt;=AE$12,AE326,""),AA327)</f>
        <v>0</v>
      </c>
      <c r="AF327" s="96">
        <f t="shared" ref="AF327:AF368" si="86">IF(AB327=" ",IF($X327&gt;=AF$12,AF326,""),AB327)</f>
        <v>0</v>
      </c>
      <c r="AG327" s="96">
        <f t="shared" ref="AG327:AG368" si="87">IF(AC327=" ",IF($X327&gt;=AG$12,AG326,""),AC327)</f>
        <v>0</v>
      </c>
      <c r="AH327" s="211" t="str">
        <f t="shared" si="70"/>
        <v>0,;!0,;!0,;!0</v>
      </c>
      <c r="AI327" s="211" t="e">
        <f>INDEX([1]Library!$AL:$AL,MATCH(AH327,[1]Library!$AJ:$AJ,0),1)</f>
        <v>#N/A</v>
      </c>
      <c r="AJ327" s="211" t="e">
        <f>TEXT(INDEX([1]Library!$W:$W,MATCH(AH327,[1]Library!$AJ:$AJ,0),1),"")</f>
        <v>#N/A</v>
      </c>
    </row>
    <row r="328" spans="1:36" ht="25.2" hidden="1" customHeight="1" outlineLevel="1" collapsed="1">
      <c r="A328" s="213"/>
      <c r="B328" s="214"/>
      <c r="C328" s="215" t="s">
        <v>355</v>
      </c>
      <c r="D328" s="215"/>
      <c r="E328" s="216"/>
      <c r="F328" s="217"/>
      <c r="G328" s="379"/>
      <c r="H328" s="219">
        <v>1</v>
      </c>
      <c r="I328" s="218" t="s">
        <v>32</v>
      </c>
      <c r="J328" s="219">
        <v>2896071.42857143</v>
      </c>
      <c r="K328" s="219">
        <v>2896071.42857143</v>
      </c>
      <c r="L328" s="219">
        <v>1020000</v>
      </c>
      <c r="M328" s="219">
        <v>1020000</v>
      </c>
      <c r="N328" s="219">
        <v>0</v>
      </c>
      <c r="O328" s="219">
        <v>0</v>
      </c>
      <c r="P328" s="220">
        <v>3916071.42857143</v>
      </c>
      <c r="Q328" s="221">
        <f t="shared" si="67"/>
        <v>2.10652065009917E-3</v>
      </c>
      <c r="R328" s="222">
        <f t="shared" si="68"/>
        <v>210.071637014603</v>
      </c>
      <c r="S328" s="223">
        <f t="shared" si="69"/>
        <v>7678.5714285714303</v>
      </c>
      <c r="T328" s="224"/>
      <c r="U328" s="225"/>
      <c r="V328" s="226"/>
      <c r="W328" s="227"/>
      <c r="X328" s="226"/>
      <c r="Y328" s="226"/>
      <c r="Z328" s="226"/>
      <c r="AA328" s="226"/>
      <c r="AB328" s="226"/>
      <c r="AC328" s="226"/>
      <c r="AD328" s="96">
        <f t="shared" si="84"/>
        <v>0</v>
      </c>
      <c r="AE328" s="96">
        <f t="shared" si="85"/>
        <v>0</v>
      </c>
      <c r="AF328" s="96">
        <f t="shared" si="86"/>
        <v>0</v>
      </c>
      <c r="AG328" s="96">
        <f t="shared" si="87"/>
        <v>0</v>
      </c>
      <c r="AH328" s="211" t="str">
        <f t="shared" si="70"/>
        <v>0,;!0,;!0,;!0</v>
      </c>
      <c r="AI328" s="211" t="e">
        <f>INDEX([1]Library!$AL:$AL,MATCH(AH328,[1]Library!$AJ:$AJ,0),1)</f>
        <v>#N/A</v>
      </c>
      <c r="AJ328" s="211" t="e">
        <f>TEXT(INDEX([1]Library!$W:$W,MATCH(AH328,[1]Library!$AJ:$AJ,0),1),"")</f>
        <v>#N/A</v>
      </c>
    </row>
    <row r="329" spans="1:36" ht="25.2" hidden="1" customHeight="1" outlineLevel="2">
      <c r="A329" s="228"/>
      <c r="B329" s="229"/>
      <c r="C329" s="230"/>
      <c r="D329" s="231" t="s">
        <v>356</v>
      </c>
      <c r="E329" s="232"/>
      <c r="F329" s="233"/>
      <c r="G329" s="379"/>
      <c r="H329" s="380">
        <v>1800</v>
      </c>
      <c r="I329" s="234" t="s">
        <v>354</v>
      </c>
      <c r="J329" s="235">
        <v>1419.6428571428601</v>
      </c>
      <c r="K329" s="236">
        <v>2555357.1428571399</v>
      </c>
      <c r="L329" s="235">
        <v>500</v>
      </c>
      <c r="M329" s="236">
        <v>900000</v>
      </c>
      <c r="N329" s="237">
        <v>0</v>
      </c>
      <c r="O329" s="236">
        <v>0</v>
      </c>
      <c r="P329" s="238">
        <v>3455357.1428571399</v>
      </c>
      <c r="Q329" s="239">
        <f t="shared" si="67"/>
        <v>1.85869469126397E-3</v>
      </c>
      <c r="R329" s="236">
        <f t="shared" si="68"/>
        <v>185.357326777591</v>
      </c>
      <c r="S329" s="240">
        <f t="shared" si="69"/>
        <v>6775.2100840336097</v>
      </c>
      <c r="T329" s="241"/>
      <c r="U329" s="225"/>
      <c r="V329" s="226"/>
      <c r="W329" s="227"/>
      <c r="X329" s="226"/>
      <c r="Y329" s="226"/>
      <c r="Z329" s="226"/>
      <c r="AA329" s="226"/>
      <c r="AB329" s="226"/>
      <c r="AC329" s="226"/>
      <c r="AD329" s="96">
        <f t="shared" si="84"/>
        <v>0</v>
      </c>
      <c r="AE329" s="96">
        <f t="shared" si="85"/>
        <v>0</v>
      </c>
      <c r="AF329" s="96">
        <f t="shared" si="86"/>
        <v>0</v>
      </c>
      <c r="AG329" s="96">
        <f t="shared" si="87"/>
        <v>0</v>
      </c>
      <c r="AH329" s="211" t="str">
        <f t="shared" si="70"/>
        <v>0,;!0,;!0,;!0</v>
      </c>
      <c r="AI329" s="211" t="e">
        <f>INDEX([1]Library!$AL:$AL,MATCH(AH329,[1]Library!$AJ:$AJ,0),1)</f>
        <v>#N/A</v>
      </c>
      <c r="AJ329" s="211" t="e">
        <f>TEXT(INDEX([1]Library!$W:$W,MATCH(AH329,[1]Library!$AJ:$AJ,0),1),"")</f>
        <v>#N/A</v>
      </c>
    </row>
    <row r="330" spans="1:36" ht="25.2" hidden="1" customHeight="1" outlineLevel="2">
      <c r="A330" s="228"/>
      <c r="B330" s="229"/>
      <c r="C330" s="230"/>
      <c r="D330" s="231" t="s">
        <v>357</v>
      </c>
      <c r="E330" s="232"/>
      <c r="F330" s="233"/>
      <c r="G330" s="379"/>
      <c r="H330" s="380">
        <v>240</v>
      </c>
      <c r="I330" s="234" t="s">
        <v>354</v>
      </c>
      <c r="J330" s="235">
        <v>1419.6428571428601</v>
      </c>
      <c r="K330" s="236">
        <v>340714.28571428597</v>
      </c>
      <c r="L330" s="235">
        <v>500</v>
      </c>
      <c r="M330" s="236">
        <v>120000</v>
      </c>
      <c r="N330" s="237">
        <v>0</v>
      </c>
      <c r="O330" s="236">
        <v>0</v>
      </c>
      <c r="P330" s="238">
        <v>460714.28571428597</v>
      </c>
      <c r="Q330" s="239">
        <f t="shared" si="67"/>
        <v>2.4782595883519599E-4</v>
      </c>
      <c r="R330" s="236">
        <f t="shared" si="68"/>
        <v>24.714310237012199</v>
      </c>
      <c r="S330" s="240">
        <f t="shared" si="69"/>
        <v>903.36134453781597</v>
      </c>
      <c r="T330" s="241"/>
      <c r="U330" s="225"/>
      <c r="V330" s="226"/>
      <c r="W330" s="227"/>
      <c r="X330" s="226"/>
      <c r="Y330" s="226"/>
      <c r="Z330" s="226"/>
      <c r="AA330" s="226"/>
      <c r="AB330" s="226"/>
      <c r="AC330" s="226"/>
      <c r="AD330" s="96">
        <f t="shared" si="84"/>
        <v>0</v>
      </c>
      <c r="AE330" s="96">
        <f t="shared" si="85"/>
        <v>0</v>
      </c>
      <c r="AF330" s="96">
        <f t="shared" si="86"/>
        <v>0</v>
      </c>
      <c r="AG330" s="96">
        <f t="shared" si="87"/>
        <v>0</v>
      </c>
      <c r="AH330" s="211" t="str">
        <f t="shared" si="70"/>
        <v>0,;!0,;!0,;!0</v>
      </c>
      <c r="AI330" s="211" t="e">
        <f>INDEX([1]Library!$AL:$AL,MATCH(AH330,[1]Library!$AJ:$AJ,0),1)</f>
        <v>#N/A</v>
      </c>
      <c r="AJ330" s="211" t="e">
        <f>TEXT(INDEX([1]Library!$W:$W,MATCH(AH330,[1]Library!$AJ:$AJ,0),1),"")</f>
        <v>#N/A</v>
      </c>
    </row>
    <row r="331" spans="1:36" ht="25.2" hidden="1" customHeight="1" outlineLevel="1" collapsed="1">
      <c r="A331" s="213"/>
      <c r="B331" s="214"/>
      <c r="C331" s="215" t="s">
        <v>358</v>
      </c>
      <c r="D331" s="215"/>
      <c r="E331" s="216"/>
      <c r="F331" s="217"/>
      <c r="G331" s="379"/>
      <c r="H331" s="219">
        <v>1</v>
      </c>
      <c r="I331" s="218" t="s">
        <v>32</v>
      </c>
      <c r="J331" s="219">
        <v>2647485.3295999998</v>
      </c>
      <c r="K331" s="219">
        <v>2647485.3295999998</v>
      </c>
      <c r="L331" s="219">
        <v>529497.08192000003</v>
      </c>
      <c r="M331" s="219">
        <v>529497.08192000003</v>
      </c>
      <c r="N331" s="219">
        <v>0</v>
      </c>
      <c r="O331" s="219">
        <v>0</v>
      </c>
      <c r="P331" s="220">
        <v>3176982.4115200001</v>
      </c>
      <c r="Q331" s="221">
        <f t="shared" si="67"/>
        <v>1.70895224383333E-3</v>
      </c>
      <c r="R331" s="222">
        <f t="shared" si="68"/>
        <v>170.424341876234</v>
      </c>
      <c r="S331" s="223">
        <f t="shared" si="69"/>
        <v>6229.3772774902</v>
      </c>
      <c r="T331" s="224"/>
      <c r="U331" s="225"/>
      <c r="V331" s="226"/>
      <c r="W331" s="227"/>
      <c r="X331" s="226"/>
      <c r="Y331" s="226"/>
      <c r="Z331" s="226"/>
      <c r="AA331" s="226"/>
      <c r="AB331" s="226"/>
      <c r="AC331" s="226"/>
      <c r="AD331" s="96">
        <f t="shared" si="84"/>
        <v>0</v>
      </c>
      <c r="AE331" s="96">
        <f t="shared" si="85"/>
        <v>0</v>
      </c>
      <c r="AF331" s="96">
        <f t="shared" si="86"/>
        <v>0</v>
      </c>
      <c r="AG331" s="96">
        <f t="shared" si="87"/>
        <v>0</v>
      </c>
      <c r="AH331" s="211" t="str">
        <f t="shared" si="70"/>
        <v>0,;!0,;!0,;!0</v>
      </c>
      <c r="AI331" s="211" t="e">
        <f>INDEX([1]Library!$AL:$AL,MATCH(AH331,[1]Library!$AJ:$AJ,0),1)</f>
        <v>#N/A</v>
      </c>
      <c r="AJ331" s="211" t="e">
        <f>TEXT(INDEX([1]Library!$W:$W,MATCH(AH331,[1]Library!$AJ:$AJ,0),1),"")</f>
        <v>#N/A</v>
      </c>
    </row>
    <row r="332" spans="1:36" ht="25.2" hidden="1" customHeight="1" outlineLevel="2">
      <c r="A332" s="228"/>
      <c r="B332" s="229"/>
      <c r="C332" s="230"/>
      <c r="D332" s="231" t="s">
        <v>359</v>
      </c>
      <c r="E332" s="232"/>
      <c r="F332" s="233"/>
      <c r="G332" s="379"/>
      <c r="H332" s="380">
        <v>4</v>
      </c>
      <c r="I332" s="234" t="s">
        <v>200</v>
      </c>
      <c r="J332" s="235">
        <v>40348.449999999997</v>
      </c>
      <c r="K332" s="236">
        <v>161393.79999999999</v>
      </c>
      <c r="L332" s="235">
        <v>8069.69</v>
      </c>
      <c r="M332" s="236">
        <v>32278.76</v>
      </c>
      <c r="N332" s="237">
        <v>0</v>
      </c>
      <c r="O332" s="236">
        <v>0</v>
      </c>
      <c r="P332" s="238">
        <v>193672.56</v>
      </c>
      <c r="Q332" s="239">
        <f t="shared" si="67"/>
        <v>1.04179725635494E-4</v>
      </c>
      <c r="R332" s="236">
        <f t="shared" si="68"/>
        <v>10.3892670157068</v>
      </c>
      <c r="S332" s="240">
        <f t="shared" si="69"/>
        <v>379.75011764705903</v>
      </c>
      <c r="T332" s="241"/>
      <c r="U332" s="225"/>
      <c r="V332" s="226"/>
      <c r="W332" s="227"/>
      <c r="X332" s="226"/>
      <c r="Y332" s="226"/>
      <c r="Z332" s="226"/>
      <c r="AA332" s="226"/>
      <c r="AB332" s="226"/>
      <c r="AC332" s="226"/>
      <c r="AD332" s="96">
        <f t="shared" si="84"/>
        <v>0</v>
      </c>
      <c r="AE332" s="96">
        <f t="shared" si="85"/>
        <v>0</v>
      </c>
      <c r="AF332" s="96">
        <f t="shared" si="86"/>
        <v>0</v>
      </c>
      <c r="AG332" s="96">
        <f t="shared" si="87"/>
        <v>0</v>
      </c>
      <c r="AH332" s="211" t="str">
        <f t="shared" si="70"/>
        <v>0,;!0,;!0,;!0</v>
      </c>
      <c r="AI332" s="211" t="e">
        <f>INDEX([1]Library!$AL:$AL,MATCH(AH332,[1]Library!$AJ:$AJ,0),1)</f>
        <v>#N/A</v>
      </c>
      <c r="AJ332" s="211" t="e">
        <f>TEXT(INDEX([1]Library!$W:$W,MATCH(AH332,[1]Library!$AJ:$AJ,0),1),"")</f>
        <v>#N/A</v>
      </c>
    </row>
    <row r="333" spans="1:36" ht="25.2" hidden="1" customHeight="1" outlineLevel="2">
      <c r="A333" s="242"/>
      <c r="B333" s="243"/>
      <c r="C333" s="244"/>
      <c r="D333" s="245"/>
      <c r="E333" s="246" t="s">
        <v>360</v>
      </c>
      <c r="F333" s="247"/>
      <c r="G333" s="381"/>
      <c r="H333" s="382">
        <v>4</v>
      </c>
      <c r="I333" s="248" t="s">
        <v>200</v>
      </c>
      <c r="J333" s="249">
        <v>40348.449999999997</v>
      </c>
      <c r="K333" s="250">
        <v>161393.79999999999</v>
      </c>
      <c r="L333" s="249">
        <v>8069.69</v>
      </c>
      <c r="M333" s="250">
        <v>32278.76</v>
      </c>
      <c r="N333" s="251">
        <v>0</v>
      </c>
      <c r="O333" s="250">
        <v>0</v>
      </c>
      <c r="P333" s="252">
        <v>193672.56</v>
      </c>
      <c r="Q333" s="253">
        <f t="shared" ref="Q333:Q396" si="88">P333/P$13</f>
        <v>1.04179725635494E-4</v>
      </c>
      <c r="R333" s="254">
        <f t="shared" ref="R333:R396" si="89">P333/I$5</f>
        <v>10.3892670157068</v>
      </c>
      <c r="S333" s="255">
        <f t="shared" ref="S333:S396" si="90">P333/I$7</f>
        <v>379.75011764705903</v>
      </c>
      <c r="T333" s="256"/>
      <c r="U333" s="225"/>
      <c r="V333" s="226"/>
      <c r="W333" s="227"/>
      <c r="X333" s="226"/>
      <c r="Y333" s="226"/>
      <c r="Z333" s="226"/>
      <c r="AA333" s="226"/>
      <c r="AB333" s="226"/>
      <c r="AC333" s="226"/>
      <c r="AD333" s="96">
        <f t="shared" si="84"/>
        <v>0</v>
      </c>
      <c r="AE333" s="96">
        <f t="shared" si="85"/>
        <v>0</v>
      </c>
      <c r="AF333" s="96">
        <f t="shared" si="86"/>
        <v>0</v>
      </c>
      <c r="AG333" s="96">
        <f t="shared" si="87"/>
        <v>0</v>
      </c>
      <c r="AH333" s="211" t="str">
        <f t="shared" si="70"/>
        <v>0,;!0,;!0,;!0</v>
      </c>
      <c r="AI333" s="211" t="e">
        <f>INDEX([1]Library!$AL:$AL,MATCH(AH333,[1]Library!$AJ:$AJ,0),1)</f>
        <v>#N/A</v>
      </c>
      <c r="AJ333" s="211" t="e">
        <f>TEXT(INDEX([1]Library!$W:$W,MATCH(AH333,[1]Library!$AJ:$AJ,0),1),"")</f>
        <v>#N/A</v>
      </c>
    </row>
    <row r="334" spans="1:36" ht="25.2" hidden="1" customHeight="1" outlineLevel="2">
      <c r="A334" s="242"/>
      <c r="B334" s="243"/>
      <c r="C334" s="244"/>
      <c r="D334" s="245"/>
      <c r="E334" s="246" t="s">
        <v>361</v>
      </c>
      <c r="F334" s="247"/>
      <c r="G334" s="381"/>
      <c r="H334" s="382">
        <v>0</v>
      </c>
      <c r="I334" s="248">
        <v>0</v>
      </c>
      <c r="J334" s="249">
        <v>0</v>
      </c>
      <c r="K334" s="250">
        <v>0</v>
      </c>
      <c r="L334" s="249">
        <v>0</v>
      </c>
      <c r="M334" s="250">
        <v>0</v>
      </c>
      <c r="N334" s="251">
        <v>0</v>
      </c>
      <c r="O334" s="250">
        <v>0</v>
      </c>
      <c r="P334" s="252">
        <v>0</v>
      </c>
      <c r="Q334" s="253">
        <f t="shared" si="88"/>
        <v>0</v>
      </c>
      <c r="R334" s="254">
        <f t="shared" si="89"/>
        <v>0</v>
      </c>
      <c r="S334" s="255">
        <f t="shared" si="90"/>
        <v>0</v>
      </c>
      <c r="T334" s="256"/>
      <c r="U334" s="225"/>
      <c r="V334" s="226"/>
      <c r="W334" s="227"/>
      <c r="X334" s="226"/>
      <c r="Y334" s="226"/>
      <c r="Z334" s="226"/>
      <c r="AA334" s="226"/>
      <c r="AB334" s="226"/>
      <c r="AC334" s="226"/>
      <c r="AD334" s="96">
        <f t="shared" si="84"/>
        <v>0</v>
      </c>
      <c r="AE334" s="96">
        <f t="shared" si="85"/>
        <v>0</v>
      </c>
      <c r="AF334" s="96">
        <f t="shared" si="86"/>
        <v>0</v>
      </c>
      <c r="AG334" s="96">
        <f t="shared" si="87"/>
        <v>0</v>
      </c>
      <c r="AH334" s="211" t="str">
        <f t="shared" ref="AH334:AH397" si="91">AD334&amp;",;!"&amp;AE334&amp;",;!"&amp;AF334&amp;",;!"&amp;AG334</f>
        <v>0,;!0,;!0,;!0</v>
      </c>
      <c r="AI334" s="211" t="e">
        <f>INDEX([1]Library!$AL:$AL,MATCH(AH334,[1]Library!$AJ:$AJ,0),1)</f>
        <v>#N/A</v>
      </c>
      <c r="AJ334" s="211" t="e">
        <f>TEXT(INDEX([1]Library!$W:$W,MATCH(AH334,[1]Library!$AJ:$AJ,0),1),"")</f>
        <v>#N/A</v>
      </c>
    </row>
    <row r="335" spans="1:36" ht="25.2" hidden="1" customHeight="1" outlineLevel="2">
      <c r="A335" s="242"/>
      <c r="B335" s="243"/>
      <c r="C335" s="244"/>
      <c r="D335" s="245"/>
      <c r="E335" s="246" t="s">
        <v>362</v>
      </c>
      <c r="F335" s="247"/>
      <c r="G335" s="381"/>
      <c r="H335" s="382">
        <v>0</v>
      </c>
      <c r="I335" s="248">
        <v>0</v>
      </c>
      <c r="J335" s="249">
        <v>0</v>
      </c>
      <c r="K335" s="250">
        <v>0</v>
      </c>
      <c r="L335" s="249">
        <v>0</v>
      </c>
      <c r="M335" s="250">
        <v>0</v>
      </c>
      <c r="N335" s="251">
        <v>0</v>
      </c>
      <c r="O335" s="250">
        <v>0</v>
      </c>
      <c r="P335" s="252">
        <v>0</v>
      </c>
      <c r="Q335" s="253">
        <f t="shared" si="88"/>
        <v>0</v>
      </c>
      <c r="R335" s="254">
        <f t="shared" si="89"/>
        <v>0</v>
      </c>
      <c r="S335" s="255">
        <f t="shared" si="90"/>
        <v>0</v>
      </c>
      <c r="T335" s="256"/>
      <c r="U335" s="225"/>
      <c r="V335" s="226"/>
      <c r="W335" s="227"/>
      <c r="X335" s="226"/>
      <c r="Y335" s="226"/>
      <c r="Z335" s="226"/>
      <c r="AA335" s="226"/>
      <c r="AB335" s="226"/>
      <c r="AC335" s="226"/>
      <c r="AD335" s="96">
        <f t="shared" si="84"/>
        <v>0</v>
      </c>
      <c r="AE335" s="96">
        <f t="shared" si="85"/>
        <v>0</v>
      </c>
      <c r="AF335" s="96">
        <f t="shared" si="86"/>
        <v>0</v>
      </c>
      <c r="AG335" s="96">
        <f t="shared" si="87"/>
        <v>0</v>
      </c>
      <c r="AH335" s="211" t="str">
        <f t="shared" si="91"/>
        <v>0,;!0,;!0,;!0</v>
      </c>
      <c r="AI335" s="211" t="e">
        <f>INDEX([1]Library!$AL:$AL,MATCH(AH335,[1]Library!$AJ:$AJ,0),1)</f>
        <v>#N/A</v>
      </c>
      <c r="AJ335" s="211" t="e">
        <f>TEXT(INDEX([1]Library!$W:$W,MATCH(AH335,[1]Library!$AJ:$AJ,0),1),"")</f>
        <v>#N/A</v>
      </c>
    </row>
    <row r="336" spans="1:36" ht="25.2" hidden="1" customHeight="1" outlineLevel="2">
      <c r="A336" s="242"/>
      <c r="B336" s="243"/>
      <c r="C336" s="244"/>
      <c r="D336" s="245"/>
      <c r="E336" s="246" t="s">
        <v>363</v>
      </c>
      <c r="F336" s="247"/>
      <c r="G336" s="381"/>
      <c r="H336" s="382">
        <v>0</v>
      </c>
      <c r="I336" s="248">
        <v>0</v>
      </c>
      <c r="J336" s="249">
        <v>0</v>
      </c>
      <c r="K336" s="250">
        <v>0</v>
      </c>
      <c r="L336" s="249">
        <v>0</v>
      </c>
      <c r="M336" s="250">
        <v>0</v>
      </c>
      <c r="N336" s="251">
        <v>0</v>
      </c>
      <c r="O336" s="250">
        <v>0</v>
      </c>
      <c r="P336" s="252">
        <v>0</v>
      </c>
      <c r="Q336" s="253">
        <f t="shared" si="88"/>
        <v>0</v>
      </c>
      <c r="R336" s="254">
        <f t="shared" si="89"/>
        <v>0</v>
      </c>
      <c r="S336" s="255">
        <f t="shared" si="90"/>
        <v>0</v>
      </c>
      <c r="T336" s="256"/>
      <c r="U336" s="225"/>
      <c r="V336" s="226"/>
      <c r="W336" s="227"/>
      <c r="X336" s="226"/>
      <c r="Y336" s="226"/>
      <c r="Z336" s="226"/>
      <c r="AA336" s="226"/>
      <c r="AB336" s="226"/>
      <c r="AC336" s="226"/>
      <c r="AD336" s="96">
        <f t="shared" si="84"/>
        <v>0</v>
      </c>
      <c r="AE336" s="96">
        <f t="shared" si="85"/>
        <v>0</v>
      </c>
      <c r="AF336" s="96">
        <f t="shared" si="86"/>
        <v>0</v>
      </c>
      <c r="AG336" s="96">
        <f t="shared" si="87"/>
        <v>0</v>
      </c>
      <c r="AH336" s="211" t="str">
        <f t="shared" si="91"/>
        <v>0,;!0,;!0,;!0</v>
      </c>
      <c r="AI336" s="211" t="e">
        <f>INDEX([1]Library!$AL:$AL,MATCH(AH336,[1]Library!$AJ:$AJ,0),1)</f>
        <v>#N/A</v>
      </c>
      <c r="AJ336" s="211" t="e">
        <f>TEXT(INDEX([1]Library!$W:$W,MATCH(AH336,[1]Library!$AJ:$AJ,0),1),"")</f>
        <v>#N/A</v>
      </c>
    </row>
    <row r="337" spans="1:36" ht="25.2" hidden="1" customHeight="1" outlineLevel="2">
      <c r="A337" s="242"/>
      <c r="B337" s="243"/>
      <c r="C337" s="244"/>
      <c r="D337" s="245"/>
      <c r="E337" s="246" t="s">
        <v>364</v>
      </c>
      <c r="F337" s="247"/>
      <c r="G337" s="381"/>
      <c r="H337" s="382">
        <v>0</v>
      </c>
      <c r="I337" s="248">
        <v>0</v>
      </c>
      <c r="J337" s="249">
        <v>0</v>
      </c>
      <c r="K337" s="250">
        <v>0</v>
      </c>
      <c r="L337" s="249">
        <v>0</v>
      </c>
      <c r="M337" s="250">
        <v>0</v>
      </c>
      <c r="N337" s="251">
        <v>0</v>
      </c>
      <c r="O337" s="250">
        <v>0</v>
      </c>
      <c r="P337" s="252">
        <v>0</v>
      </c>
      <c r="Q337" s="253">
        <f t="shared" si="88"/>
        <v>0</v>
      </c>
      <c r="R337" s="254">
        <f t="shared" si="89"/>
        <v>0</v>
      </c>
      <c r="S337" s="255">
        <f t="shared" si="90"/>
        <v>0</v>
      </c>
      <c r="T337" s="256"/>
      <c r="U337" s="225"/>
      <c r="V337" s="226"/>
      <c r="W337" s="227"/>
      <c r="X337" s="226"/>
      <c r="Y337" s="226"/>
      <c r="Z337" s="226"/>
      <c r="AA337" s="226"/>
      <c r="AB337" s="226"/>
      <c r="AC337" s="226"/>
      <c r="AD337" s="96">
        <f t="shared" si="84"/>
        <v>0</v>
      </c>
      <c r="AE337" s="96">
        <f t="shared" si="85"/>
        <v>0</v>
      </c>
      <c r="AF337" s="96">
        <f t="shared" si="86"/>
        <v>0</v>
      </c>
      <c r="AG337" s="96">
        <f t="shared" si="87"/>
        <v>0</v>
      </c>
      <c r="AH337" s="211" t="str">
        <f t="shared" si="91"/>
        <v>0,;!0,;!0,;!0</v>
      </c>
      <c r="AI337" s="211" t="e">
        <f>INDEX([1]Library!$AL:$AL,MATCH(AH337,[1]Library!$AJ:$AJ,0),1)</f>
        <v>#N/A</v>
      </c>
      <c r="AJ337" s="211" t="e">
        <f>TEXT(INDEX([1]Library!$W:$W,MATCH(AH337,[1]Library!$AJ:$AJ,0),1),"")</f>
        <v>#N/A</v>
      </c>
    </row>
    <row r="338" spans="1:36" ht="25.2" hidden="1" customHeight="1" outlineLevel="2">
      <c r="A338" s="228"/>
      <c r="B338" s="229"/>
      <c r="C338" s="230"/>
      <c r="D338" s="231" t="s">
        <v>365</v>
      </c>
      <c r="E338" s="232"/>
      <c r="F338" s="233"/>
      <c r="G338" s="379"/>
      <c r="H338" s="380">
        <v>4</v>
      </c>
      <c r="I338" s="234" t="s">
        <v>200</v>
      </c>
      <c r="J338" s="235">
        <v>235299.45139999999</v>
      </c>
      <c r="K338" s="236">
        <v>941197.80559999996</v>
      </c>
      <c r="L338" s="235">
        <v>47059.89028</v>
      </c>
      <c r="M338" s="236">
        <v>188239.56112</v>
      </c>
      <c r="N338" s="237">
        <v>0</v>
      </c>
      <c r="O338" s="236">
        <v>0</v>
      </c>
      <c r="P338" s="238">
        <v>1129437.36672</v>
      </c>
      <c r="Q338" s="239">
        <f t="shared" si="88"/>
        <v>6.0754334525946598E-4</v>
      </c>
      <c r="R338" s="236">
        <f t="shared" si="89"/>
        <v>60.586932812634103</v>
      </c>
      <c r="S338" s="240">
        <f t="shared" si="90"/>
        <v>2214.5830719999999</v>
      </c>
      <c r="T338" s="241"/>
      <c r="U338" s="225"/>
      <c r="V338" s="226"/>
      <c r="W338" s="227"/>
      <c r="X338" s="226"/>
      <c r="Y338" s="226"/>
      <c r="Z338" s="226"/>
      <c r="AA338" s="226"/>
      <c r="AB338" s="226"/>
      <c r="AC338" s="226"/>
      <c r="AD338" s="96">
        <f t="shared" si="84"/>
        <v>0</v>
      </c>
      <c r="AE338" s="96">
        <f t="shared" si="85"/>
        <v>0</v>
      </c>
      <c r="AF338" s="96">
        <f t="shared" si="86"/>
        <v>0</v>
      </c>
      <c r="AG338" s="96">
        <f t="shared" si="87"/>
        <v>0</v>
      </c>
      <c r="AH338" s="211" t="str">
        <f t="shared" si="91"/>
        <v>0,;!0,;!0,;!0</v>
      </c>
      <c r="AI338" s="211" t="e">
        <f>INDEX([1]Library!$AL:$AL,MATCH(AH338,[1]Library!$AJ:$AJ,0),1)</f>
        <v>#N/A</v>
      </c>
      <c r="AJ338" s="211" t="e">
        <f>TEXT(INDEX([1]Library!$W:$W,MATCH(AH338,[1]Library!$AJ:$AJ,0),1),"")</f>
        <v>#N/A</v>
      </c>
    </row>
    <row r="339" spans="1:36" ht="25.2" hidden="1" customHeight="1" outlineLevel="2">
      <c r="A339" s="242"/>
      <c r="B339" s="243"/>
      <c r="C339" s="244"/>
      <c r="D339" s="245"/>
      <c r="E339" s="246" t="s">
        <v>366</v>
      </c>
      <c r="F339" s="247"/>
      <c r="G339" s="381"/>
      <c r="H339" s="382">
        <v>4</v>
      </c>
      <c r="I339" s="248" t="s">
        <v>200</v>
      </c>
      <c r="J339" s="249">
        <v>235299.45139999999</v>
      </c>
      <c r="K339" s="250">
        <v>941197.80559999996</v>
      </c>
      <c r="L339" s="249">
        <v>47059.89028</v>
      </c>
      <c r="M339" s="250">
        <v>188239.56112</v>
      </c>
      <c r="N339" s="251">
        <v>0</v>
      </c>
      <c r="O339" s="250">
        <v>0</v>
      </c>
      <c r="P339" s="252">
        <v>1129437.36672</v>
      </c>
      <c r="Q339" s="253">
        <f t="shared" si="88"/>
        <v>6.0754334525946598E-4</v>
      </c>
      <c r="R339" s="254">
        <f t="shared" si="89"/>
        <v>60.586932812634103</v>
      </c>
      <c r="S339" s="255">
        <f t="shared" si="90"/>
        <v>2214.5830719999999</v>
      </c>
      <c r="T339" s="256"/>
      <c r="U339" s="225"/>
      <c r="V339" s="226"/>
      <c r="W339" s="227"/>
      <c r="X339" s="226"/>
      <c r="Y339" s="226"/>
      <c r="Z339" s="226"/>
      <c r="AA339" s="226"/>
      <c r="AB339" s="226"/>
      <c r="AC339" s="226"/>
      <c r="AD339" s="96">
        <f t="shared" si="84"/>
        <v>0</v>
      </c>
      <c r="AE339" s="96">
        <f t="shared" si="85"/>
        <v>0</v>
      </c>
      <c r="AF339" s="96">
        <f t="shared" si="86"/>
        <v>0</v>
      </c>
      <c r="AG339" s="96">
        <f t="shared" si="87"/>
        <v>0</v>
      </c>
      <c r="AH339" s="211" t="str">
        <f t="shared" si="91"/>
        <v>0,;!0,;!0,;!0</v>
      </c>
      <c r="AI339" s="211" t="e">
        <f>INDEX([1]Library!$AL:$AL,MATCH(AH339,[1]Library!$AJ:$AJ,0),1)</f>
        <v>#N/A</v>
      </c>
      <c r="AJ339" s="211" t="e">
        <f>TEXT(INDEX([1]Library!$W:$W,MATCH(AH339,[1]Library!$AJ:$AJ,0),1),"")</f>
        <v>#N/A</v>
      </c>
    </row>
    <row r="340" spans="1:36" ht="25.2" hidden="1" customHeight="1" outlineLevel="2">
      <c r="A340" s="242"/>
      <c r="B340" s="243"/>
      <c r="C340" s="244"/>
      <c r="D340" s="245"/>
      <c r="E340" s="246" t="s">
        <v>367</v>
      </c>
      <c r="F340" s="247"/>
      <c r="G340" s="381"/>
      <c r="H340" s="382">
        <v>0</v>
      </c>
      <c r="I340" s="248">
        <v>0</v>
      </c>
      <c r="J340" s="249">
        <v>0</v>
      </c>
      <c r="K340" s="250">
        <v>0</v>
      </c>
      <c r="L340" s="249">
        <v>0</v>
      </c>
      <c r="M340" s="250">
        <v>0</v>
      </c>
      <c r="N340" s="251">
        <v>0</v>
      </c>
      <c r="O340" s="250">
        <v>0</v>
      </c>
      <c r="P340" s="252">
        <v>0</v>
      </c>
      <c r="Q340" s="253">
        <f t="shared" si="88"/>
        <v>0</v>
      </c>
      <c r="R340" s="254">
        <f t="shared" si="89"/>
        <v>0</v>
      </c>
      <c r="S340" s="255">
        <f t="shared" si="90"/>
        <v>0</v>
      </c>
      <c r="T340" s="256"/>
      <c r="U340" s="225"/>
      <c r="V340" s="226"/>
      <c r="W340" s="227"/>
      <c r="X340" s="226"/>
      <c r="Y340" s="226"/>
      <c r="Z340" s="226"/>
      <c r="AA340" s="226"/>
      <c r="AB340" s="226"/>
      <c r="AC340" s="226"/>
      <c r="AD340" s="96">
        <f t="shared" si="84"/>
        <v>0</v>
      </c>
      <c r="AE340" s="96">
        <f t="shared" si="85"/>
        <v>0</v>
      </c>
      <c r="AF340" s="96">
        <f t="shared" si="86"/>
        <v>0</v>
      </c>
      <c r="AG340" s="96">
        <f t="shared" si="87"/>
        <v>0</v>
      </c>
      <c r="AH340" s="211" t="str">
        <f t="shared" si="91"/>
        <v>0,;!0,;!0,;!0</v>
      </c>
      <c r="AI340" s="211" t="e">
        <f>INDEX([1]Library!$AL:$AL,MATCH(AH340,[1]Library!$AJ:$AJ,0),1)</f>
        <v>#N/A</v>
      </c>
      <c r="AJ340" s="211" t="e">
        <f>TEXT(INDEX([1]Library!$W:$W,MATCH(AH340,[1]Library!$AJ:$AJ,0),1),"")</f>
        <v>#N/A</v>
      </c>
    </row>
    <row r="341" spans="1:36" ht="25.2" hidden="1" customHeight="1" outlineLevel="2">
      <c r="A341" s="228"/>
      <c r="B341" s="229"/>
      <c r="C341" s="230"/>
      <c r="D341" s="231" t="s">
        <v>368</v>
      </c>
      <c r="E341" s="232"/>
      <c r="F341" s="233"/>
      <c r="G341" s="379"/>
      <c r="H341" s="380">
        <v>4</v>
      </c>
      <c r="I341" s="234" t="s">
        <v>200</v>
      </c>
      <c r="J341" s="235">
        <v>109400.55100000001</v>
      </c>
      <c r="K341" s="236">
        <v>437602.20400000003</v>
      </c>
      <c r="L341" s="235">
        <v>21880.110199999999</v>
      </c>
      <c r="M341" s="236">
        <v>87520.440799999997</v>
      </c>
      <c r="N341" s="237">
        <v>0</v>
      </c>
      <c r="O341" s="236">
        <v>0</v>
      </c>
      <c r="P341" s="238">
        <v>525122.64480000001</v>
      </c>
      <c r="Q341" s="239">
        <f t="shared" si="88"/>
        <v>2.8247229788385699E-4</v>
      </c>
      <c r="R341" s="236">
        <f t="shared" si="89"/>
        <v>28.169397734100102</v>
      </c>
      <c r="S341" s="240">
        <f t="shared" si="90"/>
        <v>1029.6522447058801</v>
      </c>
      <c r="T341" s="241"/>
      <c r="U341" s="225"/>
      <c r="V341" s="226"/>
      <c r="W341" s="227"/>
      <c r="X341" s="226"/>
      <c r="Y341" s="226"/>
      <c r="Z341" s="226"/>
      <c r="AA341" s="226"/>
      <c r="AB341" s="226"/>
      <c r="AC341" s="226"/>
      <c r="AD341" s="96">
        <f t="shared" si="84"/>
        <v>0</v>
      </c>
      <c r="AE341" s="96">
        <f t="shared" si="85"/>
        <v>0</v>
      </c>
      <c r="AF341" s="96">
        <f t="shared" si="86"/>
        <v>0</v>
      </c>
      <c r="AG341" s="96">
        <f t="shared" si="87"/>
        <v>0</v>
      </c>
      <c r="AH341" s="211" t="str">
        <f t="shared" si="91"/>
        <v>0,;!0,;!0,;!0</v>
      </c>
      <c r="AI341" s="211" t="e">
        <f>INDEX([1]Library!$AL:$AL,MATCH(AH341,[1]Library!$AJ:$AJ,0),1)</f>
        <v>#N/A</v>
      </c>
      <c r="AJ341" s="211" t="e">
        <f>TEXT(INDEX([1]Library!$W:$W,MATCH(AH341,[1]Library!$AJ:$AJ,0),1),"")</f>
        <v>#N/A</v>
      </c>
    </row>
    <row r="342" spans="1:36" ht="25.2" hidden="1" customHeight="1" outlineLevel="2">
      <c r="A342" s="242"/>
      <c r="B342" s="243"/>
      <c r="C342" s="244"/>
      <c r="D342" s="245"/>
      <c r="E342" s="246" t="s">
        <v>369</v>
      </c>
      <c r="F342" s="247"/>
      <c r="G342" s="381"/>
      <c r="H342" s="382">
        <v>4</v>
      </c>
      <c r="I342" s="248" t="s">
        <v>200</v>
      </c>
      <c r="J342" s="249">
        <v>109400.55100000001</v>
      </c>
      <c r="K342" s="250">
        <v>437602.20400000003</v>
      </c>
      <c r="L342" s="249">
        <v>21880.110199999999</v>
      </c>
      <c r="M342" s="250">
        <v>87520.440799999997</v>
      </c>
      <c r="N342" s="251">
        <v>0</v>
      </c>
      <c r="O342" s="250">
        <v>0</v>
      </c>
      <c r="P342" s="252">
        <v>525122.64480000001</v>
      </c>
      <c r="Q342" s="253">
        <f t="shared" si="88"/>
        <v>2.8247229788385699E-4</v>
      </c>
      <c r="R342" s="254">
        <f t="shared" si="89"/>
        <v>28.169397734100102</v>
      </c>
      <c r="S342" s="255">
        <f t="shared" si="90"/>
        <v>1029.6522447058801</v>
      </c>
      <c r="T342" s="256"/>
      <c r="U342" s="225"/>
      <c r="V342" s="226"/>
      <c r="W342" s="227"/>
      <c r="X342" s="226"/>
      <c r="Y342" s="226"/>
      <c r="Z342" s="226"/>
      <c r="AA342" s="226"/>
      <c r="AB342" s="226"/>
      <c r="AC342" s="226"/>
      <c r="AD342" s="96">
        <f t="shared" si="84"/>
        <v>0</v>
      </c>
      <c r="AE342" s="96">
        <f t="shared" si="85"/>
        <v>0</v>
      </c>
      <c r="AF342" s="96">
        <f t="shared" si="86"/>
        <v>0</v>
      </c>
      <c r="AG342" s="96">
        <f t="shared" si="87"/>
        <v>0</v>
      </c>
      <c r="AH342" s="211" t="str">
        <f t="shared" si="91"/>
        <v>0,;!0,;!0,;!0</v>
      </c>
      <c r="AI342" s="211" t="e">
        <f>INDEX([1]Library!$AL:$AL,MATCH(AH342,[1]Library!$AJ:$AJ,0),1)</f>
        <v>#N/A</v>
      </c>
      <c r="AJ342" s="211" t="e">
        <f>TEXT(INDEX([1]Library!$W:$W,MATCH(AH342,[1]Library!$AJ:$AJ,0),1),"")</f>
        <v>#N/A</v>
      </c>
    </row>
    <row r="343" spans="1:36" ht="25.2" hidden="1" customHeight="1" outlineLevel="2">
      <c r="A343" s="242"/>
      <c r="B343" s="243"/>
      <c r="C343" s="244"/>
      <c r="D343" s="245"/>
      <c r="E343" s="246" t="s">
        <v>370</v>
      </c>
      <c r="F343" s="247"/>
      <c r="G343" s="381"/>
      <c r="H343" s="382">
        <v>0</v>
      </c>
      <c r="I343" s="248">
        <v>0</v>
      </c>
      <c r="J343" s="249">
        <v>0</v>
      </c>
      <c r="K343" s="250">
        <v>0</v>
      </c>
      <c r="L343" s="249">
        <v>0</v>
      </c>
      <c r="M343" s="250">
        <v>0</v>
      </c>
      <c r="N343" s="251">
        <v>0</v>
      </c>
      <c r="O343" s="250">
        <v>0</v>
      </c>
      <c r="P343" s="252">
        <v>0</v>
      </c>
      <c r="Q343" s="253">
        <f t="shared" si="88"/>
        <v>0</v>
      </c>
      <c r="R343" s="254">
        <f t="shared" si="89"/>
        <v>0</v>
      </c>
      <c r="S343" s="255">
        <f t="shared" si="90"/>
        <v>0</v>
      </c>
      <c r="T343" s="256"/>
      <c r="U343" s="225"/>
      <c r="V343" s="226"/>
      <c r="W343" s="227"/>
      <c r="X343" s="226"/>
      <c r="Y343" s="226"/>
      <c r="Z343" s="226"/>
      <c r="AA343" s="226"/>
      <c r="AB343" s="226"/>
      <c r="AC343" s="226"/>
      <c r="AD343" s="96">
        <f t="shared" si="84"/>
        <v>0</v>
      </c>
      <c r="AE343" s="96">
        <f t="shared" si="85"/>
        <v>0</v>
      </c>
      <c r="AF343" s="96">
        <f t="shared" si="86"/>
        <v>0</v>
      </c>
      <c r="AG343" s="96">
        <f t="shared" si="87"/>
        <v>0</v>
      </c>
      <c r="AH343" s="211" t="str">
        <f t="shared" si="91"/>
        <v>0,;!0,;!0,;!0</v>
      </c>
      <c r="AI343" s="211" t="e">
        <f>INDEX([1]Library!$AL:$AL,MATCH(AH343,[1]Library!$AJ:$AJ,0),1)</f>
        <v>#N/A</v>
      </c>
      <c r="AJ343" s="211" t="e">
        <f>TEXT(INDEX([1]Library!$W:$W,MATCH(AH343,[1]Library!$AJ:$AJ,0),1),"")</f>
        <v>#N/A</v>
      </c>
    </row>
    <row r="344" spans="1:36" ht="25.2" hidden="1" customHeight="1" outlineLevel="2">
      <c r="A344" s="242"/>
      <c r="B344" s="243"/>
      <c r="C344" s="244"/>
      <c r="D344" s="245"/>
      <c r="E344" s="246" t="s">
        <v>371</v>
      </c>
      <c r="F344" s="247"/>
      <c r="G344" s="381"/>
      <c r="H344" s="382">
        <v>0</v>
      </c>
      <c r="I344" s="248">
        <v>0</v>
      </c>
      <c r="J344" s="249">
        <v>0</v>
      </c>
      <c r="K344" s="250">
        <v>0</v>
      </c>
      <c r="L344" s="249">
        <v>0</v>
      </c>
      <c r="M344" s="250">
        <v>0</v>
      </c>
      <c r="N344" s="251">
        <v>0</v>
      </c>
      <c r="O344" s="250">
        <v>0</v>
      </c>
      <c r="P344" s="252">
        <v>0</v>
      </c>
      <c r="Q344" s="253">
        <f t="shared" si="88"/>
        <v>0</v>
      </c>
      <c r="R344" s="254">
        <f t="shared" si="89"/>
        <v>0</v>
      </c>
      <c r="S344" s="255">
        <f t="shared" si="90"/>
        <v>0</v>
      </c>
      <c r="T344" s="256"/>
      <c r="U344" s="225"/>
      <c r="V344" s="226"/>
      <c r="W344" s="227"/>
      <c r="X344" s="226"/>
      <c r="Y344" s="226"/>
      <c r="Z344" s="226"/>
      <c r="AA344" s="226"/>
      <c r="AB344" s="226"/>
      <c r="AC344" s="226"/>
      <c r="AD344" s="96">
        <f t="shared" si="84"/>
        <v>0</v>
      </c>
      <c r="AE344" s="96">
        <f t="shared" si="85"/>
        <v>0</v>
      </c>
      <c r="AF344" s="96">
        <f t="shared" si="86"/>
        <v>0</v>
      </c>
      <c r="AG344" s="96">
        <f t="shared" si="87"/>
        <v>0</v>
      </c>
      <c r="AH344" s="211" t="str">
        <f t="shared" si="91"/>
        <v>0,;!0,;!0,;!0</v>
      </c>
      <c r="AI344" s="211" t="e">
        <f>INDEX([1]Library!$AL:$AL,MATCH(AH344,[1]Library!$AJ:$AJ,0),1)</f>
        <v>#N/A</v>
      </c>
      <c r="AJ344" s="211" t="e">
        <f>TEXT(INDEX([1]Library!$W:$W,MATCH(AH344,[1]Library!$AJ:$AJ,0),1),"")</f>
        <v>#N/A</v>
      </c>
    </row>
    <row r="345" spans="1:36" ht="25.2" hidden="1" customHeight="1" outlineLevel="2">
      <c r="A345" s="242"/>
      <c r="B345" s="243"/>
      <c r="C345" s="244"/>
      <c r="D345" s="245"/>
      <c r="E345" s="246" t="s">
        <v>372</v>
      </c>
      <c r="F345" s="247"/>
      <c r="G345" s="381"/>
      <c r="H345" s="382">
        <v>0</v>
      </c>
      <c r="I345" s="248">
        <v>0</v>
      </c>
      <c r="J345" s="249">
        <v>0</v>
      </c>
      <c r="K345" s="250">
        <v>0</v>
      </c>
      <c r="L345" s="249">
        <v>0</v>
      </c>
      <c r="M345" s="250">
        <v>0</v>
      </c>
      <c r="N345" s="251">
        <v>0</v>
      </c>
      <c r="O345" s="250">
        <v>0</v>
      </c>
      <c r="P345" s="252">
        <v>0</v>
      </c>
      <c r="Q345" s="253">
        <f t="shared" si="88"/>
        <v>0</v>
      </c>
      <c r="R345" s="254">
        <f t="shared" si="89"/>
        <v>0</v>
      </c>
      <c r="S345" s="255">
        <f t="shared" si="90"/>
        <v>0</v>
      </c>
      <c r="T345" s="256"/>
      <c r="U345" s="225"/>
      <c r="V345" s="226"/>
      <c r="W345" s="227"/>
      <c r="X345" s="226"/>
      <c r="Y345" s="226"/>
      <c r="Z345" s="226"/>
      <c r="AA345" s="226"/>
      <c r="AB345" s="226"/>
      <c r="AC345" s="226"/>
      <c r="AD345" s="96">
        <f t="shared" si="84"/>
        <v>0</v>
      </c>
      <c r="AE345" s="96">
        <f t="shared" si="85"/>
        <v>0</v>
      </c>
      <c r="AF345" s="96">
        <f t="shared" si="86"/>
        <v>0</v>
      </c>
      <c r="AG345" s="96">
        <f t="shared" si="87"/>
        <v>0</v>
      </c>
      <c r="AH345" s="211" t="str">
        <f t="shared" si="91"/>
        <v>0,;!0,;!0,;!0</v>
      </c>
      <c r="AI345" s="211" t="e">
        <f>INDEX([1]Library!$AL:$AL,MATCH(AH345,[1]Library!$AJ:$AJ,0),1)</f>
        <v>#N/A</v>
      </c>
      <c r="AJ345" s="211" t="e">
        <f>TEXT(INDEX([1]Library!$W:$W,MATCH(AH345,[1]Library!$AJ:$AJ,0),1),"")</f>
        <v>#N/A</v>
      </c>
    </row>
    <row r="346" spans="1:36" ht="25.2" hidden="1" customHeight="1" outlineLevel="2">
      <c r="A346" s="242"/>
      <c r="B346" s="243"/>
      <c r="C346" s="244"/>
      <c r="D346" s="245"/>
      <c r="E346" s="246" t="s">
        <v>373</v>
      </c>
      <c r="F346" s="247"/>
      <c r="G346" s="381"/>
      <c r="H346" s="382">
        <v>0</v>
      </c>
      <c r="I346" s="248">
        <v>0</v>
      </c>
      <c r="J346" s="249">
        <v>0</v>
      </c>
      <c r="K346" s="250">
        <v>0</v>
      </c>
      <c r="L346" s="249">
        <v>0</v>
      </c>
      <c r="M346" s="250">
        <v>0</v>
      </c>
      <c r="N346" s="251">
        <v>0</v>
      </c>
      <c r="O346" s="250">
        <v>0</v>
      </c>
      <c r="P346" s="252">
        <v>0</v>
      </c>
      <c r="Q346" s="253">
        <f t="shared" si="88"/>
        <v>0</v>
      </c>
      <c r="R346" s="254">
        <f t="shared" si="89"/>
        <v>0</v>
      </c>
      <c r="S346" s="255">
        <f t="shared" si="90"/>
        <v>0</v>
      </c>
      <c r="T346" s="256"/>
      <c r="U346" s="225"/>
      <c r="V346" s="226"/>
      <c r="W346" s="227"/>
      <c r="X346" s="226"/>
      <c r="Y346" s="226"/>
      <c r="Z346" s="226"/>
      <c r="AA346" s="226"/>
      <c r="AB346" s="226"/>
      <c r="AC346" s="226"/>
      <c r="AD346" s="96">
        <f t="shared" si="84"/>
        <v>0</v>
      </c>
      <c r="AE346" s="96">
        <f t="shared" si="85"/>
        <v>0</v>
      </c>
      <c r="AF346" s="96">
        <f t="shared" si="86"/>
        <v>0</v>
      </c>
      <c r="AG346" s="96">
        <f t="shared" si="87"/>
        <v>0</v>
      </c>
      <c r="AH346" s="211" t="str">
        <f t="shared" si="91"/>
        <v>0,;!0,;!0,;!0</v>
      </c>
      <c r="AI346" s="211" t="e">
        <f>INDEX([1]Library!$AL:$AL,MATCH(AH346,[1]Library!$AJ:$AJ,0),1)</f>
        <v>#N/A</v>
      </c>
      <c r="AJ346" s="211" t="e">
        <f>TEXT(INDEX([1]Library!$W:$W,MATCH(AH346,[1]Library!$AJ:$AJ,0),1),"")</f>
        <v>#N/A</v>
      </c>
    </row>
    <row r="347" spans="1:36" ht="25.2" hidden="1" customHeight="1" outlineLevel="2">
      <c r="A347" s="242"/>
      <c r="B347" s="243"/>
      <c r="C347" s="244"/>
      <c r="D347" s="245"/>
      <c r="E347" s="246" t="s">
        <v>374</v>
      </c>
      <c r="F347" s="247"/>
      <c r="G347" s="381"/>
      <c r="H347" s="382">
        <v>0</v>
      </c>
      <c r="I347" s="248">
        <v>0</v>
      </c>
      <c r="J347" s="249">
        <v>0</v>
      </c>
      <c r="K347" s="250">
        <v>0</v>
      </c>
      <c r="L347" s="249">
        <v>0</v>
      </c>
      <c r="M347" s="250">
        <v>0</v>
      </c>
      <c r="N347" s="251">
        <v>0</v>
      </c>
      <c r="O347" s="250">
        <v>0</v>
      </c>
      <c r="P347" s="252">
        <v>0</v>
      </c>
      <c r="Q347" s="253">
        <f t="shared" si="88"/>
        <v>0</v>
      </c>
      <c r="R347" s="254">
        <f t="shared" si="89"/>
        <v>0</v>
      </c>
      <c r="S347" s="255">
        <f t="shared" si="90"/>
        <v>0</v>
      </c>
      <c r="T347" s="256"/>
      <c r="U347" s="225"/>
      <c r="V347" s="226"/>
      <c r="W347" s="227"/>
      <c r="X347" s="226"/>
      <c r="Y347" s="226"/>
      <c r="Z347" s="226"/>
      <c r="AA347" s="226"/>
      <c r="AB347" s="226"/>
      <c r="AC347" s="226"/>
      <c r="AD347" s="96">
        <f t="shared" si="84"/>
        <v>0</v>
      </c>
      <c r="AE347" s="96">
        <f t="shared" si="85"/>
        <v>0</v>
      </c>
      <c r="AF347" s="96">
        <f t="shared" si="86"/>
        <v>0</v>
      </c>
      <c r="AG347" s="96">
        <f t="shared" si="87"/>
        <v>0</v>
      </c>
      <c r="AH347" s="211" t="str">
        <f t="shared" si="91"/>
        <v>0,;!0,;!0,;!0</v>
      </c>
      <c r="AI347" s="211" t="e">
        <f>INDEX([1]Library!$AL:$AL,MATCH(AH347,[1]Library!$AJ:$AJ,0),1)</f>
        <v>#N/A</v>
      </c>
      <c r="AJ347" s="211" t="e">
        <f>TEXT(INDEX([1]Library!$W:$W,MATCH(AH347,[1]Library!$AJ:$AJ,0),1),"")</f>
        <v>#N/A</v>
      </c>
    </row>
    <row r="348" spans="1:36" ht="25.2" hidden="1" customHeight="1" outlineLevel="2">
      <c r="A348" s="242"/>
      <c r="B348" s="243"/>
      <c r="C348" s="244"/>
      <c r="D348" s="245"/>
      <c r="E348" s="246" t="s">
        <v>375</v>
      </c>
      <c r="F348" s="247"/>
      <c r="G348" s="381"/>
      <c r="H348" s="382">
        <v>0</v>
      </c>
      <c r="I348" s="248">
        <v>0</v>
      </c>
      <c r="J348" s="249">
        <v>0</v>
      </c>
      <c r="K348" s="250">
        <v>0</v>
      </c>
      <c r="L348" s="249">
        <v>0</v>
      </c>
      <c r="M348" s="250">
        <v>0</v>
      </c>
      <c r="N348" s="251">
        <v>0</v>
      </c>
      <c r="O348" s="250">
        <v>0</v>
      </c>
      <c r="P348" s="252">
        <v>0</v>
      </c>
      <c r="Q348" s="253">
        <f t="shared" si="88"/>
        <v>0</v>
      </c>
      <c r="R348" s="254">
        <f t="shared" si="89"/>
        <v>0</v>
      </c>
      <c r="S348" s="255">
        <f t="shared" si="90"/>
        <v>0</v>
      </c>
      <c r="T348" s="256"/>
      <c r="U348" s="225"/>
      <c r="V348" s="226"/>
      <c r="W348" s="227"/>
      <c r="X348" s="226"/>
      <c r="Y348" s="226"/>
      <c r="Z348" s="226"/>
      <c r="AA348" s="226"/>
      <c r="AB348" s="226"/>
      <c r="AC348" s="226"/>
      <c r="AD348" s="96">
        <f t="shared" si="84"/>
        <v>0</v>
      </c>
      <c r="AE348" s="96">
        <f t="shared" si="85"/>
        <v>0</v>
      </c>
      <c r="AF348" s="96">
        <f t="shared" si="86"/>
        <v>0</v>
      </c>
      <c r="AG348" s="96">
        <f t="shared" si="87"/>
        <v>0</v>
      </c>
      <c r="AH348" s="211" t="str">
        <f t="shared" si="91"/>
        <v>0,;!0,;!0,;!0</v>
      </c>
      <c r="AI348" s="211" t="e">
        <f>INDEX([1]Library!$AL:$AL,MATCH(AH348,[1]Library!$AJ:$AJ,0),1)</f>
        <v>#N/A</v>
      </c>
      <c r="AJ348" s="211" t="e">
        <f>TEXT(INDEX([1]Library!$W:$W,MATCH(AH348,[1]Library!$AJ:$AJ,0),1),"")</f>
        <v>#N/A</v>
      </c>
    </row>
    <row r="349" spans="1:36" ht="25.2" hidden="1" customHeight="1" outlineLevel="2">
      <c r="A349" s="228"/>
      <c r="B349" s="229"/>
      <c r="C349" s="230"/>
      <c r="D349" s="231" t="s">
        <v>376</v>
      </c>
      <c r="E349" s="232"/>
      <c r="F349" s="233"/>
      <c r="G349" s="379"/>
      <c r="H349" s="380">
        <v>4</v>
      </c>
      <c r="I349" s="234" t="s">
        <v>200</v>
      </c>
      <c r="J349" s="235">
        <v>276822.88</v>
      </c>
      <c r="K349" s="236">
        <v>1107291.52</v>
      </c>
      <c r="L349" s="235">
        <v>55364.58</v>
      </c>
      <c r="M349" s="236">
        <v>221458.32</v>
      </c>
      <c r="N349" s="237">
        <v>0</v>
      </c>
      <c r="O349" s="236">
        <v>0</v>
      </c>
      <c r="P349" s="238">
        <v>1328749.8400000001</v>
      </c>
      <c r="Q349" s="239">
        <f t="shared" si="88"/>
        <v>7.1475687505450898E-4</v>
      </c>
      <c r="R349" s="236">
        <f t="shared" si="89"/>
        <v>71.278744313792799</v>
      </c>
      <c r="S349" s="240">
        <f t="shared" si="90"/>
        <v>2605.3918431372499</v>
      </c>
      <c r="T349" s="241"/>
      <c r="U349" s="225"/>
      <c r="V349" s="226"/>
      <c r="W349" s="227"/>
      <c r="X349" s="226"/>
      <c r="Y349" s="226"/>
      <c r="Z349" s="226"/>
      <c r="AA349" s="226"/>
      <c r="AB349" s="226"/>
      <c r="AC349" s="226"/>
      <c r="AD349" s="96">
        <f t="shared" si="84"/>
        <v>0</v>
      </c>
      <c r="AE349" s="96">
        <f t="shared" si="85"/>
        <v>0</v>
      </c>
      <c r="AF349" s="96">
        <f t="shared" si="86"/>
        <v>0</v>
      </c>
      <c r="AG349" s="96">
        <f t="shared" si="87"/>
        <v>0</v>
      </c>
      <c r="AH349" s="211" t="str">
        <f t="shared" si="91"/>
        <v>0,;!0,;!0,;!0</v>
      </c>
      <c r="AI349" s="211" t="e">
        <f>INDEX([1]Library!$AL:$AL,MATCH(AH349,[1]Library!$AJ:$AJ,0),1)</f>
        <v>#N/A</v>
      </c>
      <c r="AJ349" s="211" t="e">
        <f>TEXT(INDEX([1]Library!$W:$W,MATCH(AH349,[1]Library!$AJ:$AJ,0),1),"")</f>
        <v>#N/A</v>
      </c>
    </row>
    <row r="350" spans="1:36" ht="25.2" hidden="1" customHeight="1" outlineLevel="2">
      <c r="A350" s="242"/>
      <c r="B350" s="243"/>
      <c r="C350" s="244"/>
      <c r="D350" s="245"/>
      <c r="E350" s="246" t="s">
        <v>377</v>
      </c>
      <c r="F350" s="247"/>
      <c r="G350" s="381"/>
      <c r="H350" s="382">
        <v>4</v>
      </c>
      <c r="I350" s="248" t="s">
        <v>200</v>
      </c>
      <c r="J350" s="249">
        <v>276822.88</v>
      </c>
      <c r="K350" s="250">
        <v>1107291.52</v>
      </c>
      <c r="L350" s="249">
        <v>55364.58</v>
      </c>
      <c r="M350" s="250">
        <v>221458.32</v>
      </c>
      <c r="N350" s="251">
        <v>0</v>
      </c>
      <c r="O350" s="250">
        <v>0</v>
      </c>
      <c r="P350" s="252">
        <v>1328749.8400000001</v>
      </c>
      <c r="Q350" s="253">
        <f t="shared" si="88"/>
        <v>7.1475687505450898E-4</v>
      </c>
      <c r="R350" s="254">
        <f t="shared" si="89"/>
        <v>71.278744313792799</v>
      </c>
      <c r="S350" s="255">
        <f t="shared" si="90"/>
        <v>2605.3918431372499</v>
      </c>
      <c r="T350" s="256"/>
      <c r="U350" s="225"/>
      <c r="V350" s="226"/>
      <c r="W350" s="227"/>
      <c r="X350" s="226"/>
      <c r="Y350" s="226"/>
      <c r="Z350" s="226"/>
      <c r="AA350" s="226"/>
      <c r="AB350" s="226"/>
      <c r="AC350" s="226"/>
      <c r="AD350" s="96">
        <f t="shared" si="84"/>
        <v>0</v>
      </c>
      <c r="AE350" s="96">
        <f t="shared" si="85"/>
        <v>0</v>
      </c>
      <c r="AF350" s="96">
        <f t="shared" si="86"/>
        <v>0</v>
      </c>
      <c r="AG350" s="96">
        <f t="shared" si="87"/>
        <v>0</v>
      </c>
      <c r="AH350" s="211" t="str">
        <f t="shared" si="91"/>
        <v>0,;!0,;!0,;!0</v>
      </c>
      <c r="AI350" s="211" t="e">
        <f>INDEX([1]Library!$AL:$AL,MATCH(AH350,[1]Library!$AJ:$AJ,0),1)</f>
        <v>#N/A</v>
      </c>
      <c r="AJ350" s="211" t="e">
        <f>TEXT(INDEX([1]Library!$W:$W,MATCH(AH350,[1]Library!$AJ:$AJ,0),1),"")</f>
        <v>#N/A</v>
      </c>
    </row>
    <row r="351" spans="1:36" ht="25.2" hidden="1" customHeight="1" outlineLevel="2">
      <c r="A351" s="242"/>
      <c r="B351" s="243"/>
      <c r="C351" s="244"/>
      <c r="D351" s="245"/>
      <c r="E351" s="246" t="s">
        <v>378</v>
      </c>
      <c r="F351" s="247"/>
      <c r="G351" s="381"/>
      <c r="H351" s="382">
        <v>0</v>
      </c>
      <c r="I351" s="248">
        <v>0</v>
      </c>
      <c r="J351" s="249">
        <v>0</v>
      </c>
      <c r="K351" s="250">
        <v>0</v>
      </c>
      <c r="L351" s="249">
        <v>0</v>
      </c>
      <c r="M351" s="250">
        <v>0</v>
      </c>
      <c r="N351" s="251">
        <v>0</v>
      </c>
      <c r="O351" s="250">
        <v>0</v>
      </c>
      <c r="P351" s="252">
        <v>0</v>
      </c>
      <c r="Q351" s="253">
        <f t="shared" si="88"/>
        <v>0</v>
      </c>
      <c r="R351" s="254">
        <f t="shared" si="89"/>
        <v>0</v>
      </c>
      <c r="S351" s="255">
        <f t="shared" si="90"/>
        <v>0</v>
      </c>
      <c r="T351" s="256"/>
      <c r="U351" s="225"/>
      <c r="V351" s="226"/>
      <c r="W351" s="227"/>
      <c r="X351" s="226"/>
      <c r="Y351" s="226"/>
      <c r="Z351" s="226"/>
      <c r="AA351" s="226"/>
      <c r="AB351" s="226"/>
      <c r="AC351" s="226"/>
      <c r="AD351" s="96">
        <f t="shared" si="84"/>
        <v>0</v>
      </c>
      <c r="AE351" s="96">
        <f t="shared" si="85"/>
        <v>0</v>
      </c>
      <c r="AF351" s="96">
        <f t="shared" si="86"/>
        <v>0</v>
      </c>
      <c r="AG351" s="96">
        <f t="shared" si="87"/>
        <v>0</v>
      </c>
      <c r="AH351" s="211" t="str">
        <f t="shared" si="91"/>
        <v>0,;!0,;!0,;!0</v>
      </c>
      <c r="AI351" s="211" t="e">
        <f>INDEX([1]Library!$AL:$AL,MATCH(AH351,[1]Library!$AJ:$AJ,0),1)</f>
        <v>#N/A</v>
      </c>
      <c r="AJ351" s="211" t="e">
        <f>TEXT(INDEX([1]Library!$W:$W,MATCH(AH351,[1]Library!$AJ:$AJ,0),1),"")</f>
        <v>#N/A</v>
      </c>
    </row>
    <row r="352" spans="1:36" ht="25.2" hidden="1" customHeight="1" outlineLevel="2">
      <c r="A352" s="242"/>
      <c r="B352" s="243"/>
      <c r="C352" s="244"/>
      <c r="D352" s="245"/>
      <c r="E352" s="246" t="s">
        <v>379</v>
      </c>
      <c r="F352" s="247"/>
      <c r="G352" s="381"/>
      <c r="H352" s="382">
        <v>0</v>
      </c>
      <c r="I352" s="248">
        <v>0</v>
      </c>
      <c r="J352" s="249">
        <v>0</v>
      </c>
      <c r="K352" s="250">
        <v>0</v>
      </c>
      <c r="L352" s="249">
        <v>0</v>
      </c>
      <c r="M352" s="250">
        <v>0</v>
      </c>
      <c r="N352" s="251">
        <v>0</v>
      </c>
      <c r="O352" s="250">
        <v>0</v>
      </c>
      <c r="P352" s="252">
        <v>0</v>
      </c>
      <c r="Q352" s="253">
        <f t="shared" si="88"/>
        <v>0</v>
      </c>
      <c r="R352" s="254">
        <f t="shared" si="89"/>
        <v>0</v>
      </c>
      <c r="S352" s="255">
        <f t="shared" si="90"/>
        <v>0</v>
      </c>
      <c r="T352" s="256"/>
      <c r="U352" s="225"/>
      <c r="V352" s="226"/>
      <c r="W352" s="227"/>
      <c r="X352" s="226"/>
      <c r="Y352" s="226"/>
      <c r="Z352" s="226"/>
      <c r="AA352" s="226"/>
      <c r="AB352" s="226"/>
      <c r="AC352" s="226"/>
      <c r="AD352" s="96">
        <f t="shared" si="84"/>
        <v>0</v>
      </c>
      <c r="AE352" s="96">
        <f t="shared" si="85"/>
        <v>0</v>
      </c>
      <c r="AF352" s="96">
        <f t="shared" si="86"/>
        <v>0</v>
      </c>
      <c r="AG352" s="96">
        <f t="shared" si="87"/>
        <v>0</v>
      </c>
      <c r="AH352" s="211" t="str">
        <f t="shared" si="91"/>
        <v>0,;!0,;!0,;!0</v>
      </c>
      <c r="AI352" s="211" t="e">
        <f>INDEX([1]Library!$AL:$AL,MATCH(AH352,[1]Library!$AJ:$AJ,0),1)</f>
        <v>#N/A</v>
      </c>
      <c r="AJ352" s="211" t="e">
        <f>TEXT(INDEX([1]Library!$W:$W,MATCH(AH352,[1]Library!$AJ:$AJ,0),1),"")</f>
        <v>#N/A</v>
      </c>
    </row>
    <row r="353" spans="1:36" ht="25.2" hidden="1" customHeight="1" outlineLevel="2">
      <c r="A353" s="242"/>
      <c r="B353" s="243"/>
      <c r="C353" s="244"/>
      <c r="D353" s="245"/>
      <c r="E353" s="246" t="s">
        <v>380</v>
      </c>
      <c r="F353" s="247"/>
      <c r="G353" s="381"/>
      <c r="H353" s="382">
        <v>0</v>
      </c>
      <c r="I353" s="248">
        <v>0</v>
      </c>
      <c r="J353" s="249">
        <v>0</v>
      </c>
      <c r="K353" s="250">
        <v>0</v>
      </c>
      <c r="L353" s="249">
        <v>0</v>
      </c>
      <c r="M353" s="250">
        <v>0</v>
      </c>
      <c r="N353" s="251">
        <v>0</v>
      </c>
      <c r="O353" s="250">
        <v>0</v>
      </c>
      <c r="P353" s="252">
        <v>0</v>
      </c>
      <c r="Q353" s="253">
        <f t="shared" si="88"/>
        <v>0</v>
      </c>
      <c r="R353" s="254">
        <f t="shared" si="89"/>
        <v>0</v>
      </c>
      <c r="S353" s="255">
        <f t="shared" si="90"/>
        <v>0</v>
      </c>
      <c r="T353" s="256"/>
      <c r="U353" s="225"/>
      <c r="V353" s="226"/>
      <c r="W353" s="227"/>
      <c r="X353" s="226"/>
      <c r="Y353" s="226"/>
      <c r="Z353" s="226"/>
      <c r="AA353" s="226"/>
      <c r="AB353" s="226"/>
      <c r="AC353" s="226"/>
      <c r="AD353" s="96">
        <f t="shared" si="84"/>
        <v>0</v>
      </c>
      <c r="AE353" s="96">
        <f t="shared" si="85"/>
        <v>0</v>
      </c>
      <c r="AF353" s="96">
        <f t="shared" si="86"/>
        <v>0</v>
      </c>
      <c r="AG353" s="96">
        <f t="shared" si="87"/>
        <v>0</v>
      </c>
      <c r="AH353" s="211" t="str">
        <f t="shared" si="91"/>
        <v>0,;!0,;!0,;!0</v>
      </c>
      <c r="AI353" s="211" t="e">
        <f>INDEX([1]Library!$AL:$AL,MATCH(AH353,[1]Library!$AJ:$AJ,0),1)</f>
        <v>#N/A</v>
      </c>
      <c r="AJ353" s="211" t="e">
        <f>TEXT(INDEX([1]Library!$W:$W,MATCH(AH353,[1]Library!$AJ:$AJ,0),1),"")</f>
        <v>#N/A</v>
      </c>
    </row>
    <row r="354" spans="1:36" ht="25.2" hidden="1" customHeight="1" outlineLevel="1" collapsed="1">
      <c r="A354" s="213"/>
      <c r="B354" s="214"/>
      <c r="C354" s="215" t="s">
        <v>381</v>
      </c>
      <c r="D354" s="215"/>
      <c r="E354" s="216"/>
      <c r="F354" s="217"/>
      <c r="G354" s="379"/>
      <c r="H354" s="219">
        <v>1</v>
      </c>
      <c r="I354" s="218" t="s">
        <v>32</v>
      </c>
      <c r="J354" s="219">
        <v>186376.95999999999</v>
      </c>
      <c r="K354" s="219">
        <v>186376.95999999999</v>
      </c>
      <c r="L354" s="219">
        <v>186376.95999999999</v>
      </c>
      <c r="M354" s="219">
        <v>186376.95999999999</v>
      </c>
      <c r="N354" s="219">
        <v>0</v>
      </c>
      <c r="O354" s="219">
        <v>0</v>
      </c>
      <c r="P354" s="220">
        <v>372753.91999999998</v>
      </c>
      <c r="Q354" s="221">
        <f t="shared" si="88"/>
        <v>2.0051059951474299E-4</v>
      </c>
      <c r="R354" s="222">
        <f t="shared" si="89"/>
        <v>19.995811518324601</v>
      </c>
      <c r="S354" s="223">
        <f t="shared" si="90"/>
        <v>730.89003921568599</v>
      </c>
      <c r="T354" s="224"/>
      <c r="U354" s="225"/>
      <c r="V354" s="226"/>
      <c r="W354" s="227"/>
      <c r="X354" s="226"/>
      <c r="Y354" s="226"/>
      <c r="Z354" s="226"/>
      <c r="AA354" s="226"/>
      <c r="AB354" s="226"/>
      <c r="AC354" s="226"/>
      <c r="AD354" s="96">
        <f t="shared" si="84"/>
        <v>0</v>
      </c>
      <c r="AE354" s="96">
        <f t="shared" si="85"/>
        <v>0</v>
      </c>
      <c r="AF354" s="96">
        <f t="shared" si="86"/>
        <v>0</v>
      </c>
      <c r="AG354" s="96">
        <f t="shared" si="87"/>
        <v>0</v>
      </c>
      <c r="AH354" s="211" t="str">
        <f t="shared" si="91"/>
        <v>0,;!0,;!0,;!0</v>
      </c>
      <c r="AI354" s="211" t="e">
        <f>INDEX([1]Library!$AL:$AL,MATCH(AH354,[1]Library!$AJ:$AJ,0),1)</f>
        <v>#N/A</v>
      </c>
      <c r="AJ354" s="211" t="e">
        <f>TEXT(INDEX([1]Library!$W:$W,MATCH(AH354,[1]Library!$AJ:$AJ,0),1),"")</f>
        <v>#N/A</v>
      </c>
    </row>
    <row r="355" spans="1:36" ht="25.2" hidden="1" customHeight="1" outlineLevel="2">
      <c r="A355" s="228"/>
      <c r="B355" s="229"/>
      <c r="C355" s="230"/>
      <c r="D355" s="231" t="s">
        <v>382</v>
      </c>
      <c r="E355" s="232"/>
      <c r="F355" s="233"/>
      <c r="G355" s="379"/>
      <c r="H355" s="380">
        <v>4</v>
      </c>
      <c r="I355" s="234" t="s">
        <v>200</v>
      </c>
      <c r="J355" s="235">
        <v>46594.239999999998</v>
      </c>
      <c r="K355" s="236">
        <v>186376.95999999999</v>
      </c>
      <c r="L355" s="235">
        <v>46594.239999999998</v>
      </c>
      <c r="M355" s="236">
        <v>186376.95999999999</v>
      </c>
      <c r="N355" s="237">
        <v>0</v>
      </c>
      <c r="O355" s="236">
        <v>0</v>
      </c>
      <c r="P355" s="238">
        <v>372753.91999999998</v>
      </c>
      <c r="Q355" s="239">
        <f t="shared" si="88"/>
        <v>2.0051059951474299E-4</v>
      </c>
      <c r="R355" s="236">
        <f t="shared" si="89"/>
        <v>19.995811518324601</v>
      </c>
      <c r="S355" s="240">
        <f t="shared" si="90"/>
        <v>730.89003921568599</v>
      </c>
      <c r="T355" s="241"/>
      <c r="U355" s="225"/>
      <c r="V355" s="226"/>
      <c r="W355" s="227"/>
      <c r="X355" s="226"/>
      <c r="Y355" s="226"/>
      <c r="Z355" s="226"/>
      <c r="AA355" s="226"/>
      <c r="AB355" s="226"/>
      <c r="AC355" s="226"/>
      <c r="AD355" s="96">
        <f t="shared" si="84"/>
        <v>0</v>
      </c>
      <c r="AE355" s="96">
        <f t="shared" si="85"/>
        <v>0</v>
      </c>
      <c r="AF355" s="96">
        <f t="shared" si="86"/>
        <v>0</v>
      </c>
      <c r="AG355" s="96">
        <f t="shared" si="87"/>
        <v>0</v>
      </c>
      <c r="AH355" s="211" t="str">
        <f t="shared" si="91"/>
        <v>0,;!0,;!0,;!0</v>
      </c>
      <c r="AI355" s="211" t="e">
        <f>INDEX([1]Library!$AL:$AL,MATCH(AH355,[1]Library!$AJ:$AJ,0),1)</f>
        <v>#N/A</v>
      </c>
      <c r="AJ355" s="211" t="e">
        <f>TEXT(INDEX([1]Library!$W:$W,MATCH(AH355,[1]Library!$AJ:$AJ,0),1),"")</f>
        <v>#N/A</v>
      </c>
    </row>
    <row r="356" spans="1:36" ht="25.2" hidden="1" customHeight="1" outlineLevel="2">
      <c r="A356" s="242"/>
      <c r="B356" s="243"/>
      <c r="C356" s="244"/>
      <c r="D356" s="245"/>
      <c r="E356" s="246" t="s">
        <v>383</v>
      </c>
      <c r="F356" s="247"/>
      <c r="G356" s="381"/>
      <c r="H356" s="382">
        <v>4</v>
      </c>
      <c r="I356" s="248" t="s">
        <v>200</v>
      </c>
      <c r="J356" s="249">
        <v>46594.239999999998</v>
      </c>
      <c r="K356" s="250">
        <v>186376.95999999999</v>
      </c>
      <c r="L356" s="249">
        <v>46594.239999999998</v>
      </c>
      <c r="M356" s="250">
        <v>186376.95999999999</v>
      </c>
      <c r="N356" s="251">
        <v>0</v>
      </c>
      <c r="O356" s="250">
        <v>0</v>
      </c>
      <c r="P356" s="252">
        <v>372753.91999999998</v>
      </c>
      <c r="Q356" s="253">
        <f t="shared" si="88"/>
        <v>2.0051059951474299E-4</v>
      </c>
      <c r="R356" s="254">
        <f t="shared" si="89"/>
        <v>19.995811518324601</v>
      </c>
      <c r="S356" s="255">
        <f t="shared" si="90"/>
        <v>730.89003921568599</v>
      </c>
      <c r="T356" s="256"/>
      <c r="U356" s="225"/>
      <c r="V356" s="226"/>
      <c r="W356" s="227"/>
      <c r="X356" s="226"/>
      <c r="Y356" s="226"/>
      <c r="Z356" s="226"/>
      <c r="AA356" s="226"/>
      <c r="AB356" s="226"/>
      <c r="AC356" s="226"/>
      <c r="AD356" s="96">
        <f t="shared" si="84"/>
        <v>0</v>
      </c>
      <c r="AE356" s="96">
        <f t="shared" si="85"/>
        <v>0</v>
      </c>
      <c r="AF356" s="96">
        <f t="shared" si="86"/>
        <v>0</v>
      </c>
      <c r="AG356" s="96">
        <f t="shared" si="87"/>
        <v>0</v>
      </c>
      <c r="AH356" s="211" t="str">
        <f t="shared" si="91"/>
        <v>0,;!0,;!0,;!0</v>
      </c>
      <c r="AI356" s="211" t="e">
        <f>INDEX([1]Library!$AL:$AL,MATCH(AH356,[1]Library!$AJ:$AJ,0),1)</f>
        <v>#N/A</v>
      </c>
      <c r="AJ356" s="211" t="e">
        <f>TEXT(INDEX([1]Library!$W:$W,MATCH(AH356,[1]Library!$AJ:$AJ,0),1),"")</f>
        <v>#N/A</v>
      </c>
    </row>
    <row r="357" spans="1:36" ht="25.2" hidden="1" customHeight="1" outlineLevel="2">
      <c r="A357" s="242"/>
      <c r="B357" s="243"/>
      <c r="C357" s="244"/>
      <c r="D357" s="245"/>
      <c r="E357" s="246" t="s">
        <v>384</v>
      </c>
      <c r="F357" s="247"/>
      <c r="G357" s="381"/>
      <c r="H357" s="382">
        <v>0</v>
      </c>
      <c r="I357" s="248">
        <v>0</v>
      </c>
      <c r="J357" s="249">
        <v>0</v>
      </c>
      <c r="K357" s="250">
        <v>0</v>
      </c>
      <c r="L357" s="249">
        <v>0</v>
      </c>
      <c r="M357" s="250">
        <v>0</v>
      </c>
      <c r="N357" s="251">
        <v>0</v>
      </c>
      <c r="O357" s="250">
        <v>0</v>
      </c>
      <c r="P357" s="252">
        <v>0</v>
      </c>
      <c r="Q357" s="253">
        <f t="shared" si="88"/>
        <v>0</v>
      </c>
      <c r="R357" s="254">
        <f t="shared" si="89"/>
        <v>0</v>
      </c>
      <c r="S357" s="255">
        <f t="shared" si="90"/>
        <v>0</v>
      </c>
      <c r="T357" s="256"/>
      <c r="U357" s="225"/>
      <c r="V357" s="226"/>
      <c r="W357" s="227"/>
      <c r="X357" s="226"/>
      <c r="Y357" s="226"/>
      <c r="Z357" s="226"/>
      <c r="AA357" s="226"/>
      <c r="AB357" s="226"/>
      <c r="AC357" s="226"/>
      <c r="AD357" s="96">
        <f t="shared" si="84"/>
        <v>0</v>
      </c>
      <c r="AE357" s="96">
        <f t="shared" si="85"/>
        <v>0</v>
      </c>
      <c r="AF357" s="96">
        <f t="shared" si="86"/>
        <v>0</v>
      </c>
      <c r="AG357" s="96">
        <f t="shared" si="87"/>
        <v>0</v>
      </c>
      <c r="AH357" s="211" t="str">
        <f t="shared" si="91"/>
        <v>0,;!0,;!0,;!0</v>
      </c>
      <c r="AI357" s="211" t="e">
        <f>INDEX([1]Library!$AL:$AL,MATCH(AH357,[1]Library!$AJ:$AJ,0),1)</f>
        <v>#N/A</v>
      </c>
      <c r="AJ357" s="211" t="e">
        <f>TEXT(INDEX([1]Library!$W:$W,MATCH(AH357,[1]Library!$AJ:$AJ,0),1),"")</f>
        <v>#N/A</v>
      </c>
    </row>
    <row r="358" spans="1:36" ht="25.2" hidden="1" customHeight="1" outlineLevel="1" collapsed="1">
      <c r="A358" s="213"/>
      <c r="B358" s="214"/>
      <c r="C358" s="215" t="s">
        <v>385</v>
      </c>
      <c r="D358" s="215"/>
      <c r="E358" s="216"/>
      <c r="F358" s="217"/>
      <c r="G358" s="379"/>
      <c r="H358" s="219">
        <v>1</v>
      </c>
      <c r="I358" s="218" t="s">
        <v>32</v>
      </c>
      <c r="J358" s="219">
        <v>174030.43799999999</v>
      </c>
      <c r="K358" s="219">
        <v>174030.43799999999</v>
      </c>
      <c r="L358" s="219">
        <v>54411.917999999998</v>
      </c>
      <c r="M358" s="219">
        <v>54411.917999999998</v>
      </c>
      <c r="N358" s="219">
        <v>0</v>
      </c>
      <c r="O358" s="219">
        <v>0</v>
      </c>
      <c r="P358" s="220">
        <v>228442.356</v>
      </c>
      <c r="Q358" s="221">
        <f t="shared" si="88"/>
        <v>1.2288298337981301E-4</v>
      </c>
      <c r="R358" s="222">
        <f t="shared" si="89"/>
        <v>12.2544393185134</v>
      </c>
      <c r="S358" s="223">
        <f t="shared" si="90"/>
        <v>447.92618823529398</v>
      </c>
      <c r="T358" s="224"/>
      <c r="U358" s="225"/>
      <c r="V358" s="226"/>
      <c r="W358" s="227"/>
      <c r="X358" s="226"/>
      <c r="Y358" s="226"/>
      <c r="Z358" s="226"/>
      <c r="AA358" s="226"/>
      <c r="AB358" s="226"/>
      <c r="AC358" s="226"/>
      <c r="AD358" s="96">
        <f t="shared" si="84"/>
        <v>0</v>
      </c>
      <c r="AE358" s="96">
        <f t="shared" si="85"/>
        <v>0</v>
      </c>
      <c r="AF358" s="96">
        <f t="shared" si="86"/>
        <v>0</v>
      </c>
      <c r="AG358" s="96">
        <f t="shared" si="87"/>
        <v>0</v>
      </c>
      <c r="AH358" s="211" t="str">
        <f t="shared" si="91"/>
        <v>0,;!0,;!0,;!0</v>
      </c>
      <c r="AI358" s="211" t="e">
        <f>INDEX([1]Library!$AL:$AL,MATCH(AH358,[1]Library!$AJ:$AJ,0),1)</f>
        <v>#N/A</v>
      </c>
      <c r="AJ358" s="211" t="e">
        <f>TEXT(INDEX([1]Library!$W:$W,MATCH(AH358,[1]Library!$AJ:$AJ,0),1),"")</f>
        <v>#N/A</v>
      </c>
    </row>
    <row r="359" spans="1:36" ht="25.2" hidden="1" customHeight="1" outlineLevel="2">
      <c r="A359" s="228"/>
      <c r="B359" s="229"/>
      <c r="C359" s="230"/>
      <c r="D359" s="231" t="s">
        <v>386</v>
      </c>
      <c r="E359" s="232"/>
      <c r="F359" s="233"/>
      <c r="G359" s="379"/>
      <c r="H359" s="380">
        <v>4</v>
      </c>
      <c r="I359" s="234" t="s">
        <v>200</v>
      </c>
      <c r="J359" s="235">
        <v>26045.63</v>
      </c>
      <c r="K359" s="236">
        <v>104182.52</v>
      </c>
      <c r="L359" s="235">
        <v>9022.1039999999994</v>
      </c>
      <c r="M359" s="236">
        <v>36088.415999999997</v>
      </c>
      <c r="N359" s="237">
        <v>0</v>
      </c>
      <c r="O359" s="236">
        <v>0</v>
      </c>
      <c r="P359" s="238">
        <v>140270.93599999999</v>
      </c>
      <c r="Q359" s="239">
        <f t="shared" si="88"/>
        <v>7.5454094411278301E-5</v>
      </c>
      <c r="R359" s="236">
        <f t="shared" si="89"/>
        <v>7.5246189168311703</v>
      </c>
      <c r="S359" s="240">
        <f t="shared" si="90"/>
        <v>275.04105098039201</v>
      </c>
      <c r="T359" s="241"/>
      <c r="U359" s="225"/>
      <c r="V359" s="226"/>
      <c r="W359" s="227"/>
      <c r="X359" s="226"/>
      <c r="Y359" s="226"/>
      <c r="Z359" s="226"/>
      <c r="AA359" s="226"/>
      <c r="AB359" s="226"/>
      <c r="AC359" s="226"/>
      <c r="AD359" s="96">
        <f t="shared" si="84"/>
        <v>0</v>
      </c>
      <c r="AE359" s="96">
        <f t="shared" si="85"/>
        <v>0</v>
      </c>
      <c r="AF359" s="96">
        <f t="shared" si="86"/>
        <v>0</v>
      </c>
      <c r="AG359" s="96">
        <f t="shared" si="87"/>
        <v>0</v>
      </c>
      <c r="AH359" s="211" t="str">
        <f t="shared" si="91"/>
        <v>0,;!0,;!0,;!0</v>
      </c>
      <c r="AI359" s="211" t="e">
        <f>INDEX([1]Library!$AL:$AL,MATCH(AH359,[1]Library!$AJ:$AJ,0),1)</f>
        <v>#N/A</v>
      </c>
      <c r="AJ359" s="211" t="e">
        <f>TEXT(INDEX([1]Library!$W:$W,MATCH(AH359,[1]Library!$AJ:$AJ,0),1),"")</f>
        <v>#N/A</v>
      </c>
    </row>
    <row r="360" spans="1:36" ht="25.2" hidden="1" customHeight="1" outlineLevel="2">
      <c r="A360" s="242"/>
      <c r="B360" s="243"/>
      <c r="C360" s="244"/>
      <c r="D360" s="245"/>
      <c r="E360" s="246" t="s">
        <v>387</v>
      </c>
      <c r="F360" s="247"/>
      <c r="G360" s="381"/>
      <c r="H360" s="382">
        <v>4</v>
      </c>
      <c r="I360" s="248" t="s">
        <v>200</v>
      </c>
      <c r="J360" s="249">
        <v>26045.63</v>
      </c>
      <c r="K360" s="250">
        <v>104182.52</v>
      </c>
      <c r="L360" s="249">
        <v>9022.1039999999994</v>
      </c>
      <c r="M360" s="250">
        <v>36088.415999999997</v>
      </c>
      <c r="N360" s="251">
        <v>0</v>
      </c>
      <c r="O360" s="250">
        <v>0</v>
      </c>
      <c r="P360" s="252">
        <v>140270.93599999999</v>
      </c>
      <c r="Q360" s="253">
        <f t="shared" si="88"/>
        <v>7.5454094411278301E-5</v>
      </c>
      <c r="R360" s="254">
        <f t="shared" si="89"/>
        <v>7.5246189168311703</v>
      </c>
      <c r="S360" s="255">
        <f t="shared" si="90"/>
        <v>275.04105098039201</v>
      </c>
      <c r="T360" s="256"/>
      <c r="U360" s="225"/>
      <c r="V360" s="226"/>
      <c r="W360" s="227"/>
      <c r="X360" s="226"/>
      <c r="Y360" s="226"/>
      <c r="Z360" s="226"/>
      <c r="AA360" s="226"/>
      <c r="AB360" s="226"/>
      <c r="AC360" s="226"/>
      <c r="AD360" s="96">
        <f t="shared" si="84"/>
        <v>0</v>
      </c>
      <c r="AE360" s="96">
        <f t="shared" si="85"/>
        <v>0</v>
      </c>
      <c r="AF360" s="96">
        <f t="shared" si="86"/>
        <v>0</v>
      </c>
      <c r="AG360" s="96">
        <f t="shared" si="87"/>
        <v>0</v>
      </c>
      <c r="AH360" s="211" t="str">
        <f t="shared" si="91"/>
        <v>0,;!0,;!0,;!0</v>
      </c>
      <c r="AI360" s="211" t="e">
        <f>INDEX([1]Library!$AL:$AL,MATCH(AH360,[1]Library!$AJ:$AJ,0),1)</f>
        <v>#N/A</v>
      </c>
      <c r="AJ360" s="211" t="e">
        <f>TEXT(INDEX([1]Library!$W:$W,MATCH(AH360,[1]Library!$AJ:$AJ,0),1),"")</f>
        <v>#N/A</v>
      </c>
    </row>
    <row r="361" spans="1:36" ht="25.2" hidden="1" customHeight="1" outlineLevel="2">
      <c r="A361" s="242"/>
      <c r="B361" s="243"/>
      <c r="C361" s="244"/>
      <c r="D361" s="245"/>
      <c r="E361" s="246" t="s">
        <v>388</v>
      </c>
      <c r="F361" s="247"/>
      <c r="G361" s="381"/>
      <c r="H361" s="382">
        <v>0</v>
      </c>
      <c r="I361" s="248">
        <v>0</v>
      </c>
      <c r="J361" s="249">
        <v>0</v>
      </c>
      <c r="K361" s="250">
        <v>0</v>
      </c>
      <c r="L361" s="249">
        <v>0</v>
      </c>
      <c r="M361" s="250">
        <v>0</v>
      </c>
      <c r="N361" s="251">
        <v>0</v>
      </c>
      <c r="O361" s="250">
        <v>0</v>
      </c>
      <c r="P361" s="252">
        <v>0</v>
      </c>
      <c r="Q361" s="253">
        <f t="shared" si="88"/>
        <v>0</v>
      </c>
      <c r="R361" s="254">
        <f t="shared" si="89"/>
        <v>0</v>
      </c>
      <c r="S361" s="255">
        <f t="shared" si="90"/>
        <v>0</v>
      </c>
      <c r="T361" s="256"/>
      <c r="U361" s="225"/>
      <c r="V361" s="226"/>
      <c r="W361" s="227"/>
      <c r="X361" s="226"/>
      <c r="Y361" s="226"/>
      <c r="Z361" s="226"/>
      <c r="AA361" s="226"/>
      <c r="AB361" s="226"/>
      <c r="AC361" s="226"/>
      <c r="AD361" s="96">
        <f t="shared" si="84"/>
        <v>0</v>
      </c>
      <c r="AE361" s="96">
        <f t="shared" si="85"/>
        <v>0</v>
      </c>
      <c r="AF361" s="96">
        <f t="shared" si="86"/>
        <v>0</v>
      </c>
      <c r="AG361" s="96">
        <f t="shared" si="87"/>
        <v>0</v>
      </c>
      <c r="AH361" s="211" t="str">
        <f t="shared" si="91"/>
        <v>0,;!0,;!0,;!0</v>
      </c>
      <c r="AI361" s="211" t="e">
        <f>INDEX([1]Library!$AL:$AL,MATCH(AH361,[1]Library!$AJ:$AJ,0),1)</f>
        <v>#N/A</v>
      </c>
      <c r="AJ361" s="211" t="e">
        <f>TEXT(INDEX([1]Library!$W:$W,MATCH(AH361,[1]Library!$AJ:$AJ,0),1),"")</f>
        <v>#N/A</v>
      </c>
    </row>
    <row r="362" spans="1:36" ht="25.2" hidden="1" customHeight="1" outlineLevel="2">
      <c r="A362" s="228"/>
      <c r="B362" s="229"/>
      <c r="C362" s="230"/>
      <c r="D362" s="231" t="s">
        <v>389</v>
      </c>
      <c r="E362" s="232"/>
      <c r="F362" s="233"/>
      <c r="G362" s="379"/>
      <c r="H362" s="380">
        <v>4</v>
      </c>
      <c r="I362" s="234" t="s">
        <v>200</v>
      </c>
      <c r="J362" s="235">
        <v>17461.979500000001</v>
      </c>
      <c r="K362" s="236">
        <v>69847.918000000005</v>
      </c>
      <c r="L362" s="235">
        <v>4580.8755000000001</v>
      </c>
      <c r="M362" s="236">
        <v>18323.502</v>
      </c>
      <c r="N362" s="237">
        <v>0</v>
      </c>
      <c r="O362" s="236">
        <v>0</v>
      </c>
      <c r="P362" s="238">
        <v>88171.42</v>
      </c>
      <c r="Q362" s="239">
        <f t="shared" si="88"/>
        <v>4.7428888968535002E-5</v>
      </c>
      <c r="R362" s="236">
        <f t="shared" si="89"/>
        <v>4.72982040168226</v>
      </c>
      <c r="S362" s="240">
        <f t="shared" si="90"/>
        <v>172.88513725490199</v>
      </c>
      <c r="T362" s="241"/>
      <c r="U362" s="225"/>
      <c r="V362" s="226"/>
      <c r="W362" s="227"/>
      <c r="X362" s="226"/>
      <c r="Y362" s="226"/>
      <c r="Z362" s="226"/>
      <c r="AA362" s="226"/>
      <c r="AB362" s="226"/>
      <c r="AC362" s="226"/>
      <c r="AD362" s="96">
        <f t="shared" si="84"/>
        <v>0</v>
      </c>
      <c r="AE362" s="96">
        <f t="shared" si="85"/>
        <v>0</v>
      </c>
      <c r="AF362" s="96">
        <f t="shared" si="86"/>
        <v>0</v>
      </c>
      <c r="AG362" s="96">
        <f t="shared" si="87"/>
        <v>0</v>
      </c>
      <c r="AH362" s="211" t="str">
        <f t="shared" si="91"/>
        <v>0,;!0,;!0,;!0</v>
      </c>
      <c r="AI362" s="211" t="e">
        <f>INDEX([1]Library!$AL:$AL,MATCH(AH362,[1]Library!$AJ:$AJ,0),1)</f>
        <v>#N/A</v>
      </c>
      <c r="AJ362" s="211" t="e">
        <f>TEXT(INDEX([1]Library!$W:$W,MATCH(AH362,[1]Library!$AJ:$AJ,0),1),"")</f>
        <v>#N/A</v>
      </c>
    </row>
    <row r="363" spans="1:36" ht="25.2" hidden="1" customHeight="1" outlineLevel="2">
      <c r="A363" s="242"/>
      <c r="B363" s="243"/>
      <c r="C363" s="244"/>
      <c r="D363" s="245"/>
      <c r="E363" s="246" t="s">
        <v>390</v>
      </c>
      <c r="F363" s="247"/>
      <c r="G363" s="381"/>
      <c r="H363" s="382">
        <v>4</v>
      </c>
      <c r="I363" s="248" t="s">
        <v>200</v>
      </c>
      <c r="J363" s="249">
        <v>17461.979500000001</v>
      </c>
      <c r="K363" s="250">
        <v>69847.918000000005</v>
      </c>
      <c r="L363" s="249">
        <v>4580.8755000000001</v>
      </c>
      <c r="M363" s="250">
        <v>18323.502</v>
      </c>
      <c r="N363" s="251">
        <v>0</v>
      </c>
      <c r="O363" s="250">
        <v>0</v>
      </c>
      <c r="P363" s="252">
        <v>88171.42</v>
      </c>
      <c r="Q363" s="253">
        <f t="shared" si="88"/>
        <v>4.7428888968535002E-5</v>
      </c>
      <c r="R363" s="254">
        <f t="shared" si="89"/>
        <v>4.72982040168226</v>
      </c>
      <c r="S363" s="255">
        <f t="shared" si="90"/>
        <v>172.88513725490199</v>
      </c>
      <c r="T363" s="256"/>
      <c r="U363" s="225"/>
      <c r="V363" s="226"/>
      <c r="W363" s="227"/>
      <c r="X363" s="226"/>
      <c r="Y363" s="226"/>
      <c r="Z363" s="226"/>
      <c r="AA363" s="226"/>
      <c r="AB363" s="226"/>
      <c r="AC363" s="226"/>
      <c r="AD363" s="96">
        <f t="shared" si="84"/>
        <v>0</v>
      </c>
      <c r="AE363" s="96">
        <f t="shared" si="85"/>
        <v>0</v>
      </c>
      <c r="AF363" s="96">
        <f t="shared" si="86"/>
        <v>0</v>
      </c>
      <c r="AG363" s="96">
        <f t="shared" si="87"/>
        <v>0</v>
      </c>
      <c r="AH363" s="211" t="str">
        <f t="shared" si="91"/>
        <v>0,;!0,;!0,;!0</v>
      </c>
      <c r="AI363" s="211" t="e">
        <f>INDEX([1]Library!$AL:$AL,MATCH(AH363,[1]Library!$AJ:$AJ,0),1)</f>
        <v>#N/A</v>
      </c>
      <c r="AJ363" s="211" t="e">
        <f>TEXT(INDEX([1]Library!$W:$W,MATCH(AH363,[1]Library!$AJ:$AJ,0),1),"")</f>
        <v>#N/A</v>
      </c>
    </row>
    <row r="364" spans="1:36" ht="25.2" hidden="1" customHeight="1" outlineLevel="2">
      <c r="A364" s="242"/>
      <c r="B364" s="243"/>
      <c r="C364" s="244"/>
      <c r="D364" s="245"/>
      <c r="E364" s="246" t="s">
        <v>391</v>
      </c>
      <c r="F364" s="247"/>
      <c r="G364" s="381"/>
      <c r="H364" s="382">
        <v>0</v>
      </c>
      <c r="I364" s="248">
        <v>0</v>
      </c>
      <c r="J364" s="249">
        <v>0</v>
      </c>
      <c r="K364" s="250">
        <v>0</v>
      </c>
      <c r="L364" s="249">
        <v>0</v>
      </c>
      <c r="M364" s="250">
        <v>0</v>
      </c>
      <c r="N364" s="251">
        <v>0</v>
      </c>
      <c r="O364" s="250">
        <v>0</v>
      </c>
      <c r="P364" s="252">
        <v>0</v>
      </c>
      <c r="Q364" s="253">
        <f t="shared" si="88"/>
        <v>0</v>
      </c>
      <c r="R364" s="254">
        <f t="shared" si="89"/>
        <v>0</v>
      </c>
      <c r="S364" s="255">
        <f t="shared" si="90"/>
        <v>0</v>
      </c>
      <c r="T364" s="256"/>
      <c r="U364" s="225"/>
      <c r="V364" s="226"/>
      <c r="W364" s="227"/>
      <c r="X364" s="226"/>
      <c r="Y364" s="226"/>
      <c r="Z364" s="226"/>
      <c r="AA364" s="226"/>
      <c r="AB364" s="226"/>
      <c r="AC364" s="226"/>
      <c r="AD364" s="96">
        <f t="shared" si="84"/>
        <v>0</v>
      </c>
      <c r="AE364" s="96">
        <f t="shared" si="85"/>
        <v>0</v>
      </c>
      <c r="AF364" s="96">
        <f t="shared" si="86"/>
        <v>0</v>
      </c>
      <c r="AG364" s="96">
        <f t="shared" si="87"/>
        <v>0</v>
      </c>
      <c r="AH364" s="211" t="str">
        <f t="shared" si="91"/>
        <v>0,;!0,;!0,;!0</v>
      </c>
      <c r="AI364" s="211" t="e">
        <f>INDEX([1]Library!$AL:$AL,MATCH(AH364,[1]Library!$AJ:$AJ,0),1)</f>
        <v>#N/A</v>
      </c>
      <c r="AJ364" s="211" t="e">
        <f>TEXT(INDEX([1]Library!$W:$W,MATCH(AH364,[1]Library!$AJ:$AJ,0),1),"")</f>
        <v>#N/A</v>
      </c>
    </row>
    <row r="365" spans="1:36" ht="25.2" hidden="1" customHeight="1" outlineLevel="2">
      <c r="A365" s="242"/>
      <c r="B365" s="243"/>
      <c r="C365" s="244"/>
      <c r="D365" s="245"/>
      <c r="E365" s="246" t="s">
        <v>392</v>
      </c>
      <c r="F365" s="247"/>
      <c r="G365" s="381"/>
      <c r="H365" s="382">
        <v>0</v>
      </c>
      <c r="I365" s="248">
        <v>0</v>
      </c>
      <c r="J365" s="249">
        <v>0</v>
      </c>
      <c r="K365" s="250">
        <v>0</v>
      </c>
      <c r="L365" s="249">
        <v>0</v>
      </c>
      <c r="M365" s="250">
        <v>0</v>
      </c>
      <c r="N365" s="251">
        <v>0</v>
      </c>
      <c r="O365" s="250">
        <v>0</v>
      </c>
      <c r="P365" s="252">
        <v>0</v>
      </c>
      <c r="Q365" s="253">
        <f t="shared" si="88"/>
        <v>0</v>
      </c>
      <c r="R365" s="254">
        <f t="shared" si="89"/>
        <v>0</v>
      </c>
      <c r="S365" s="255">
        <f t="shared" si="90"/>
        <v>0</v>
      </c>
      <c r="T365" s="256"/>
      <c r="U365" s="225"/>
      <c r="V365" s="226"/>
      <c r="W365" s="227"/>
      <c r="X365" s="226"/>
      <c r="Y365" s="226"/>
      <c r="Z365" s="226"/>
      <c r="AA365" s="226"/>
      <c r="AB365" s="226"/>
      <c r="AC365" s="226"/>
      <c r="AD365" s="96">
        <f t="shared" si="84"/>
        <v>0</v>
      </c>
      <c r="AE365" s="96">
        <f t="shared" si="85"/>
        <v>0</v>
      </c>
      <c r="AF365" s="96">
        <f t="shared" si="86"/>
        <v>0</v>
      </c>
      <c r="AG365" s="96">
        <f t="shared" si="87"/>
        <v>0</v>
      </c>
      <c r="AH365" s="211" t="str">
        <f t="shared" si="91"/>
        <v>0,;!0,;!0,;!0</v>
      </c>
      <c r="AI365" s="211" t="e">
        <f>INDEX([1]Library!$AL:$AL,MATCH(AH365,[1]Library!$AJ:$AJ,0),1)</f>
        <v>#N/A</v>
      </c>
      <c r="AJ365" s="211" t="e">
        <f>TEXT(INDEX([1]Library!$W:$W,MATCH(AH365,[1]Library!$AJ:$AJ,0),1),"")</f>
        <v>#N/A</v>
      </c>
    </row>
    <row r="366" spans="1:36" ht="25.2" hidden="1" customHeight="1" outlineLevel="1" collapsed="1">
      <c r="A366" s="213"/>
      <c r="B366" s="214"/>
      <c r="C366" s="215" t="s">
        <v>393</v>
      </c>
      <c r="D366" s="215"/>
      <c r="E366" s="216"/>
      <c r="F366" s="217"/>
      <c r="G366" s="379"/>
      <c r="H366" s="219">
        <v>1</v>
      </c>
      <c r="I366" s="218" t="s">
        <v>32</v>
      </c>
      <c r="J366" s="219">
        <v>161007.04000000001</v>
      </c>
      <c r="K366" s="219">
        <v>161007.04000000001</v>
      </c>
      <c r="L366" s="219">
        <v>44000</v>
      </c>
      <c r="M366" s="219">
        <v>44000</v>
      </c>
      <c r="N366" s="219">
        <v>0</v>
      </c>
      <c r="O366" s="219">
        <v>0</v>
      </c>
      <c r="P366" s="220">
        <v>205007.04</v>
      </c>
      <c r="Q366" s="221">
        <f t="shared" si="88"/>
        <v>1.1027673295868399E-4</v>
      </c>
      <c r="R366" s="222">
        <f t="shared" si="89"/>
        <v>10.9972877864561</v>
      </c>
      <c r="S366" s="223">
        <f t="shared" si="90"/>
        <v>401.97458823529399</v>
      </c>
      <c r="T366" s="224"/>
      <c r="U366" s="225"/>
      <c r="V366" s="226"/>
      <c r="W366" s="227"/>
      <c r="X366" s="226"/>
      <c r="Y366" s="226"/>
      <c r="Z366" s="226"/>
      <c r="AA366" s="226"/>
      <c r="AB366" s="226"/>
      <c r="AC366" s="226"/>
      <c r="AD366" s="96">
        <f t="shared" si="84"/>
        <v>0</v>
      </c>
      <c r="AE366" s="96">
        <f t="shared" si="85"/>
        <v>0</v>
      </c>
      <c r="AF366" s="96">
        <f t="shared" si="86"/>
        <v>0</v>
      </c>
      <c r="AG366" s="96">
        <f t="shared" si="87"/>
        <v>0</v>
      </c>
      <c r="AH366" s="211" t="str">
        <f t="shared" si="91"/>
        <v>0,;!0,;!0,;!0</v>
      </c>
      <c r="AI366" s="211" t="e">
        <f>INDEX([1]Library!$AL:$AL,MATCH(AH366,[1]Library!$AJ:$AJ,0),1)</f>
        <v>#N/A</v>
      </c>
      <c r="AJ366" s="211" t="e">
        <f>TEXT(INDEX([1]Library!$W:$W,MATCH(AH366,[1]Library!$AJ:$AJ,0),1),"")</f>
        <v>#N/A</v>
      </c>
    </row>
    <row r="367" spans="1:36" ht="25.2" hidden="1" customHeight="1" outlineLevel="2">
      <c r="A367" s="228"/>
      <c r="B367" s="229"/>
      <c r="C367" s="230"/>
      <c r="D367" s="231" t="s">
        <v>394</v>
      </c>
      <c r="E367" s="232"/>
      <c r="F367" s="233"/>
      <c r="G367" s="379"/>
      <c r="H367" s="380">
        <v>12</v>
      </c>
      <c r="I367" s="234" t="s">
        <v>200</v>
      </c>
      <c r="J367" s="235">
        <v>2815</v>
      </c>
      <c r="K367" s="236">
        <v>33780</v>
      </c>
      <c r="L367" s="235">
        <v>1000</v>
      </c>
      <c r="M367" s="236">
        <v>12000</v>
      </c>
      <c r="N367" s="237">
        <v>0</v>
      </c>
      <c r="O367" s="236">
        <v>0</v>
      </c>
      <c r="P367" s="238">
        <v>45780</v>
      </c>
      <c r="Q367" s="239">
        <f t="shared" si="88"/>
        <v>2.4625831556070302E-5</v>
      </c>
      <c r="R367" s="236">
        <f t="shared" si="89"/>
        <v>2.4557977855978002</v>
      </c>
      <c r="S367" s="240">
        <f t="shared" si="90"/>
        <v>89.764705882352899</v>
      </c>
      <c r="T367" s="241"/>
      <c r="U367" s="225"/>
      <c r="V367" s="226"/>
      <c r="W367" s="227"/>
      <c r="X367" s="226"/>
      <c r="Y367" s="226"/>
      <c r="Z367" s="226"/>
      <c r="AA367" s="226"/>
      <c r="AB367" s="226"/>
      <c r="AC367" s="226"/>
      <c r="AD367" s="96">
        <f t="shared" si="84"/>
        <v>0</v>
      </c>
      <c r="AE367" s="96">
        <f t="shared" si="85"/>
        <v>0</v>
      </c>
      <c r="AF367" s="96">
        <f t="shared" si="86"/>
        <v>0</v>
      </c>
      <c r="AG367" s="96">
        <f t="shared" si="87"/>
        <v>0</v>
      </c>
      <c r="AH367" s="211" t="str">
        <f t="shared" si="91"/>
        <v>0,;!0,;!0,;!0</v>
      </c>
      <c r="AI367" s="211" t="e">
        <f>INDEX([1]Library!$AL:$AL,MATCH(AH367,[1]Library!$AJ:$AJ,0),1)</f>
        <v>#N/A</v>
      </c>
      <c r="AJ367" s="211" t="e">
        <f>TEXT(INDEX([1]Library!$W:$W,MATCH(AH367,[1]Library!$AJ:$AJ,0),1),"")</f>
        <v>#N/A</v>
      </c>
    </row>
    <row r="368" spans="1:36" ht="25.2" hidden="1" customHeight="1" outlineLevel="2">
      <c r="A368" s="228"/>
      <c r="B368" s="229"/>
      <c r="C368" s="230"/>
      <c r="D368" s="231" t="s">
        <v>395</v>
      </c>
      <c r="E368" s="232"/>
      <c r="F368" s="233"/>
      <c r="G368" s="379"/>
      <c r="H368" s="380">
        <v>4</v>
      </c>
      <c r="I368" s="234" t="s">
        <v>200</v>
      </c>
      <c r="J368" s="235">
        <v>2815</v>
      </c>
      <c r="K368" s="236">
        <v>11260</v>
      </c>
      <c r="L368" s="235">
        <v>1000</v>
      </c>
      <c r="M368" s="236">
        <v>4000</v>
      </c>
      <c r="N368" s="237">
        <v>0</v>
      </c>
      <c r="O368" s="236">
        <v>0</v>
      </c>
      <c r="P368" s="238">
        <v>15260</v>
      </c>
      <c r="Q368" s="239">
        <f t="shared" si="88"/>
        <v>8.2086105186901107E-6</v>
      </c>
      <c r="R368" s="236">
        <f t="shared" si="89"/>
        <v>0.81859926186593401</v>
      </c>
      <c r="S368" s="240">
        <f t="shared" si="90"/>
        <v>29.921568627450998</v>
      </c>
      <c r="T368" s="241"/>
      <c r="U368" s="225"/>
      <c r="V368" s="226"/>
      <c r="W368" s="227"/>
      <c r="X368" s="226"/>
      <c r="Y368" s="226"/>
      <c r="Z368" s="226"/>
      <c r="AA368" s="226"/>
      <c r="AB368" s="226"/>
      <c r="AC368" s="226"/>
      <c r="AD368" s="96">
        <f t="shared" si="84"/>
        <v>0</v>
      </c>
      <c r="AE368" s="96">
        <f t="shared" si="85"/>
        <v>0</v>
      </c>
      <c r="AF368" s="96">
        <f t="shared" si="86"/>
        <v>0</v>
      </c>
      <c r="AG368" s="96">
        <f t="shared" si="87"/>
        <v>0</v>
      </c>
      <c r="AH368" s="211" t="str">
        <f t="shared" si="91"/>
        <v>0,;!0,;!0,;!0</v>
      </c>
      <c r="AI368" s="211" t="e">
        <f>INDEX([1]Library!$AL:$AL,MATCH(AH368,[1]Library!$AJ:$AJ,0),1)</f>
        <v>#N/A</v>
      </c>
      <c r="AJ368" s="211" t="e">
        <f>TEXT(INDEX([1]Library!$W:$W,MATCH(AH368,[1]Library!$AJ:$AJ,0),1),"")</f>
        <v>#N/A</v>
      </c>
    </row>
    <row r="369" spans="1:36" ht="25.2" hidden="1" customHeight="1" outlineLevel="2">
      <c r="A369" s="228"/>
      <c r="B369" s="229"/>
      <c r="C369" s="230"/>
      <c r="D369" s="231" t="s">
        <v>396</v>
      </c>
      <c r="E369" s="232"/>
      <c r="F369" s="233"/>
      <c r="G369" s="379"/>
      <c r="H369" s="380">
        <v>12</v>
      </c>
      <c r="I369" s="234" t="s">
        <v>200</v>
      </c>
      <c r="J369" s="235">
        <v>3678</v>
      </c>
      <c r="K369" s="236">
        <v>44136</v>
      </c>
      <c r="L369" s="235">
        <v>1000</v>
      </c>
      <c r="M369" s="236">
        <v>12000</v>
      </c>
      <c r="N369" s="237">
        <v>0</v>
      </c>
      <c r="O369" s="236">
        <v>0</v>
      </c>
      <c r="P369" s="238">
        <v>56136</v>
      </c>
      <c r="Q369" s="239">
        <f t="shared" si="88"/>
        <v>3.0196498039134199E-5</v>
      </c>
      <c r="R369" s="236">
        <f t="shared" si="89"/>
        <v>3.0113294996137698</v>
      </c>
      <c r="S369" s="240">
        <f t="shared" si="90"/>
        <v>110.070588235294</v>
      </c>
      <c r="T369" s="241"/>
      <c r="U369" s="225"/>
      <c r="V369" s="226"/>
      <c r="W369" s="227"/>
      <c r="X369" s="226"/>
      <c r="Y369" s="226"/>
      <c r="Z369" s="226"/>
      <c r="AA369" s="226"/>
      <c r="AB369" s="226"/>
      <c r="AC369" s="226"/>
      <c r="AD369" s="96">
        <f>IF(X369&lt;&gt;0,IF($X369&gt;=AD$12,#REF!,""),Z369)</f>
        <v>0</v>
      </c>
      <c r="AE369" s="96">
        <f>IF(AA369=" ",IF($X369&gt;=AE$12,#REF!,""),AA369)</f>
        <v>0</v>
      </c>
      <c r="AF369" s="96">
        <f>IF(AB369=" ",IF($X369&gt;=AF$12,#REF!,""),AB369)</f>
        <v>0</v>
      </c>
      <c r="AG369" s="96">
        <f>IF(AC369=" ",IF($X369&gt;=AG$12,#REF!,""),AC369)</f>
        <v>0</v>
      </c>
      <c r="AH369" s="211" t="str">
        <f t="shared" si="91"/>
        <v>0,;!0,;!0,;!0</v>
      </c>
      <c r="AI369" s="211" t="e">
        <f>INDEX([1]Library!$AL:$AL,MATCH(AH369,[1]Library!$AJ:$AJ,0),1)</f>
        <v>#N/A</v>
      </c>
      <c r="AJ369" s="211" t="e">
        <f>TEXT(INDEX([1]Library!$W:$W,MATCH(AH369,[1]Library!$AJ:$AJ,0),1),"")</f>
        <v>#N/A</v>
      </c>
    </row>
    <row r="370" spans="1:36" ht="25.2" hidden="1" customHeight="1" outlineLevel="2">
      <c r="A370" s="228"/>
      <c r="B370" s="229"/>
      <c r="C370" s="230"/>
      <c r="D370" s="231" t="s">
        <v>397</v>
      </c>
      <c r="E370" s="232"/>
      <c r="F370" s="233"/>
      <c r="G370" s="379"/>
      <c r="H370" s="380">
        <v>4</v>
      </c>
      <c r="I370" s="234" t="s">
        <v>200</v>
      </c>
      <c r="J370" s="235">
        <v>6293.76</v>
      </c>
      <c r="K370" s="236">
        <v>25175.040000000001</v>
      </c>
      <c r="L370" s="235">
        <v>1000</v>
      </c>
      <c r="M370" s="236">
        <v>4000</v>
      </c>
      <c r="N370" s="237">
        <v>0</v>
      </c>
      <c r="O370" s="236">
        <v>0</v>
      </c>
      <c r="P370" s="238">
        <v>29175.040000000001</v>
      </c>
      <c r="Q370" s="239">
        <f t="shared" si="88"/>
        <v>1.5693744444770999E-5</v>
      </c>
      <c r="R370" s="236">
        <f t="shared" si="89"/>
        <v>1.56505021028238</v>
      </c>
      <c r="S370" s="240">
        <f t="shared" si="90"/>
        <v>57.205960784313703</v>
      </c>
      <c r="T370" s="241"/>
      <c r="U370" s="225"/>
      <c r="V370" s="226"/>
      <c r="W370" s="227"/>
      <c r="X370" s="226"/>
      <c r="Y370" s="226"/>
      <c r="Z370" s="226"/>
      <c r="AA370" s="226"/>
      <c r="AB370" s="226"/>
      <c r="AC370" s="226"/>
      <c r="AD370" s="96">
        <f>IF(X370&lt;&gt;0,IF($X370&gt;=AD$12,#REF!,""),Z370)</f>
        <v>0</v>
      </c>
      <c r="AE370" s="96">
        <f>IF(AA370=" ",IF($X370&gt;=AE$12,#REF!,""),AA370)</f>
        <v>0</v>
      </c>
      <c r="AF370" s="96">
        <f>IF(AB370=" ",IF($X370&gt;=AF$12,#REF!,""),AB370)</f>
        <v>0</v>
      </c>
      <c r="AG370" s="96">
        <f>IF(AC370=" ",IF($X370&gt;=AG$12,#REF!,""),AC370)</f>
        <v>0</v>
      </c>
      <c r="AH370" s="211" t="str">
        <f t="shared" si="91"/>
        <v>0,;!0,;!0,;!0</v>
      </c>
      <c r="AI370" s="211" t="e">
        <f>INDEX([1]Library!$AL:$AL,MATCH(AH370,[1]Library!$AJ:$AJ,0),1)</f>
        <v>#N/A</v>
      </c>
      <c r="AJ370" s="211" t="e">
        <f>TEXT(INDEX([1]Library!$W:$W,MATCH(AH370,[1]Library!$AJ:$AJ,0),1),"")</f>
        <v>#N/A</v>
      </c>
    </row>
    <row r="371" spans="1:36" ht="25.2" hidden="1" customHeight="1" outlineLevel="2">
      <c r="A371" s="228"/>
      <c r="B371" s="229"/>
      <c r="C371" s="230"/>
      <c r="D371" s="231" t="s">
        <v>398</v>
      </c>
      <c r="E371" s="232"/>
      <c r="F371" s="233"/>
      <c r="G371" s="379"/>
      <c r="H371" s="380">
        <v>12</v>
      </c>
      <c r="I371" s="234" t="s">
        <v>200</v>
      </c>
      <c r="J371" s="235">
        <v>3888</v>
      </c>
      <c r="K371" s="236">
        <v>46656</v>
      </c>
      <c r="L371" s="235">
        <v>1000</v>
      </c>
      <c r="M371" s="236">
        <v>12000</v>
      </c>
      <c r="N371" s="237">
        <v>0</v>
      </c>
      <c r="O371" s="236">
        <v>0</v>
      </c>
      <c r="P371" s="238">
        <v>58656</v>
      </c>
      <c r="Q371" s="239">
        <f t="shared" si="88"/>
        <v>3.1552048400018801E-5</v>
      </c>
      <c r="R371" s="236">
        <f t="shared" si="89"/>
        <v>3.1465110290962102</v>
      </c>
      <c r="S371" s="240">
        <f t="shared" si="90"/>
        <v>115.011764705882</v>
      </c>
      <c r="T371" s="241"/>
      <c r="U371" s="225"/>
      <c r="V371" s="226"/>
      <c r="W371" s="227"/>
      <c r="X371" s="226"/>
      <c r="Y371" s="226"/>
      <c r="Z371" s="226"/>
      <c r="AA371" s="226"/>
      <c r="AB371" s="226"/>
      <c r="AC371" s="226"/>
      <c r="AD371" s="96">
        <f>IF(X371&lt;&gt;0,IF($X371&gt;=AD$12,#REF!,""),Z371)</f>
        <v>0</v>
      </c>
      <c r="AE371" s="96">
        <f>IF(AA371=" ",IF($X371&gt;=AE$12,#REF!,""),AA371)</f>
        <v>0</v>
      </c>
      <c r="AF371" s="96">
        <f>IF(AB371=" ",IF($X371&gt;=AF$12,#REF!,""),AB371)</f>
        <v>0</v>
      </c>
      <c r="AG371" s="96">
        <f>IF(AC371=" ",IF($X371&gt;=AG$12,#REF!,""),AC371)</f>
        <v>0</v>
      </c>
      <c r="AH371" s="211" t="str">
        <f t="shared" si="91"/>
        <v>0,;!0,;!0,;!0</v>
      </c>
      <c r="AI371" s="211" t="e">
        <f>INDEX([1]Library!$AL:$AL,MATCH(AH371,[1]Library!$AJ:$AJ,0),1)</f>
        <v>#N/A</v>
      </c>
      <c r="AJ371" s="211" t="e">
        <f>TEXT(INDEX([1]Library!$W:$W,MATCH(AH371,[1]Library!$AJ:$AJ,0),1),"")</f>
        <v>#N/A</v>
      </c>
    </row>
    <row r="372" spans="1:36" ht="25.2" hidden="1" customHeight="1" outlineLevel="1" collapsed="1">
      <c r="A372" s="213"/>
      <c r="B372" s="214"/>
      <c r="C372" s="215" t="s">
        <v>399</v>
      </c>
      <c r="D372" s="215"/>
      <c r="E372" s="216"/>
      <c r="F372" s="217"/>
      <c r="G372" s="379"/>
      <c r="H372" s="219">
        <v>1</v>
      </c>
      <c r="I372" s="218" t="s">
        <v>32</v>
      </c>
      <c r="J372" s="219">
        <v>5500749.5999999996</v>
      </c>
      <c r="K372" s="219">
        <v>5500749.5999999996</v>
      </c>
      <c r="L372" s="219">
        <v>3142549.8</v>
      </c>
      <c r="M372" s="219">
        <v>3142549.8</v>
      </c>
      <c r="N372" s="219">
        <v>6000000</v>
      </c>
      <c r="O372" s="219">
        <v>6000000</v>
      </c>
      <c r="P372" s="220">
        <v>14643299.4</v>
      </c>
      <c r="Q372" s="221">
        <f t="shared" si="88"/>
        <v>7.8768768992902097E-3</v>
      </c>
      <c r="R372" s="222">
        <f t="shared" si="89"/>
        <v>785.51730538151196</v>
      </c>
      <c r="S372" s="223">
        <f t="shared" si="90"/>
        <v>28712.351764705902</v>
      </c>
      <c r="T372" s="224"/>
      <c r="U372" s="225"/>
      <c r="V372" s="226"/>
      <c r="W372" s="227"/>
      <c r="X372" s="226"/>
      <c r="Y372" s="226"/>
      <c r="Z372" s="226"/>
      <c r="AA372" s="226"/>
      <c r="AB372" s="226"/>
      <c r="AC372" s="226"/>
      <c r="AD372" s="96">
        <f t="shared" ref="AD372:AD381" si="92">IF(X372&lt;&gt;0,IF($X372&gt;=AD$12,AD371,""),Z372)</f>
        <v>0</v>
      </c>
      <c r="AE372" s="96">
        <f t="shared" ref="AE372:AE381" si="93">IF(AA372=" ",IF($X372&gt;=AE$12,AE371,""),AA372)</f>
        <v>0</v>
      </c>
      <c r="AF372" s="96">
        <f t="shared" ref="AF372:AF381" si="94">IF(AB372=" ",IF($X372&gt;=AF$12,AF371,""),AB372)</f>
        <v>0</v>
      </c>
      <c r="AG372" s="96">
        <f t="shared" ref="AG372:AG381" si="95">IF(AC372=" ",IF($X372&gt;=AG$12,AG371,""),AC372)</f>
        <v>0</v>
      </c>
      <c r="AH372" s="211" t="str">
        <f t="shared" si="91"/>
        <v>0,;!0,;!0,;!0</v>
      </c>
      <c r="AI372" s="211" t="e">
        <f>INDEX([1]Library!$AL:$AL,MATCH(AH372,[1]Library!$AJ:$AJ,0),1)</f>
        <v>#N/A</v>
      </c>
      <c r="AJ372" s="211" t="e">
        <f>TEXT(INDEX([1]Library!$W:$W,MATCH(AH372,[1]Library!$AJ:$AJ,0),1),"")</f>
        <v>#N/A</v>
      </c>
    </row>
    <row r="373" spans="1:36" ht="25.2" hidden="1" customHeight="1" outlineLevel="2">
      <c r="A373" s="228"/>
      <c r="B373" s="229"/>
      <c r="C373" s="230"/>
      <c r="D373" s="231" t="s">
        <v>400</v>
      </c>
      <c r="E373" s="232"/>
      <c r="F373" s="233"/>
      <c r="G373" s="379"/>
      <c r="H373" s="380">
        <v>60</v>
      </c>
      <c r="I373" s="234" t="s">
        <v>200</v>
      </c>
      <c r="J373" s="235">
        <v>91379.16</v>
      </c>
      <c r="K373" s="236">
        <v>5482749.5999999996</v>
      </c>
      <c r="L373" s="235">
        <v>52275.83</v>
      </c>
      <c r="M373" s="236">
        <v>3136549.8</v>
      </c>
      <c r="N373" s="237">
        <v>0</v>
      </c>
      <c r="O373" s="236">
        <v>0</v>
      </c>
      <c r="P373" s="238">
        <v>8619299.4000000004</v>
      </c>
      <c r="Q373" s="239">
        <f t="shared" si="88"/>
        <v>4.6364660366041499E-3</v>
      </c>
      <c r="R373" s="236">
        <f t="shared" si="89"/>
        <v>462.36907776156602</v>
      </c>
      <c r="S373" s="240">
        <f t="shared" si="90"/>
        <v>16900.587058823501</v>
      </c>
      <c r="T373" s="241"/>
      <c r="U373" s="225"/>
      <c r="V373" s="226"/>
      <c r="W373" s="227"/>
      <c r="X373" s="226"/>
      <c r="Y373" s="226"/>
      <c r="Z373" s="226"/>
      <c r="AA373" s="226"/>
      <c r="AB373" s="226"/>
      <c r="AC373" s="226"/>
      <c r="AD373" s="96">
        <f t="shared" si="92"/>
        <v>0</v>
      </c>
      <c r="AE373" s="96">
        <f t="shared" si="93"/>
        <v>0</v>
      </c>
      <c r="AF373" s="96">
        <f t="shared" si="94"/>
        <v>0</v>
      </c>
      <c r="AG373" s="96">
        <f t="shared" si="95"/>
        <v>0</v>
      </c>
      <c r="AH373" s="211" t="str">
        <f t="shared" si="91"/>
        <v>0,;!0,;!0,;!0</v>
      </c>
      <c r="AI373" s="211" t="e">
        <f>INDEX([1]Library!$AL:$AL,MATCH(AH373,[1]Library!$AJ:$AJ,0),1)</f>
        <v>#N/A</v>
      </c>
      <c r="AJ373" s="211" t="e">
        <f>TEXT(INDEX([1]Library!$W:$W,MATCH(AH373,[1]Library!$AJ:$AJ,0),1),"")</f>
        <v>#N/A</v>
      </c>
    </row>
    <row r="374" spans="1:36" ht="25.2" hidden="1" customHeight="1" outlineLevel="2">
      <c r="A374" s="242"/>
      <c r="B374" s="243"/>
      <c r="C374" s="244"/>
      <c r="D374" s="245"/>
      <c r="E374" s="246" t="s">
        <v>401</v>
      </c>
      <c r="F374" s="247"/>
      <c r="G374" s="381"/>
      <c r="H374" s="382">
        <v>60</v>
      </c>
      <c r="I374" s="248" t="s">
        <v>200</v>
      </c>
      <c r="J374" s="249">
        <v>91379.16</v>
      </c>
      <c r="K374" s="250">
        <v>5482749.5999999996</v>
      </c>
      <c r="L374" s="249">
        <v>18275.830000000002</v>
      </c>
      <c r="M374" s="250">
        <v>1096549.8</v>
      </c>
      <c r="N374" s="251">
        <v>0</v>
      </c>
      <c r="O374" s="250">
        <v>0</v>
      </c>
      <c r="P374" s="252">
        <v>6579299.4000000004</v>
      </c>
      <c r="Q374" s="253">
        <f t="shared" si="88"/>
        <v>3.53911574445947E-3</v>
      </c>
      <c r="R374" s="254">
        <f t="shared" si="89"/>
        <v>352.93641103767902</v>
      </c>
      <c r="S374" s="255">
        <f t="shared" si="90"/>
        <v>12900.587058823499</v>
      </c>
      <c r="T374" s="256"/>
      <c r="U374" s="225"/>
      <c r="V374" s="226"/>
      <c r="W374" s="227"/>
      <c r="X374" s="226"/>
      <c r="Y374" s="226"/>
      <c r="Z374" s="226"/>
      <c r="AA374" s="226"/>
      <c r="AB374" s="226"/>
      <c r="AC374" s="226"/>
      <c r="AD374" s="96">
        <f t="shared" si="92"/>
        <v>0</v>
      </c>
      <c r="AE374" s="96">
        <f t="shared" si="93"/>
        <v>0</v>
      </c>
      <c r="AF374" s="96">
        <f t="shared" si="94"/>
        <v>0</v>
      </c>
      <c r="AG374" s="96">
        <f t="shared" si="95"/>
        <v>0</v>
      </c>
      <c r="AH374" s="211" t="str">
        <f t="shared" si="91"/>
        <v>0,;!0,;!0,;!0</v>
      </c>
      <c r="AI374" s="211" t="e">
        <f>INDEX([1]Library!$AL:$AL,MATCH(AH374,[1]Library!$AJ:$AJ,0),1)</f>
        <v>#N/A</v>
      </c>
      <c r="AJ374" s="211" t="e">
        <f>TEXT(INDEX([1]Library!$W:$W,MATCH(AH374,[1]Library!$AJ:$AJ,0),1),"")</f>
        <v>#N/A</v>
      </c>
    </row>
    <row r="375" spans="1:36" ht="25.2" hidden="1" customHeight="1" outlineLevel="2">
      <c r="A375" s="242"/>
      <c r="B375" s="243"/>
      <c r="C375" s="244"/>
      <c r="D375" s="245"/>
      <c r="E375" s="246" t="s">
        <v>402</v>
      </c>
      <c r="F375" s="247"/>
      <c r="G375" s="381"/>
      <c r="H375" s="382">
        <v>0</v>
      </c>
      <c r="I375" s="248">
        <v>0</v>
      </c>
      <c r="J375" s="249">
        <v>0</v>
      </c>
      <c r="K375" s="250">
        <v>0</v>
      </c>
      <c r="L375" s="249">
        <v>0</v>
      </c>
      <c r="M375" s="250">
        <v>0</v>
      </c>
      <c r="N375" s="251">
        <v>0</v>
      </c>
      <c r="O375" s="250">
        <v>0</v>
      </c>
      <c r="P375" s="252">
        <v>0</v>
      </c>
      <c r="Q375" s="253">
        <f t="shared" si="88"/>
        <v>0</v>
      </c>
      <c r="R375" s="254">
        <f t="shared" si="89"/>
        <v>0</v>
      </c>
      <c r="S375" s="255">
        <f t="shared" si="90"/>
        <v>0</v>
      </c>
      <c r="T375" s="256"/>
      <c r="U375" s="225"/>
      <c r="V375" s="226"/>
      <c r="W375" s="227"/>
      <c r="X375" s="226"/>
      <c r="Y375" s="226"/>
      <c r="Z375" s="226"/>
      <c r="AA375" s="226"/>
      <c r="AB375" s="226"/>
      <c r="AC375" s="226"/>
      <c r="AD375" s="96">
        <f t="shared" si="92"/>
        <v>0</v>
      </c>
      <c r="AE375" s="96">
        <f t="shared" si="93"/>
        <v>0</v>
      </c>
      <c r="AF375" s="96">
        <f t="shared" si="94"/>
        <v>0</v>
      </c>
      <c r="AG375" s="96">
        <f t="shared" si="95"/>
        <v>0</v>
      </c>
      <c r="AH375" s="211" t="str">
        <f t="shared" si="91"/>
        <v>0,;!0,;!0,;!0</v>
      </c>
      <c r="AI375" s="211" t="e">
        <f>INDEX([1]Library!$AL:$AL,MATCH(AH375,[1]Library!$AJ:$AJ,0),1)</f>
        <v>#N/A</v>
      </c>
      <c r="AJ375" s="211" t="e">
        <f>TEXT(INDEX([1]Library!$W:$W,MATCH(AH375,[1]Library!$AJ:$AJ,0),1),"")</f>
        <v>#N/A</v>
      </c>
    </row>
    <row r="376" spans="1:36" ht="25.2" hidden="1" customHeight="1" outlineLevel="2">
      <c r="A376" s="242"/>
      <c r="B376" s="243"/>
      <c r="C376" s="244"/>
      <c r="D376" s="245"/>
      <c r="E376" s="246" t="s">
        <v>403</v>
      </c>
      <c r="F376" s="247"/>
      <c r="G376" s="381"/>
      <c r="H376" s="382">
        <v>2040</v>
      </c>
      <c r="I376" s="248" t="s">
        <v>200</v>
      </c>
      <c r="J376" s="249">
        <v>0</v>
      </c>
      <c r="K376" s="250">
        <v>0</v>
      </c>
      <c r="L376" s="249">
        <v>1000</v>
      </c>
      <c r="M376" s="250">
        <v>2040000</v>
      </c>
      <c r="N376" s="251">
        <v>0</v>
      </c>
      <c r="O376" s="250">
        <v>0</v>
      </c>
      <c r="P376" s="252">
        <v>2040000</v>
      </c>
      <c r="Q376" s="253">
        <f t="shared" si="88"/>
        <v>1.09735029214468E-3</v>
      </c>
      <c r="R376" s="254">
        <f t="shared" si="89"/>
        <v>109.432666723886</v>
      </c>
      <c r="S376" s="255">
        <f t="shared" si="90"/>
        <v>4000</v>
      </c>
      <c r="T376" s="256"/>
      <c r="U376" s="225"/>
      <c r="V376" s="226"/>
      <c r="W376" s="227"/>
      <c r="X376" s="226"/>
      <c r="Y376" s="226"/>
      <c r="Z376" s="226"/>
      <c r="AA376" s="226"/>
      <c r="AB376" s="226"/>
      <c r="AC376" s="226"/>
      <c r="AD376" s="96">
        <f t="shared" si="92"/>
        <v>0</v>
      </c>
      <c r="AE376" s="96">
        <f t="shared" si="93"/>
        <v>0</v>
      </c>
      <c r="AF376" s="96">
        <f t="shared" si="94"/>
        <v>0</v>
      </c>
      <c r="AG376" s="96">
        <f t="shared" si="95"/>
        <v>0</v>
      </c>
      <c r="AH376" s="211" t="str">
        <f t="shared" si="91"/>
        <v>0,;!0,;!0,;!0</v>
      </c>
      <c r="AI376" s="211" t="e">
        <f>INDEX([1]Library!$AL:$AL,MATCH(AH376,[1]Library!$AJ:$AJ,0),1)</f>
        <v>#N/A</v>
      </c>
      <c r="AJ376" s="211" t="e">
        <f>TEXT(INDEX([1]Library!$W:$W,MATCH(AH376,[1]Library!$AJ:$AJ,0),1),"")</f>
        <v>#N/A</v>
      </c>
    </row>
    <row r="377" spans="1:36" ht="25.2" hidden="1" customHeight="1" outlineLevel="2">
      <c r="A377" s="228"/>
      <c r="B377" s="229"/>
      <c r="C377" s="230"/>
      <c r="D377" s="231" t="s">
        <v>404</v>
      </c>
      <c r="E377" s="232"/>
      <c r="F377" s="233"/>
      <c r="G377" s="379"/>
      <c r="H377" s="380">
        <v>1</v>
      </c>
      <c r="I377" s="234" t="s">
        <v>32</v>
      </c>
      <c r="J377" s="235">
        <v>0</v>
      </c>
      <c r="K377" s="236">
        <v>0</v>
      </c>
      <c r="L377" s="235">
        <v>0</v>
      </c>
      <c r="M377" s="236">
        <v>0</v>
      </c>
      <c r="N377" s="237">
        <v>6000000</v>
      </c>
      <c r="O377" s="236">
        <v>6000000</v>
      </c>
      <c r="P377" s="238">
        <v>6000000</v>
      </c>
      <c r="Q377" s="239">
        <f t="shared" si="88"/>
        <v>3.2275008592490598E-3</v>
      </c>
      <c r="R377" s="236">
        <f t="shared" si="89"/>
        <v>321.86078448201903</v>
      </c>
      <c r="S377" s="240">
        <f t="shared" si="90"/>
        <v>11764.705882352901</v>
      </c>
      <c r="T377" s="241"/>
      <c r="U377" s="225"/>
      <c r="V377" s="226"/>
      <c r="W377" s="227"/>
      <c r="X377" s="226"/>
      <c r="Y377" s="226"/>
      <c r="Z377" s="226"/>
      <c r="AA377" s="226"/>
      <c r="AB377" s="226"/>
      <c r="AC377" s="226"/>
      <c r="AD377" s="96">
        <f t="shared" si="92"/>
        <v>0</v>
      </c>
      <c r="AE377" s="96">
        <f t="shared" si="93"/>
        <v>0</v>
      </c>
      <c r="AF377" s="96">
        <f t="shared" si="94"/>
        <v>0</v>
      </c>
      <c r="AG377" s="96">
        <f t="shared" si="95"/>
        <v>0</v>
      </c>
      <c r="AH377" s="211" t="str">
        <f t="shared" si="91"/>
        <v>0,;!0,;!0,;!0</v>
      </c>
      <c r="AI377" s="211" t="e">
        <f>INDEX([1]Library!$AL:$AL,MATCH(AH377,[1]Library!$AJ:$AJ,0),1)</f>
        <v>#N/A</v>
      </c>
      <c r="AJ377" s="211" t="e">
        <f>TEXT(INDEX([1]Library!$W:$W,MATCH(AH377,[1]Library!$AJ:$AJ,0),1),"")</f>
        <v>#N/A</v>
      </c>
    </row>
    <row r="378" spans="1:36" ht="25.2" hidden="1" customHeight="1" outlineLevel="2">
      <c r="A378" s="228"/>
      <c r="B378" s="229"/>
      <c r="C378" s="230"/>
      <c r="D378" s="231" t="s">
        <v>405</v>
      </c>
      <c r="E378" s="232"/>
      <c r="F378" s="233"/>
      <c r="G378" s="379"/>
      <c r="H378" s="380">
        <v>4</v>
      </c>
      <c r="I378" s="234" t="s">
        <v>200</v>
      </c>
      <c r="J378" s="235">
        <v>4500</v>
      </c>
      <c r="K378" s="236">
        <v>18000</v>
      </c>
      <c r="L378" s="235">
        <v>1500</v>
      </c>
      <c r="M378" s="236">
        <v>6000</v>
      </c>
      <c r="N378" s="237">
        <v>0</v>
      </c>
      <c r="O378" s="236">
        <v>0</v>
      </c>
      <c r="P378" s="238">
        <v>24000</v>
      </c>
      <c r="Q378" s="239">
        <f t="shared" si="88"/>
        <v>1.29100034369962E-5</v>
      </c>
      <c r="R378" s="236">
        <f t="shared" si="89"/>
        <v>1.28744313792807</v>
      </c>
      <c r="S378" s="240">
        <f t="shared" si="90"/>
        <v>47.058823529411796</v>
      </c>
      <c r="T378" s="241"/>
      <c r="U378" s="225"/>
      <c r="V378" s="226"/>
      <c r="W378" s="227"/>
      <c r="X378" s="226"/>
      <c r="Y378" s="226"/>
      <c r="Z378" s="226"/>
      <c r="AA378" s="226"/>
      <c r="AB378" s="226"/>
      <c r="AC378" s="226"/>
      <c r="AD378" s="96">
        <f t="shared" si="92"/>
        <v>0</v>
      </c>
      <c r="AE378" s="96">
        <f t="shared" si="93"/>
        <v>0</v>
      </c>
      <c r="AF378" s="96">
        <f t="shared" si="94"/>
        <v>0</v>
      </c>
      <c r="AG378" s="96">
        <f t="shared" si="95"/>
        <v>0</v>
      </c>
      <c r="AH378" s="211" t="str">
        <f t="shared" si="91"/>
        <v>0,;!0,;!0,;!0</v>
      </c>
      <c r="AI378" s="211" t="e">
        <f>INDEX([1]Library!$AL:$AL,MATCH(AH378,[1]Library!$AJ:$AJ,0),1)</f>
        <v>#N/A</v>
      </c>
      <c r="AJ378" s="211" t="e">
        <f>TEXT(INDEX([1]Library!$W:$W,MATCH(AH378,[1]Library!$AJ:$AJ,0),1),"")</f>
        <v>#N/A</v>
      </c>
    </row>
    <row r="379" spans="1:36" ht="25.2" hidden="1" customHeight="1" outlineLevel="1" collapsed="1">
      <c r="A379" s="213"/>
      <c r="B379" s="214"/>
      <c r="C379" s="215" t="s">
        <v>406</v>
      </c>
      <c r="D379" s="215"/>
      <c r="E379" s="216"/>
      <c r="F379" s="217"/>
      <c r="G379" s="379"/>
      <c r="H379" s="219">
        <v>1</v>
      </c>
      <c r="I379" s="218" t="s">
        <v>32</v>
      </c>
      <c r="J379" s="219">
        <v>14836525.679</v>
      </c>
      <c r="K379" s="219">
        <v>14836525.679</v>
      </c>
      <c r="L379" s="219">
        <v>9815458.1053053606</v>
      </c>
      <c r="M379" s="219">
        <v>9815458.1053053606</v>
      </c>
      <c r="N379" s="219">
        <v>0</v>
      </c>
      <c r="O379" s="219">
        <v>0</v>
      </c>
      <c r="P379" s="220">
        <v>24651983.784305401</v>
      </c>
      <c r="Q379" s="221">
        <f t="shared" si="88"/>
        <v>1.3260716474339899E-2</v>
      </c>
      <c r="R379" s="222">
        <f t="shared" si="89"/>
        <v>1322.4178066424199</v>
      </c>
      <c r="S379" s="223">
        <f t="shared" si="90"/>
        <v>48337.2231064812</v>
      </c>
      <c r="T379" s="224"/>
      <c r="U379" s="225"/>
      <c r="V379" s="226"/>
      <c r="W379" s="227"/>
      <c r="X379" s="226"/>
      <c r="Y379" s="226"/>
      <c r="Z379" s="226"/>
      <c r="AA379" s="226"/>
      <c r="AB379" s="226"/>
      <c r="AC379" s="226"/>
      <c r="AD379" s="96">
        <f t="shared" si="92"/>
        <v>0</v>
      </c>
      <c r="AE379" s="96">
        <f t="shared" si="93"/>
        <v>0</v>
      </c>
      <c r="AF379" s="96">
        <f t="shared" si="94"/>
        <v>0</v>
      </c>
      <c r="AG379" s="96">
        <f t="shared" si="95"/>
        <v>0</v>
      </c>
      <c r="AH379" s="211" t="str">
        <f t="shared" si="91"/>
        <v>0,;!0,;!0,;!0</v>
      </c>
      <c r="AI379" s="211" t="e">
        <f>INDEX([1]Library!$AL:$AL,MATCH(AH379,[1]Library!$AJ:$AJ,0),1)</f>
        <v>#N/A</v>
      </c>
      <c r="AJ379" s="211" t="e">
        <f>TEXT(INDEX([1]Library!$W:$W,MATCH(AH379,[1]Library!$AJ:$AJ,0),1),"")</f>
        <v>#N/A</v>
      </c>
    </row>
    <row r="380" spans="1:36" ht="25.2" hidden="1" customHeight="1" outlineLevel="2">
      <c r="A380" s="228"/>
      <c r="B380" s="229"/>
      <c r="C380" s="230"/>
      <c r="D380" s="231" t="s">
        <v>407</v>
      </c>
      <c r="E380" s="232"/>
      <c r="F380" s="233"/>
      <c r="G380" s="379"/>
      <c r="H380" s="380">
        <v>200</v>
      </c>
      <c r="I380" s="234" t="s">
        <v>176</v>
      </c>
      <c r="J380" s="235">
        <v>135.67857142857099</v>
      </c>
      <c r="K380" s="236">
        <v>27135.714285714301</v>
      </c>
      <c r="L380" s="235">
        <v>50</v>
      </c>
      <c r="M380" s="236">
        <v>10000</v>
      </c>
      <c r="N380" s="237">
        <v>0</v>
      </c>
      <c r="O380" s="236">
        <v>0</v>
      </c>
      <c r="P380" s="238">
        <v>37135.714285714297</v>
      </c>
      <c r="Q380" s="239">
        <f t="shared" si="88"/>
        <v>1.99759249609951E-5</v>
      </c>
      <c r="R380" s="236">
        <f t="shared" si="89"/>
        <v>1.9920883553833499</v>
      </c>
      <c r="S380" s="240">
        <f t="shared" si="90"/>
        <v>72.815126050420204</v>
      </c>
      <c r="T380" s="241"/>
      <c r="U380" s="225"/>
      <c r="V380" s="226"/>
      <c r="W380" s="227"/>
      <c r="X380" s="226"/>
      <c r="Y380" s="226"/>
      <c r="Z380" s="226"/>
      <c r="AA380" s="226"/>
      <c r="AB380" s="226"/>
      <c r="AC380" s="226"/>
      <c r="AD380" s="96">
        <f t="shared" si="92"/>
        <v>0</v>
      </c>
      <c r="AE380" s="96">
        <f t="shared" si="93"/>
        <v>0</v>
      </c>
      <c r="AF380" s="96">
        <f t="shared" si="94"/>
        <v>0</v>
      </c>
      <c r="AG380" s="96">
        <f t="shared" si="95"/>
        <v>0</v>
      </c>
      <c r="AH380" s="211" t="str">
        <f t="shared" si="91"/>
        <v>0,;!0,;!0,;!0</v>
      </c>
      <c r="AI380" s="211" t="e">
        <f>INDEX([1]Library!$AL:$AL,MATCH(AH380,[1]Library!$AJ:$AJ,0),1)</f>
        <v>#N/A</v>
      </c>
      <c r="AJ380" s="211" t="e">
        <f>TEXT(INDEX([1]Library!$W:$W,MATCH(AH380,[1]Library!$AJ:$AJ,0),1),"")</f>
        <v>#N/A</v>
      </c>
    </row>
    <row r="381" spans="1:36" ht="25.2" hidden="1" customHeight="1" outlineLevel="2">
      <c r="A381" s="228"/>
      <c r="B381" s="229"/>
      <c r="C381" s="230"/>
      <c r="D381" s="231" t="s">
        <v>408</v>
      </c>
      <c r="E381" s="232"/>
      <c r="F381" s="233"/>
      <c r="G381" s="379"/>
      <c r="H381" s="380">
        <v>2280</v>
      </c>
      <c r="I381" s="234" t="s">
        <v>176</v>
      </c>
      <c r="J381" s="235">
        <v>199.61607142857099</v>
      </c>
      <c r="K381" s="236">
        <v>455124.64285714302</v>
      </c>
      <c r="L381" s="235">
        <v>59.884821428571399</v>
      </c>
      <c r="M381" s="236">
        <v>136537.39285714299</v>
      </c>
      <c r="N381" s="237">
        <v>0</v>
      </c>
      <c r="O381" s="236">
        <v>0</v>
      </c>
      <c r="P381" s="238">
        <v>591662.03571428603</v>
      </c>
      <c r="Q381" s="239">
        <f t="shared" si="88"/>
        <v>3.18264954775484E-4</v>
      </c>
      <c r="R381" s="236">
        <f t="shared" si="89"/>
        <v>31.738801160537999</v>
      </c>
      <c r="S381" s="240">
        <f t="shared" si="90"/>
        <v>1160.1216386554599</v>
      </c>
      <c r="T381" s="241"/>
      <c r="U381" s="225"/>
      <c r="V381" s="226"/>
      <c r="W381" s="227"/>
      <c r="X381" s="226"/>
      <c r="Y381" s="226"/>
      <c r="Z381" s="226"/>
      <c r="AA381" s="226"/>
      <c r="AB381" s="226"/>
      <c r="AC381" s="226"/>
      <c r="AD381" s="96">
        <f t="shared" si="92"/>
        <v>0</v>
      </c>
      <c r="AE381" s="96">
        <f t="shared" si="93"/>
        <v>0</v>
      </c>
      <c r="AF381" s="96">
        <f t="shared" si="94"/>
        <v>0</v>
      </c>
      <c r="AG381" s="96">
        <f t="shared" si="95"/>
        <v>0</v>
      </c>
      <c r="AH381" s="211" t="str">
        <f t="shared" si="91"/>
        <v>0,;!0,;!0,;!0</v>
      </c>
      <c r="AI381" s="211" t="e">
        <f>INDEX([1]Library!$AL:$AL,MATCH(AH381,[1]Library!$AJ:$AJ,0),1)</f>
        <v>#N/A</v>
      </c>
      <c r="AJ381" s="211" t="e">
        <f>TEXT(INDEX([1]Library!$W:$W,MATCH(AH381,[1]Library!$AJ:$AJ,0),1),"")</f>
        <v>#N/A</v>
      </c>
    </row>
    <row r="382" spans="1:36" ht="25.2" hidden="1" customHeight="1" outlineLevel="2">
      <c r="A382" s="228"/>
      <c r="B382" s="229"/>
      <c r="C382" s="230"/>
      <c r="D382" s="231" t="s">
        <v>409</v>
      </c>
      <c r="E382" s="232"/>
      <c r="F382" s="233"/>
      <c r="G382" s="379"/>
      <c r="H382" s="380">
        <v>648</v>
      </c>
      <c r="I382" s="234" t="s">
        <v>176</v>
      </c>
      <c r="J382" s="235">
        <v>933.75</v>
      </c>
      <c r="K382" s="236">
        <v>605070</v>
      </c>
      <c r="L382" s="235">
        <v>280.125</v>
      </c>
      <c r="M382" s="236">
        <v>181521</v>
      </c>
      <c r="N382" s="237">
        <v>0</v>
      </c>
      <c r="O382" s="236">
        <v>0</v>
      </c>
      <c r="P382" s="238">
        <v>786591</v>
      </c>
      <c r="Q382" s="239">
        <f t="shared" si="88"/>
        <v>4.23120521396263E-4</v>
      </c>
      <c r="R382" s="236">
        <f t="shared" si="89"/>
        <v>42.195466054415903</v>
      </c>
      <c r="S382" s="240">
        <f t="shared" si="90"/>
        <v>1542.3352941176499</v>
      </c>
      <c r="T382" s="241"/>
      <c r="U382" s="225"/>
      <c r="V382" s="226"/>
      <c r="W382" s="227"/>
      <c r="X382" s="226"/>
      <c r="Y382" s="226"/>
      <c r="Z382" s="226"/>
      <c r="AA382" s="226"/>
      <c r="AB382" s="226"/>
      <c r="AC382" s="226"/>
      <c r="AD382" s="96">
        <f>IF(X382&lt;&gt;0,IF($X382&gt;=AD$12,#REF!,""),Z382)</f>
        <v>0</v>
      </c>
      <c r="AE382" s="96">
        <f>IF(AA382=" ",IF($X382&gt;=AE$12,#REF!,""),AA382)</f>
        <v>0</v>
      </c>
      <c r="AF382" s="96">
        <f>IF(AB382=" ",IF($X382&gt;=AF$12,#REF!,""),AB382)</f>
        <v>0</v>
      </c>
      <c r="AG382" s="96">
        <f>IF(AC382=" ",IF($X382&gt;=AG$12,#REF!,""),AC382)</f>
        <v>0</v>
      </c>
      <c r="AH382" s="211" t="str">
        <f t="shared" si="91"/>
        <v>0,;!0,;!0,;!0</v>
      </c>
      <c r="AI382" s="211" t="e">
        <f>INDEX([1]Library!$AL:$AL,MATCH(AH382,[1]Library!$AJ:$AJ,0),1)</f>
        <v>#N/A</v>
      </c>
      <c r="AJ382" s="211" t="e">
        <f>TEXT(INDEX([1]Library!$W:$W,MATCH(AH382,[1]Library!$AJ:$AJ,0),1),"")</f>
        <v>#N/A</v>
      </c>
    </row>
    <row r="383" spans="1:36" ht="25.2" hidden="1" customHeight="1" outlineLevel="2">
      <c r="A383" s="228"/>
      <c r="B383" s="229"/>
      <c r="C383" s="230"/>
      <c r="D383" s="231" t="s">
        <v>410</v>
      </c>
      <c r="E383" s="232"/>
      <c r="F383" s="233"/>
      <c r="G383" s="379"/>
      <c r="H383" s="380">
        <v>584</v>
      </c>
      <c r="I383" s="234" t="s">
        <v>176</v>
      </c>
      <c r="J383" s="235">
        <v>1135.8</v>
      </c>
      <c r="K383" s="236">
        <v>663307.19999999995</v>
      </c>
      <c r="L383" s="235">
        <v>340.74</v>
      </c>
      <c r="M383" s="236">
        <v>198992.16</v>
      </c>
      <c r="N383" s="237">
        <v>0</v>
      </c>
      <c r="O383" s="236">
        <v>0</v>
      </c>
      <c r="P383" s="238">
        <v>862299.36</v>
      </c>
      <c r="Q383" s="239">
        <f t="shared" si="88"/>
        <v>4.6384532088831901E-4</v>
      </c>
      <c r="R383" s="236">
        <f t="shared" si="89"/>
        <v>46.256724744657099</v>
      </c>
      <c r="S383" s="240">
        <f t="shared" si="90"/>
        <v>1690.7830588235299</v>
      </c>
      <c r="T383" s="241"/>
      <c r="U383" s="225"/>
      <c r="V383" s="226"/>
      <c r="W383" s="227"/>
      <c r="X383" s="226"/>
      <c r="Y383" s="226"/>
      <c r="Z383" s="226"/>
      <c r="AA383" s="226"/>
      <c r="AB383" s="226"/>
      <c r="AC383" s="226"/>
      <c r="AD383" s="96">
        <f>IF(X383&lt;&gt;0,IF($X383&gt;=AD$12,AD382,""),Z383)</f>
        <v>0</v>
      </c>
      <c r="AE383" s="96">
        <f>IF(AA383=" ",IF($X383&gt;=AE$12,AE382,""),AA383)</f>
        <v>0</v>
      </c>
      <c r="AF383" s="96">
        <f>IF(AB383=" ",IF($X383&gt;=AF$12,AF382,""),AB383)</f>
        <v>0</v>
      </c>
      <c r="AG383" s="96">
        <f>IF(AC383=" ",IF($X383&gt;=AG$12,AG382,""),AC383)</f>
        <v>0</v>
      </c>
      <c r="AH383" s="211" t="str">
        <f t="shared" si="91"/>
        <v>0,;!0,;!0,;!0</v>
      </c>
      <c r="AI383" s="211" t="e">
        <f>INDEX([1]Library!$AL:$AL,MATCH(AH383,[1]Library!$AJ:$AJ,0),1)</f>
        <v>#N/A</v>
      </c>
      <c r="AJ383" s="211" t="e">
        <f>TEXT(INDEX([1]Library!$W:$W,MATCH(AH383,[1]Library!$AJ:$AJ,0),1),"")</f>
        <v>#N/A</v>
      </c>
    </row>
    <row r="384" spans="1:36" ht="25.2" hidden="1" customHeight="1" outlineLevel="2">
      <c r="A384" s="228"/>
      <c r="B384" s="229"/>
      <c r="C384" s="230"/>
      <c r="D384" s="231" t="s">
        <v>411</v>
      </c>
      <c r="E384" s="232"/>
      <c r="F384" s="233"/>
      <c r="G384" s="379"/>
      <c r="H384" s="380">
        <v>160</v>
      </c>
      <c r="I384" s="234" t="s">
        <v>176</v>
      </c>
      <c r="J384" s="235">
        <v>1230.546875</v>
      </c>
      <c r="K384" s="236">
        <v>196887.5</v>
      </c>
      <c r="L384" s="235">
        <v>369.1640625</v>
      </c>
      <c r="M384" s="236">
        <v>59066.25</v>
      </c>
      <c r="N384" s="237">
        <v>0</v>
      </c>
      <c r="O384" s="236">
        <v>0</v>
      </c>
      <c r="P384" s="238">
        <v>255953.75</v>
      </c>
      <c r="Q384" s="239">
        <f t="shared" si="88"/>
        <v>1.37681824675503E-4</v>
      </c>
      <c r="R384" s="236">
        <f t="shared" si="89"/>
        <v>13.730245794352401</v>
      </c>
      <c r="S384" s="240">
        <f t="shared" si="90"/>
        <v>501.87009803921597</v>
      </c>
      <c r="T384" s="241"/>
      <c r="U384" s="225"/>
      <c r="V384" s="226"/>
      <c r="W384" s="227"/>
      <c r="X384" s="226"/>
      <c r="Y384" s="226"/>
      <c r="Z384" s="226"/>
      <c r="AA384" s="226"/>
      <c r="AB384" s="226"/>
      <c r="AC384" s="226"/>
      <c r="AD384" s="96">
        <f>IF(X384&lt;&gt;0,IF($X384&gt;=AD$12,#REF!,""),Z384)</f>
        <v>0</v>
      </c>
      <c r="AE384" s="96">
        <f>IF(AA384=" ",IF($X384&gt;=AE$12,#REF!,""),AA384)</f>
        <v>0</v>
      </c>
      <c r="AF384" s="96">
        <f>IF(AB384=" ",IF($X384&gt;=AF$12,#REF!,""),AB384)</f>
        <v>0</v>
      </c>
      <c r="AG384" s="96">
        <f>IF(AC384=" ",IF($X384&gt;=AG$12,#REF!,""),AC384)</f>
        <v>0</v>
      </c>
      <c r="AH384" s="211" t="str">
        <f t="shared" si="91"/>
        <v>0,;!0,;!0,;!0</v>
      </c>
      <c r="AI384" s="211" t="e">
        <f>INDEX([1]Library!$AL:$AL,MATCH(AH384,[1]Library!$AJ:$AJ,0),1)</f>
        <v>#N/A</v>
      </c>
      <c r="AJ384" s="211" t="e">
        <f>TEXT(INDEX([1]Library!$W:$W,MATCH(AH384,[1]Library!$AJ:$AJ,0),1),"")</f>
        <v>#N/A</v>
      </c>
    </row>
    <row r="385" spans="1:36" ht="25.2" hidden="1" customHeight="1" outlineLevel="2">
      <c r="A385" s="228"/>
      <c r="B385" s="229"/>
      <c r="C385" s="230"/>
      <c r="D385" s="231" t="s">
        <v>412</v>
      </c>
      <c r="E385" s="232"/>
      <c r="F385" s="233"/>
      <c r="G385" s="379"/>
      <c r="H385" s="380">
        <v>488</v>
      </c>
      <c r="I385" s="234" t="s">
        <v>176</v>
      </c>
      <c r="J385" s="235">
        <v>378.66666666666703</v>
      </c>
      <c r="K385" s="236">
        <v>184789.33333333299</v>
      </c>
      <c r="L385" s="235">
        <v>113.6</v>
      </c>
      <c r="M385" s="236">
        <v>55436.800000000003</v>
      </c>
      <c r="N385" s="237">
        <v>0</v>
      </c>
      <c r="O385" s="236">
        <v>0</v>
      </c>
      <c r="P385" s="238">
        <v>240226.13333333301</v>
      </c>
      <c r="Q385" s="239">
        <f t="shared" si="88"/>
        <v>1.2922167529123599E-4</v>
      </c>
      <c r="R385" s="236">
        <f t="shared" si="89"/>
        <v>12.886561954624799</v>
      </c>
      <c r="S385" s="240">
        <f t="shared" si="90"/>
        <v>471.03163398692698</v>
      </c>
      <c r="T385" s="241"/>
      <c r="U385" s="225"/>
      <c r="V385" s="226"/>
      <c r="W385" s="227"/>
      <c r="X385" s="226"/>
      <c r="Y385" s="226"/>
      <c r="Z385" s="226"/>
      <c r="AA385" s="226"/>
      <c r="AB385" s="226"/>
      <c r="AC385" s="226"/>
      <c r="AD385" s="96">
        <f>IF(X385&lt;&gt;0,IF($X385&gt;=AD$12,AD384,""),Z385)</f>
        <v>0</v>
      </c>
      <c r="AE385" s="96">
        <f t="shared" ref="AE385:AG388" si="96">IF(AA385=" ",IF($X385&gt;=AE$12,AE384,""),AA385)</f>
        <v>0</v>
      </c>
      <c r="AF385" s="96">
        <f t="shared" si="96"/>
        <v>0</v>
      </c>
      <c r="AG385" s="96">
        <f t="shared" si="96"/>
        <v>0</v>
      </c>
      <c r="AH385" s="211" t="str">
        <f t="shared" si="91"/>
        <v>0,;!0,;!0,;!0</v>
      </c>
      <c r="AI385" s="211" t="e">
        <f>INDEX([1]Library!$AL:$AL,MATCH(AH385,[1]Library!$AJ:$AJ,0),1)</f>
        <v>#N/A</v>
      </c>
      <c r="AJ385" s="211" t="e">
        <f>TEXT(INDEX([1]Library!$W:$W,MATCH(AH385,[1]Library!$AJ:$AJ,0),1),"")</f>
        <v>#N/A</v>
      </c>
    </row>
    <row r="386" spans="1:36" ht="25.2" hidden="1" customHeight="1" outlineLevel="2">
      <c r="A386" s="228"/>
      <c r="B386" s="229"/>
      <c r="C386" s="230"/>
      <c r="D386" s="231" t="s">
        <v>413</v>
      </c>
      <c r="E386" s="232"/>
      <c r="F386" s="233"/>
      <c r="G386" s="379"/>
      <c r="H386" s="380">
        <v>488</v>
      </c>
      <c r="I386" s="234" t="s">
        <v>176</v>
      </c>
      <c r="J386" s="235">
        <v>182.333333333333</v>
      </c>
      <c r="K386" s="236">
        <v>88978.666666666701</v>
      </c>
      <c r="L386" s="235">
        <v>54.7</v>
      </c>
      <c r="M386" s="236">
        <v>26693.599999999999</v>
      </c>
      <c r="N386" s="237">
        <v>0</v>
      </c>
      <c r="O386" s="236">
        <v>0</v>
      </c>
      <c r="P386" s="238">
        <v>115672.266666667</v>
      </c>
      <c r="Q386" s="239">
        <f t="shared" si="88"/>
        <v>6.22220566763255E-5</v>
      </c>
      <c r="R386" s="236">
        <f t="shared" si="89"/>
        <v>6.2050610820244501</v>
      </c>
      <c r="S386" s="240">
        <f t="shared" si="90"/>
        <v>226.808366013073</v>
      </c>
      <c r="T386" s="241"/>
      <c r="U386" s="225"/>
      <c r="V386" s="226"/>
      <c r="W386" s="227"/>
      <c r="X386" s="226"/>
      <c r="Y386" s="226"/>
      <c r="Z386" s="226"/>
      <c r="AA386" s="226"/>
      <c r="AB386" s="226"/>
      <c r="AC386" s="226"/>
      <c r="AD386" s="96">
        <f>IF(X386&lt;&gt;0,IF($X386&gt;=AD$12,AD385,""),Z386)</f>
        <v>0</v>
      </c>
      <c r="AE386" s="96">
        <f t="shared" si="96"/>
        <v>0</v>
      </c>
      <c r="AF386" s="96">
        <f t="shared" si="96"/>
        <v>0</v>
      </c>
      <c r="AG386" s="96">
        <f t="shared" si="96"/>
        <v>0</v>
      </c>
      <c r="AH386" s="211" t="str">
        <f t="shared" si="91"/>
        <v>0,;!0,;!0,;!0</v>
      </c>
      <c r="AI386" s="211" t="e">
        <f>INDEX([1]Library!$AL:$AL,MATCH(AH386,[1]Library!$AJ:$AJ,0),1)</f>
        <v>#N/A</v>
      </c>
      <c r="AJ386" s="211" t="e">
        <f>TEXT(INDEX([1]Library!$W:$W,MATCH(AH386,[1]Library!$AJ:$AJ,0),1),"")</f>
        <v>#N/A</v>
      </c>
    </row>
    <row r="387" spans="1:36" ht="25.2" hidden="1" customHeight="1" outlineLevel="2">
      <c r="A387" s="228"/>
      <c r="B387" s="229"/>
      <c r="C387" s="230"/>
      <c r="D387" s="231" t="s">
        <v>291</v>
      </c>
      <c r="E387" s="232"/>
      <c r="F387" s="233"/>
      <c r="G387" s="379"/>
      <c r="H387" s="380">
        <v>233024</v>
      </c>
      <c r="I387" s="234" t="s">
        <v>176</v>
      </c>
      <c r="J387" s="235">
        <v>34.4</v>
      </c>
      <c r="K387" s="236">
        <v>8016025.5999999996</v>
      </c>
      <c r="L387" s="235">
        <v>28.178571428571399</v>
      </c>
      <c r="M387" s="236">
        <v>6566283.42857143</v>
      </c>
      <c r="N387" s="237">
        <v>0</v>
      </c>
      <c r="O387" s="236">
        <v>0</v>
      </c>
      <c r="P387" s="238">
        <v>14582309.028571401</v>
      </c>
      <c r="Q387" s="239">
        <f t="shared" si="88"/>
        <v>7.8440691532582693E-3</v>
      </c>
      <c r="R387" s="236">
        <f t="shared" si="89"/>
        <v>782.24557058253595</v>
      </c>
      <c r="S387" s="240">
        <f t="shared" si="90"/>
        <v>28592.7628011204</v>
      </c>
      <c r="T387" s="241"/>
      <c r="U387" s="225"/>
      <c r="V387" s="226"/>
      <c r="W387" s="227"/>
      <c r="X387" s="226"/>
      <c r="Y387" s="226"/>
      <c r="Z387" s="226"/>
      <c r="AA387" s="226"/>
      <c r="AB387" s="226"/>
      <c r="AC387" s="226"/>
      <c r="AD387" s="96">
        <f>IF(X387&lt;&gt;0,IF($X387&gt;=AD$12,AD386,""),Z387)</f>
        <v>0</v>
      </c>
      <c r="AE387" s="96">
        <f t="shared" si="96"/>
        <v>0</v>
      </c>
      <c r="AF387" s="96">
        <f t="shared" si="96"/>
        <v>0</v>
      </c>
      <c r="AG387" s="96">
        <f t="shared" si="96"/>
        <v>0</v>
      </c>
      <c r="AH387" s="211" t="str">
        <f t="shared" si="91"/>
        <v>0,;!0,;!0,;!0</v>
      </c>
      <c r="AI387" s="211" t="e">
        <f>INDEX([1]Library!$AL:$AL,MATCH(AH387,[1]Library!$AJ:$AJ,0),1)</f>
        <v>#N/A</v>
      </c>
      <c r="AJ387" s="211" t="e">
        <f>TEXT(INDEX([1]Library!$W:$W,MATCH(AH387,[1]Library!$AJ:$AJ,0),1),"")</f>
        <v>#N/A</v>
      </c>
    </row>
    <row r="388" spans="1:36" ht="25.2" hidden="1" customHeight="1" outlineLevel="2">
      <c r="A388" s="228"/>
      <c r="B388" s="229"/>
      <c r="C388" s="230"/>
      <c r="D388" s="231" t="s">
        <v>347</v>
      </c>
      <c r="E388" s="232"/>
      <c r="F388" s="233"/>
      <c r="G388" s="379"/>
      <c r="H388" s="380">
        <v>34884</v>
      </c>
      <c r="I388" s="234" t="s">
        <v>176</v>
      </c>
      <c r="J388" s="235">
        <v>38.151785714285701</v>
      </c>
      <c r="K388" s="236">
        <v>1330886.8928571399</v>
      </c>
      <c r="L388" s="235">
        <v>46.491071428571402</v>
      </c>
      <c r="M388" s="236">
        <v>1621794.5357142901</v>
      </c>
      <c r="N388" s="237">
        <v>0</v>
      </c>
      <c r="O388" s="236">
        <v>0</v>
      </c>
      <c r="P388" s="238">
        <v>2952681.42857143</v>
      </c>
      <c r="Q388" s="239">
        <f t="shared" si="88"/>
        <v>1.5882969746338401E-3</v>
      </c>
      <c r="R388" s="236">
        <f t="shared" si="89"/>
        <v>158.39206015424799</v>
      </c>
      <c r="S388" s="240">
        <f t="shared" si="90"/>
        <v>5789.5714285714303</v>
      </c>
      <c r="T388" s="241"/>
      <c r="U388" s="225"/>
      <c r="V388" s="226"/>
      <c r="W388" s="227"/>
      <c r="X388" s="226"/>
      <c r="Y388" s="226"/>
      <c r="Z388" s="226"/>
      <c r="AA388" s="226"/>
      <c r="AB388" s="226"/>
      <c r="AC388" s="226"/>
      <c r="AD388" s="96">
        <f>IF(X388&lt;&gt;0,IF($X388&gt;=AD$12,AD387,""),Z388)</f>
        <v>0</v>
      </c>
      <c r="AE388" s="96">
        <f t="shared" si="96"/>
        <v>0</v>
      </c>
      <c r="AF388" s="96">
        <f t="shared" si="96"/>
        <v>0</v>
      </c>
      <c r="AG388" s="96">
        <f t="shared" si="96"/>
        <v>0</v>
      </c>
      <c r="AH388" s="211" t="str">
        <f t="shared" si="91"/>
        <v>0,;!0,;!0,;!0</v>
      </c>
      <c r="AI388" s="211" t="e">
        <f>INDEX([1]Library!$AL:$AL,MATCH(AH388,[1]Library!$AJ:$AJ,0),1)</f>
        <v>#N/A</v>
      </c>
      <c r="AJ388" s="211" t="e">
        <f>TEXT(INDEX([1]Library!$W:$W,MATCH(AH388,[1]Library!$AJ:$AJ,0),1),"")</f>
        <v>#N/A</v>
      </c>
    </row>
    <row r="389" spans="1:36" ht="25.2" hidden="1" customHeight="1" outlineLevel="2">
      <c r="A389" s="228"/>
      <c r="B389" s="229"/>
      <c r="C389" s="230"/>
      <c r="D389" s="231" t="s">
        <v>414</v>
      </c>
      <c r="E389" s="232"/>
      <c r="F389" s="233"/>
      <c r="G389" s="379"/>
      <c r="H389" s="380">
        <v>372</v>
      </c>
      <c r="I389" s="234" t="s">
        <v>176</v>
      </c>
      <c r="J389" s="235">
        <v>414.21</v>
      </c>
      <c r="K389" s="236">
        <v>154086.12</v>
      </c>
      <c r="L389" s="235">
        <v>124.26300000000001</v>
      </c>
      <c r="M389" s="236">
        <v>46225.836000000003</v>
      </c>
      <c r="N389" s="237">
        <v>0</v>
      </c>
      <c r="O389" s="236">
        <v>0</v>
      </c>
      <c r="P389" s="238">
        <v>200311.95600000001</v>
      </c>
      <c r="Q389" s="239">
        <f t="shared" si="88"/>
        <v>1.0775116835131E-4</v>
      </c>
      <c r="R389" s="236">
        <f t="shared" si="89"/>
        <v>10.745427216547901</v>
      </c>
      <c r="S389" s="240">
        <f t="shared" si="90"/>
        <v>392.76854117647099</v>
      </c>
      <c r="T389" s="241"/>
      <c r="U389" s="225"/>
      <c r="V389" s="226"/>
      <c r="W389" s="227"/>
      <c r="X389" s="226"/>
      <c r="Y389" s="226"/>
      <c r="Z389" s="226"/>
      <c r="AA389" s="226"/>
      <c r="AB389" s="226"/>
      <c r="AC389" s="226"/>
      <c r="AD389" s="96">
        <f>IF(X389&lt;&gt;0,IF($X389&gt;=AD$12,#REF!,""),Z389)</f>
        <v>0</v>
      </c>
      <c r="AE389" s="96">
        <f>IF(AA389=" ",IF($X389&gt;=AE$12,#REF!,""),AA389)</f>
        <v>0</v>
      </c>
      <c r="AF389" s="96">
        <f>IF(AB389=" ",IF($X389&gt;=AF$12,#REF!,""),AB389)</f>
        <v>0</v>
      </c>
      <c r="AG389" s="96">
        <f>IF(AC389=" ",IF($X389&gt;=AG$12,#REF!,""),AC389)</f>
        <v>0</v>
      </c>
      <c r="AH389" s="211" t="str">
        <f t="shared" si="91"/>
        <v>0,;!0,;!0,;!0</v>
      </c>
      <c r="AI389" s="211" t="e">
        <f>INDEX([1]Library!$AL:$AL,MATCH(AH389,[1]Library!$AJ:$AJ,0),1)</f>
        <v>#N/A</v>
      </c>
      <c r="AJ389" s="211" t="e">
        <f>TEXT(INDEX([1]Library!$W:$W,MATCH(AH389,[1]Library!$AJ:$AJ,0),1),"")</f>
        <v>#N/A</v>
      </c>
    </row>
    <row r="390" spans="1:36" ht="25.2" hidden="1" customHeight="1" outlineLevel="2">
      <c r="A390" s="228"/>
      <c r="B390" s="229"/>
      <c r="C390" s="230"/>
      <c r="D390" s="231" t="s">
        <v>415</v>
      </c>
      <c r="E390" s="232"/>
      <c r="F390" s="233"/>
      <c r="G390" s="379"/>
      <c r="H390" s="380">
        <v>656</v>
      </c>
      <c r="I390" s="234" t="s">
        <v>176</v>
      </c>
      <c r="J390" s="235">
        <v>76.667671874999996</v>
      </c>
      <c r="K390" s="236">
        <v>50293.992749999998</v>
      </c>
      <c r="L390" s="235">
        <v>11.500150781249999</v>
      </c>
      <c r="M390" s="236">
        <v>7544.0989124999996</v>
      </c>
      <c r="N390" s="237">
        <v>0</v>
      </c>
      <c r="O390" s="236">
        <v>0</v>
      </c>
      <c r="P390" s="238">
        <v>57838.091662500003</v>
      </c>
      <c r="Q390" s="239">
        <f t="shared" si="88"/>
        <v>3.1112081756340802E-5</v>
      </c>
      <c r="R390" s="236">
        <f t="shared" si="89"/>
        <v>3.10263559257253</v>
      </c>
      <c r="S390" s="240">
        <f t="shared" si="90"/>
        <v>113.40802286764701</v>
      </c>
      <c r="T390" s="241"/>
      <c r="U390" s="225"/>
      <c r="V390" s="226"/>
      <c r="W390" s="227"/>
      <c r="X390" s="226"/>
      <c r="Y390" s="226"/>
      <c r="Z390" s="226"/>
      <c r="AA390" s="226"/>
      <c r="AB390" s="226"/>
      <c r="AC390" s="226"/>
      <c r="AD390" s="96">
        <f>IF(X390&lt;&gt;0,IF($X390&gt;=AD$12,#REF!,""),Z390)</f>
        <v>0</v>
      </c>
      <c r="AE390" s="96">
        <f>IF(AA390=" ",IF($X390&gt;=AE$12,#REF!,""),AA390)</f>
        <v>0</v>
      </c>
      <c r="AF390" s="96">
        <f>IF(AB390=" ",IF($X390&gt;=AF$12,#REF!,""),AB390)</f>
        <v>0</v>
      </c>
      <c r="AG390" s="96">
        <f>IF(AC390=" ",IF($X390&gt;=AG$12,#REF!,""),AC390)</f>
        <v>0</v>
      </c>
      <c r="AH390" s="211" t="str">
        <f t="shared" si="91"/>
        <v>0,;!0,;!0,;!0</v>
      </c>
      <c r="AI390" s="211" t="e">
        <f>INDEX([1]Library!$AL:$AL,MATCH(AH390,[1]Library!$AJ:$AJ,0),1)</f>
        <v>#N/A</v>
      </c>
      <c r="AJ390" s="211" t="e">
        <f>TEXT(INDEX([1]Library!$W:$W,MATCH(AH390,[1]Library!$AJ:$AJ,0),1),"")</f>
        <v>#N/A</v>
      </c>
    </row>
    <row r="391" spans="1:36" ht="25.2" hidden="1" customHeight="1" outlineLevel="2">
      <c r="A391" s="228"/>
      <c r="B391" s="229"/>
      <c r="C391" s="230"/>
      <c r="D391" s="231" t="s">
        <v>416</v>
      </c>
      <c r="E391" s="232"/>
      <c r="F391" s="233"/>
      <c r="G391" s="379"/>
      <c r="H391" s="380">
        <v>220</v>
      </c>
      <c r="I391" s="234" t="s">
        <v>176</v>
      </c>
      <c r="J391" s="235">
        <v>628.13643750000006</v>
      </c>
      <c r="K391" s="236">
        <v>138190.01624999999</v>
      </c>
      <c r="L391" s="235">
        <v>125.62728749999999</v>
      </c>
      <c r="M391" s="236">
        <v>27638.003250000002</v>
      </c>
      <c r="N391" s="237">
        <v>0</v>
      </c>
      <c r="O391" s="236">
        <v>0</v>
      </c>
      <c r="P391" s="238">
        <v>165828.01949999999</v>
      </c>
      <c r="Q391" s="239">
        <f t="shared" si="88"/>
        <v>8.92016792373033E-5</v>
      </c>
      <c r="R391" s="236">
        <f t="shared" si="89"/>
        <v>8.8955894075615802</v>
      </c>
      <c r="S391" s="240">
        <f t="shared" si="90"/>
        <v>325.15297941176499</v>
      </c>
      <c r="T391" s="241"/>
      <c r="U391" s="225"/>
      <c r="V391" s="226"/>
      <c r="W391" s="227"/>
      <c r="X391" s="226"/>
      <c r="Y391" s="226"/>
      <c r="Z391" s="226"/>
      <c r="AA391" s="226"/>
      <c r="AB391" s="226"/>
      <c r="AC391" s="226"/>
      <c r="AD391" s="96">
        <f>IF(X391&lt;&gt;0,IF($X391&gt;=AD$12,AD390,""),Z391)</f>
        <v>0</v>
      </c>
      <c r="AE391" s="96">
        <f t="shared" ref="AE391:AG395" si="97">IF(AA391=" ",IF($X391&gt;=AE$12,AE390,""),AA391)</f>
        <v>0</v>
      </c>
      <c r="AF391" s="96">
        <f t="shared" si="97"/>
        <v>0</v>
      </c>
      <c r="AG391" s="96">
        <f t="shared" si="97"/>
        <v>0</v>
      </c>
      <c r="AH391" s="211" t="str">
        <f t="shared" si="91"/>
        <v>0,;!0,;!0,;!0</v>
      </c>
      <c r="AI391" s="211" t="e">
        <f>INDEX([1]Library!$AL:$AL,MATCH(AH391,[1]Library!$AJ:$AJ,0),1)</f>
        <v>#N/A</v>
      </c>
      <c r="AJ391" s="211" t="e">
        <f>TEXT(INDEX([1]Library!$W:$W,MATCH(AH391,[1]Library!$AJ:$AJ,0),1),"")</f>
        <v>#N/A</v>
      </c>
    </row>
    <row r="392" spans="1:36" ht="25.2" hidden="1" customHeight="1" outlineLevel="2">
      <c r="A392" s="228"/>
      <c r="B392" s="229"/>
      <c r="C392" s="230"/>
      <c r="D392" s="231" t="s">
        <v>417</v>
      </c>
      <c r="E392" s="232"/>
      <c r="F392" s="233"/>
      <c r="G392" s="379"/>
      <c r="H392" s="380">
        <v>25420</v>
      </c>
      <c r="I392" s="234" t="s">
        <v>354</v>
      </c>
      <c r="J392" s="235">
        <v>68.75</v>
      </c>
      <c r="K392" s="236">
        <v>1747625</v>
      </c>
      <c r="L392" s="235">
        <v>20.625</v>
      </c>
      <c r="M392" s="236">
        <v>524287.5</v>
      </c>
      <c r="N392" s="237">
        <v>0</v>
      </c>
      <c r="O392" s="236">
        <v>0</v>
      </c>
      <c r="P392" s="238">
        <v>2271912.5</v>
      </c>
      <c r="Q392" s="239">
        <f t="shared" si="88"/>
        <v>1.22209992431478E-3</v>
      </c>
      <c r="R392" s="236">
        <f t="shared" si="89"/>
        <v>121.873256587417</v>
      </c>
      <c r="S392" s="240">
        <f t="shared" si="90"/>
        <v>4454.73039215686</v>
      </c>
      <c r="T392" s="241"/>
      <c r="U392" s="225"/>
      <c r="V392" s="226"/>
      <c r="W392" s="227"/>
      <c r="X392" s="226"/>
      <c r="Y392" s="226"/>
      <c r="Z392" s="226"/>
      <c r="AA392" s="226"/>
      <c r="AB392" s="226"/>
      <c r="AC392" s="226"/>
      <c r="AD392" s="96">
        <f>IF(X392&lt;&gt;0,IF($X392&gt;=AD$12,AD391,""),Z392)</f>
        <v>0</v>
      </c>
      <c r="AE392" s="96">
        <f t="shared" si="97"/>
        <v>0</v>
      </c>
      <c r="AF392" s="96">
        <f t="shared" si="97"/>
        <v>0</v>
      </c>
      <c r="AG392" s="96">
        <f t="shared" si="97"/>
        <v>0</v>
      </c>
      <c r="AH392" s="211" t="str">
        <f t="shared" si="91"/>
        <v>0,;!0,;!0,;!0</v>
      </c>
      <c r="AI392" s="211" t="e">
        <f>INDEX([1]Library!$AL:$AL,MATCH(AH392,[1]Library!$AJ:$AJ,0),1)</f>
        <v>#N/A</v>
      </c>
      <c r="AJ392" s="211" t="e">
        <f>TEXT(INDEX([1]Library!$W:$W,MATCH(AH392,[1]Library!$AJ:$AJ,0),1),"")</f>
        <v>#N/A</v>
      </c>
    </row>
    <row r="393" spans="1:36" ht="25.2" hidden="1" customHeight="1" outlineLevel="2">
      <c r="A393" s="228"/>
      <c r="B393" s="229"/>
      <c r="C393" s="230"/>
      <c r="D393" s="231" t="s">
        <v>418</v>
      </c>
      <c r="E393" s="232"/>
      <c r="F393" s="233"/>
      <c r="G393" s="379"/>
      <c r="H393" s="380">
        <v>12976</v>
      </c>
      <c r="I393" s="234" t="s">
        <v>354</v>
      </c>
      <c r="J393" s="235">
        <v>81.25</v>
      </c>
      <c r="K393" s="236">
        <v>1054300</v>
      </c>
      <c r="L393" s="235">
        <v>24.375</v>
      </c>
      <c r="M393" s="236">
        <v>316290</v>
      </c>
      <c r="N393" s="237">
        <v>0</v>
      </c>
      <c r="O393" s="236">
        <v>0</v>
      </c>
      <c r="P393" s="238">
        <v>1370590</v>
      </c>
      <c r="Q393" s="239">
        <f t="shared" si="88"/>
        <v>7.3726340044636199E-4</v>
      </c>
      <c r="R393" s="236">
        <f t="shared" si="89"/>
        <v>73.523195433868295</v>
      </c>
      <c r="S393" s="240">
        <f t="shared" si="90"/>
        <v>2687.4313725490201</v>
      </c>
      <c r="T393" s="241"/>
      <c r="U393" s="225"/>
      <c r="V393" s="226"/>
      <c r="W393" s="227"/>
      <c r="X393" s="226"/>
      <c r="Y393" s="226"/>
      <c r="Z393" s="226"/>
      <c r="AA393" s="226"/>
      <c r="AB393" s="226"/>
      <c r="AC393" s="226"/>
      <c r="AD393" s="96">
        <f>IF(X393&lt;&gt;0,IF($X393&gt;=AD$12,AD392,""),Z393)</f>
        <v>0</v>
      </c>
      <c r="AE393" s="96">
        <f t="shared" si="97"/>
        <v>0</v>
      </c>
      <c r="AF393" s="96">
        <f t="shared" si="97"/>
        <v>0</v>
      </c>
      <c r="AG393" s="96">
        <f t="shared" si="97"/>
        <v>0</v>
      </c>
      <c r="AH393" s="211" t="str">
        <f t="shared" si="91"/>
        <v>0,;!0,;!0,;!0</v>
      </c>
      <c r="AI393" s="211" t="e">
        <f>INDEX([1]Library!$AL:$AL,MATCH(AH393,[1]Library!$AJ:$AJ,0),1)</f>
        <v>#N/A</v>
      </c>
      <c r="AJ393" s="211" t="e">
        <f>TEXT(INDEX([1]Library!$W:$W,MATCH(AH393,[1]Library!$AJ:$AJ,0),1),"")</f>
        <v>#N/A</v>
      </c>
    </row>
    <row r="394" spans="1:36" ht="25.2" hidden="1" customHeight="1" outlineLevel="2">
      <c r="A394" s="228"/>
      <c r="B394" s="229"/>
      <c r="C394" s="230"/>
      <c r="D394" s="231" t="s">
        <v>419</v>
      </c>
      <c r="E394" s="232"/>
      <c r="F394" s="233"/>
      <c r="G394" s="379"/>
      <c r="H394" s="380">
        <v>1260</v>
      </c>
      <c r="I394" s="234" t="s">
        <v>354</v>
      </c>
      <c r="J394" s="235">
        <v>97.5</v>
      </c>
      <c r="K394" s="236">
        <v>122850</v>
      </c>
      <c r="L394" s="235">
        <v>29.25</v>
      </c>
      <c r="M394" s="236">
        <v>36855</v>
      </c>
      <c r="N394" s="237">
        <v>0</v>
      </c>
      <c r="O394" s="236">
        <v>0</v>
      </c>
      <c r="P394" s="238">
        <v>159705</v>
      </c>
      <c r="Q394" s="239">
        <f t="shared" si="88"/>
        <v>8.5908004121061895E-5</v>
      </c>
      <c r="R394" s="236">
        <f t="shared" si="89"/>
        <v>8.5671294309501302</v>
      </c>
      <c r="S394" s="240">
        <f t="shared" si="90"/>
        <v>313.14705882352899</v>
      </c>
      <c r="T394" s="241"/>
      <c r="U394" s="225"/>
      <c r="V394" s="226"/>
      <c r="W394" s="227"/>
      <c r="X394" s="226"/>
      <c r="Y394" s="226"/>
      <c r="Z394" s="226"/>
      <c r="AA394" s="226"/>
      <c r="AB394" s="226"/>
      <c r="AC394" s="226"/>
      <c r="AD394" s="96">
        <f>IF(X394&lt;&gt;0,IF($X394&gt;=AD$12,AD393,""),Z394)</f>
        <v>0</v>
      </c>
      <c r="AE394" s="96">
        <f t="shared" si="97"/>
        <v>0</v>
      </c>
      <c r="AF394" s="96">
        <f t="shared" si="97"/>
        <v>0</v>
      </c>
      <c r="AG394" s="96">
        <f t="shared" si="97"/>
        <v>0</v>
      </c>
      <c r="AH394" s="211" t="str">
        <f t="shared" si="91"/>
        <v>0,;!0,;!0,;!0</v>
      </c>
      <c r="AI394" s="211" t="e">
        <f>INDEX([1]Library!$AL:$AL,MATCH(AH394,[1]Library!$AJ:$AJ,0),1)</f>
        <v>#N/A</v>
      </c>
      <c r="AJ394" s="211" t="e">
        <f>TEXT(INDEX([1]Library!$W:$W,MATCH(AH394,[1]Library!$AJ:$AJ,0),1),"")</f>
        <v>#N/A</v>
      </c>
    </row>
    <row r="395" spans="1:36" ht="25.2" hidden="1" customHeight="1" outlineLevel="2">
      <c r="A395" s="228"/>
      <c r="B395" s="229"/>
      <c r="C395" s="230"/>
      <c r="D395" s="231" t="s">
        <v>420</v>
      </c>
      <c r="E395" s="232"/>
      <c r="F395" s="233"/>
      <c r="G395" s="379"/>
      <c r="H395" s="380">
        <v>12</v>
      </c>
      <c r="I395" s="234" t="s">
        <v>354</v>
      </c>
      <c r="J395" s="235">
        <v>81.25</v>
      </c>
      <c r="K395" s="236">
        <v>975</v>
      </c>
      <c r="L395" s="235">
        <v>24.375</v>
      </c>
      <c r="M395" s="236">
        <v>292.5</v>
      </c>
      <c r="N395" s="237">
        <v>0</v>
      </c>
      <c r="O395" s="236">
        <v>0</v>
      </c>
      <c r="P395" s="238">
        <v>1267.5</v>
      </c>
      <c r="Q395" s="239">
        <f t="shared" si="88"/>
        <v>6.8180955651636401E-7</v>
      </c>
      <c r="R395" s="236">
        <f t="shared" si="89"/>
        <v>6.7993090721826493E-2</v>
      </c>
      <c r="S395" s="240">
        <f t="shared" si="90"/>
        <v>2.4852941176470602</v>
      </c>
      <c r="T395" s="241"/>
      <c r="U395" s="225"/>
      <c r="V395" s="226"/>
      <c r="W395" s="227"/>
      <c r="X395" s="226"/>
      <c r="Y395" s="226"/>
      <c r="Z395" s="226"/>
      <c r="AA395" s="226"/>
      <c r="AB395" s="226"/>
      <c r="AC395" s="226"/>
      <c r="AD395" s="96">
        <f>IF(X395&lt;&gt;0,IF($X395&gt;=AD$12,AD394,""),Z395)</f>
        <v>0</v>
      </c>
      <c r="AE395" s="96">
        <f t="shared" si="97"/>
        <v>0</v>
      </c>
      <c r="AF395" s="96">
        <f t="shared" si="97"/>
        <v>0</v>
      </c>
      <c r="AG395" s="96">
        <f t="shared" si="97"/>
        <v>0</v>
      </c>
      <c r="AH395" s="211" t="str">
        <f t="shared" si="91"/>
        <v>0,;!0,;!0,;!0</v>
      </c>
      <c r="AI395" s="211" t="e">
        <f>INDEX([1]Library!$AL:$AL,MATCH(AH395,[1]Library!$AJ:$AJ,0),1)</f>
        <v>#N/A</v>
      </c>
      <c r="AJ395" s="211" t="e">
        <f>TEXT(INDEX([1]Library!$W:$W,MATCH(AH395,[1]Library!$AJ:$AJ,0),1),"")</f>
        <v>#N/A</v>
      </c>
    </row>
    <row r="396" spans="1:36" ht="25.2" hidden="1" customHeight="1" outlineLevel="1" collapsed="1">
      <c r="A396" s="213"/>
      <c r="B396" s="214"/>
      <c r="C396" s="215" t="s">
        <v>421</v>
      </c>
      <c r="D396" s="215"/>
      <c r="E396" s="216"/>
      <c r="F396" s="217"/>
      <c r="G396" s="379"/>
      <c r="H396" s="219">
        <v>1</v>
      </c>
      <c r="I396" s="218" t="s">
        <v>32</v>
      </c>
      <c r="J396" s="219">
        <v>28321530.061428599</v>
      </c>
      <c r="K396" s="219">
        <v>28321530.061428599</v>
      </c>
      <c r="L396" s="219">
        <v>8400528.1040000003</v>
      </c>
      <c r="M396" s="219">
        <v>8400528.1040000003</v>
      </c>
      <c r="N396" s="219">
        <v>0</v>
      </c>
      <c r="O396" s="219">
        <v>0</v>
      </c>
      <c r="P396" s="220">
        <v>36722058.165428601</v>
      </c>
      <c r="Q396" s="221">
        <f t="shared" si="88"/>
        <v>1.9753412380385801E-2</v>
      </c>
      <c r="R396" s="222">
        <f t="shared" si="89"/>
        <v>1969.8984081532001</v>
      </c>
      <c r="S396" s="223">
        <f t="shared" si="90"/>
        <v>72004.035618487498</v>
      </c>
      <c r="T396" s="224"/>
      <c r="U396" s="225"/>
      <c r="V396" s="226"/>
      <c r="W396" s="227"/>
      <c r="X396" s="226"/>
      <c r="Y396" s="226"/>
      <c r="Z396" s="226"/>
      <c r="AA396" s="226"/>
      <c r="AB396" s="226"/>
      <c r="AC396" s="226"/>
      <c r="AD396" s="96">
        <f>IF(X396&lt;&gt;0,IF($X396&gt;=AD$12,#REF!,""),Z396)</f>
        <v>0</v>
      </c>
      <c r="AE396" s="96">
        <f>IF(AA396=" ",IF($X396&gt;=AE$12,#REF!,""),AA396)</f>
        <v>0</v>
      </c>
      <c r="AF396" s="96">
        <f>IF(AB396=" ",IF($X396&gt;=AF$12,#REF!,""),AB396)</f>
        <v>0</v>
      </c>
      <c r="AG396" s="96">
        <f>IF(AC396=" ",IF($X396&gt;=AG$12,#REF!,""),AC396)</f>
        <v>0</v>
      </c>
      <c r="AH396" s="211" t="str">
        <f t="shared" si="91"/>
        <v>0,;!0,;!0,;!0</v>
      </c>
      <c r="AI396" s="211" t="e">
        <f>INDEX([1]Library!$AL:$AL,MATCH(AH396,[1]Library!$AJ:$AJ,0),1)</f>
        <v>#N/A</v>
      </c>
      <c r="AJ396" s="211" t="e">
        <f>TEXT(INDEX([1]Library!$W:$W,MATCH(AH396,[1]Library!$AJ:$AJ,0),1),"")</f>
        <v>#N/A</v>
      </c>
    </row>
    <row r="397" spans="1:36" ht="25.2" hidden="1" customHeight="1" outlineLevel="2">
      <c r="A397" s="228"/>
      <c r="B397" s="229"/>
      <c r="C397" s="230"/>
      <c r="D397" s="231" t="s">
        <v>422</v>
      </c>
      <c r="E397" s="232"/>
      <c r="F397" s="233"/>
      <c r="G397" s="379"/>
      <c r="H397" s="380">
        <v>332520</v>
      </c>
      <c r="I397" s="234" t="s">
        <v>176</v>
      </c>
      <c r="J397" s="235">
        <v>16.5178571428571</v>
      </c>
      <c r="K397" s="236">
        <v>5492517.8571428601</v>
      </c>
      <c r="L397" s="235">
        <v>5.37</v>
      </c>
      <c r="M397" s="236">
        <v>1785632.4</v>
      </c>
      <c r="N397" s="237">
        <v>0</v>
      </c>
      <c r="O397" s="236">
        <v>0</v>
      </c>
      <c r="P397" s="238">
        <v>7278150.2571428604</v>
      </c>
      <c r="Q397" s="239">
        <f t="shared" ref="Q397:Q460" si="98">P397/P$13</f>
        <v>3.9150393681120603E-3</v>
      </c>
      <c r="R397" s="236">
        <f t="shared" ref="R397:R460" si="99">P397/I$5</f>
        <v>390.42519189033499</v>
      </c>
      <c r="S397" s="240">
        <f t="shared" ref="S397:S460" si="100">P397/I$7</f>
        <v>14270.8828571429</v>
      </c>
      <c r="T397" s="241"/>
      <c r="U397" s="225"/>
      <c r="V397" s="226"/>
      <c r="W397" s="227"/>
      <c r="X397" s="226"/>
      <c r="Y397" s="226"/>
      <c r="Z397" s="226"/>
      <c r="AA397" s="226"/>
      <c r="AB397" s="226"/>
      <c r="AC397" s="226"/>
      <c r="AD397" s="96">
        <f t="shared" ref="AD397:AD405" si="101">IF(X397&lt;&gt;0,IF($X397&gt;=AD$12,AD396,""),Z397)</f>
        <v>0</v>
      </c>
      <c r="AE397" s="96">
        <f t="shared" ref="AE397:AE405" si="102">IF(AA397=" ",IF($X397&gt;=AE$12,AE396,""),AA397)</f>
        <v>0</v>
      </c>
      <c r="AF397" s="96">
        <f t="shared" ref="AF397:AF405" si="103">IF(AB397=" ",IF($X397&gt;=AF$12,AF396,""),AB397)</f>
        <v>0</v>
      </c>
      <c r="AG397" s="96">
        <f t="shared" ref="AG397:AG405" si="104">IF(AC397=" ",IF($X397&gt;=AG$12,AG396,""),AC397)</f>
        <v>0</v>
      </c>
      <c r="AH397" s="211" t="str">
        <f t="shared" si="91"/>
        <v>0,;!0,;!0,;!0</v>
      </c>
      <c r="AI397" s="211" t="e">
        <f>INDEX([1]Library!$AL:$AL,MATCH(AH397,[1]Library!$AJ:$AJ,0),1)</f>
        <v>#N/A</v>
      </c>
      <c r="AJ397" s="211" t="e">
        <f>TEXT(INDEX([1]Library!$W:$W,MATCH(AH397,[1]Library!$AJ:$AJ,0),1),"")</f>
        <v>#N/A</v>
      </c>
    </row>
    <row r="398" spans="1:36" ht="25.2" hidden="1" customHeight="1" outlineLevel="2">
      <c r="A398" s="228"/>
      <c r="B398" s="229"/>
      <c r="C398" s="230"/>
      <c r="D398" s="231" t="s">
        <v>423</v>
      </c>
      <c r="E398" s="232"/>
      <c r="F398" s="233"/>
      <c r="G398" s="379"/>
      <c r="H398" s="380">
        <v>271320</v>
      </c>
      <c r="I398" s="234" t="s">
        <v>176</v>
      </c>
      <c r="J398" s="235">
        <v>20.3125</v>
      </c>
      <c r="K398" s="236">
        <v>5511187.5</v>
      </c>
      <c r="L398" s="235">
        <v>6.63</v>
      </c>
      <c r="M398" s="236">
        <v>1798851.6</v>
      </c>
      <c r="N398" s="237">
        <v>0</v>
      </c>
      <c r="O398" s="236">
        <v>0</v>
      </c>
      <c r="P398" s="238">
        <v>7310039.0999999996</v>
      </c>
      <c r="Q398" s="239">
        <f t="shared" si="98"/>
        <v>3.9321929127323699E-3</v>
      </c>
      <c r="R398" s="236">
        <f t="shared" si="99"/>
        <v>392.13581988670501</v>
      </c>
      <c r="S398" s="240">
        <f t="shared" si="100"/>
        <v>14333.41</v>
      </c>
      <c r="T398" s="241"/>
      <c r="U398" s="225"/>
      <c r="V398" s="226"/>
      <c r="W398" s="227"/>
      <c r="X398" s="226"/>
      <c r="Y398" s="226"/>
      <c r="Z398" s="226"/>
      <c r="AA398" s="226"/>
      <c r="AB398" s="226"/>
      <c r="AC398" s="226"/>
      <c r="AD398" s="96">
        <f t="shared" si="101"/>
        <v>0</v>
      </c>
      <c r="AE398" s="96">
        <f t="shared" si="102"/>
        <v>0</v>
      </c>
      <c r="AF398" s="96">
        <f t="shared" si="103"/>
        <v>0</v>
      </c>
      <c r="AG398" s="96">
        <f t="shared" si="104"/>
        <v>0</v>
      </c>
      <c r="AH398" s="211" t="str">
        <f t="shared" ref="AH398:AH461" si="105">AD398&amp;",;!"&amp;AE398&amp;",;!"&amp;AF398&amp;",;!"&amp;AG398</f>
        <v>0,;!0,;!0,;!0</v>
      </c>
      <c r="AI398" s="211" t="e">
        <f>INDEX([1]Library!$AL:$AL,MATCH(AH398,[1]Library!$AJ:$AJ,0),1)</f>
        <v>#N/A</v>
      </c>
      <c r="AJ398" s="211" t="e">
        <f>TEXT(INDEX([1]Library!$W:$W,MATCH(AH398,[1]Library!$AJ:$AJ,0),1),"")</f>
        <v>#N/A</v>
      </c>
    </row>
    <row r="399" spans="1:36" ht="25.2" hidden="1" customHeight="1" outlineLevel="2">
      <c r="A399" s="228"/>
      <c r="B399" s="229"/>
      <c r="C399" s="230"/>
      <c r="D399" s="231" t="s">
        <v>424</v>
      </c>
      <c r="E399" s="232"/>
      <c r="F399" s="233"/>
      <c r="G399" s="379"/>
      <c r="H399" s="380">
        <v>32828</v>
      </c>
      <c r="I399" s="234" t="s">
        <v>176</v>
      </c>
      <c r="J399" s="235">
        <v>20.089285714285701</v>
      </c>
      <c r="K399" s="236">
        <v>659491.07142857101</v>
      </c>
      <c r="L399" s="235">
        <v>6.63</v>
      </c>
      <c r="M399" s="236">
        <v>217649.64</v>
      </c>
      <c r="N399" s="237">
        <v>0</v>
      </c>
      <c r="O399" s="236">
        <v>0</v>
      </c>
      <c r="P399" s="238">
        <v>877140.71142857103</v>
      </c>
      <c r="Q399" s="239">
        <f t="shared" si="98"/>
        <v>4.7182873330300798E-4</v>
      </c>
      <c r="R399" s="236">
        <f t="shared" si="99"/>
        <v>47.052866246919301</v>
      </c>
      <c r="S399" s="240">
        <f t="shared" si="100"/>
        <v>1719.88374789916</v>
      </c>
      <c r="T399" s="241"/>
      <c r="U399" s="225"/>
      <c r="V399" s="226"/>
      <c r="W399" s="227"/>
      <c r="X399" s="226"/>
      <c r="Y399" s="226"/>
      <c r="Z399" s="226"/>
      <c r="AA399" s="226"/>
      <c r="AB399" s="226"/>
      <c r="AC399" s="226"/>
      <c r="AD399" s="96">
        <f t="shared" si="101"/>
        <v>0</v>
      </c>
      <c r="AE399" s="96">
        <f t="shared" si="102"/>
        <v>0</v>
      </c>
      <c r="AF399" s="96">
        <f t="shared" si="103"/>
        <v>0</v>
      </c>
      <c r="AG399" s="96">
        <f t="shared" si="104"/>
        <v>0</v>
      </c>
      <c r="AH399" s="211" t="str">
        <f t="shared" si="105"/>
        <v>0,;!0,;!0,;!0</v>
      </c>
      <c r="AI399" s="211" t="e">
        <f>INDEX([1]Library!$AL:$AL,MATCH(AH399,[1]Library!$AJ:$AJ,0),1)</f>
        <v>#N/A</v>
      </c>
      <c r="AJ399" s="211" t="e">
        <f>TEXT(INDEX([1]Library!$W:$W,MATCH(AH399,[1]Library!$AJ:$AJ,0),1),"")</f>
        <v>#N/A</v>
      </c>
    </row>
    <row r="400" spans="1:36" ht="25.2" hidden="1" customHeight="1" outlineLevel="2">
      <c r="A400" s="228"/>
      <c r="B400" s="229"/>
      <c r="C400" s="230"/>
      <c r="D400" s="231" t="s">
        <v>290</v>
      </c>
      <c r="E400" s="232"/>
      <c r="F400" s="233"/>
      <c r="G400" s="379"/>
      <c r="H400" s="380">
        <v>65684</v>
      </c>
      <c r="I400" s="234" t="s">
        <v>176</v>
      </c>
      <c r="J400" s="235">
        <v>29.464285714285701</v>
      </c>
      <c r="K400" s="236">
        <v>1935332.1428571399</v>
      </c>
      <c r="L400" s="235">
        <v>8.0850000000000009</v>
      </c>
      <c r="M400" s="236">
        <v>531055.14</v>
      </c>
      <c r="N400" s="237">
        <v>0</v>
      </c>
      <c r="O400" s="236">
        <v>0</v>
      </c>
      <c r="P400" s="238">
        <v>2466387.2828571401</v>
      </c>
      <c r="Q400" s="239">
        <f t="shared" si="98"/>
        <v>1.3267111791104001E-3</v>
      </c>
      <c r="R400" s="236">
        <f t="shared" si="99"/>
        <v>132.30555761614599</v>
      </c>
      <c r="S400" s="240">
        <f t="shared" si="100"/>
        <v>4836.05349579831</v>
      </c>
      <c r="T400" s="241"/>
      <c r="U400" s="225"/>
      <c r="V400" s="226"/>
      <c r="W400" s="227"/>
      <c r="X400" s="226"/>
      <c r="Y400" s="226"/>
      <c r="Z400" s="226"/>
      <c r="AA400" s="226"/>
      <c r="AB400" s="226"/>
      <c r="AC400" s="226"/>
      <c r="AD400" s="96">
        <f t="shared" si="101"/>
        <v>0</v>
      </c>
      <c r="AE400" s="96">
        <f t="shared" si="102"/>
        <v>0</v>
      </c>
      <c r="AF400" s="96">
        <f t="shared" si="103"/>
        <v>0</v>
      </c>
      <c r="AG400" s="96">
        <f t="shared" si="104"/>
        <v>0</v>
      </c>
      <c r="AH400" s="211" t="str">
        <f t="shared" si="105"/>
        <v>0,;!0,;!0,;!0</v>
      </c>
      <c r="AI400" s="211" t="e">
        <f>INDEX([1]Library!$AL:$AL,MATCH(AH400,[1]Library!$AJ:$AJ,0),1)</f>
        <v>#N/A</v>
      </c>
      <c r="AJ400" s="211" t="e">
        <f>TEXT(INDEX([1]Library!$W:$W,MATCH(AH400,[1]Library!$AJ:$AJ,0),1),"")</f>
        <v>#N/A</v>
      </c>
    </row>
    <row r="401" spans="1:36" ht="25.2" hidden="1" customHeight="1" outlineLevel="2">
      <c r="A401" s="228"/>
      <c r="B401" s="229"/>
      <c r="C401" s="230"/>
      <c r="D401" s="231" t="s">
        <v>425</v>
      </c>
      <c r="E401" s="232"/>
      <c r="F401" s="233"/>
      <c r="G401" s="379"/>
      <c r="H401" s="380">
        <v>227448</v>
      </c>
      <c r="I401" s="234" t="s">
        <v>176</v>
      </c>
      <c r="J401" s="235">
        <v>45.089285714285701</v>
      </c>
      <c r="K401" s="236">
        <v>10255467.857142899</v>
      </c>
      <c r="L401" s="235">
        <v>12.3725</v>
      </c>
      <c r="M401" s="236">
        <v>2814100.38</v>
      </c>
      <c r="N401" s="237">
        <v>0</v>
      </c>
      <c r="O401" s="236">
        <v>0</v>
      </c>
      <c r="P401" s="238">
        <v>13069568.2371429</v>
      </c>
      <c r="Q401" s="239">
        <f t="shared" si="98"/>
        <v>7.0303404525654698E-3</v>
      </c>
      <c r="R401" s="236">
        <f t="shared" si="99"/>
        <v>701.09691427468101</v>
      </c>
      <c r="S401" s="240">
        <f t="shared" si="100"/>
        <v>25626.6043865547</v>
      </c>
      <c r="T401" s="241"/>
      <c r="U401" s="225"/>
      <c r="V401" s="226"/>
      <c r="W401" s="227"/>
      <c r="X401" s="226"/>
      <c r="Y401" s="226"/>
      <c r="Z401" s="226"/>
      <c r="AA401" s="226"/>
      <c r="AB401" s="226"/>
      <c r="AC401" s="226"/>
      <c r="AD401" s="96">
        <f t="shared" si="101"/>
        <v>0</v>
      </c>
      <c r="AE401" s="96">
        <f t="shared" si="102"/>
        <v>0</v>
      </c>
      <c r="AF401" s="96">
        <f t="shared" si="103"/>
        <v>0</v>
      </c>
      <c r="AG401" s="96">
        <f t="shared" si="104"/>
        <v>0</v>
      </c>
      <c r="AH401" s="211" t="str">
        <f t="shared" si="105"/>
        <v>0,;!0,;!0,;!0</v>
      </c>
      <c r="AI401" s="211" t="e">
        <f>INDEX([1]Library!$AL:$AL,MATCH(AH401,[1]Library!$AJ:$AJ,0),1)</f>
        <v>#N/A</v>
      </c>
      <c r="AJ401" s="211" t="e">
        <f>TEXT(INDEX([1]Library!$W:$W,MATCH(AH401,[1]Library!$AJ:$AJ,0),1),"")</f>
        <v>#N/A</v>
      </c>
    </row>
    <row r="402" spans="1:36" ht="25.2" hidden="1" customHeight="1" outlineLevel="2">
      <c r="A402" s="228"/>
      <c r="B402" s="229"/>
      <c r="C402" s="230"/>
      <c r="D402" s="231" t="s">
        <v>426</v>
      </c>
      <c r="E402" s="232"/>
      <c r="F402" s="233"/>
      <c r="G402" s="379"/>
      <c r="H402" s="380">
        <v>28160</v>
      </c>
      <c r="I402" s="234" t="s">
        <v>176</v>
      </c>
      <c r="J402" s="235">
        <v>70.535714285714306</v>
      </c>
      <c r="K402" s="236">
        <v>1986285.7142857099</v>
      </c>
      <c r="L402" s="235">
        <v>19.355</v>
      </c>
      <c r="M402" s="236">
        <v>545036.80000000005</v>
      </c>
      <c r="N402" s="237">
        <v>0</v>
      </c>
      <c r="O402" s="236">
        <v>0</v>
      </c>
      <c r="P402" s="238">
        <v>2531322.5142857102</v>
      </c>
      <c r="Q402" s="239">
        <f t="shared" si="98"/>
        <v>1.36164093164894E-3</v>
      </c>
      <c r="R402" s="236">
        <f t="shared" si="99"/>
        <v>135.78890837083199</v>
      </c>
      <c r="S402" s="240">
        <f t="shared" si="100"/>
        <v>4963.3774789915897</v>
      </c>
      <c r="T402" s="241"/>
      <c r="U402" s="225"/>
      <c r="V402" s="226"/>
      <c r="W402" s="227"/>
      <c r="X402" s="226"/>
      <c r="Y402" s="226"/>
      <c r="Z402" s="226"/>
      <c r="AA402" s="226"/>
      <c r="AB402" s="226"/>
      <c r="AC402" s="226"/>
      <c r="AD402" s="96">
        <f t="shared" si="101"/>
        <v>0</v>
      </c>
      <c r="AE402" s="96">
        <f t="shared" si="102"/>
        <v>0</v>
      </c>
      <c r="AF402" s="96">
        <f t="shared" si="103"/>
        <v>0</v>
      </c>
      <c r="AG402" s="96">
        <f t="shared" si="104"/>
        <v>0</v>
      </c>
      <c r="AH402" s="211" t="str">
        <f t="shared" si="105"/>
        <v>0,;!0,;!0,;!0</v>
      </c>
      <c r="AI402" s="211" t="e">
        <f>INDEX([1]Library!$AL:$AL,MATCH(AH402,[1]Library!$AJ:$AJ,0),1)</f>
        <v>#N/A</v>
      </c>
      <c r="AJ402" s="211" t="e">
        <f>TEXT(INDEX([1]Library!$W:$W,MATCH(AH402,[1]Library!$AJ:$AJ,0),1),"")</f>
        <v>#N/A</v>
      </c>
    </row>
    <row r="403" spans="1:36" ht="25.2" hidden="1" customHeight="1" outlineLevel="2">
      <c r="A403" s="228"/>
      <c r="B403" s="229"/>
      <c r="C403" s="230"/>
      <c r="D403" s="231" t="s">
        <v>427</v>
      </c>
      <c r="E403" s="232"/>
      <c r="F403" s="233"/>
      <c r="G403" s="379"/>
      <c r="H403" s="380">
        <v>1520</v>
      </c>
      <c r="I403" s="234" t="s">
        <v>176</v>
      </c>
      <c r="J403" s="235">
        <v>112.27678571428601</v>
      </c>
      <c r="K403" s="236">
        <v>170660.714285714</v>
      </c>
      <c r="L403" s="235">
        <v>30.81</v>
      </c>
      <c r="M403" s="236">
        <v>46831.199999999997</v>
      </c>
      <c r="N403" s="237">
        <v>0</v>
      </c>
      <c r="O403" s="236">
        <v>0</v>
      </c>
      <c r="P403" s="238">
        <v>217491.91428571401</v>
      </c>
      <c r="Q403" s="239">
        <f t="shared" si="98"/>
        <v>1.16992556706144E-4</v>
      </c>
      <c r="R403" s="236">
        <f t="shared" si="99"/>
        <v>11.667019691749299</v>
      </c>
      <c r="S403" s="240">
        <f t="shared" si="100"/>
        <v>426.45473389355698</v>
      </c>
      <c r="T403" s="241"/>
      <c r="U403" s="225"/>
      <c r="V403" s="226"/>
      <c r="W403" s="227"/>
      <c r="X403" s="226"/>
      <c r="Y403" s="226"/>
      <c r="Z403" s="226"/>
      <c r="AA403" s="226"/>
      <c r="AB403" s="226"/>
      <c r="AC403" s="226"/>
      <c r="AD403" s="96">
        <f t="shared" si="101"/>
        <v>0</v>
      </c>
      <c r="AE403" s="96">
        <f t="shared" si="102"/>
        <v>0</v>
      </c>
      <c r="AF403" s="96">
        <f t="shared" si="103"/>
        <v>0</v>
      </c>
      <c r="AG403" s="96">
        <f t="shared" si="104"/>
        <v>0</v>
      </c>
      <c r="AH403" s="211" t="str">
        <f t="shared" si="105"/>
        <v>0,;!0,;!0,;!0</v>
      </c>
      <c r="AI403" s="211" t="e">
        <f>INDEX([1]Library!$AL:$AL,MATCH(AH403,[1]Library!$AJ:$AJ,0),1)</f>
        <v>#N/A</v>
      </c>
      <c r="AJ403" s="211" t="e">
        <f>TEXT(INDEX([1]Library!$W:$W,MATCH(AH403,[1]Library!$AJ:$AJ,0),1),"")</f>
        <v>#N/A</v>
      </c>
    </row>
    <row r="404" spans="1:36" ht="25.2" hidden="1" customHeight="1" outlineLevel="2">
      <c r="A404" s="228"/>
      <c r="B404" s="229"/>
      <c r="C404" s="230"/>
      <c r="D404" s="231" t="s">
        <v>428</v>
      </c>
      <c r="E404" s="232"/>
      <c r="F404" s="233"/>
      <c r="G404" s="379"/>
      <c r="H404" s="380">
        <v>1280</v>
      </c>
      <c r="I404" s="234" t="s">
        <v>176</v>
      </c>
      <c r="J404" s="235">
        <v>176.33928571428601</v>
      </c>
      <c r="K404" s="236">
        <v>225714.285714286</v>
      </c>
      <c r="L404" s="235">
        <v>48.387500000000003</v>
      </c>
      <c r="M404" s="236">
        <v>61936</v>
      </c>
      <c r="N404" s="237">
        <v>0</v>
      </c>
      <c r="O404" s="236">
        <v>0</v>
      </c>
      <c r="P404" s="238">
        <v>287650.28571428597</v>
      </c>
      <c r="Q404" s="239">
        <f t="shared" si="98"/>
        <v>1.5473192405101601E-4</v>
      </c>
      <c r="R404" s="236">
        <f t="shared" si="99"/>
        <v>15.4305577694128</v>
      </c>
      <c r="S404" s="240">
        <f t="shared" si="100"/>
        <v>564.02016806722702</v>
      </c>
      <c r="T404" s="241"/>
      <c r="U404" s="225"/>
      <c r="V404" s="226"/>
      <c r="W404" s="227"/>
      <c r="X404" s="226"/>
      <c r="Y404" s="226"/>
      <c r="Z404" s="226"/>
      <c r="AA404" s="226"/>
      <c r="AB404" s="226"/>
      <c r="AC404" s="226"/>
      <c r="AD404" s="96">
        <f t="shared" si="101"/>
        <v>0</v>
      </c>
      <c r="AE404" s="96">
        <f t="shared" si="102"/>
        <v>0</v>
      </c>
      <c r="AF404" s="96">
        <f t="shared" si="103"/>
        <v>0</v>
      </c>
      <c r="AG404" s="96">
        <f t="shared" si="104"/>
        <v>0</v>
      </c>
      <c r="AH404" s="211" t="str">
        <f t="shared" si="105"/>
        <v>0,;!0,;!0,;!0</v>
      </c>
      <c r="AI404" s="211" t="e">
        <f>INDEX([1]Library!$AL:$AL,MATCH(AH404,[1]Library!$AJ:$AJ,0),1)</f>
        <v>#N/A</v>
      </c>
      <c r="AJ404" s="211" t="e">
        <f>TEXT(INDEX([1]Library!$W:$W,MATCH(AH404,[1]Library!$AJ:$AJ,0),1),"")</f>
        <v>#N/A</v>
      </c>
    </row>
    <row r="405" spans="1:36" ht="25.2" hidden="1" customHeight="1" outlineLevel="2">
      <c r="A405" s="228"/>
      <c r="B405" s="229"/>
      <c r="C405" s="230"/>
      <c r="D405" s="231" t="s">
        <v>429</v>
      </c>
      <c r="E405" s="232"/>
      <c r="F405" s="233"/>
      <c r="G405" s="379"/>
      <c r="H405" s="380">
        <v>112</v>
      </c>
      <c r="I405" s="234" t="s">
        <v>176</v>
      </c>
      <c r="J405" s="235">
        <v>256.919642857143</v>
      </c>
      <c r="K405" s="236">
        <v>28775</v>
      </c>
      <c r="L405" s="235">
        <v>70.5</v>
      </c>
      <c r="M405" s="236">
        <v>7896</v>
      </c>
      <c r="N405" s="237">
        <v>0</v>
      </c>
      <c r="O405" s="236">
        <v>0</v>
      </c>
      <c r="P405" s="238">
        <v>36671</v>
      </c>
      <c r="Q405" s="239">
        <f t="shared" si="98"/>
        <v>1.9725947334920401E-5</v>
      </c>
      <c r="R405" s="236">
        <f t="shared" si="99"/>
        <v>1.96715947129002</v>
      </c>
      <c r="S405" s="240">
        <f t="shared" si="100"/>
        <v>71.903921568627496</v>
      </c>
      <c r="T405" s="241"/>
      <c r="U405" s="225"/>
      <c r="V405" s="226"/>
      <c r="W405" s="227"/>
      <c r="X405" s="226"/>
      <c r="Y405" s="226"/>
      <c r="Z405" s="226"/>
      <c r="AA405" s="226"/>
      <c r="AB405" s="226"/>
      <c r="AC405" s="226"/>
      <c r="AD405" s="96">
        <f t="shared" si="101"/>
        <v>0</v>
      </c>
      <c r="AE405" s="96">
        <f t="shared" si="102"/>
        <v>0</v>
      </c>
      <c r="AF405" s="96">
        <f t="shared" si="103"/>
        <v>0</v>
      </c>
      <c r="AG405" s="96">
        <f t="shared" si="104"/>
        <v>0</v>
      </c>
      <c r="AH405" s="211" t="str">
        <f t="shared" si="105"/>
        <v>0,;!0,;!0,;!0</v>
      </c>
      <c r="AI405" s="211" t="e">
        <f>INDEX([1]Library!$AL:$AL,MATCH(AH405,[1]Library!$AJ:$AJ,0),1)</f>
        <v>#N/A</v>
      </c>
      <c r="AJ405" s="211" t="e">
        <f>TEXT(INDEX([1]Library!$W:$W,MATCH(AH405,[1]Library!$AJ:$AJ,0),1),"")</f>
        <v>#N/A</v>
      </c>
    </row>
    <row r="406" spans="1:36" ht="25.2" hidden="1" customHeight="1" outlineLevel="2">
      <c r="A406" s="228"/>
      <c r="B406" s="229"/>
      <c r="C406" s="230"/>
      <c r="D406" s="231" t="s">
        <v>430</v>
      </c>
      <c r="E406" s="232"/>
      <c r="F406" s="233"/>
      <c r="G406" s="379"/>
      <c r="H406" s="380">
        <v>368</v>
      </c>
      <c r="I406" s="234" t="s">
        <v>176</v>
      </c>
      <c r="J406" s="235">
        <v>1475.015625</v>
      </c>
      <c r="K406" s="236">
        <v>542805.75</v>
      </c>
      <c r="L406" s="235">
        <v>393.33749999999998</v>
      </c>
      <c r="M406" s="236">
        <v>144748.20000000001</v>
      </c>
      <c r="N406" s="237">
        <v>0</v>
      </c>
      <c r="O406" s="236">
        <v>0</v>
      </c>
      <c r="P406" s="238">
        <v>687553.95</v>
      </c>
      <c r="Q406" s="239">
        <f t="shared" si="98"/>
        <v>3.6984682740084799E-4</v>
      </c>
      <c r="R406" s="236">
        <f t="shared" si="99"/>
        <v>36.882775620118402</v>
      </c>
      <c r="S406" s="240">
        <f t="shared" si="100"/>
        <v>1348.145</v>
      </c>
      <c r="T406" s="241"/>
      <c r="U406" s="225"/>
      <c r="V406" s="226"/>
      <c r="W406" s="227"/>
      <c r="X406" s="226"/>
      <c r="Y406" s="226"/>
      <c r="Z406" s="226"/>
      <c r="AA406" s="226"/>
      <c r="AB406" s="226"/>
      <c r="AC406" s="226"/>
      <c r="AD406" s="96">
        <f>IF(X406&lt;&gt;0,IF($X406&gt;=AD$12,#REF!,""),Z406)</f>
        <v>0</v>
      </c>
      <c r="AE406" s="96">
        <f>IF(AA406=" ",IF($X406&gt;=AE$12,#REF!,""),AA406)</f>
        <v>0</v>
      </c>
      <c r="AF406" s="96">
        <f>IF(AB406=" ",IF($X406&gt;=AF$12,#REF!,""),AB406)</f>
        <v>0</v>
      </c>
      <c r="AG406" s="96">
        <f>IF(AC406=" ",IF($X406&gt;=AG$12,#REF!,""),AC406)</f>
        <v>0</v>
      </c>
      <c r="AH406" s="211" t="str">
        <f t="shared" si="105"/>
        <v>0,;!0,;!0,;!0</v>
      </c>
      <c r="AI406" s="211" t="e">
        <f>INDEX([1]Library!$AL:$AL,MATCH(AH406,[1]Library!$AJ:$AJ,0),1)</f>
        <v>#N/A</v>
      </c>
      <c r="AJ406" s="211" t="e">
        <f>TEXT(INDEX([1]Library!$W:$W,MATCH(AH406,[1]Library!$AJ:$AJ,0),1),"")</f>
        <v>#N/A</v>
      </c>
    </row>
    <row r="407" spans="1:36" ht="25.2" hidden="1" customHeight="1" outlineLevel="2">
      <c r="A407" s="228"/>
      <c r="B407" s="229"/>
      <c r="C407" s="230"/>
      <c r="D407" s="231" t="s">
        <v>431</v>
      </c>
      <c r="E407" s="232"/>
      <c r="F407" s="233"/>
      <c r="G407" s="379"/>
      <c r="H407" s="380">
        <v>376</v>
      </c>
      <c r="I407" s="234" t="s">
        <v>176</v>
      </c>
      <c r="J407" s="235">
        <v>2019.6428571428601</v>
      </c>
      <c r="K407" s="236">
        <v>759385.71428571397</v>
      </c>
      <c r="L407" s="235">
        <v>554.625</v>
      </c>
      <c r="M407" s="236">
        <v>208539</v>
      </c>
      <c r="N407" s="237">
        <v>0</v>
      </c>
      <c r="O407" s="236">
        <v>0</v>
      </c>
      <c r="P407" s="238">
        <v>967924.71428571397</v>
      </c>
      <c r="Q407" s="239">
        <f t="shared" si="98"/>
        <v>5.2066297450759102E-4</v>
      </c>
      <c r="R407" s="236">
        <f t="shared" si="99"/>
        <v>51.922834643255598</v>
      </c>
      <c r="S407" s="240">
        <f t="shared" si="100"/>
        <v>1897.8915966386501</v>
      </c>
      <c r="T407" s="241"/>
      <c r="U407" s="225"/>
      <c r="V407" s="226"/>
      <c r="W407" s="227"/>
      <c r="X407" s="226"/>
      <c r="Y407" s="226"/>
      <c r="Z407" s="226"/>
      <c r="AA407" s="226"/>
      <c r="AB407" s="226"/>
      <c r="AC407" s="226"/>
      <c r="AD407" s="96">
        <f>IF(X407&lt;&gt;0,IF($X407&gt;=AD$12,#REF!,""),Z407)</f>
        <v>0</v>
      </c>
      <c r="AE407" s="96">
        <f>IF(AA407=" ",IF($X407&gt;=AE$12,#REF!,""),AA407)</f>
        <v>0</v>
      </c>
      <c r="AF407" s="96">
        <f>IF(AB407=" ",IF($X407&gt;=AF$12,#REF!,""),AB407)</f>
        <v>0</v>
      </c>
      <c r="AG407" s="96">
        <f>IF(AC407=" ",IF($X407&gt;=AG$12,#REF!,""),AC407)</f>
        <v>0</v>
      </c>
      <c r="AH407" s="211" t="str">
        <f t="shared" si="105"/>
        <v>0,;!0,;!0,;!0</v>
      </c>
      <c r="AI407" s="211" t="e">
        <f>INDEX([1]Library!$AL:$AL,MATCH(AH407,[1]Library!$AJ:$AJ,0),1)</f>
        <v>#N/A</v>
      </c>
      <c r="AJ407" s="211" t="e">
        <f>TEXT(INDEX([1]Library!$W:$W,MATCH(AH407,[1]Library!$AJ:$AJ,0),1),"")</f>
        <v>#N/A</v>
      </c>
    </row>
    <row r="408" spans="1:36" ht="25.2" hidden="1" customHeight="1" outlineLevel="2">
      <c r="A408" s="228"/>
      <c r="B408" s="229"/>
      <c r="C408" s="230"/>
      <c r="D408" s="231" t="s">
        <v>432</v>
      </c>
      <c r="E408" s="232"/>
      <c r="F408" s="233"/>
      <c r="G408" s="379"/>
      <c r="H408" s="380">
        <v>308</v>
      </c>
      <c r="I408" s="234" t="s">
        <v>176</v>
      </c>
      <c r="J408" s="235">
        <v>26.946428571428601</v>
      </c>
      <c r="K408" s="236">
        <v>8299.5</v>
      </c>
      <c r="L408" s="235">
        <v>9.0540000000000003</v>
      </c>
      <c r="M408" s="236">
        <v>2788.6320000000001</v>
      </c>
      <c r="N408" s="237">
        <v>0</v>
      </c>
      <c r="O408" s="236">
        <v>0</v>
      </c>
      <c r="P408" s="238">
        <v>11088.132</v>
      </c>
      <c r="Q408" s="239">
        <f t="shared" si="98"/>
        <v>5.9644925929111699E-6</v>
      </c>
      <c r="R408" s="236">
        <f t="shared" si="99"/>
        <v>0.59480581066002902</v>
      </c>
      <c r="S408" s="240">
        <f t="shared" si="100"/>
        <v>21.741435294117601</v>
      </c>
      <c r="T408" s="241"/>
      <c r="U408" s="225"/>
      <c r="V408" s="226"/>
      <c r="W408" s="227"/>
      <c r="X408" s="226"/>
      <c r="Y408" s="226"/>
      <c r="Z408" s="226"/>
      <c r="AA408" s="226"/>
      <c r="AB408" s="226"/>
      <c r="AC408" s="226"/>
      <c r="AD408" s="96">
        <f t="shared" ref="AD408:AD413" si="106">IF(X408&lt;&gt;0,IF($X408&gt;=AD$12,AD407,""),Z408)</f>
        <v>0</v>
      </c>
      <c r="AE408" s="96">
        <f t="shared" ref="AE408:AE413" si="107">IF(AA408=" ",IF($X408&gt;=AE$12,AE407,""),AA408)</f>
        <v>0</v>
      </c>
      <c r="AF408" s="96">
        <f t="shared" ref="AF408:AF413" si="108">IF(AB408=" ",IF($X408&gt;=AF$12,AF407,""),AB408)</f>
        <v>0</v>
      </c>
      <c r="AG408" s="96">
        <f t="shared" ref="AG408:AG413" si="109">IF(AC408=" ",IF($X408&gt;=AG$12,AG407,""),AC408)</f>
        <v>0</v>
      </c>
      <c r="AH408" s="211" t="str">
        <f t="shared" si="105"/>
        <v>0,;!0,;!0,;!0</v>
      </c>
      <c r="AI408" s="211" t="e">
        <f>INDEX([1]Library!$AL:$AL,MATCH(AH408,[1]Library!$AJ:$AJ,0),1)</f>
        <v>#N/A</v>
      </c>
      <c r="AJ408" s="211" t="e">
        <f>TEXT(INDEX([1]Library!$W:$W,MATCH(AH408,[1]Library!$AJ:$AJ,0),1),"")</f>
        <v>#N/A</v>
      </c>
    </row>
    <row r="409" spans="1:36" ht="25.2" hidden="1" customHeight="1" outlineLevel="2">
      <c r="A409" s="228"/>
      <c r="B409" s="229"/>
      <c r="C409" s="230"/>
      <c r="D409" s="231" t="s">
        <v>433</v>
      </c>
      <c r="E409" s="232"/>
      <c r="F409" s="233"/>
      <c r="G409" s="379"/>
      <c r="H409" s="380">
        <v>692</v>
      </c>
      <c r="I409" s="234" t="s">
        <v>176</v>
      </c>
      <c r="J409" s="235">
        <v>42.321428571428598</v>
      </c>
      <c r="K409" s="236">
        <v>29286.428571428602</v>
      </c>
      <c r="L409" s="235">
        <v>14.22</v>
      </c>
      <c r="M409" s="236">
        <v>9840.24</v>
      </c>
      <c r="N409" s="237">
        <v>0</v>
      </c>
      <c r="O409" s="236">
        <v>0</v>
      </c>
      <c r="P409" s="238">
        <v>39126.6685714286</v>
      </c>
      <c r="Q409" s="239">
        <f t="shared" si="98"/>
        <v>2.1046892738973202E-5</v>
      </c>
      <c r="R409" s="236">
        <f t="shared" si="99"/>
        <v>2.09889004009466</v>
      </c>
      <c r="S409" s="240">
        <f t="shared" si="100"/>
        <v>76.718957983193306</v>
      </c>
      <c r="T409" s="241"/>
      <c r="U409" s="225"/>
      <c r="V409" s="226"/>
      <c r="W409" s="227"/>
      <c r="X409" s="226"/>
      <c r="Y409" s="226"/>
      <c r="Z409" s="226"/>
      <c r="AA409" s="226"/>
      <c r="AB409" s="226"/>
      <c r="AC409" s="226"/>
      <c r="AD409" s="96">
        <f t="shared" si="106"/>
        <v>0</v>
      </c>
      <c r="AE409" s="96">
        <f t="shared" si="107"/>
        <v>0</v>
      </c>
      <c r="AF409" s="96">
        <f t="shared" si="108"/>
        <v>0</v>
      </c>
      <c r="AG409" s="96">
        <f t="shared" si="109"/>
        <v>0</v>
      </c>
      <c r="AH409" s="211" t="str">
        <f t="shared" si="105"/>
        <v>0,;!0,;!0,;!0</v>
      </c>
      <c r="AI409" s="211" t="e">
        <f>INDEX([1]Library!$AL:$AL,MATCH(AH409,[1]Library!$AJ:$AJ,0),1)</f>
        <v>#N/A</v>
      </c>
      <c r="AJ409" s="211" t="e">
        <f>TEXT(INDEX([1]Library!$W:$W,MATCH(AH409,[1]Library!$AJ:$AJ,0),1),"")</f>
        <v>#N/A</v>
      </c>
    </row>
    <row r="410" spans="1:36" ht="25.2" hidden="1" customHeight="1" outlineLevel="2">
      <c r="A410" s="228"/>
      <c r="B410" s="229"/>
      <c r="C410" s="230"/>
      <c r="D410" s="231" t="s">
        <v>434</v>
      </c>
      <c r="E410" s="232"/>
      <c r="F410" s="233"/>
      <c r="G410" s="379"/>
      <c r="H410" s="380">
        <v>1300</v>
      </c>
      <c r="I410" s="234" t="s">
        <v>176</v>
      </c>
      <c r="J410" s="235">
        <v>138.66</v>
      </c>
      <c r="K410" s="236">
        <v>180258</v>
      </c>
      <c r="L410" s="235">
        <v>41.597999999999999</v>
      </c>
      <c r="M410" s="236">
        <v>54077.4</v>
      </c>
      <c r="N410" s="237">
        <v>0</v>
      </c>
      <c r="O410" s="236">
        <v>0</v>
      </c>
      <c r="P410" s="238">
        <v>234335.4</v>
      </c>
      <c r="Q410" s="239">
        <f t="shared" si="98"/>
        <v>1.26052950808745E-4</v>
      </c>
      <c r="R410" s="236">
        <f t="shared" si="99"/>
        <v>12.570562612651299</v>
      </c>
      <c r="S410" s="240">
        <f t="shared" si="100"/>
        <v>459.48117647058803</v>
      </c>
      <c r="T410" s="241"/>
      <c r="U410" s="225"/>
      <c r="V410" s="226"/>
      <c r="W410" s="227"/>
      <c r="X410" s="226"/>
      <c r="Y410" s="226"/>
      <c r="Z410" s="226"/>
      <c r="AA410" s="226"/>
      <c r="AB410" s="226"/>
      <c r="AC410" s="226"/>
      <c r="AD410" s="96">
        <f t="shared" si="106"/>
        <v>0</v>
      </c>
      <c r="AE410" s="96">
        <f t="shared" si="107"/>
        <v>0</v>
      </c>
      <c r="AF410" s="96">
        <f t="shared" si="108"/>
        <v>0</v>
      </c>
      <c r="AG410" s="96">
        <f t="shared" si="109"/>
        <v>0</v>
      </c>
      <c r="AH410" s="211" t="str">
        <f t="shared" si="105"/>
        <v>0,;!0,;!0,;!0</v>
      </c>
      <c r="AI410" s="211" t="e">
        <f>INDEX([1]Library!$AL:$AL,MATCH(AH410,[1]Library!$AJ:$AJ,0),1)</f>
        <v>#N/A</v>
      </c>
      <c r="AJ410" s="211" t="e">
        <f>TEXT(INDEX([1]Library!$W:$W,MATCH(AH410,[1]Library!$AJ:$AJ,0),1),"")</f>
        <v>#N/A</v>
      </c>
    </row>
    <row r="411" spans="1:36" ht="25.2" hidden="1" customHeight="1" outlineLevel="2">
      <c r="A411" s="228"/>
      <c r="B411" s="229"/>
      <c r="C411" s="230"/>
      <c r="D411" s="231" t="s">
        <v>435</v>
      </c>
      <c r="E411" s="232"/>
      <c r="F411" s="233"/>
      <c r="G411" s="379"/>
      <c r="H411" s="380">
        <v>1128</v>
      </c>
      <c r="I411" s="234" t="s">
        <v>176</v>
      </c>
      <c r="J411" s="235">
        <v>211.08</v>
      </c>
      <c r="K411" s="236">
        <v>238098.24</v>
      </c>
      <c r="L411" s="235">
        <v>63.323999999999998</v>
      </c>
      <c r="M411" s="236">
        <v>71429.471999999994</v>
      </c>
      <c r="N411" s="237">
        <v>0</v>
      </c>
      <c r="O411" s="236">
        <v>0</v>
      </c>
      <c r="P411" s="238">
        <v>309527.712</v>
      </c>
      <c r="Q411" s="239">
        <f t="shared" si="98"/>
        <v>1.6650015940689901E-4</v>
      </c>
      <c r="R411" s="236">
        <f t="shared" si="99"/>
        <v>16.604138700540702</v>
      </c>
      <c r="S411" s="240">
        <f t="shared" si="100"/>
        <v>606.91708235294095</v>
      </c>
      <c r="T411" s="241"/>
      <c r="U411" s="225"/>
      <c r="V411" s="226"/>
      <c r="W411" s="227"/>
      <c r="X411" s="226"/>
      <c r="Y411" s="226"/>
      <c r="Z411" s="226"/>
      <c r="AA411" s="226"/>
      <c r="AB411" s="226"/>
      <c r="AC411" s="226"/>
      <c r="AD411" s="96">
        <f t="shared" si="106"/>
        <v>0</v>
      </c>
      <c r="AE411" s="96">
        <f t="shared" si="107"/>
        <v>0</v>
      </c>
      <c r="AF411" s="96">
        <f t="shared" si="108"/>
        <v>0</v>
      </c>
      <c r="AG411" s="96">
        <f t="shared" si="109"/>
        <v>0</v>
      </c>
      <c r="AH411" s="211" t="str">
        <f t="shared" si="105"/>
        <v>0,;!0,;!0,;!0</v>
      </c>
      <c r="AI411" s="211" t="e">
        <f>INDEX([1]Library!$AL:$AL,MATCH(AH411,[1]Library!$AJ:$AJ,0),1)</f>
        <v>#N/A</v>
      </c>
      <c r="AJ411" s="211" t="e">
        <f>TEXT(INDEX([1]Library!$W:$W,MATCH(AH411,[1]Library!$AJ:$AJ,0),1),"")</f>
        <v>#N/A</v>
      </c>
    </row>
    <row r="412" spans="1:36" ht="25.2" hidden="1" customHeight="1" outlineLevel="2">
      <c r="A412" s="228"/>
      <c r="B412" s="229"/>
      <c r="C412" s="230"/>
      <c r="D412" s="231" t="s">
        <v>436</v>
      </c>
      <c r="E412" s="232"/>
      <c r="F412" s="233"/>
      <c r="G412" s="379"/>
      <c r="H412" s="380">
        <v>1236</v>
      </c>
      <c r="I412" s="234" t="s">
        <v>176</v>
      </c>
      <c r="J412" s="235">
        <v>241.07142857142901</v>
      </c>
      <c r="K412" s="236">
        <v>297964.28571428597</v>
      </c>
      <c r="L412" s="235">
        <v>81</v>
      </c>
      <c r="M412" s="236">
        <v>100116</v>
      </c>
      <c r="N412" s="237">
        <v>0</v>
      </c>
      <c r="O412" s="236">
        <v>0</v>
      </c>
      <c r="P412" s="238">
        <v>398080.28571428597</v>
      </c>
      <c r="Q412" s="239">
        <f t="shared" si="98"/>
        <v>2.14134077365495E-4</v>
      </c>
      <c r="R412" s="236">
        <f t="shared" si="99"/>
        <v>21.354405507804401</v>
      </c>
      <c r="S412" s="240">
        <f t="shared" si="100"/>
        <v>780.54957983193299</v>
      </c>
      <c r="T412" s="241"/>
      <c r="U412" s="225"/>
      <c r="V412" s="226"/>
      <c r="W412" s="227"/>
      <c r="X412" s="226"/>
      <c r="Y412" s="226"/>
      <c r="Z412" s="226"/>
      <c r="AA412" s="226"/>
      <c r="AB412" s="226"/>
      <c r="AC412" s="226"/>
      <c r="AD412" s="96">
        <f t="shared" si="106"/>
        <v>0</v>
      </c>
      <c r="AE412" s="96">
        <f t="shared" si="107"/>
        <v>0</v>
      </c>
      <c r="AF412" s="96">
        <f t="shared" si="108"/>
        <v>0</v>
      </c>
      <c r="AG412" s="96">
        <f t="shared" si="109"/>
        <v>0</v>
      </c>
      <c r="AH412" s="211" t="str">
        <f t="shared" si="105"/>
        <v>0,;!0,;!0,;!0</v>
      </c>
      <c r="AI412" s="211" t="e">
        <f>INDEX([1]Library!$AL:$AL,MATCH(AH412,[1]Library!$AJ:$AJ,0),1)</f>
        <v>#N/A</v>
      </c>
      <c r="AJ412" s="211" t="e">
        <f>TEXT(INDEX([1]Library!$W:$W,MATCH(AH412,[1]Library!$AJ:$AJ,0),1),"")</f>
        <v>#N/A</v>
      </c>
    </row>
    <row r="413" spans="1:36" ht="25.2" hidden="1" customHeight="1" outlineLevel="1" collapsed="1">
      <c r="A413" s="213"/>
      <c r="B413" s="214"/>
      <c r="C413" s="215" t="s">
        <v>437</v>
      </c>
      <c r="D413" s="215"/>
      <c r="E413" s="216"/>
      <c r="F413" s="217"/>
      <c r="G413" s="379"/>
      <c r="H413" s="219">
        <v>1</v>
      </c>
      <c r="I413" s="218" t="s">
        <v>32</v>
      </c>
      <c r="J413" s="219">
        <v>7863213.1975761103</v>
      </c>
      <c r="K413" s="219">
        <v>7863213.1975761103</v>
      </c>
      <c r="L413" s="219">
        <v>2348103.5872728298</v>
      </c>
      <c r="M413" s="219">
        <v>2348103.5872728298</v>
      </c>
      <c r="N413" s="219">
        <v>0</v>
      </c>
      <c r="O413" s="219">
        <v>0</v>
      </c>
      <c r="P413" s="220">
        <v>10211316.784848901</v>
      </c>
      <c r="Q413" s="221">
        <f t="shared" si="98"/>
        <v>5.4928389495273898E-3</v>
      </c>
      <c r="R413" s="222">
        <f t="shared" si="99"/>
        <v>547.77040516097895</v>
      </c>
      <c r="S413" s="223">
        <f t="shared" si="100"/>
        <v>20022.189774213501</v>
      </c>
      <c r="T413" s="224"/>
      <c r="U413" s="225"/>
      <c r="V413" s="226"/>
      <c r="W413" s="227"/>
      <c r="X413" s="226"/>
      <c r="Y413" s="226"/>
      <c r="Z413" s="226"/>
      <c r="AA413" s="226"/>
      <c r="AB413" s="226"/>
      <c r="AC413" s="226"/>
      <c r="AD413" s="96">
        <f t="shared" si="106"/>
        <v>0</v>
      </c>
      <c r="AE413" s="96">
        <f t="shared" si="107"/>
        <v>0</v>
      </c>
      <c r="AF413" s="96">
        <f t="shared" si="108"/>
        <v>0</v>
      </c>
      <c r="AG413" s="96">
        <f t="shared" si="109"/>
        <v>0</v>
      </c>
      <c r="AH413" s="211" t="str">
        <f t="shared" si="105"/>
        <v>0,;!0,;!0,;!0</v>
      </c>
      <c r="AI413" s="211" t="e">
        <f>INDEX([1]Library!$AL:$AL,MATCH(AH413,[1]Library!$AJ:$AJ,0),1)</f>
        <v>#N/A</v>
      </c>
      <c r="AJ413" s="211" t="e">
        <f>TEXT(INDEX([1]Library!$W:$W,MATCH(AH413,[1]Library!$AJ:$AJ,0),1),"")</f>
        <v>#N/A</v>
      </c>
    </row>
    <row r="414" spans="1:36" ht="25.2" hidden="1" customHeight="1" outlineLevel="2">
      <c r="A414" s="228"/>
      <c r="B414" s="229"/>
      <c r="C414" s="230"/>
      <c r="D414" s="231" t="s">
        <v>438</v>
      </c>
      <c r="E414" s="232"/>
      <c r="F414" s="233"/>
      <c r="G414" s="379"/>
      <c r="H414" s="380">
        <v>184</v>
      </c>
      <c r="I414" s="234" t="s">
        <v>176</v>
      </c>
      <c r="J414" s="235">
        <v>1593.65571428571</v>
      </c>
      <c r="K414" s="236">
        <v>293232.65142857103</v>
      </c>
      <c r="L414" s="235">
        <v>435</v>
      </c>
      <c r="M414" s="236">
        <v>80040</v>
      </c>
      <c r="N414" s="237">
        <v>0</v>
      </c>
      <c r="O414" s="236">
        <v>0</v>
      </c>
      <c r="P414" s="238">
        <v>373272.65142857103</v>
      </c>
      <c r="Q414" s="239">
        <f t="shared" si="98"/>
        <v>2.0078963386998199E-4</v>
      </c>
      <c r="R414" s="236">
        <f t="shared" si="99"/>
        <v>20.023638069080501</v>
      </c>
      <c r="S414" s="240">
        <f t="shared" si="100"/>
        <v>731.90715966386495</v>
      </c>
      <c r="T414" s="241"/>
      <c r="U414" s="225"/>
      <c r="V414" s="226"/>
      <c r="W414" s="227"/>
      <c r="X414" s="226"/>
      <c r="Y414" s="226"/>
      <c r="Z414" s="226"/>
      <c r="AA414" s="226"/>
      <c r="AB414" s="226"/>
      <c r="AC414" s="226"/>
      <c r="AD414" s="96">
        <f>IF(X414&lt;&gt;0,IF($X414&gt;=AD$12,#REF!,""),Z414)</f>
        <v>0</v>
      </c>
      <c r="AE414" s="96">
        <f>IF(AA414=" ",IF($X414&gt;=AE$12,#REF!,""),AA414)</f>
        <v>0</v>
      </c>
      <c r="AF414" s="96">
        <f>IF(AB414=" ",IF($X414&gt;=AF$12,#REF!,""),AB414)</f>
        <v>0</v>
      </c>
      <c r="AG414" s="96">
        <f>IF(AC414=" ",IF($X414&gt;=AG$12,#REF!,""),AC414)</f>
        <v>0</v>
      </c>
      <c r="AH414" s="211" t="str">
        <f t="shared" si="105"/>
        <v>0,;!0,;!0,;!0</v>
      </c>
      <c r="AI414" s="211" t="e">
        <f>INDEX([1]Library!$AL:$AL,MATCH(AH414,[1]Library!$AJ:$AJ,0),1)</f>
        <v>#N/A</v>
      </c>
      <c r="AJ414" s="211" t="e">
        <f>TEXT(INDEX([1]Library!$W:$W,MATCH(AH414,[1]Library!$AJ:$AJ,0),1),"")</f>
        <v>#N/A</v>
      </c>
    </row>
    <row r="415" spans="1:36" ht="25.2" hidden="1" customHeight="1" outlineLevel="2">
      <c r="A415" s="228"/>
      <c r="B415" s="229"/>
      <c r="C415" s="230"/>
      <c r="D415" s="231" t="s">
        <v>439</v>
      </c>
      <c r="E415" s="232"/>
      <c r="F415" s="233"/>
      <c r="G415" s="379"/>
      <c r="H415" s="380">
        <v>220</v>
      </c>
      <c r="I415" s="234" t="s">
        <v>176</v>
      </c>
      <c r="J415" s="235">
        <v>2231.6448331381698</v>
      </c>
      <c r="K415" s="236">
        <v>490961.86329039797</v>
      </c>
      <c r="L415" s="235">
        <v>669.49344994145099</v>
      </c>
      <c r="M415" s="236">
        <v>147288.558987119</v>
      </c>
      <c r="N415" s="237">
        <v>0</v>
      </c>
      <c r="O415" s="236">
        <v>0</v>
      </c>
      <c r="P415" s="238">
        <v>638250.42227751703</v>
      </c>
      <c r="Q415" s="239">
        <f t="shared" si="98"/>
        <v>3.4332563105279401E-4</v>
      </c>
      <c r="R415" s="236">
        <f t="shared" si="99"/>
        <v>34.237963601703598</v>
      </c>
      <c r="S415" s="240">
        <f t="shared" si="100"/>
        <v>1251.4714162304299</v>
      </c>
      <c r="T415" s="241"/>
      <c r="U415" s="225"/>
      <c r="V415" s="226"/>
      <c r="W415" s="227"/>
      <c r="X415" s="226"/>
      <c r="Y415" s="226"/>
      <c r="Z415" s="226"/>
      <c r="AA415" s="226"/>
      <c r="AB415" s="226"/>
      <c r="AC415" s="226"/>
      <c r="AD415" s="96">
        <f t="shared" ref="AD415:AD430" si="110">IF(X415&lt;&gt;0,IF($X415&gt;=AD$12,AD414,""),Z415)</f>
        <v>0</v>
      </c>
      <c r="AE415" s="96">
        <f t="shared" ref="AE415:AE430" si="111">IF(AA415=" ",IF($X415&gt;=AE$12,AE414,""),AA415)</f>
        <v>0</v>
      </c>
      <c r="AF415" s="96">
        <f t="shared" ref="AF415:AF430" si="112">IF(AB415=" ",IF($X415&gt;=AF$12,AF414,""),AB415)</f>
        <v>0</v>
      </c>
      <c r="AG415" s="96">
        <f t="shared" ref="AG415:AG430" si="113">IF(AC415=" ",IF($X415&gt;=AG$12,AG414,""),AC415)</f>
        <v>0</v>
      </c>
      <c r="AH415" s="211" t="str">
        <f t="shared" si="105"/>
        <v>0,;!0,;!0,;!0</v>
      </c>
      <c r="AI415" s="211" t="e">
        <f>INDEX([1]Library!$AL:$AL,MATCH(AH415,[1]Library!$AJ:$AJ,0),1)</f>
        <v>#N/A</v>
      </c>
      <c r="AJ415" s="211" t="e">
        <f>TEXT(INDEX([1]Library!$W:$W,MATCH(AH415,[1]Library!$AJ:$AJ,0),1),"")</f>
        <v>#N/A</v>
      </c>
    </row>
    <row r="416" spans="1:36" ht="25.2" hidden="1" customHeight="1" outlineLevel="2">
      <c r="A416" s="228"/>
      <c r="B416" s="229"/>
      <c r="C416" s="230"/>
      <c r="D416" s="231" t="s">
        <v>440</v>
      </c>
      <c r="E416" s="232"/>
      <c r="F416" s="233"/>
      <c r="G416" s="379"/>
      <c r="H416" s="380">
        <v>68</v>
      </c>
      <c r="I416" s="234" t="s">
        <v>176</v>
      </c>
      <c r="J416" s="235">
        <v>1593.65571428571</v>
      </c>
      <c r="K416" s="236">
        <v>108368.58857142901</v>
      </c>
      <c r="L416" s="235">
        <v>435</v>
      </c>
      <c r="M416" s="236">
        <v>29580</v>
      </c>
      <c r="N416" s="237">
        <v>0</v>
      </c>
      <c r="O416" s="236">
        <v>0</v>
      </c>
      <c r="P416" s="238">
        <v>137948.58857142899</v>
      </c>
      <c r="Q416" s="239">
        <f t="shared" si="98"/>
        <v>7.42048646910801E-5</v>
      </c>
      <c r="R416" s="236">
        <f t="shared" si="99"/>
        <v>7.4000401559645601</v>
      </c>
      <c r="S416" s="240">
        <f t="shared" si="100"/>
        <v>270.48742857142901</v>
      </c>
      <c r="T416" s="241"/>
      <c r="U416" s="225"/>
      <c r="V416" s="226"/>
      <c r="W416" s="227"/>
      <c r="X416" s="226"/>
      <c r="Y416" s="226"/>
      <c r="Z416" s="226"/>
      <c r="AA416" s="226"/>
      <c r="AB416" s="226"/>
      <c r="AC416" s="226"/>
      <c r="AD416" s="96">
        <f t="shared" si="110"/>
        <v>0</v>
      </c>
      <c r="AE416" s="96">
        <f t="shared" si="111"/>
        <v>0</v>
      </c>
      <c r="AF416" s="96">
        <f t="shared" si="112"/>
        <v>0</v>
      </c>
      <c r="AG416" s="96">
        <f t="shared" si="113"/>
        <v>0</v>
      </c>
      <c r="AH416" s="211" t="str">
        <f t="shared" si="105"/>
        <v>0,;!0,;!0,;!0</v>
      </c>
      <c r="AI416" s="211" t="e">
        <f>INDEX([1]Library!$AL:$AL,MATCH(AH416,[1]Library!$AJ:$AJ,0),1)</f>
        <v>#N/A</v>
      </c>
      <c r="AJ416" s="211" t="e">
        <f>TEXT(INDEX([1]Library!$W:$W,MATCH(AH416,[1]Library!$AJ:$AJ,0),1),"")</f>
        <v>#N/A</v>
      </c>
    </row>
    <row r="417" spans="1:36" ht="25.2" hidden="1" customHeight="1" outlineLevel="2">
      <c r="A417" s="228"/>
      <c r="B417" s="229"/>
      <c r="C417" s="230"/>
      <c r="D417" s="231" t="s">
        <v>441</v>
      </c>
      <c r="E417" s="232"/>
      <c r="F417" s="233"/>
      <c r="G417" s="379"/>
      <c r="H417" s="380">
        <v>1256</v>
      </c>
      <c r="I417" s="234" t="s">
        <v>176</v>
      </c>
      <c r="J417" s="235">
        <v>1434.2901428571399</v>
      </c>
      <c r="K417" s="236">
        <v>1801468.41942857</v>
      </c>
      <c r="L417" s="235">
        <v>430.28704285714298</v>
      </c>
      <c r="M417" s="236">
        <v>540440.52582857094</v>
      </c>
      <c r="N417" s="237">
        <v>0</v>
      </c>
      <c r="O417" s="236">
        <v>0</v>
      </c>
      <c r="P417" s="238">
        <v>2341908.9452571399</v>
      </c>
      <c r="Q417" s="239">
        <f t="shared" si="98"/>
        <v>1.2597521888500799E-3</v>
      </c>
      <c r="R417" s="236">
        <f t="shared" si="99"/>
        <v>125.62810838432</v>
      </c>
      <c r="S417" s="240">
        <f t="shared" si="100"/>
        <v>4591.9783240336101</v>
      </c>
      <c r="T417" s="241"/>
      <c r="U417" s="225"/>
      <c r="V417" s="226"/>
      <c r="W417" s="227"/>
      <c r="X417" s="226"/>
      <c r="Y417" s="226"/>
      <c r="Z417" s="226"/>
      <c r="AA417" s="226"/>
      <c r="AB417" s="226"/>
      <c r="AC417" s="226"/>
      <c r="AD417" s="96">
        <f t="shared" si="110"/>
        <v>0</v>
      </c>
      <c r="AE417" s="96">
        <f t="shared" si="111"/>
        <v>0</v>
      </c>
      <c r="AF417" s="96">
        <f t="shared" si="112"/>
        <v>0</v>
      </c>
      <c r="AG417" s="96">
        <f t="shared" si="113"/>
        <v>0</v>
      </c>
      <c r="AH417" s="211" t="str">
        <f t="shared" si="105"/>
        <v>0,;!0,;!0,;!0</v>
      </c>
      <c r="AI417" s="211" t="e">
        <f>INDEX([1]Library!$AL:$AL,MATCH(AH417,[1]Library!$AJ:$AJ,0),1)</f>
        <v>#N/A</v>
      </c>
      <c r="AJ417" s="211" t="e">
        <f>TEXT(INDEX([1]Library!$W:$W,MATCH(AH417,[1]Library!$AJ:$AJ,0),1),"")</f>
        <v>#N/A</v>
      </c>
    </row>
    <row r="418" spans="1:36" ht="25.2" hidden="1" customHeight="1" outlineLevel="2">
      <c r="A418" s="228"/>
      <c r="B418" s="229"/>
      <c r="C418" s="230"/>
      <c r="D418" s="231" t="s">
        <v>442</v>
      </c>
      <c r="E418" s="232"/>
      <c r="F418" s="233"/>
      <c r="G418" s="379"/>
      <c r="H418" s="380">
        <v>3604</v>
      </c>
      <c r="I418" s="234" t="s">
        <v>176</v>
      </c>
      <c r="J418" s="235">
        <v>1434.2901428571399</v>
      </c>
      <c r="K418" s="236">
        <v>5169181.6748571396</v>
      </c>
      <c r="L418" s="235">
        <v>430.28704285714298</v>
      </c>
      <c r="M418" s="236">
        <v>1550754.50245714</v>
      </c>
      <c r="N418" s="237">
        <v>0</v>
      </c>
      <c r="O418" s="236">
        <v>0</v>
      </c>
      <c r="P418" s="238">
        <v>6719936.1773142898</v>
      </c>
      <c r="Q418" s="239">
        <f t="shared" si="98"/>
        <v>3.6147666310634499E-3</v>
      </c>
      <c r="R418" s="236">
        <f t="shared" si="99"/>
        <v>360.480654949913</v>
      </c>
      <c r="S418" s="240">
        <f t="shared" si="100"/>
        <v>13176.3454457143</v>
      </c>
      <c r="T418" s="241"/>
      <c r="U418" s="225"/>
      <c r="V418" s="226"/>
      <c r="W418" s="227"/>
      <c r="X418" s="226"/>
      <c r="Y418" s="226"/>
      <c r="Z418" s="226"/>
      <c r="AA418" s="226"/>
      <c r="AB418" s="226"/>
      <c r="AC418" s="226"/>
      <c r="AD418" s="96">
        <f t="shared" si="110"/>
        <v>0</v>
      </c>
      <c r="AE418" s="96">
        <f t="shared" si="111"/>
        <v>0</v>
      </c>
      <c r="AF418" s="96">
        <f t="shared" si="112"/>
        <v>0</v>
      </c>
      <c r="AG418" s="96">
        <f t="shared" si="113"/>
        <v>0</v>
      </c>
      <c r="AH418" s="211" t="str">
        <f t="shared" si="105"/>
        <v>0,;!0,;!0,;!0</v>
      </c>
      <c r="AI418" s="211" t="e">
        <f>INDEX([1]Library!$AL:$AL,MATCH(AH418,[1]Library!$AJ:$AJ,0),1)</f>
        <v>#N/A</v>
      </c>
      <c r="AJ418" s="211" t="e">
        <f>TEXT(INDEX([1]Library!$W:$W,MATCH(AH418,[1]Library!$AJ:$AJ,0),1),"")</f>
        <v>#N/A</v>
      </c>
    </row>
    <row r="419" spans="1:36" ht="25.2" hidden="1" customHeight="1" outlineLevel="1" collapsed="1">
      <c r="A419" s="213"/>
      <c r="B419" s="214"/>
      <c r="C419" s="215" t="s">
        <v>443</v>
      </c>
      <c r="D419" s="215"/>
      <c r="E419" s="216"/>
      <c r="F419" s="217"/>
      <c r="G419" s="379"/>
      <c r="H419" s="219">
        <v>1</v>
      </c>
      <c r="I419" s="218" t="s">
        <v>32</v>
      </c>
      <c r="J419" s="219">
        <v>2755849.68</v>
      </c>
      <c r="K419" s="219">
        <v>2755849.68</v>
      </c>
      <c r="L419" s="219">
        <v>660247.75199999998</v>
      </c>
      <c r="M419" s="219">
        <v>660247.75199999998</v>
      </c>
      <c r="N419" s="219">
        <v>0</v>
      </c>
      <c r="O419" s="219">
        <v>0</v>
      </c>
      <c r="P419" s="220">
        <v>3416097.432</v>
      </c>
      <c r="Q419" s="221">
        <f t="shared" si="98"/>
        <v>1.8375762328430899E-3</v>
      </c>
      <c r="R419" s="222">
        <f t="shared" si="99"/>
        <v>183.25129988842201</v>
      </c>
      <c r="S419" s="223">
        <f t="shared" si="100"/>
        <v>6698.2302588235298</v>
      </c>
      <c r="T419" s="224"/>
      <c r="U419" s="225"/>
      <c r="V419" s="226"/>
      <c r="W419" s="227"/>
      <c r="X419" s="226"/>
      <c r="Y419" s="226"/>
      <c r="Z419" s="226"/>
      <c r="AA419" s="226"/>
      <c r="AB419" s="226"/>
      <c r="AC419" s="226"/>
      <c r="AD419" s="96">
        <f t="shared" si="110"/>
        <v>0</v>
      </c>
      <c r="AE419" s="96">
        <f t="shared" si="111"/>
        <v>0</v>
      </c>
      <c r="AF419" s="96">
        <f t="shared" si="112"/>
        <v>0</v>
      </c>
      <c r="AG419" s="96">
        <f t="shared" si="113"/>
        <v>0</v>
      </c>
      <c r="AH419" s="211" t="str">
        <f t="shared" si="105"/>
        <v>0,;!0,;!0,;!0</v>
      </c>
      <c r="AI419" s="211" t="e">
        <f>INDEX([1]Library!$AL:$AL,MATCH(AH419,[1]Library!$AJ:$AJ,0),1)</f>
        <v>#N/A</v>
      </c>
      <c r="AJ419" s="211" t="e">
        <f>TEXT(INDEX([1]Library!$W:$W,MATCH(AH419,[1]Library!$AJ:$AJ,0),1),"")</f>
        <v>#N/A</v>
      </c>
    </row>
    <row r="420" spans="1:36" ht="25.2" hidden="1" customHeight="1" outlineLevel="2">
      <c r="A420" s="228"/>
      <c r="B420" s="229"/>
      <c r="C420" s="230"/>
      <c r="D420" s="231" t="s">
        <v>444</v>
      </c>
      <c r="E420" s="232"/>
      <c r="F420" s="233"/>
      <c r="G420" s="379"/>
      <c r="H420" s="380">
        <v>440</v>
      </c>
      <c r="I420" s="234" t="s">
        <v>354</v>
      </c>
      <c r="J420" s="235">
        <v>86.48</v>
      </c>
      <c r="K420" s="236">
        <v>38051.199999999997</v>
      </c>
      <c r="L420" s="235">
        <v>17.295999999999999</v>
      </c>
      <c r="M420" s="236">
        <v>7610.24</v>
      </c>
      <c r="N420" s="237">
        <v>0</v>
      </c>
      <c r="O420" s="236">
        <v>0</v>
      </c>
      <c r="P420" s="238">
        <v>45661.440000000002</v>
      </c>
      <c r="Q420" s="239">
        <f t="shared" si="98"/>
        <v>2.4562056139091602E-5</v>
      </c>
      <c r="R420" s="236">
        <f t="shared" si="99"/>
        <v>2.4494378164964399</v>
      </c>
      <c r="S420" s="240">
        <f t="shared" si="100"/>
        <v>89.532235294117697</v>
      </c>
      <c r="T420" s="241"/>
      <c r="U420" s="225"/>
      <c r="V420" s="226"/>
      <c r="W420" s="227"/>
      <c r="X420" s="226"/>
      <c r="Y420" s="226"/>
      <c r="Z420" s="226"/>
      <c r="AA420" s="226"/>
      <c r="AB420" s="226"/>
      <c r="AC420" s="226"/>
      <c r="AD420" s="96">
        <f t="shared" si="110"/>
        <v>0</v>
      </c>
      <c r="AE420" s="96">
        <f t="shared" si="111"/>
        <v>0</v>
      </c>
      <c r="AF420" s="96">
        <f t="shared" si="112"/>
        <v>0</v>
      </c>
      <c r="AG420" s="96">
        <f t="shared" si="113"/>
        <v>0</v>
      </c>
      <c r="AH420" s="211" t="str">
        <f t="shared" si="105"/>
        <v>0,;!0,;!0,;!0</v>
      </c>
      <c r="AI420" s="211" t="e">
        <f>INDEX([1]Library!$AL:$AL,MATCH(AH420,[1]Library!$AJ:$AJ,0),1)</f>
        <v>#N/A</v>
      </c>
      <c r="AJ420" s="211" t="e">
        <f>TEXT(INDEX([1]Library!$W:$W,MATCH(AH420,[1]Library!$AJ:$AJ,0),1),"")</f>
        <v>#N/A</v>
      </c>
    </row>
    <row r="421" spans="1:36" ht="25.2" hidden="1" customHeight="1" outlineLevel="2">
      <c r="A421" s="228"/>
      <c r="B421" s="229"/>
      <c r="C421" s="230"/>
      <c r="D421" s="231" t="s">
        <v>445</v>
      </c>
      <c r="E421" s="232"/>
      <c r="F421" s="233"/>
      <c r="G421" s="379"/>
      <c r="H421" s="380">
        <v>6276</v>
      </c>
      <c r="I421" s="234" t="s">
        <v>354</v>
      </c>
      <c r="J421" s="235">
        <v>129.21</v>
      </c>
      <c r="K421" s="236">
        <v>810921.96</v>
      </c>
      <c r="L421" s="235">
        <v>38.762999999999998</v>
      </c>
      <c r="M421" s="236">
        <v>243276.58799999999</v>
      </c>
      <c r="N421" s="237">
        <v>0</v>
      </c>
      <c r="O421" s="236">
        <v>0</v>
      </c>
      <c r="P421" s="238">
        <v>1054198.548</v>
      </c>
      <c r="Q421" s="239">
        <f t="shared" si="98"/>
        <v>5.6707111991485197E-4</v>
      </c>
      <c r="R421" s="236">
        <f t="shared" si="99"/>
        <v>56.550861943180799</v>
      </c>
      <c r="S421" s="240">
        <f t="shared" si="100"/>
        <v>2067.0559764705899</v>
      </c>
      <c r="T421" s="241"/>
      <c r="U421" s="225"/>
      <c r="V421" s="226"/>
      <c r="W421" s="227"/>
      <c r="X421" s="226"/>
      <c r="Y421" s="226"/>
      <c r="Z421" s="226"/>
      <c r="AA421" s="226"/>
      <c r="AB421" s="226"/>
      <c r="AC421" s="226"/>
      <c r="AD421" s="96">
        <f t="shared" si="110"/>
        <v>0</v>
      </c>
      <c r="AE421" s="96">
        <f t="shared" si="111"/>
        <v>0</v>
      </c>
      <c r="AF421" s="96">
        <f t="shared" si="112"/>
        <v>0</v>
      </c>
      <c r="AG421" s="96">
        <f t="shared" si="113"/>
        <v>0</v>
      </c>
      <c r="AH421" s="211" t="str">
        <f t="shared" si="105"/>
        <v>0,;!0,;!0,;!0</v>
      </c>
      <c r="AI421" s="211" t="e">
        <f>INDEX([1]Library!$AL:$AL,MATCH(AH421,[1]Library!$AJ:$AJ,0),1)</f>
        <v>#N/A</v>
      </c>
      <c r="AJ421" s="211" t="e">
        <f>TEXT(INDEX([1]Library!$W:$W,MATCH(AH421,[1]Library!$AJ:$AJ,0),1),"")</f>
        <v>#N/A</v>
      </c>
    </row>
    <row r="422" spans="1:36" ht="25.2" hidden="1" customHeight="1" outlineLevel="2">
      <c r="A422" s="228"/>
      <c r="B422" s="229"/>
      <c r="C422" s="230"/>
      <c r="D422" s="231" t="s">
        <v>446</v>
      </c>
      <c r="E422" s="232"/>
      <c r="F422" s="233"/>
      <c r="G422" s="379"/>
      <c r="H422" s="380">
        <v>2040</v>
      </c>
      <c r="I422" s="234" t="s">
        <v>354</v>
      </c>
      <c r="J422" s="235">
        <v>129.21</v>
      </c>
      <c r="K422" s="236">
        <v>263588.40000000002</v>
      </c>
      <c r="L422" s="235">
        <v>38.762999999999998</v>
      </c>
      <c r="M422" s="236">
        <v>79076.52</v>
      </c>
      <c r="N422" s="237">
        <v>0</v>
      </c>
      <c r="O422" s="236">
        <v>0</v>
      </c>
      <c r="P422" s="238">
        <v>342664.92</v>
      </c>
      <c r="Q422" s="239">
        <f t="shared" si="98"/>
        <v>1.8432522062241801E-4</v>
      </c>
      <c r="R422" s="236">
        <f t="shared" si="99"/>
        <v>18.3817333276114</v>
      </c>
      <c r="S422" s="240">
        <f t="shared" si="100"/>
        <v>671.89200000000005</v>
      </c>
      <c r="T422" s="241"/>
      <c r="U422" s="225"/>
      <c r="V422" s="226"/>
      <c r="W422" s="227"/>
      <c r="X422" s="226"/>
      <c r="Y422" s="226"/>
      <c r="Z422" s="226"/>
      <c r="AA422" s="226"/>
      <c r="AB422" s="226"/>
      <c r="AC422" s="226"/>
      <c r="AD422" s="96">
        <f t="shared" si="110"/>
        <v>0</v>
      </c>
      <c r="AE422" s="96">
        <f t="shared" si="111"/>
        <v>0</v>
      </c>
      <c r="AF422" s="96">
        <f t="shared" si="112"/>
        <v>0</v>
      </c>
      <c r="AG422" s="96">
        <f t="shared" si="113"/>
        <v>0</v>
      </c>
      <c r="AH422" s="211" t="str">
        <f t="shared" si="105"/>
        <v>0,;!0,;!0,;!0</v>
      </c>
      <c r="AI422" s="211" t="e">
        <f>INDEX([1]Library!$AL:$AL,MATCH(AH422,[1]Library!$AJ:$AJ,0),1)</f>
        <v>#N/A</v>
      </c>
      <c r="AJ422" s="211" t="e">
        <f>TEXT(INDEX([1]Library!$W:$W,MATCH(AH422,[1]Library!$AJ:$AJ,0),1),"")</f>
        <v>#N/A</v>
      </c>
    </row>
    <row r="423" spans="1:36" ht="25.2" hidden="1" customHeight="1" outlineLevel="2">
      <c r="A423" s="228"/>
      <c r="B423" s="229"/>
      <c r="C423" s="230"/>
      <c r="D423" s="231" t="s">
        <v>447</v>
      </c>
      <c r="E423" s="232"/>
      <c r="F423" s="233"/>
      <c r="G423" s="379"/>
      <c r="H423" s="380">
        <v>2040</v>
      </c>
      <c r="I423" s="234" t="s">
        <v>354</v>
      </c>
      <c r="J423" s="235">
        <v>86.48</v>
      </c>
      <c r="K423" s="236">
        <v>176419.20000000001</v>
      </c>
      <c r="L423" s="235">
        <v>17.295999999999999</v>
      </c>
      <c r="M423" s="236">
        <v>35283.839999999997</v>
      </c>
      <c r="N423" s="237">
        <v>0</v>
      </c>
      <c r="O423" s="236">
        <v>0</v>
      </c>
      <c r="P423" s="238">
        <v>211703.04000000001</v>
      </c>
      <c r="Q423" s="239">
        <f t="shared" si="98"/>
        <v>1.13878623917606E-4</v>
      </c>
      <c r="R423" s="236">
        <f t="shared" si="99"/>
        <v>11.356484421937999</v>
      </c>
      <c r="S423" s="240">
        <f t="shared" si="100"/>
        <v>415.10399999999998</v>
      </c>
      <c r="T423" s="241"/>
      <c r="U423" s="225"/>
      <c r="V423" s="226"/>
      <c r="W423" s="227"/>
      <c r="X423" s="226"/>
      <c r="Y423" s="226"/>
      <c r="Z423" s="226"/>
      <c r="AA423" s="226"/>
      <c r="AB423" s="226"/>
      <c r="AC423" s="226"/>
      <c r="AD423" s="96">
        <f t="shared" si="110"/>
        <v>0</v>
      </c>
      <c r="AE423" s="96">
        <f t="shared" si="111"/>
        <v>0</v>
      </c>
      <c r="AF423" s="96">
        <f t="shared" si="112"/>
        <v>0</v>
      </c>
      <c r="AG423" s="96">
        <f t="shared" si="113"/>
        <v>0</v>
      </c>
      <c r="AH423" s="211" t="str">
        <f t="shared" si="105"/>
        <v>0,;!0,;!0,;!0</v>
      </c>
      <c r="AI423" s="211" t="e">
        <f>INDEX([1]Library!$AL:$AL,MATCH(AH423,[1]Library!$AJ:$AJ,0),1)</f>
        <v>#N/A</v>
      </c>
      <c r="AJ423" s="211" t="e">
        <f>TEXT(INDEX([1]Library!$W:$W,MATCH(AH423,[1]Library!$AJ:$AJ,0),1),"")</f>
        <v>#N/A</v>
      </c>
    </row>
    <row r="424" spans="1:36" ht="25.2" hidden="1" customHeight="1" outlineLevel="2">
      <c r="A424" s="228"/>
      <c r="B424" s="229"/>
      <c r="C424" s="230"/>
      <c r="D424" s="231" t="s">
        <v>448</v>
      </c>
      <c r="E424" s="232"/>
      <c r="F424" s="233"/>
      <c r="G424" s="379"/>
      <c r="H424" s="380">
        <v>2040</v>
      </c>
      <c r="I424" s="234" t="s">
        <v>354</v>
      </c>
      <c r="J424" s="235">
        <v>86.48</v>
      </c>
      <c r="K424" s="236">
        <v>176419.20000000001</v>
      </c>
      <c r="L424" s="235">
        <v>17.295999999999999</v>
      </c>
      <c r="M424" s="236">
        <v>35283.839999999997</v>
      </c>
      <c r="N424" s="237">
        <v>0</v>
      </c>
      <c r="O424" s="236">
        <v>0</v>
      </c>
      <c r="P424" s="238">
        <v>211703.04000000001</v>
      </c>
      <c r="Q424" s="239">
        <f t="shared" si="98"/>
        <v>1.13878623917606E-4</v>
      </c>
      <c r="R424" s="236">
        <f t="shared" si="99"/>
        <v>11.356484421937999</v>
      </c>
      <c r="S424" s="240">
        <f t="shared" si="100"/>
        <v>415.10399999999998</v>
      </c>
      <c r="T424" s="241"/>
      <c r="U424" s="225"/>
      <c r="V424" s="226"/>
      <c r="W424" s="227"/>
      <c r="X424" s="226"/>
      <c r="Y424" s="226"/>
      <c r="Z424" s="226"/>
      <c r="AA424" s="226"/>
      <c r="AB424" s="226"/>
      <c r="AC424" s="226"/>
      <c r="AD424" s="96">
        <f t="shared" si="110"/>
        <v>0</v>
      </c>
      <c r="AE424" s="96">
        <f t="shared" si="111"/>
        <v>0</v>
      </c>
      <c r="AF424" s="96">
        <f t="shared" si="112"/>
        <v>0</v>
      </c>
      <c r="AG424" s="96">
        <f t="shared" si="113"/>
        <v>0</v>
      </c>
      <c r="AH424" s="211" t="str">
        <f t="shared" si="105"/>
        <v>0,;!0,;!0,;!0</v>
      </c>
      <c r="AI424" s="211" t="e">
        <f>INDEX([1]Library!$AL:$AL,MATCH(AH424,[1]Library!$AJ:$AJ,0),1)</f>
        <v>#N/A</v>
      </c>
      <c r="AJ424" s="211" t="e">
        <f>TEXT(INDEX([1]Library!$W:$W,MATCH(AH424,[1]Library!$AJ:$AJ,0),1),"")</f>
        <v>#N/A</v>
      </c>
    </row>
    <row r="425" spans="1:36" ht="25.2" hidden="1" customHeight="1" outlineLevel="2">
      <c r="A425" s="228"/>
      <c r="B425" s="229"/>
      <c r="C425" s="230"/>
      <c r="D425" s="231" t="s">
        <v>449</v>
      </c>
      <c r="E425" s="232"/>
      <c r="F425" s="233"/>
      <c r="G425" s="379"/>
      <c r="H425" s="380">
        <v>2040</v>
      </c>
      <c r="I425" s="234" t="s">
        <v>354</v>
      </c>
      <c r="J425" s="235">
        <v>86.48</v>
      </c>
      <c r="K425" s="236">
        <v>176419.20000000001</v>
      </c>
      <c r="L425" s="235">
        <v>17.295999999999999</v>
      </c>
      <c r="M425" s="236">
        <v>35283.839999999997</v>
      </c>
      <c r="N425" s="237">
        <v>0</v>
      </c>
      <c r="O425" s="236">
        <v>0</v>
      </c>
      <c r="P425" s="238">
        <v>211703.04000000001</v>
      </c>
      <c r="Q425" s="239">
        <f t="shared" si="98"/>
        <v>1.13878623917606E-4</v>
      </c>
      <c r="R425" s="236">
        <f t="shared" si="99"/>
        <v>11.356484421937999</v>
      </c>
      <c r="S425" s="240">
        <f t="shared" si="100"/>
        <v>415.10399999999998</v>
      </c>
      <c r="T425" s="241"/>
      <c r="U425" s="225"/>
      <c r="V425" s="226"/>
      <c r="W425" s="227"/>
      <c r="X425" s="226"/>
      <c r="Y425" s="226"/>
      <c r="Z425" s="226"/>
      <c r="AA425" s="226"/>
      <c r="AB425" s="226"/>
      <c r="AC425" s="226"/>
      <c r="AD425" s="96">
        <f t="shared" si="110"/>
        <v>0</v>
      </c>
      <c r="AE425" s="96">
        <f t="shared" si="111"/>
        <v>0</v>
      </c>
      <c r="AF425" s="96">
        <f t="shared" si="112"/>
        <v>0</v>
      </c>
      <c r="AG425" s="96">
        <f t="shared" si="113"/>
        <v>0</v>
      </c>
      <c r="AH425" s="211" t="str">
        <f t="shared" si="105"/>
        <v>0,;!0,;!0,;!0</v>
      </c>
      <c r="AI425" s="211" t="e">
        <f>INDEX([1]Library!$AL:$AL,MATCH(AH425,[1]Library!$AJ:$AJ,0),1)</f>
        <v>#N/A</v>
      </c>
      <c r="AJ425" s="211" t="e">
        <f>TEXT(INDEX([1]Library!$W:$W,MATCH(AH425,[1]Library!$AJ:$AJ,0),1),"")</f>
        <v>#N/A</v>
      </c>
    </row>
    <row r="426" spans="1:36" ht="25.2" hidden="1" customHeight="1" outlineLevel="2">
      <c r="A426" s="228"/>
      <c r="B426" s="229"/>
      <c r="C426" s="230"/>
      <c r="D426" s="231" t="s">
        <v>450</v>
      </c>
      <c r="E426" s="232"/>
      <c r="F426" s="233"/>
      <c r="G426" s="379"/>
      <c r="H426" s="380">
        <v>2040</v>
      </c>
      <c r="I426" s="234" t="s">
        <v>354</v>
      </c>
      <c r="J426" s="235">
        <v>86.48</v>
      </c>
      <c r="K426" s="236">
        <v>176419.20000000001</v>
      </c>
      <c r="L426" s="235">
        <v>17.295999999999999</v>
      </c>
      <c r="M426" s="236">
        <v>35283.839999999997</v>
      </c>
      <c r="N426" s="237">
        <v>0</v>
      </c>
      <c r="O426" s="236">
        <v>0</v>
      </c>
      <c r="P426" s="238">
        <v>211703.04000000001</v>
      </c>
      <c r="Q426" s="239">
        <f t="shared" si="98"/>
        <v>1.13878623917606E-4</v>
      </c>
      <c r="R426" s="236">
        <f t="shared" si="99"/>
        <v>11.356484421937999</v>
      </c>
      <c r="S426" s="240">
        <f t="shared" si="100"/>
        <v>415.10399999999998</v>
      </c>
      <c r="T426" s="241"/>
      <c r="U426" s="225"/>
      <c r="V426" s="226"/>
      <c r="W426" s="227"/>
      <c r="X426" s="226"/>
      <c r="Y426" s="226"/>
      <c r="Z426" s="226"/>
      <c r="AA426" s="226"/>
      <c r="AB426" s="226"/>
      <c r="AC426" s="226"/>
      <c r="AD426" s="96">
        <f t="shared" si="110"/>
        <v>0</v>
      </c>
      <c r="AE426" s="96">
        <f t="shared" si="111"/>
        <v>0</v>
      </c>
      <c r="AF426" s="96">
        <f t="shared" si="112"/>
        <v>0</v>
      </c>
      <c r="AG426" s="96">
        <f t="shared" si="113"/>
        <v>0</v>
      </c>
      <c r="AH426" s="211" t="str">
        <f t="shared" si="105"/>
        <v>0,;!0,;!0,;!0</v>
      </c>
      <c r="AI426" s="211" t="e">
        <f>INDEX([1]Library!$AL:$AL,MATCH(AH426,[1]Library!$AJ:$AJ,0),1)</f>
        <v>#N/A</v>
      </c>
      <c r="AJ426" s="211" t="e">
        <f>TEXT(INDEX([1]Library!$W:$W,MATCH(AH426,[1]Library!$AJ:$AJ,0),1),"")</f>
        <v>#N/A</v>
      </c>
    </row>
    <row r="427" spans="1:36" ht="25.2" hidden="1" customHeight="1" outlineLevel="2">
      <c r="A427" s="228"/>
      <c r="B427" s="229"/>
      <c r="C427" s="230"/>
      <c r="D427" s="231" t="s">
        <v>451</v>
      </c>
      <c r="E427" s="232"/>
      <c r="F427" s="233"/>
      <c r="G427" s="379"/>
      <c r="H427" s="380">
        <v>2040</v>
      </c>
      <c r="I427" s="234" t="s">
        <v>354</v>
      </c>
      <c r="J427" s="235">
        <v>86.48</v>
      </c>
      <c r="K427" s="236">
        <v>176419.20000000001</v>
      </c>
      <c r="L427" s="235">
        <v>17.295999999999999</v>
      </c>
      <c r="M427" s="236">
        <v>35283.839999999997</v>
      </c>
      <c r="N427" s="237">
        <v>0</v>
      </c>
      <c r="O427" s="236">
        <v>0</v>
      </c>
      <c r="P427" s="238">
        <v>211703.04000000001</v>
      </c>
      <c r="Q427" s="239">
        <f t="shared" si="98"/>
        <v>1.13878623917606E-4</v>
      </c>
      <c r="R427" s="236">
        <f t="shared" si="99"/>
        <v>11.356484421937999</v>
      </c>
      <c r="S427" s="240">
        <f t="shared" si="100"/>
        <v>415.10399999999998</v>
      </c>
      <c r="T427" s="241"/>
      <c r="U427" s="225"/>
      <c r="V427" s="226"/>
      <c r="W427" s="227"/>
      <c r="X427" s="226"/>
      <c r="Y427" s="226"/>
      <c r="Z427" s="226"/>
      <c r="AA427" s="226"/>
      <c r="AB427" s="226"/>
      <c r="AC427" s="226"/>
      <c r="AD427" s="96">
        <f t="shared" si="110"/>
        <v>0</v>
      </c>
      <c r="AE427" s="96">
        <f t="shared" si="111"/>
        <v>0</v>
      </c>
      <c r="AF427" s="96">
        <f t="shared" si="112"/>
        <v>0</v>
      </c>
      <c r="AG427" s="96">
        <f t="shared" si="113"/>
        <v>0</v>
      </c>
      <c r="AH427" s="211" t="str">
        <f t="shared" si="105"/>
        <v>0,;!0,;!0,;!0</v>
      </c>
      <c r="AI427" s="211" t="e">
        <f>INDEX([1]Library!$AL:$AL,MATCH(AH427,[1]Library!$AJ:$AJ,0),1)</f>
        <v>#N/A</v>
      </c>
      <c r="AJ427" s="211" t="e">
        <f>TEXT(INDEX([1]Library!$W:$W,MATCH(AH427,[1]Library!$AJ:$AJ,0),1),"")</f>
        <v>#N/A</v>
      </c>
    </row>
    <row r="428" spans="1:36" ht="25.2" hidden="1" customHeight="1" outlineLevel="2">
      <c r="A428" s="228"/>
      <c r="B428" s="229"/>
      <c r="C428" s="230"/>
      <c r="D428" s="231" t="s">
        <v>452</v>
      </c>
      <c r="E428" s="232"/>
      <c r="F428" s="233"/>
      <c r="G428" s="379"/>
      <c r="H428" s="380">
        <v>6268</v>
      </c>
      <c r="I428" s="234" t="s">
        <v>354</v>
      </c>
      <c r="J428" s="235">
        <v>69.64</v>
      </c>
      <c r="K428" s="236">
        <v>436503.52</v>
      </c>
      <c r="L428" s="235">
        <v>13.928000000000001</v>
      </c>
      <c r="M428" s="236">
        <v>87300.703999999998</v>
      </c>
      <c r="N428" s="237">
        <v>0</v>
      </c>
      <c r="O428" s="236">
        <v>0</v>
      </c>
      <c r="P428" s="238">
        <v>523804.22399999999</v>
      </c>
      <c r="Q428" s="239">
        <f t="shared" si="98"/>
        <v>2.8176309717304802E-4</v>
      </c>
      <c r="R428" s="236">
        <f t="shared" si="99"/>
        <v>28.098673075272501</v>
      </c>
      <c r="S428" s="240">
        <f t="shared" si="100"/>
        <v>1027.06710588235</v>
      </c>
      <c r="T428" s="241"/>
      <c r="U428" s="225"/>
      <c r="V428" s="226"/>
      <c r="W428" s="227"/>
      <c r="X428" s="226"/>
      <c r="Y428" s="226"/>
      <c r="Z428" s="226"/>
      <c r="AA428" s="226"/>
      <c r="AB428" s="226"/>
      <c r="AC428" s="226"/>
      <c r="AD428" s="96">
        <f t="shared" si="110"/>
        <v>0</v>
      </c>
      <c r="AE428" s="96">
        <f t="shared" si="111"/>
        <v>0</v>
      </c>
      <c r="AF428" s="96">
        <f t="shared" si="112"/>
        <v>0</v>
      </c>
      <c r="AG428" s="96">
        <f t="shared" si="113"/>
        <v>0</v>
      </c>
      <c r="AH428" s="211" t="str">
        <f t="shared" si="105"/>
        <v>0,;!0,;!0,;!0</v>
      </c>
      <c r="AI428" s="211" t="e">
        <f>INDEX([1]Library!$AL:$AL,MATCH(AH428,[1]Library!$AJ:$AJ,0),1)</f>
        <v>#N/A</v>
      </c>
      <c r="AJ428" s="211" t="e">
        <f>TEXT(INDEX([1]Library!$W:$W,MATCH(AH428,[1]Library!$AJ:$AJ,0),1),"")</f>
        <v>#N/A</v>
      </c>
    </row>
    <row r="429" spans="1:36" ht="25.2" hidden="1" customHeight="1" outlineLevel="2">
      <c r="A429" s="228"/>
      <c r="B429" s="229"/>
      <c r="C429" s="230"/>
      <c r="D429" s="231" t="s">
        <v>453</v>
      </c>
      <c r="E429" s="232"/>
      <c r="F429" s="233"/>
      <c r="G429" s="379"/>
      <c r="H429" s="380">
        <v>68</v>
      </c>
      <c r="I429" s="234" t="s">
        <v>354</v>
      </c>
      <c r="J429" s="235">
        <v>113.39</v>
      </c>
      <c r="K429" s="236">
        <v>7710.52</v>
      </c>
      <c r="L429" s="235">
        <v>22.678000000000001</v>
      </c>
      <c r="M429" s="236">
        <v>1542.104</v>
      </c>
      <c r="N429" s="237">
        <v>0</v>
      </c>
      <c r="O429" s="236">
        <v>0</v>
      </c>
      <c r="P429" s="238">
        <v>9252.6239999999998</v>
      </c>
      <c r="Q429" s="239">
        <f t="shared" si="98"/>
        <v>4.9771419850514101E-6</v>
      </c>
      <c r="R429" s="236">
        <f t="shared" si="99"/>
        <v>0.49634280319285901</v>
      </c>
      <c r="S429" s="240">
        <f t="shared" si="100"/>
        <v>18.142399999999999</v>
      </c>
      <c r="T429" s="241"/>
      <c r="U429" s="225"/>
      <c r="V429" s="226"/>
      <c r="W429" s="227"/>
      <c r="X429" s="226"/>
      <c r="Y429" s="226"/>
      <c r="Z429" s="226"/>
      <c r="AA429" s="226"/>
      <c r="AB429" s="226"/>
      <c r="AC429" s="226"/>
      <c r="AD429" s="96">
        <f t="shared" si="110"/>
        <v>0</v>
      </c>
      <c r="AE429" s="96">
        <f t="shared" si="111"/>
        <v>0</v>
      </c>
      <c r="AF429" s="96">
        <f t="shared" si="112"/>
        <v>0</v>
      </c>
      <c r="AG429" s="96">
        <f t="shared" si="113"/>
        <v>0</v>
      </c>
      <c r="AH429" s="211" t="str">
        <f t="shared" si="105"/>
        <v>0,;!0,;!0,;!0</v>
      </c>
      <c r="AI429" s="211" t="e">
        <f>INDEX([1]Library!$AL:$AL,MATCH(AH429,[1]Library!$AJ:$AJ,0),1)</f>
        <v>#N/A</v>
      </c>
      <c r="AJ429" s="211" t="e">
        <f>TEXT(INDEX([1]Library!$W:$W,MATCH(AH429,[1]Library!$AJ:$AJ,0),1),"")</f>
        <v>#N/A</v>
      </c>
    </row>
    <row r="430" spans="1:36" ht="25.2" hidden="1" customHeight="1" outlineLevel="2">
      <c r="A430" s="228"/>
      <c r="B430" s="229"/>
      <c r="C430" s="230"/>
      <c r="D430" s="231" t="s">
        <v>454</v>
      </c>
      <c r="E430" s="232"/>
      <c r="F430" s="233"/>
      <c r="G430" s="379"/>
      <c r="H430" s="380">
        <v>2040</v>
      </c>
      <c r="I430" s="234" t="s">
        <v>354</v>
      </c>
      <c r="J430" s="235">
        <v>147.40700000000001</v>
      </c>
      <c r="K430" s="236">
        <v>300710.28000000003</v>
      </c>
      <c r="L430" s="235">
        <v>29.481400000000001</v>
      </c>
      <c r="M430" s="236">
        <v>60142.055999999997</v>
      </c>
      <c r="N430" s="237">
        <v>0</v>
      </c>
      <c r="O430" s="236">
        <v>0</v>
      </c>
      <c r="P430" s="238">
        <v>360852.33600000001</v>
      </c>
      <c r="Q430" s="239">
        <f t="shared" si="98"/>
        <v>1.9410853741700499E-4</v>
      </c>
      <c r="R430" s="236">
        <f t="shared" si="99"/>
        <v>19.3573693245215</v>
      </c>
      <c r="S430" s="240">
        <f t="shared" si="100"/>
        <v>707.55359999999996</v>
      </c>
      <c r="T430" s="241"/>
      <c r="U430" s="225"/>
      <c r="V430" s="226"/>
      <c r="W430" s="227"/>
      <c r="X430" s="226"/>
      <c r="Y430" s="226"/>
      <c r="Z430" s="226"/>
      <c r="AA430" s="226"/>
      <c r="AB430" s="226"/>
      <c r="AC430" s="226"/>
      <c r="AD430" s="96">
        <f t="shared" si="110"/>
        <v>0</v>
      </c>
      <c r="AE430" s="96">
        <f t="shared" si="111"/>
        <v>0</v>
      </c>
      <c r="AF430" s="96">
        <f t="shared" si="112"/>
        <v>0</v>
      </c>
      <c r="AG430" s="96">
        <f t="shared" si="113"/>
        <v>0</v>
      </c>
      <c r="AH430" s="211" t="str">
        <f t="shared" si="105"/>
        <v>0,;!0,;!0,;!0</v>
      </c>
      <c r="AI430" s="211" t="e">
        <f>INDEX([1]Library!$AL:$AL,MATCH(AH430,[1]Library!$AJ:$AJ,0),1)</f>
        <v>#N/A</v>
      </c>
      <c r="AJ430" s="211" t="e">
        <f>TEXT(INDEX([1]Library!$W:$W,MATCH(AH430,[1]Library!$AJ:$AJ,0),1),"")</f>
        <v>#N/A</v>
      </c>
    </row>
    <row r="431" spans="1:36" ht="25.2" hidden="1" customHeight="1" outlineLevel="2">
      <c r="A431" s="228"/>
      <c r="B431" s="229"/>
      <c r="C431" s="230"/>
      <c r="D431" s="231" t="s">
        <v>455</v>
      </c>
      <c r="E431" s="232"/>
      <c r="F431" s="233"/>
      <c r="G431" s="379"/>
      <c r="H431" s="380">
        <v>4</v>
      </c>
      <c r="I431" s="234" t="s">
        <v>354</v>
      </c>
      <c r="J431" s="235">
        <v>4066.95</v>
      </c>
      <c r="K431" s="236">
        <v>16267.8</v>
      </c>
      <c r="L431" s="235">
        <v>1220.085</v>
      </c>
      <c r="M431" s="236">
        <v>4880.34</v>
      </c>
      <c r="N431" s="237">
        <v>0</v>
      </c>
      <c r="O431" s="236">
        <v>0</v>
      </c>
      <c r="P431" s="238">
        <v>21148.14</v>
      </c>
      <c r="Q431" s="239">
        <f t="shared" si="98"/>
        <v>1.13759400035866E-5</v>
      </c>
      <c r="R431" s="236">
        <f t="shared" si="99"/>
        <v>1.13445948845593</v>
      </c>
      <c r="S431" s="240">
        <f t="shared" si="100"/>
        <v>41.466941176470598</v>
      </c>
      <c r="T431" s="241"/>
      <c r="U431" s="225"/>
      <c r="V431" s="226"/>
      <c r="W431" s="227"/>
      <c r="X431" s="226"/>
      <c r="Y431" s="226"/>
      <c r="Z431" s="226"/>
      <c r="AA431" s="226"/>
      <c r="AB431" s="226"/>
      <c r="AC431" s="226"/>
      <c r="AD431" s="96">
        <f>IF(X431&lt;&gt;0,IF($X431&gt;=AD$12,#REF!,""),Z431)</f>
        <v>0</v>
      </c>
      <c r="AE431" s="96">
        <f>IF(AA431=" ",IF($X431&gt;=AE$12,#REF!,""),AA431)</f>
        <v>0</v>
      </c>
      <c r="AF431" s="96">
        <f>IF(AB431=" ",IF($X431&gt;=AF$12,#REF!,""),AB431)</f>
        <v>0</v>
      </c>
      <c r="AG431" s="96">
        <f>IF(AC431=" ",IF($X431&gt;=AG$12,#REF!,""),AC431)</f>
        <v>0</v>
      </c>
      <c r="AH431" s="211" t="str">
        <f t="shared" si="105"/>
        <v>0,;!0,;!0,;!0</v>
      </c>
      <c r="AI431" s="211" t="e">
        <f>INDEX([1]Library!$AL:$AL,MATCH(AH431,[1]Library!$AJ:$AJ,0),1)</f>
        <v>#N/A</v>
      </c>
      <c r="AJ431" s="211" t="e">
        <f>TEXT(INDEX([1]Library!$W:$W,MATCH(AH431,[1]Library!$AJ:$AJ,0),1),"")</f>
        <v>#N/A</v>
      </c>
    </row>
    <row r="432" spans="1:36" ht="25.2" hidden="1" customHeight="1" outlineLevel="1" collapsed="1">
      <c r="A432" s="213"/>
      <c r="B432" s="214"/>
      <c r="C432" s="215" t="s">
        <v>53</v>
      </c>
      <c r="D432" s="215"/>
      <c r="E432" s="216"/>
      <c r="F432" s="217"/>
      <c r="G432" s="379"/>
      <c r="H432" s="219">
        <v>1</v>
      </c>
      <c r="I432" s="218" t="s">
        <v>32</v>
      </c>
      <c r="J432" s="219">
        <v>9688860.0451841597</v>
      </c>
      <c r="K432" s="219">
        <v>9688860.0451841597</v>
      </c>
      <c r="L432" s="219">
        <v>2652364.3578409599</v>
      </c>
      <c r="M432" s="219">
        <v>2652364.3578409599</v>
      </c>
      <c r="N432" s="219">
        <v>0</v>
      </c>
      <c r="O432" s="219">
        <v>0</v>
      </c>
      <c r="P432" s="220">
        <v>12341224.4030251</v>
      </c>
      <c r="Q432" s="221">
        <f t="shared" si="98"/>
        <v>6.6385520608248398E-3</v>
      </c>
      <c r="R432" s="222">
        <f t="shared" si="99"/>
        <v>662.02602797104896</v>
      </c>
      <c r="S432" s="223">
        <f t="shared" si="100"/>
        <v>24198.479221617799</v>
      </c>
      <c r="T432" s="224"/>
      <c r="U432" s="225"/>
      <c r="V432" s="226"/>
      <c r="W432" s="227"/>
      <c r="X432" s="226"/>
      <c r="Y432" s="226"/>
      <c r="Z432" s="226"/>
      <c r="AA432" s="226"/>
      <c r="AB432" s="226"/>
      <c r="AC432" s="226"/>
      <c r="AD432" s="96">
        <f>IF(X432&lt;&gt;0,IF($X432&gt;=AD$12,AD431,""),Z432)</f>
        <v>0</v>
      </c>
      <c r="AE432" s="96">
        <f t="shared" ref="AE432:AG433" si="114">IF(AA432=" ",IF($X432&gt;=AE$12,AE431,""),AA432)</f>
        <v>0</v>
      </c>
      <c r="AF432" s="96">
        <f t="shared" si="114"/>
        <v>0</v>
      </c>
      <c r="AG432" s="96">
        <f t="shared" si="114"/>
        <v>0</v>
      </c>
      <c r="AH432" s="211" t="str">
        <f t="shared" si="105"/>
        <v>0,;!0,;!0,;!0</v>
      </c>
      <c r="AI432" s="211" t="e">
        <f>INDEX([1]Library!$AL:$AL,MATCH(AH432,[1]Library!$AJ:$AJ,0),1)</f>
        <v>#N/A</v>
      </c>
      <c r="AJ432" s="211" t="e">
        <f>TEXT(INDEX([1]Library!$W:$W,MATCH(AH432,[1]Library!$AJ:$AJ,0),1),"")</f>
        <v>#N/A</v>
      </c>
    </row>
    <row r="433" spans="1:36" ht="25.2" hidden="1" customHeight="1" outlineLevel="2">
      <c r="A433" s="228"/>
      <c r="B433" s="229"/>
      <c r="C433" s="230"/>
      <c r="D433" s="231" t="s">
        <v>456</v>
      </c>
      <c r="E433" s="232"/>
      <c r="F433" s="233"/>
      <c r="G433" s="379"/>
      <c r="H433" s="380">
        <v>12240</v>
      </c>
      <c r="I433" s="234" t="s">
        <v>354</v>
      </c>
      <c r="J433" s="235">
        <v>160.71</v>
      </c>
      <c r="K433" s="236">
        <v>1967090.4</v>
      </c>
      <c r="L433" s="235">
        <v>32.142000000000003</v>
      </c>
      <c r="M433" s="236">
        <v>393418.08</v>
      </c>
      <c r="N433" s="237">
        <v>0</v>
      </c>
      <c r="O433" s="236">
        <v>0</v>
      </c>
      <c r="P433" s="238">
        <v>2360508.48</v>
      </c>
      <c r="Q433" s="239">
        <f t="shared" si="98"/>
        <v>1.26975719124412E-3</v>
      </c>
      <c r="R433" s="236">
        <f t="shared" si="99"/>
        <v>126.62585185821</v>
      </c>
      <c r="S433" s="240">
        <f t="shared" si="100"/>
        <v>4628.4480000000003</v>
      </c>
      <c r="T433" s="241"/>
      <c r="U433" s="225"/>
      <c r="V433" s="226"/>
      <c r="W433" s="227"/>
      <c r="X433" s="226"/>
      <c r="Y433" s="226"/>
      <c r="Z433" s="226"/>
      <c r="AA433" s="226"/>
      <c r="AB433" s="226"/>
      <c r="AC433" s="226"/>
      <c r="AD433" s="96">
        <f>IF(X433&lt;&gt;0,IF($X433&gt;=AD$12,AD432,""),Z433)</f>
        <v>0</v>
      </c>
      <c r="AE433" s="96">
        <f t="shared" si="114"/>
        <v>0</v>
      </c>
      <c r="AF433" s="96">
        <f t="shared" si="114"/>
        <v>0</v>
      </c>
      <c r="AG433" s="96">
        <f t="shared" si="114"/>
        <v>0</v>
      </c>
      <c r="AH433" s="211" t="str">
        <f t="shared" si="105"/>
        <v>0,;!0,;!0,;!0</v>
      </c>
      <c r="AI433" s="211" t="e">
        <f>INDEX([1]Library!$AL:$AL,MATCH(AH433,[1]Library!$AJ:$AJ,0),1)</f>
        <v>#N/A</v>
      </c>
      <c r="AJ433" s="211" t="e">
        <f>TEXT(INDEX([1]Library!$W:$W,MATCH(AH433,[1]Library!$AJ:$AJ,0),1),"")</f>
        <v>#N/A</v>
      </c>
    </row>
    <row r="434" spans="1:36" ht="25.2" hidden="1" customHeight="1" outlineLevel="2">
      <c r="A434" s="228"/>
      <c r="B434" s="229"/>
      <c r="C434" s="230"/>
      <c r="D434" s="231" t="s">
        <v>457</v>
      </c>
      <c r="E434" s="232"/>
      <c r="F434" s="233"/>
      <c r="G434" s="379"/>
      <c r="H434" s="380">
        <v>560</v>
      </c>
      <c r="I434" s="234" t="s">
        <v>354</v>
      </c>
      <c r="J434" s="235">
        <v>2500</v>
      </c>
      <c r="K434" s="236">
        <v>1400000</v>
      </c>
      <c r="L434" s="235">
        <v>500</v>
      </c>
      <c r="M434" s="236">
        <v>280000</v>
      </c>
      <c r="N434" s="237">
        <v>0</v>
      </c>
      <c r="O434" s="236">
        <v>0</v>
      </c>
      <c r="P434" s="238">
        <v>1680000</v>
      </c>
      <c r="Q434" s="239">
        <f t="shared" si="98"/>
        <v>9.0370024058973695E-4</v>
      </c>
      <c r="R434" s="236">
        <f t="shared" si="99"/>
        <v>90.121019654965295</v>
      </c>
      <c r="S434" s="240">
        <f t="shared" si="100"/>
        <v>3294.1176470588198</v>
      </c>
      <c r="T434" s="241"/>
      <c r="U434" s="225"/>
      <c r="V434" s="226"/>
      <c r="W434" s="227"/>
      <c r="X434" s="226"/>
      <c r="Y434" s="226"/>
      <c r="Z434" s="226"/>
      <c r="AA434" s="226"/>
      <c r="AB434" s="226"/>
      <c r="AC434" s="226"/>
      <c r="AD434" s="96">
        <f>IF(X434&lt;&gt;0,IF($X434&gt;=AD$12,#REF!,""),Z434)</f>
        <v>0</v>
      </c>
      <c r="AE434" s="96">
        <f>IF(AA434=" ",IF($X434&gt;=AE$12,#REF!,""),AA434)</f>
        <v>0</v>
      </c>
      <c r="AF434" s="96">
        <f>IF(AB434=" ",IF($X434&gt;=AF$12,#REF!,""),AB434)</f>
        <v>0</v>
      </c>
      <c r="AG434" s="96">
        <f>IF(AC434=" ",IF($X434&gt;=AG$12,#REF!,""),AC434)</f>
        <v>0</v>
      </c>
      <c r="AH434" s="211" t="str">
        <f t="shared" si="105"/>
        <v>0,;!0,;!0,;!0</v>
      </c>
      <c r="AI434" s="211" t="e">
        <f>INDEX([1]Library!$AL:$AL,MATCH(AH434,[1]Library!$AJ:$AJ,0),1)</f>
        <v>#N/A</v>
      </c>
      <c r="AJ434" s="211" t="e">
        <f>TEXT(INDEX([1]Library!$W:$W,MATCH(AH434,[1]Library!$AJ:$AJ,0),1),"")</f>
        <v>#N/A</v>
      </c>
    </row>
    <row r="435" spans="1:36" ht="25.2" hidden="1" customHeight="1" outlineLevel="2">
      <c r="A435" s="228"/>
      <c r="B435" s="229"/>
      <c r="C435" s="230"/>
      <c r="D435" s="231" t="s">
        <v>458</v>
      </c>
      <c r="E435" s="232"/>
      <c r="F435" s="233"/>
      <c r="G435" s="379"/>
      <c r="H435" s="380">
        <v>1600</v>
      </c>
      <c r="I435" s="234" t="s">
        <v>354</v>
      </c>
      <c r="J435" s="235">
        <v>2072.2124121686702</v>
      </c>
      <c r="K435" s="236">
        <v>3315539.8594698701</v>
      </c>
      <c r="L435" s="235">
        <v>621.66372365060101</v>
      </c>
      <c r="M435" s="236">
        <v>994661.95784096199</v>
      </c>
      <c r="N435" s="237">
        <v>0</v>
      </c>
      <c r="O435" s="236">
        <v>0</v>
      </c>
      <c r="P435" s="238">
        <v>4310201.8173108399</v>
      </c>
      <c r="Q435" s="239">
        <f t="shared" si="98"/>
        <v>2.3185300114845998E-3</v>
      </c>
      <c r="R435" s="236">
        <f t="shared" si="99"/>
        <v>231.21415636591499</v>
      </c>
      <c r="S435" s="240">
        <f t="shared" si="100"/>
        <v>8451.3761123742006</v>
      </c>
      <c r="T435" s="241"/>
      <c r="U435" s="225"/>
      <c r="V435" s="226"/>
      <c r="W435" s="227"/>
      <c r="X435" s="226"/>
      <c r="Y435" s="226"/>
      <c r="Z435" s="226"/>
      <c r="AA435" s="226"/>
      <c r="AB435" s="226"/>
      <c r="AC435" s="226"/>
      <c r="AD435" s="96">
        <f t="shared" ref="AD435:AD449" si="115">IF(X435&lt;&gt;0,IF($X435&gt;=AD$12,AD434,""),Z435)</f>
        <v>0</v>
      </c>
      <c r="AE435" s="96">
        <f t="shared" ref="AE435:AE449" si="116">IF(AA435=" ",IF($X435&gt;=AE$12,AE434,""),AA435)</f>
        <v>0</v>
      </c>
      <c r="AF435" s="96">
        <f t="shared" ref="AF435:AF449" si="117">IF(AB435=" ",IF($X435&gt;=AF$12,AF434,""),AB435)</f>
        <v>0</v>
      </c>
      <c r="AG435" s="96">
        <f t="shared" ref="AG435:AG449" si="118">IF(AC435=" ",IF($X435&gt;=AG$12,AG434,""),AC435)</f>
        <v>0</v>
      </c>
      <c r="AH435" s="211" t="str">
        <f t="shared" si="105"/>
        <v>0,;!0,;!0,;!0</v>
      </c>
      <c r="AI435" s="211" t="e">
        <f>INDEX([1]Library!$AL:$AL,MATCH(AH435,[1]Library!$AJ:$AJ,0),1)</f>
        <v>#N/A</v>
      </c>
      <c r="AJ435" s="211" t="e">
        <f>TEXT(INDEX([1]Library!$W:$W,MATCH(AH435,[1]Library!$AJ:$AJ,0),1),"")</f>
        <v>#N/A</v>
      </c>
    </row>
    <row r="436" spans="1:36" ht="25.2" hidden="1" customHeight="1" outlineLevel="2">
      <c r="A436" s="228"/>
      <c r="B436" s="229"/>
      <c r="C436" s="230"/>
      <c r="D436" s="231" t="s">
        <v>459</v>
      </c>
      <c r="E436" s="232"/>
      <c r="F436" s="233"/>
      <c r="G436" s="379"/>
      <c r="H436" s="380">
        <v>52</v>
      </c>
      <c r="I436" s="234" t="s">
        <v>354</v>
      </c>
      <c r="J436" s="235">
        <v>2186</v>
      </c>
      <c r="K436" s="236">
        <v>113672</v>
      </c>
      <c r="L436" s="235">
        <v>437.2</v>
      </c>
      <c r="M436" s="236">
        <v>22734.400000000001</v>
      </c>
      <c r="N436" s="237">
        <v>0</v>
      </c>
      <c r="O436" s="236">
        <v>0</v>
      </c>
      <c r="P436" s="238">
        <v>136406.39999999999</v>
      </c>
      <c r="Q436" s="239">
        <f t="shared" si="98"/>
        <v>7.3375295534511896E-5</v>
      </c>
      <c r="R436" s="236">
        <f t="shared" si="99"/>
        <v>7.31731181872801</v>
      </c>
      <c r="S436" s="240">
        <f t="shared" si="100"/>
        <v>267.46352941176502</v>
      </c>
      <c r="T436" s="241"/>
      <c r="U436" s="225"/>
      <c r="V436" s="226"/>
      <c r="W436" s="227"/>
      <c r="X436" s="226"/>
      <c r="Y436" s="226"/>
      <c r="Z436" s="226"/>
      <c r="AA436" s="226"/>
      <c r="AB436" s="226"/>
      <c r="AC436" s="226"/>
      <c r="AD436" s="96">
        <f t="shared" si="115"/>
        <v>0</v>
      </c>
      <c r="AE436" s="96">
        <f t="shared" si="116"/>
        <v>0</v>
      </c>
      <c r="AF436" s="96">
        <f t="shared" si="117"/>
        <v>0</v>
      </c>
      <c r="AG436" s="96">
        <f t="shared" si="118"/>
        <v>0</v>
      </c>
      <c r="AH436" s="211" t="str">
        <f t="shared" si="105"/>
        <v>0,;!0,;!0,;!0</v>
      </c>
      <c r="AI436" s="211" t="e">
        <f>INDEX([1]Library!$AL:$AL,MATCH(AH436,[1]Library!$AJ:$AJ,0),1)</f>
        <v>#N/A</v>
      </c>
      <c r="AJ436" s="211" t="e">
        <f>TEXT(INDEX([1]Library!$W:$W,MATCH(AH436,[1]Library!$AJ:$AJ,0),1),"")</f>
        <v>#N/A</v>
      </c>
    </row>
    <row r="437" spans="1:36" ht="25.2" hidden="1" customHeight="1" outlineLevel="2">
      <c r="A437" s="228"/>
      <c r="B437" s="229"/>
      <c r="C437" s="230"/>
      <c r="D437" s="231" t="s">
        <v>460</v>
      </c>
      <c r="E437" s="232"/>
      <c r="F437" s="233"/>
      <c r="G437" s="379"/>
      <c r="H437" s="380">
        <v>72</v>
      </c>
      <c r="I437" s="234" t="s">
        <v>354</v>
      </c>
      <c r="J437" s="235">
        <v>472.15</v>
      </c>
      <c r="K437" s="236">
        <v>33994.800000000003</v>
      </c>
      <c r="L437" s="235">
        <v>188.86</v>
      </c>
      <c r="M437" s="236">
        <v>13597.92</v>
      </c>
      <c r="N437" s="237">
        <v>0</v>
      </c>
      <c r="O437" s="236">
        <v>0</v>
      </c>
      <c r="P437" s="238">
        <v>47592.72</v>
      </c>
      <c r="Q437" s="239">
        <f t="shared" si="98"/>
        <v>2.5600924115666699E-5</v>
      </c>
      <c r="R437" s="236">
        <f t="shared" si="99"/>
        <v>2.5530383658055098</v>
      </c>
      <c r="S437" s="240">
        <f t="shared" si="100"/>
        <v>93.319058823529403</v>
      </c>
      <c r="T437" s="241"/>
      <c r="U437" s="225"/>
      <c r="V437" s="226"/>
      <c r="W437" s="227"/>
      <c r="X437" s="226"/>
      <c r="Y437" s="226"/>
      <c r="Z437" s="226"/>
      <c r="AA437" s="226"/>
      <c r="AB437" s="226"/>
      <c r="AC437" s="226"/>
      <c r="AD437" s="96">
        <f t="shared" si="115"/>
        <v>0</v>
      </c>
      <c r="AE437" s="96">
        <f t="shared" si="116"/>
        <v>0</v>
      </c>
      <c r="AF437" s="96">
        <f t="shared" si="117"/>
        <v>0</v>
      </c>
      <c r="AG437" s="96">
        <f t="shared" si="118"/>
        <v>0</v>
      </c>
      <c r="AH437" s="211" t="str">
        <f t="shared" si="105"/>
        <v>0,;!0,;!0,;!0</v>
      </c>
      <c r="AI437" s="211" t="e">
        <f>INDEX([1]Library!$AL:$AL,MATCH(AH437,[1]Library!$AJ:$AJ,0),1)</f>
        <v>#N/A</v>
      </c>
      <c r="AJ437" s="211" t="e">
        <f>TEXT(INDEX([1]Library!$W:$W,MATCH(AH437,[1]Library!$AJ:$AJ,0),1),"")</f>
        <v>#N/A</v>
      </c>
    </row>
    <row r="438" spans="1:36" ht="25.2" hidden="1" customHeight="1" outlineLevel="2">
      <c r="A438" s="228"/>
      <c r="B438" s="229"/>
      <c r="C438" s="230"/>
      <c r="D438" s="231" t="s">
        <v>461</v>
      </c>
      <c r="E438" s="232"/>
      <c r="F438" s="233"/>
      <c r="G438" s="379"/>
      <c r="H438" s="380">
        <v>188</v>
      </c>
      <c r="I438" s="234" t="s">
        <v>354</v>
      </c>
      <c r="J438" s="235">
        <v>3510</v>
      </c>
      <c r="K438" s="236">
        <v>659880</v>
      </c>
      <c r="L438" s="235">
        <v>1404</v>
      </c>
      <c r="M438" s="236">
        <v>263952</v>
      </c>
      <c r="N438" s="237">
        <v>0</v>
      </c>
      <c r="O438" s="236">
        <v>0</v>
      </c>
      <c r="P438" s="238">
        <v>923832</v>
      </c>
      <c r="Q438" s="239">
        <f t="shared" si="98"/>
        <v>4.9694476230029605E-4</v>
      </c>
      <c r="R438" s="236">
        <f t="shared" si="99"/>
        <v>49.557548708265401</v>
      </c>
      <c r="S438" s="240">
        <f t="shared" si="100"/>
        <v>1811.4352941176501</v>
      </c>
      <c r="T438" s="241"/>
      <c r="U438" s="225"/>
      <c r="V438" s="226"/>
      <c r="W438" s="227"/>
      <c r="X438" s="226"/>
      <c r="Y438" s="226"/>
      <c r="Z438" s="226"/>
      <c r="AA438" s="226"/>
      <c r="AB438" s="226"/>
      <c r="AC438" s="226"/>
      <c r="AD438" s="96">
        <f t="shared" si="115"/>
        <v>0</v>
      </c>
      <c r="AE438" s="96">
        <f t="shared" si="116"/>
        <v>0</v>
      </c>
      <c r="AF438" s="96">
        <f t="shared" si="117"/>
        <v>0</v>
      </c>
      <c r="AG438" s="96">
        <f t="shared" si="118"/>
        <v>0</v>
      </c>
      <c r="AH438" s="211" t="str">
        <f t="shared" si="105"/>
        <v>0,;!0,;!0,;!0</v>
      </c>
      <c r="AI438" s="211" t="e">
        <f>INDEX([1]Library!$AL:$AL,MATCH(AH438,[1]Library!$AJ:$AJ,0),1)</f>
        <v>#N/A</v>
      </c>
      <c r="AJ438" s="211" t="e">
        <f>TEXT(INDEX([1]Library!$W:$W,MATCH(AH438,[1]Library!$AJ:$AJ,0),1),"")</f>
        <v>#N/A</v>
      </c>
    </row>
    <row r="439" spans="1:36" ht="25.2" hidden="1" customHeight="1" outlineLevel="2">
      <c r="A439" s="228"/>
      <c r="B439" s="229"/>
      <c r="C439" s="230"/>
      <c r="D439" s="231" t="s">
        <v>462</v>
      </c>
      <c r="E439" s="232"/>
      <c r="F439" s="233"/>
      <c r="G439" s="379"/>
      <c r="H439" s="380">
        <v>456</v>
      </c>
      <c r="I439" s="234" t="s">
        <v>354</v>
      </c>
      <c r="J439" s="235">
        <v>4821.6732142857099</v>
      </c>
      <c r="K439" s="236">
        <v>2198682.98571428</v>
      </c>
      <c r="L439" s="235">
        <v>1500</v>
      </c>
      <c r="M439" s="236">
        <v>684000</v>
      </c>
      <c r="N439" s="237">
        <v>0</v>
      </c>
      <c r="O439" s="236">
        <v>0</v>
      </c>
      <c r="P439" s="238">
        <v>2882682.98571428</v>
      </c>
      <c r="Q439" s="239">
        <f t="shared" si="98"/>
        <v>1.5506436355559199E-3</v>
      </c>
      <c r="R439" s="236">
        <f t="shared" si="99"/>
        <v>154.63710119916101</v>
      </c>
      <c r="S439" s="240">
        <f t="shared" si="100"/>
        <v>5652.3195798319202</v>
      </c>
      <c r="T439" s="241"/>
      <c r="U439" s="225"/>
      <c r="V439" s="226"/>
      <c r="W439" s="227"/>
      <c r="X439" s="226"/>
      <c r="Y439" s="226"/>
      <c r="Z439" s="226"/>
      <c r="AA439" s="226"/>
      <c r="AB439" s="226"/>
      <c r="AC439" s="226"/>
      <c r="AD439" s="96">
        <f t="shared" si="115"/>
        <v>0</v>
      </c>
      <c r="AE439" s="96">
        <f t="shared" si="116"/>
        <v>0</v>
      </c>
      <c r="AF439" s="96">
        <f t="shared" si="117"/>
        <v>0</v>
      </c>
      <c r="AG439" s="96">
        <f t="shared" si="118"/>
        <v>0</v>
      </c>
      <c r="AH439" s="211" t="str">
        <f t="shared" si="105"/>
        <v>0,;!0,;!0,;!0</v>
      </c>
      <c r="AI439" s="211" t="e">
        <f>INDEX([1]Library!$AL:$AL,MATCH(AH439,[1]Library!$AJ:$AJ,0),1)</f>
        <v>#N/A</v>
      </c>
      <c r="AJ439" s="211" t="e">
        <f>TEXT(INDEX([1]Library!$W:$W,MATCH(AH439,[1]Library!$AJ:$AJ,0),1),"")</f>
        <v>#N/A</v>
      </c>
    </row>
    <row r="440" spans="1:36" ht="25.2" hidden="1" customHeight="1" outlineLevel="1">
      <c r="A440" s="213"/>
      <c r="B440" s="214"/>
      <c r="C440" s="215" t="s">
        <v>326</v>
      </c>
      <c r="D440" s="215"/>
      <c r="E440" s="216"/>
      <c r="F440" s="217"/>
      <c r="G440" s="379"/>
      <c r="H440" s="219">
        <v>1</v>
      </c>
      <c r="I440" s="218" t="s">
        <v>32</v>
      </c>
      <c r="J440" s="219">
        <v>1138713.78766444</v>
      </c>
      <c r="K440" s="219">
        <v>1138713.78766444</v>
      </c>
      <c r="L440" s="219">
        <v>113871.378766444</v>
      </c>
      <c r="M440" s="219">
        <v>113871.378766444</v>
      </c>
      <c r="N440" s="219">
        <v>0</v>
      </c>
      <c r="O440" s="219">
        <v>0</v>
      </c>
      <c r="P440" s="220">
        <v>1252585.1664308901</v>
      </c>
      <c r="Q440" s="221">
        <f t="shared" si="98"/>
        <v>6.7378661682305401E-4</v>
      </c>
      <c r="R440" s="222">
        <f t="shared" si="99"/>
        <v>67.193007382997706</v>
      </c>
      <c r="S440" s="223">
        <f t="shared" si="100"/>
        <v>2456.0493459429199</v>
      </c>
      <c r="T440" s="224"/>
      <c r="U440" s="225"/>
      <c r="V440" s="226"/>
      <c r="W440" s="227"/>
      <c r="X440" s="226"/>
      <c r="Y440" s="226"/>
      <c r="Z440" s="226"/>
      <c r="AA440" s="226"/>
      <c r="AB440" s="226"/>
      <c r="AC440" s="226"/>
      <c r="AD440" s="96">
        <f t="shared" si="115"/>
        <v>0</v>
      </c>
      <c r="AE440" s="96">
        <f t="shared" si="116"/>
        <v>0</v>
      </c>
      <c r="AF440" s="96">
        <f t="shared" si="117"/>
        <v>0</v>
      </c>
      <c r="AG440" s="96">
        <f t="shared" si="118"/>
        <v>0</v>
      </c>
      <c r="AH440" s="211" t="str">
        <f t="shared" si="105"/>
        <v>0,;!0,;!0,;!0</v>
      </c>
      <c r="AI440" s="211" t="e">
        <f>INDEX([1]Library!$AL:$AL,MATCH(AH440,[1]Library!$AJ:$AJ,0),1)</f>
        <v>#N/A</v>
      </c>
      <c r="AJ440" s="211" t="e">
        <f>TEXT(INDEX([1]Library!$W:$W,MATCH(AH440,[1]Library!$AJ:$AJ,0),1),"")</f>
        <v>#N/A</v>
      </c>
    </row>
    <row r="441" spans="1:36" ht="25.2" hidden="1" customHeight="1" outlineLevel="1">
      <c r="A441" s="213"/>
      <c r="B441" s="214"/>
      <c r="C441" s="215" t="s">
        <v>327</v>
      </c>
      <c r="D441" s="215"/>
      <c r="E441" s="216"/>
      <c r="F441" s="217"/>
      <c r="G441" s="379"/>
      <c r="H441" s="219">
        <v>1</v>
      </c>
      <c r="I441" s="218" t="s">
        <v>32</v>
      </c>
      <c r="J441" s="219">
        <v>1518285.0502192599</v>
      </c>
      <c r="K441" s="219">
        <v>1518285.0502192599</v>
      </c>
      <c r="L441" s="219">
        <v>151828.50502192599</v>
      </c>
      <c r="M441" s="219">
        <v>151828.50502192599</v>
      </c>
      <c r="N441" s="219">
        <v>0</v>
      </c>
      <c r="O441" s="219">
        <v>0</v>
      </c>
      <c r="P441" s="220">
        <v>1670113.5552411899</v>
      </c>
      <c r="Q441" s="221">
        <f t="shared" si="98"/>
        <v>8.9838215576407197E-4</v>
      </c>
      <c r="R441" s="222">
        <f t="shared" si="99"/>
        <v>89.590676510663798</v>
      </c>
      <c r="S441" s="223">
        <f t="shared" si="100"/>
        <v>3274.7324612572402</v>
      </c>
      <c r="T441" s="224"/>
      <c r="U441" s="225"/>
      <c r="V441" s="226"/>
      <c r="W441" s="227"/>
      <c r="X441" s="226"/>
      <c r="Y441" s="226"/>
      <c r="Z441" s="226"/>
      <c r="AA441" s="226"/>
      <c r="AB441" s="226"/>
      <c r="AC441" s="226"/>
      <c r="AD441" s="96">
        <f t="shared" si="115"/>
        <v>0</v>
      </c>
      <c r="AE441" s="96">
        <f t="shared" si="116"/>
        <v>0</v>
      </c>
      <c r="AF441" s="96">
        <f t="shared" si="117"/>
        <v>0</v>
      </c>
      <c r="AG441" s="96">
        <f t="shared" si="118"/>
        <v>0</v>
      </c>
      <c r="AH441" s="211" t="str">
        <f t="shared" si="105"/>
        <v>0,;!0,;!0,;!0</v>
      </c>
      <c r="AI441" s="211" t="e">
        <f>INDEX([1]Library!$AL:$AL,MATCH(AH441,[1]Library!$AJ:$AJ,0),1)</f>
        <v>#N/A</v>
      </c>
      <c r="AJ441" s="211" t="e">
        <f>TEXT(INDEX([1]Library!$W:$W,MATCH(AH441,[1]Library!$AJ:$AJ,0),1),"")</f>
        <v>#N/A</v>
      </c>
    </row>
    <row r="442" spans="1:36" ht="25.2" hidden="1" customHeight="1" outlineLevel="1">
      <c r="A442" s="213"/>
      <c r="B442" s="214"/>
      <c r="C442" s="215" t="s">
        <v>328</v>
      </c>
      <c r="D442" s="215"/>
      <c r="E442" s="216"/>
      <c r="F442" s="217"/>
      <c r="G442" s="379"/>
      <c r="H442" s="219">
        <v>1</v>
      </c>
      <c r="I442" s="218" t="s">
        <v>32</v>
      </c>
      <c r="J442" s="219">
        <v>759142.52510962996</v>
      </c>
      <c r="K442" s="219">
        <v>759142.52510962996</v>
      </c>
      <c r="L442" s="219">
        <v>75914.252510962993</v>
      </c>
      <c r="M442" s="219">
        <v>75914.252510962993</v>
      </c>
      <c r="N442" s="219">
        <v>0</v>
      </c>
      <c r="O442" s="219">
        <v>0</v>
      </c>
      <c r="P442" s="220">
        <v>835056.77762059297</v>
      </c>
      <c r="Q442" s="221">
        <f t="shared" si="98"/>
        <v>4.4919107788203599E-4</v>
      </c>
      <c r="R442" s="222">
        <f t="shared" si="99"/>
        <v>44.795338255331799</v>
      </c>
      <c r="S442" s="223">
        <f t="shared" si="100"/>
        <v>1637.3662306286101</v>
      </c>
      <c r="T442" s="224"/>
      <c r="U442" s="225"/>
      <c r="V442" s="226"/>
      <c r="W442" s="227"/>
      <c r="X442" s="226"/>
      <c r="Y442" s="226"/>
      <c r="Z442" s="226"/>
      <c r="AA442" s="226"/>
      <c r="AB442" s="226"/>
      <c r="AC442" s="226"/>
      <c r="AD442" s="96">
        <f t="shared" si="115"/>
        <v>0</v>
      </c>
      <c r="AE442" s="96">
        <f t="shared" si="116"/>
        <v>0</v>
      </c>
      <c r="AF442" s="96">
        <f t="shared" si="117"/>
        <v>0</v>
      </c>
      <c r="AG442" s="96">
        <f t="shared" si="118"/>
        <v>0</v>
      </c>
      <c r="AH442" s="211" t="str">
        <f t="shared" si="105"/>
        <v>0,;!0,;!0,;!0</v>
      </c>
      <c r="AI442" s="211" t="e">
        <f>INDEX([1]Library!$AL:$AL,MATCH(AH442,[1]Library!$AJ:$AJ,0),1)</f>
        <v>#N/A</v>
      </c>
      <c r="AJ442" s="211" t="e">
        <f>TEXT(INDEX([1]Library!$W:$W,MATCH(AH442,[1]Library!$AJ:$AJ,0),1),"")</f>
        <v>#N/A</v>
      </c>
    </row>
    <row r="443" spans="1:36" ht="25.2" hidden="1" customHeight="1" outlineLevel="1">
      <c r="A443" s="213"/>
      <c r="B443" s="214"/>
      <c r="C443" s="215" t="s">
        <v>329</v>
      </c>
      <c r="D443" s="215"/>
      <c r="E443" s="216"/>
      <c r="F443" s="217"/>
      <c r="G443" s="379"/>
      <c r="H443" s="219">
        <v>1</v>
      </c>
      <c r="I443" s="218" t="s">
        <v>32</v>
      </c>
      <c r="J443" s="219">
        <v>910971.03013155598</v>
      </c>
      <c r="K443" s="219">
        <v>910971.03013155598</v>
      </c>
      <c r="L443" s="219">
        <v>91097.103013155604</v>
      </c>
      <c r="M443" s="219">
        <v>91097.103013155604</v>
      </c>
      <c r="N443" s="219">
        <v>0</v>
      </c>
      <c r="O443" s="219">
        <v>0</v>
      </c>
      <c r="P443" s="220">
        <v>1002068.13314471</v>
      </c>
      <c r="Q443" s="221">
        <f t="shared" si="98"/>
        <v>5.3902929345844299E-4</v>
      </c>
      <c r="R443" s="222">
        <f t="shared" si="99"/>
        <v>53.754405906398098</v>
      </c>
      <c r="S443" s="223">
        <f t="shared" si="100"/>
        <v>1964.83947675433</v>
      </c>
      <c r="T443" s="224"/>
      <c r="U443" s="225"/>
      <c r="V443" s="226"/>
      <c r="W443" s="227"/>
      <c r="X443" s="226"/>
      <c r="Y443" s="226"/>
      <c r="Z443" s="226"/>
      <c r="AA443" s="226"/>
      <c r="AB443" s="226"/>
      <c r="AC443" s="226"/>
      <c r="AD443" s="96">
        <f t="shared" si="115"/>
        <v>0</v>
      </c>
      <c r="AE443" s="96">
        <f t="shared" si="116"/>
        <v>0</v>
      </c>
      <c r="AF443" s="96">
        <f t="shared" si="117"/>
        <v>0</v>
      </c>
      <c r="AG443" s="96">
        <f t="shared" si="118"/>
        <v>0</v>
      </c>
      <c r="AH443" s="211" t="str">
        <f t="shared" si="105"/>
        <v>0,;!0,;!0,;!0</v>
      </c>
      <c r="AI443" s="211" t="e">
        <f>INDEX([1]Library!$AL:$AL,MATCH(AH443,[1]Library!$AJ:$AJ,0),1)</f>
        <v>#N/A</v>
      </c>
      <c r="AJ443" s="211" t="e">
        <f>TEXT(INDEX([1]Library!$W:$W,MATCH(AH443,[1]Library!$AJ:$AJ,0),1),"")</f>
        <v>#N/A</v>
      </c>
    </row>
    <row r="444" spans="1:36" ht="25.2" hidden="1" customHeight="1" outlineLevel="1">
      <c r="A444" s="213"/>
      <c r="B444" s="214"/>
      <c r="C444" s="215" t="s">
        <v>330</v>
      </c>
      <c r="D444" s="215"/>
      <c r="E444" s="216"/>
      <c r="F444" s="217"/>
      <c r="G444" s="379"/>
      <c r="H444" s="219">
        <v>1</v>
      </c>
      <c r="I444" s="218" t="s">
        <v>32</v>
      </c>
      <c r="J444" s="219">
        <v>0</v>
      </c>
      <c r="K444" s="219">
        <v>0</v>
      </c>
      <c r="L444" s="219">
        <v>0</v>
      </c>
      <c r="M444" s="219">
        <v>0</v>
      </c>
      <c r="N444" s="219">
        <v>4791862.44695557</v>
      </c>
      <c r="O444" s="219">
        <v>4791862.44695557</v>
      </c>
      <c r="P444" s="220">
        <v>4791862.44695557</v>
      </c>
      <c r="Q444" s="221">
        <f t="shared" si="98"/>
        <v>2.5776233608254002E-3</v>
      </c>
      <c r="R444" s="222">
        <f t="shared" si="99"/>
        <v>257.05210105117402</v>
      </c>
      <c r="S444" s="223">
        <f t="shared" si="100"/>
        <v>9395.8087195207299</v>
      </c>
      <c r="T444" s="224"/>
      <c r="U444" s="225"/>
      <c r="V444" s="226"/>
      <c r="W444" s="227"/>
      <c r="X444" s="226"/>
      <c r="Y444" s="226"/>
      <c r="Z444" s="226"/>
      <c r="AA444" s="226"/>
      <c r="AB444" s="226"/>
      <c r="AC444" s="226"/>
      <c r="AD444" s="96">
        <f t="shared" si="115"/>
        <v>0</v>
      </c>
      <c r="AE444" s="96">
        <f t="shared" si="116"/>
        <v>0</v>
      </c>
      <c r="AF444" s="96">
        <f t="shared" si="117"/>
        <v>0</v>
      </c>
      <c r="AG444" s="96">
        <f t="shared" si="118"/>
        <v>0</v>
      </c>
      <c r="AH444" s="211" t="str">
        <f t="shared" si="105"/>
        <v>0,;!0,;!0,;!0</v>
      </c>
      <c r="AI444" s="211" t="e">
        <f>INDEX([1]Library!$AL:$AL,MATCH(AH444,[1]Library!$AJ:$AJ,0),1)</f>
        <v>#N/A</v>
      </c>
      <c r="AJ444" s="211" t="e">
        <f>TEXT(INDEX([1]Library!$W:$W,MATCH(AH444,[1]Library!$AJ:$AJ,0),1),"")</f>
        <v>#N/A</v>
      </c>
    </row>
    <row r="445" spans="1:36" ht="25.2" customHeight="1" collapsed="1">
      <c r="A445" s="198" t="s">
        <v>463</v>
      </c>
      <c r="B445" s="199" t="s">
        <v>464</v>
      </c>
      <c r="C445" s="200"/>
      <c r="D445" s="200"/>
      <c r="E445" s="201"/>
      <c r="F445" s="202"/>
      <c r="G445" s="379"/>
      <c r="H445" s="378">
        <v>1</v>
      </c>
      <c r="I445" s="203" t="s">
        <v>32</v>
      </c>
      <c r="J445" s="204">
        <v>30136922.8055446</v>
      </c>
      <c r="K445" s="205">
        <v>30136922.8055446</v>
      </c>
      <c r="L445" s="204">
        <v>5617673.83169227</v>
      </c>
      <c r="M445" s="205">
        <v>5617673.83169227</v>
      </c>
      <c r="N445" s="204">
        <v>1157732.31087797</v>
      </c>
      <c r="O445" s="205">
        <v>1157732.31087797</v>
      </c>
      <c r="P445" s="206">
        <v>36912328.948114797</v>
      </c>
      <c r="Q445" s="207">
        <f t="shared" si="98"/>
        <v>1.9855762232820699E-2</v>
      </c>
      <c r="R445" s="205">
        <f t="shared" si="99"/>
        <v>1980.10519204976</v>
      </c>
      <c r="S445" s="208">
        <f t="shared" si="100"/>
        <v>72377.115584538798</v>
      </c>
      <c r="T445" s="209"/>
      <c r="U445" s="225"/>
      <c r="V445" s="226"/>
      <c r="W445" s="227"/>
      <c r="X445" s="226"/>
      <c r="Y445" s="226"/>
      <c r="Z445" s="226"/>
      <c r="AA445" s="226"/>
      <c r="AB445" s="226"/>
      <c r="AC445" s="226"/>
      <c r="AD445" s="96">
        <f t="shared" si="115"/>
        <v>0</v>
      </c>
      <c r="AE445" s="96">
        <f t="shared" si="116"/>
        <v>0</v>
      </c>
      <c r="AF445" s="96">
        <f t="shared" si="117"/>
        <v>0</v>
      </c>
      <c r="AG445" s="96">
        <f t="shared" si="118"/>
        <v>0</v>
      </c>
      <c r="AH445" s="211" t="str">
        <f t="shared" si="105"/>
        <v>0,;!0,;!0,;!0</v>
      </c>
      <c r="AI445" s="211" t="e">
        <f>INDEX([1]Library!$AL:$AL,MATCH(AH445,[1]Library!$AJ:$AJ,0),1)</f>
        <v>#N/A</v>
      </c>
      <c r="AJ445" s="211" t="e">
        <f>TEXT(INDEX([1]Library!$W:$W,MATCH(AH445,[1]Library!$AJ:$AJ,0),1),"")</f>
        <v>#N/A</v>
      </c>
    </row>
    <row r="446" spans="1:36" ht="25.2" hidden="1" customHeight="1" outlineLevel="1" collapsed="1">
      <c r="A446" s="213"/>
      <c r="B446" s="214"/>
      <c r="C446" s="215" t="s">
        <v>465</v>
      </c>
      <c r="D446" s="215"/>
      <c r="E446" s="216"/>
      <c r="F446" s="217"/>
      <c r="G446" s="379"/>
      <c r="H446" s="219">
        <v>1</v>
      </c>
      <c r="I446" s="218" t="s">
        <v>32</v>
      </c>
      <c r="J446" s="219">
        <v>6510226.39365</v>
      </c>
      <c r="K446" s="219">
        <v>6510226.39365</v>
      </c>
      <c r="L446" s="219">
        <v>1793127.5087926399</v>
      </c>
      <c r="M446" s="219">
        <v>1793127.5087926399</v>
      </c>
      <c r="N446" s="219">
        <v>0</v>
      </c>
      <c r="O446" s="219">
        <v>0</v>
      </c>
      <c r="P446" s="220">
        <v>8303353.9024426397</v>
      </c>
      <c r="Q446" s="221">
        <f t="shared" si="98"/>
        <v>4.4665136424637802E-3</v>
      </c>
      <c r="R446" s="222">
        <f t="shared" si="99"/>
        <v>445.42066681200299</v>
      </c>
      <c r="S446" s="223">
        <f t="shared" si="100"/>
        <v>16281.0860832209</v>
      </c>
      <c r="T446" s="224"/>
      <c r="U446" s="225"/>
      <c r="V446" s="226"/>
      <c r="W446" s="227"/>
      <c r="X446" s="226"/>
      <c r="Y446" s="226"/>
      <c r="Z446" s="226"/>
      <c r="AA446" s="226"/>
      <c r="AB446" s="226"/>
      <c r="AC446" s="226"/>
      <c r="AD446" s="96">
        <f t="shared" si="115"/>
        <v>0</v>
      </c>
      <c r="AE446" s="96">
        <f t="shared" si="116"/>
        <v>0</v>
      </c>
      <c r="AF446" s="96">
        <f t="shared" si="117"/>
        <v>0</v>
      </c>
      <c r="AG446" s="96">
        <f t="shared" si="118"/>
        <v>0</v>
      </c>
      <c r="AH446" s="211" t="str">
        <f t="shared" si="105"/>
        <v>0,;!0,;!0,;!0</v>
      </c>
      <c r="AI446" s="211" t="e">
        <f>INDEX([1]Library!$AL:$AL,MATCH(AH446,[1]Library!$AJ:$AJ,0),1)</f>
        <v>#N/A</v>
      </c>
      <c r="AJ446" s="211" t="e">
        <f>TEXT(INDEX([1]Library!$W:$W,MATCH(AH446,[1]Library!$AJ:$AJ,0),1),"")</f>
        <v>#N/A</v>
      </c>
    </row>
    <row r="447" spans="1:36" ht="25.2" hidden="1" customHeight="1" outlineLevel="2">
      <c r="A447" s="228"/>
      <c r="B447" s="229"/>
      <c r="C447" s="230"/>
      <c r="D447" s="231" t="s">
        <v>406</v>
      </c>
      <c r="E447" s="232"/>
      <c r="F447" s="233"/>
      <c r="G447" s="379"/>
      <c r="H447" s="380">
        <v>1</v>
      </c>
      <c r="I447" s="234" t="s">
        <v>32</v>
      </c>
      <c r="J447" s="235">
        <v>5779496.39365</v>
      </c>
      <c r="K447" s="236">
        <v>5779496.39365</v>
      </c>
      <c r="L447" s="235">
        <v>1500835.5087926399</v>
      </c>
      <c r="M447" s="236">
        <v>1500835.5087926399</v>
      </c>
      <c r="N447" s="237">
        <v>0</v>
      </c>
      <c r="O447" s="236">
        <v>0</v>
      </c>
      <c r="P447" s="238">
        <v>7280331.9024426397</v>
      </c>
      <c r="Q447" s="239">
        <f t="shared" si="98"/>
        <v>3.9162129117920001E-3</v>
      </c>
      <c r="R447" s="236">
        <f t="shared" si="99"/>
        <v>390.54222290160902</v>
      </c>
      <c r="S447" s="240">
        <f t="shared" si="100"/>
        <v>14275.160593024801</v>
      </c>
      <c r="T447" s="241"/>
      <c r="U447" s="225"/>
      <c r="V447" s="226"/>
      <c r="W447" s="227"/>
      <c r="X447" s="226"/>
      <c r="Y447" s="226"/>
      <c r="Z447" s="226"/>
      <c r="AA447" s="226"/>
      <c r="AB447" s="226"/>
      <c r="AC447" s="226"/>
      <c r="AD447" s="96">
        <f t="shared" si="115"/>
        <v>0</v>
      </c>
      <c r="AE447" s="96">
        <f t="shared" si="116"/>
        <v>0</v>
      </c>
      <c r="AF447" s="96">
        <f t="shared" si="117"/>
        <v>0</v>
      </c>
      <c r="AG447" s="96">
        <f t="shared" si="118"/>
        <v>0</v>
      </c>
      <c r="AH447" s="211" t="str">
        <f t="shared" si="105"/>
        <v>0,;!0,;!0,;!0</v>
      </c>
      <c r="AI447" s="211" t="e">
        <f>INDEX([1]Library!$AL:$AL,MATCH(AH447,[1]Library!$AJ:$AJ,0),1)</f>
        <v>#N/A</v>
      </c>
      <c r="AJ447" s="211" t="e">
        <f>TEXT(INDEX([1]Library!$W:$W,MATCH(AH447,[1]Library!$AJ:$AJ,0),1),"")</f>
        <v>#N/A</v>
      </c>
    </row>
    <row r="448" spans="1:36" ht="25.2" hidden="1" customHeight="1" outlineLevel="2">
      <c r="A448" s="242"/>
      <c r="B448" s="243"/>
      <c r="C448" s="244"/>
      <c r="D448" s="245"/>
      <c r="E448" s="246" t="s">
        <v>291</v>
      </c>
      <c r="F448" s="247"/>
      <c r="G448" s="381"/>
      <c r="H448" s="382">
        <v>13260</v>
      </c>
      <c r="I448" s="248" t="s">
        <v>176</v>
      </c>
      <c r="J448" s="249">
        <v>34.4</v>
      </c>
      <c r="K448" s="250">
        <v>456144</v>
      </c>
      <c r="L448" s="249">
        <v>28.178571428571399</v>
      </c>
      <c r="M448" s="250">
        <v>373647.85714285698</v>
      </c>
      <c r="N448" s="251">
        <v>0</v>
      </c>
      <c r="O448" s="250">
        <v>0</v>
      </c>
      <c r="P448" s="252">
        <v>829791.85714285704</v>
      </c>
      <c r="Q448" s="253">
        <f t="shared" si="98"/>
        <v>4.4635898865440801E-4</v>
      </c>
      <c r="R448" s="254">
        <f t="shared" si="99"/>
        <v>44.512909682798501</v>
      </c>
      <c r="S448" s="255">
        <f t="shared" si="100"/>
        <v>1627.0428571428599</v>
      </c>
      <c r="T448" s="256"/>
      <c r="U448" s="225"/>
      <c r="V448" s="226"/>
      <c r="W448" s="227"/>
      <c r="X448" s="226"/>
      <c r="Y448" s="226"/>
      <c r="Z448" s="226"/>
      <c r="AA448" s="226"/>
      <c r="AB448" s="226"/>
      <c r="AC448" s="226"/>
      <c r="AD448" s="96">
        <f t="shared" si="115"/>
        <v>0</v>
      </c>
      <c r="AE448" s="96">
        <f t="shared" si="116"/>
        <v>0</v>
      </c>
      <c r="AF448" s="96">
        <f t="shared" si="117"/>
        <v>0</v>
      </c>
      <c r="AG448" s="96">
        <f t="shared" si="118"/>
        <v>0</v>
      </c>
      <c r="AH448" s="211" t="str">
        <f t="shared" si="105"/>
        <v>0,;!0,;!0,;!0</v>
      </c>
      <c r="AI448" s="211" t="e">
        <f>INDEX([1]Library!$AL:$AL,MATCH(AH448,[1]Library!$AJ:$AJ,0),1)</f>
        <v>#N/A</v>
      </c>
      <c r="AJ448" s="211" t="e">
        <f>TEXT(INDEX([1]Library!$W:$W,MATCH(AH448,[1]Library!$AJ:$AJ,0),1),"")</f>
        <v>#N/A</v>
      </c>
    </row>
    <row r="449" spans="1:36" ht="25.2" hidden="1" customHeight="1" outlineLevel="2">
      <c r="A449" s="242"/>
      <c r="B449" s="243"/>
      <c r="C449" s="244"/>
      <c r="D449" s="245"/>
      <c r="E449" s="246" t="s">
        <v>466</v>
      </c>
      <c r="F449" s="247"/>
      <c r="G449" s="381"/>
      <c r="H449" s="382">
        <v>52</v>
      </c>
      <c r="I449" s="248" t="s">
        <v>176</v>
      </c>
      <c r="J449" s="249">
        <v>64.545731250000003</v>
      </c>
      <c r="K449" s="250">
        <v>3356.378025</v>
      </c>
      <c r="L449" s="249">
        <v>52.927499625000003</v>
      </c>
      <c r="M449" s="250">
        <v>2752.2299804999998</v>
      </c>
      <c r="N449" s="251">
        <v>0</v>
      </c>
      <c r="O449" s="250">
        <v>0</v>
      </c>
      <c r="P449" s="252">
        <v>6108.6080055000002</v>
      </c>
      <c r="Q449" s="253">
        <f t="shared" si="98"/>
        <v>3.2859229310944899E-6</v>
      </c>
      <c r="R449" s="254">
        <f t="shared" si="99"/>
        <v>0.32768689412389501</v>
      </c>
      <c r="S449" s="255">
        <f t="shared" si="100"/>
        <v>11.977662755882401</v>
      </c>
      <c r="T449" s="256"/>
      <c r="U449" s="225"/>
      <c r="V449" s="226"/>
      <c r="W449" s="227"/>
      <c r="X449" s="226"/>
      <c r="Y449" s="226"/>
      <c r="Z449" s="226"/>
      <c r="AA449" s="226"/>
      <c r="AB449" s="226"/>
      <c r="AC449" s="226"/>
      <c r="AD449" s="96">
        <f t="shared" si="115"/>
        <v>0</v>
      </c>
      <c r="AE449" s="96">
        <f t="shared" si="116"/>
        <v>0</v>
      </c>
      <c r="AF449" s="96">
        <f t="shared" si="117"/>
        <v>0</v>
      </c>
      <c r="AG449" s="96">
        <f t="shared" si="118"/>
        <v>0</v>
      </c>
      <c r="AH449" s="211" t="str">
        <f t="shared" si="105"/>
        <v>0,;!0,;!0,;!0</v>
      </c>
      <c r="AI449" s="211" t="e">
        <f>INDEX([1]Library!$AL:$AL,MATCH(AH449,[1]Library!$AJ:$AJ,0),1)</f>
        <v>#N/A</v>
      </c>
      <c r="AJ449" s="211" t="e">
        <f>TEXT(INDEX([1]Library!$W:$W,MATCH(AH449,[1]Library!$AJ:$AJ,0),1),"")</f>
        <v>#N/A</v>
      </c>
    </row>
    <row r="450" spans="1:36" ht="25.2" hidden="1" customHeight="1" outlineLevel="2">
      <c r="A450" s="242"/>
      <c r="B450" s="243"/>
      <c r="C450" s="244"/>
      <c r="D450" s="245"/>
      <c r="E450" s="246" t="s">
        <v>467</v>
      </c>
      <c r="F450" s="247"/>
      <c r="G450" s="381"/>
      <c r="H450" s="382">
        <v>4980</v>
      </c>
      <c r="I450" s="248" t="s">
        <v>176</v>
      </c>
      <c r="J450" s="249">
        <v>918.45703125</v>
      </c>
      <c r="K450" s="250">
        <v>4573916.015625</v>
      </c>
      <c r="L450" s="249">
        <v>183.69140625</v>
      </c>
      <c r="M450" s="250">
        <v>914783.203125</v>
      </c>
      <c r="N450" s="251">
        <v>0</v>
      </c>
      <c r="O450" s="250">
        <v>0</v>
      </c>
      <c r="P450" s="252">
        <v>5488699.21875</v>
      </c>
      <c r="Q450" s="253">
        <f t="shared" si="98"/>
        <v>2.9524635741125498E-3</v>
      </c>
      <c r="R450" s="254">
        <f t="shared" si="99"/>
        <v>294.43283938878602</v>
      </c>
      <c r="S450" s="255">
        <f t="shared" si="100"/>
        <v>10762.1553308824</v>
      </c>
      <c r="T450" s="256"/>
      <c r="U450" s="225"/>
      <c r="V450" s="226"/>
      <c r="W450" s="227"/>
      <c r="X450" s="226"/>
      <c r="Y450" s="226"/>
      <c r="Z450" s="226"/>
      <c r="AA450" s="226"/>
      <c r="AB450" s="226"/>
      <c r="AC450" s="226"/>
      <c r="AD450" s="96">
        <f>IF(X450&lt;&gt;0,IF($X450&gt;=AD$12,#REF!,""),Z450)</f>
        <v>0</v>
      </c>
      <c r="AE450" s="96">
        <f>IF(AA450=" ",IF($X450&gt;=AE$12,#REF!,""),AA450)</f>
        <v>0</v>
      </c>
      <c r="AF450" s="96">
        <f>IF(AB450=" ",IF($X450&gt;=AF$12,#REF!,""),AB450)</f>
        <v>0</v>
      </c>
      <c r="AG450" s="96">
        <f>IF(AC450=" ",IF($X450&gt;=AG$12,#REF!,""),AC450)</f>
        <v>0</v>
      </c>
      <c r="AH450" s="211" t="str">
        <f t="shared" si="105"/>
        <v>0,;!0,;!0,;!0</v>
      </c>
      <c r="AI450" s="211" t="e">
        <f>INDEX([1]Library!$AL:$AL,MATCH(AH450,[1]Library!$AJ:$AJ,0),1)</f>
        <v>#N/A</v>
      </c>
      <c r="AJ450" s="211" t="e">
        <f>TEXT(INDEX([1]Library!$W:$W,MATCH(AH450,[1]Library!$AJ:$AJ,0),1),"")</f>
        <v>#N/A</v>
      </c>
    </row>
    <row r="451" spans="1:36" ht="25.2" hidden="1" customHeight="1" outlineLevel="2">
      <c r="A451" s="242"/>
      <c r="B451" s="243"/>
      <c r="C451" s="244"/>
      <c r="D451" s="245"/>
      <c r="E451" s="246" t="s">
        <v>468</v>
      </c>
      <c r="F451" s="247"/>
      <c r="G451" s="381"/>
      <c r="H451" s="382">
        <v>196</v>
      </c>
      <c r="I451" s="248" t="s">
        <v>176</v>
      </c>
      <c r="J451" s="249">
        <v>2108.5714285714298</v>
      </c>
      <c r="K451" s="250">
        <v>413280</v>
      </c>
      <c r="L451" s="249">
        <v>609.24601298106097</v>
      </c>
      <c r="M451" s="250">
        <v>119412.218544288</v>
      </c>
      <c r="N451" s="251">
        <v>0</v>
      </c>
      <c r="O451" s="250">
        <v>0</v>
      </c>
      <c r="P451" s="252">
        <v>532692.21854428796</v>
      </c>
      <c r="Q451" s="253">
        <f t="shared" si="98"/>
        <v>2.8654409884449602E-4</v>
      </c>
      <c r="R451" s="254">
        <f t="shared" si="99"/>
        <v>28.575455891355201</v>
      </c>
      <c r="S451" s="255">
        <f t="shared" si="100"/>
        <v>1044.4945461652701</v>
      </c>
      <c r="T451" s="256"/>
      <c r="U451" s="225"/>
      <c r="V451" s="226"/>
      <c r="W451" s="227"/>
      <c r="X451" s="226"/>
      <c r="Y451" s="226"/>
      <c r="Z451" s="226"/>
      <c r="AA451" s="226"/>
      <c r="AB451" s="226"/>
      <c r="AC451" s="226"/>
      <c r="AD451" s="96">
        <f>IF(X451&lt;&gt;0,IF($X451&gt;=AD$12,#REF!,""),Z451)</f>
        <v>0</v>
      </c>
      <c r="AE451" s="96">
        <f>IF(AA451=" ",IF($X451&gt;=AE$12,#REF!,""),AA451)</f>
        <v>0</v>
      </c>
      <c r="AF451" s="96">
        <f>IF(AB451=" ",IF($X451&gt;=AF$12,#REF!,""),AB451)</f>
        <v>0</v>
      </c>
      <c r="AG451" s="96">
        <f>IF(AC451=" ",IF($X451&gt;=AG$12,#REF!,""),AC451)</f>
        <v>0</v>
      </c>
      <c r="AH451" s="211" t="str">
        <f t="shared" si="105"/>
        <v>0,;!0,;!0,;!0</v>
      </c>
      <c r="AI451" s="211" t="e">
        <f>INDEX([1]Library!$AL:$AL,MATCH(AH451,[1]Library!$AJ:$AJ,0),1)</f>
        <v>#N/A</v>
      </c>
      <c r="AJ451" s="211" t="e">
        <f>TEXT(INDEX([1]Library!$W:$W,MATCH(AH451,[1]Library!$AJ:$AJ,0),1),"")</f>
        <v>#N/A</v>
      </c>
    </row>
    <row r="452" spans="1:36" ht="25.2" hidden="1" customHeight="1" outlineLevel="2">
      <c r="A452" s="242"/>
      <c r="B452" s="243"/>
      <c r="C452" s="244"/>
      <c r="D452" s="245"/>
      <c r="E452" s="246" t="s">
        <v>417</v>
      </c>
      <c r="F452" s="247"/>
      <c r="G452" s="381"/>
      <c r="H452" s="382">
        <v>2048</v>
      </c>
      <c r="I452" s="248" t="s">
        <v>134</v>
      </c>
      <c r="J452" s="249">
        <v>68.75</v>
      </c>
      <c r="K452" s="250">
        <v>140800</v>
      </c>
      <c r="L452" s="249">
        <v>20.625</v>
      </c>
      <c r="M452" s="250">
        <v>42240</v>
      </c>
      <c r="N452" s="251">
        <v>0</v>
      </c>
      <c r="O452" s="250">
        <v>0</v>
      </c>
      <c r="P452" s="252">
        <v>183040</v>
      </c>
      <c r="Q452" s="253">
        <f t="shared" si="98"/>
        <v>9.84602928794914E-5</v>
      </c>
      <c r="R452" s="254">
        <f t="shared" si="99"/>
        <v>9.8188996652647909</v>
      </c>
      <c r="S452" s="255">
        <f t="shared" si="100"/>
        <v>358.90196078431399</v>
      </c>
      <c r="T452" s="256"/>
      <c r="U452" s="225"/>
      <c r="V452" s="226"/>
      <c r="W452" s="227"/>
      <c r="X452" s="226"/>
      <c r="Y452" s="226"/>
      <c r="Z452" s="226"/>
      <c r="AA452" s="226"/>
      <c r="AB452" s="226"/>
      <c r="AC452" s="226"/>
      <c r="AD452" s="96">
        <f>IF(X452&lt;&gt;0,IF($X452&gt;=AD$12,AD451,""),Z452)</f>
        <v>0</v>
      </c>
      <c r="AE452" s="96">
        <f>IF(AA452=" ",IF($X452&gt;=AE$12,AE451,""),AA452)</f>
        <v>0</v>
      </c>
      <c r="AF452" s="96">
        <f>IF(AB452=" ",IF($X452&gt;=AF$12,AF451,""),AB452)</f>
        <v>0</v>
      </c>
      <c r="AG452" s="96">
        <f>IF(AC452=" ",IF($X452&gt;=AG$12,AG451,""),AC452)</f>
        <v>0</v>
      </c>
      <c r="AH452" s="211" t="str">
        <f t="shared" si="105"/>
        <v>0,;!0,;!0,;!0</v>
      </c>
      <c r="AI452" s="211" t="e">
        <f>INDEX([1]Library!$AL:$AL,MATCH(AH452,[1]Library!$AJ:$AJ,0),1)</f>
        <v>#N/A</v>
      </c>
      <c r="AJ452" s="211" t="e">
        <f>TEXT(INDEX([1]Library!$W:$W,MATCH(AH452,[1]Library!$AJ:$AJ,0),1),"")</f>
        <v>#N/A</v>
      </c>
    </row>
    <row r="453" spans="1:36" ht="25.2" hidden="1" customHeight="1" outlineLevel="2">
      <c r="A453" s="242"/>
      <c r="B453" s="243"/>
      <c r="C453" s="244"/>
      <c r="D453" s="245"/>
      <c r="E453" s="246" t="s">
        <v>469</v>
      </c>
      <c r="F453" s="247"/>
      <c r="G453" s="381"/>
      <c r="H453" s="382">
        <v>64</v>
      </c>
      <c r="I453" s="248" t="s">
        <v>134</v>
      </c>
      <c r="J453" s="249">
        <v>3000</v>
      </c>
      <c r="K453" s="250">
        <v>192000</v>
      </c>
      <c r="L453" s="249">
        <v>750</v>
      </c>
      <c r="M453" s="250">
        <v>48000</v>
      </c>
      <c r="N453" s="251">
        <v>0</v>
      </c>
      <c r="O453" s="250">
        <v>0</v>
      </c>
      <c r="P453" s="252">
        <v>240000</v>
      </c>
      <c r="Q453" s="253">
        <f t="shared" si="98"/>
        <v>1.29100034369962E-4</v>
      </c>
      <c r="R453" s="254">
        <f t="shared" si="99"/>
        <v>12.8744313792808</v>
      </c>
      <c r="S453" s="255">
        <f t="shared" si="100"/>
        <v>470.58823529411802</v>
      </c>
      <c r="T453" s="256"/>
      <c r="U453" s="225"/>
      <c r="V453" s="226"/>
      <c r="W453" s="227"/>
      <c r="X453" s="226"/>
      <c r="Y453" s="226"/>
      <c r="Z453" s="226"/>
      <c r="AA453" s="226"/>
      <c r="AB453" s="226"/>
      <c r="AC453" s="226"/>
      <c r="AD453" s="96">
        <f>IF(X453&lt;&gt;0,IF($X453&gt;=AD$12,#REF!,""),Z453)</f>
        <v>0</v>
      </c>
      <c r="AE453" s="96">
        <f>IF(AA453=" ",IF($X453&gt;=AE$12,#REF!,""),AA453)</f>
        <v>0</v>
      </c>
      <c r="AF453" s="96">
        <f>IF(AB453=" ",IF($X453&gt;=AF$12,#REF!,""),AB453)</f>
        <v>0</v>
      </c>
      <c r="AG453" s="96">
        <f>IF(AC453=" ",IF($X453&gt;=AG$12,#REF!,""),AC453)</f>
        <v>0</v>
      </c>
      <c r="AH453" s="211" t="str">
        <f t="shared" si="105"/>
        <v>0,;!0,;!0,;!0</v>
      </c>
      <c r="AI453" s="211" t="e">
        <f>INDEX([1]Library!$AL:$AL,MATCH(AH453,[1]Library!$AJ:$AJ,0),1)</f>
        <v>#N/A</v>
      </c>
      <c r="AJ453" s="211" t="e">
        <f>TEXT(INDEX([1]Library!$W:$W,MATCH(AH453,[1]Library!$AJ:$AJ,0),1),"")</f>
        <v>#N/A</v>
      </c>
    </row>
    <row r="454" spans="1:36" ht="25.2" hidden="1" customHeight="1" outlineLevel="2">
      <c r="A454" s="228"/>
      <c r="B454" s="229"/>
      <c r="C454" s="230"/>
      <c r="D454" s="231" t="s">
        <v>421</v>
      </c>
      <c r="E454" s="232"/>
      <c r="F454" s="233"/>
      <c r="G454" s="379"/>
      <c r="H454" s="380">
        <v>1</v>
      </c>
      <c r="I454" s="234" t="s">
        <v>32</v>
      </c>
      <c r="J454" s="235">
        <v>0</v>
      </c>
      <c r="K454" s="236">
        <v>0</v>
      </c>
      <c r="L454" s="235">
        <v>0</v>
      </c>
      <c r="M454" s="236">
        <v>0</v>
      </c>
      <c r="N454" s="237">
        <v>0</v>
      </c>
      <c r="O454" s="236">
        <v>0</v>
      </c>
      <c r="P454" s="238">
        <v>0</v>
      </c>
      <c r="Q454" s="239">
        <f t="shared" si="98"/>
        <v>0</v>
      </c>
      <c r="R454" s="236">
        <f t="shared" si="99"/>
        <v>0</v>
      </c>
      <c r="S454" s="240">
        <f t="shared" si="100"/>
        <v>0</v>
      </c>
      <c r="T454" s="241"/>
      <c r="U454" s="225"/>
      <c r="V454" s="226"/>
      <c r="W454" s="227"/>
      <c r="X454" s="226"/>
      <c r="Y454" s="226"/>
      <c r="Z454" s="226"/>
      <c r="AA454" s="226"/>
      <c r="AB454" s="226"/>
      <c r="AC454" s="226"/>
      <c r="AD454" s="96">
        <f t="shared" ref="AD454:AD465" si="119">IF(X454&lt;&gt;0,IF($X454&gt;=AD$12,AD453,""),Z454)</f>
        <v>0</v>
      </c>
      <c r="AE454" s="96">
        <f t="shared" ref="AE454:AE465" si="120">IF(AA454=" ",IF($X454&gt;=AE$12,AE453,""),AA454)</f>
        <v>0</v>
      </c>
      <c r="AF454" s="96">
        <f t="shared" ref="AF454:AF465" si="121">IF(AB454=" ",IF($X454&gt;=AF$12,AF453,""),AB454)</f>
        <v>0</v>
      </c>
      <c r="AG454" s="96">
        <f t="shared" ref="AG454:AG465" si="122">IF(AC454=" ",IF($X454&gt;=AG$12,AG453,""),AC454)</f>
        <v>0</v>
      </c>
      <c r="AH454" s="211" t="str">
        <f t="shared" si="105"/>
        <v>0,;!0,;!0,;!0</v>
      </c>
      <c r="AI454" s="211" t="e">
        <f>INDEX([1]Library!$AL:$AL,MATCH(AH454,[1]Library!$AJ:$AJ,0),1)</f>
        <v>#N/A</v>
      </c>
      <c r="AJ454" s="211" t="e">
        <f>TEXT(INDEX([1]Library!$W:$W,MATCH(AH454,[1]Library!$AJ:$AJ,0),1),"")</f>
        <v>#N/A</v>
      </c>
    </row>
    <row r="455" spans="1:36" ht="25.2" hidden="1" customHeight="1" outlineLevel="2">
      <c r="A455" s="242"/>
      <c r="B455" s="243"/>
      <c r="C455" s="244"/>
      <c r="D455" s="245"/>
      <c r="E455" s="246" t="s">
        <v>470</v>
      </c>
      <c r="F455" s="247"/>
      <c r="G455" s="381"/>
      <c r="H455" s="382">
        <v>0</v>
      </c>
      <c r="I455" s="248" t="s">
        <v>176</v>
      </c>
      <c r="J455" s="249">
        <v>0</v>
      </c>
      <c r="K455" s="250">
        <v>0</v>
      </c>
      <c r="L455" s="249">
        <v>0</v>
      </c>
      <c r="M455" s="250">
        <v>0</v>
      </c>
      <c r="N455" s="251">
        <v>0</v>
      </c>
      <c r="O455" s="250">
        <v>0</v>
      </c>
      <c r="P455" s="252">
        <v>0</v>
      </c>
      <c r="Q455" s="253">
        <f t="shared" si="98"/>
        <v>0</v>
      </c>
      <c r="R455" s="254">
        <f t="shared" si="99"/>
        <v>0</v>
      </c>
      <c r="S455" s="255">
        <f t="shared" si="100"/>
        <v>0</v>
      </c>
      <c r="T455" s="256" t="s">
        <v>471</v>
      </c>
      <c r="U455" s="225"/>
      <c r="V455" s="226"/>
      <c r="W455" s="227"/>
      <c r="X455" s="226"/>
      <c r="Y455" s="226"/>
      <c r="Z455" s="226"/>
      <c r="AA455" s="226"/>
      <c r="AB455" s="226"/>
      <c r="AC455" s="226"/>
      <c r="AD455" s="96">
        <f t="shared" si="119"/>
        <v>0</v>
      </c>
      <c r="AE455" s="96">
        <f t="shared" si="120"/>
        <v>0</v>
      </c>
      <c r="AF455" s="96">
        <f t="shared" si="121"/>
        <v>0</v>
      </c>
      <c r="AG455" s="96">
        <f t="shared" si="122"/>
        <v>0</v>
      </c>
      <c r="AH455" s="211" t="str">
        <f t="shared" si="105"/>
        <v>0,;!0,;!0,;!0</v>
      </c>
      <c r="AI455" s="211" t="e">
        <f>INDEX([1]Library!$AL:$AL,MATCH(AH455,[1]Library!$AJ:$AJ,0),1)</f>
        <v>#N/A</v>
      </c>
      <c r="AJ455" s="211" t="e">
        <f>TEXT(INDEX([1]Library!$W:$W,MATCH(AH455,[1]Library!$AJ:$AJ,0),1),"")</f>
        <v>#N/A</v>
      </c>
    </row>
    <row r="456" spans="1:36" ht="25.2" hidden="1" customHeight="1" outlineLevel="2">
      <c r="A456" s="242"/>
      <c r="B456" s="243"/>
      <c r="C456" s="244"/>
      <c r="D456" s="245"/>
      <c r="E456" s="246" t="s">
        <v>472</v>
      </c>
      <c r="F456" s="247"/>
      <c r="G456" s="381"/>
      <c r="H456" s="382">
        <v>0</v>
      </c>
      <c r="I456" s="248" t="s">
        <v>176</v>
      </c>
      <c r="J456" s="249">
        <v>0</v>
      </c>
      <c r="K456" s="250">
        <v>0</v>
      </c>
      <c r="L456" s="249">
        <v>0</v>
      </c>
      <c r="M456" s="250">
        <v>0</v>
      </c>
      <c r="N456" s="251">
        <v>0</v>
      </c>
      <c r="O456" s="250">
        <v>0</v>
      </c>
      <c r="P456" s="252">
        <v>0</v>
      </c>
      <c r="Q456" s="253">
        <f t="shared" si="98"/>
        <v>0</v>
      </c>
      <c r="R456" s="254">
        <f t="shared" si="99"/>
        <v>0</v>
      </c>
      <c r="S456" s="255">
        <f t="shared" si="100"/>
        <v>0</v>
      </c>
      <c r="T456" s="256" t="s">
        <v>471</v>
      </c>
      <c r="U456" s="225"/>
      <c r="V456" s="226"/>
      <c r="W456" s="227"/>
      <c r="X456" s="226"/>
      <c r="Y456" s="226"/>
      <c r="Z456" s="226"/>
      <c r="AA456" s="226"/>
      <c r="AB456" s="226"/>
      <c r="AC456" s="226"/>
      <c r="AD456" s="96">
        <f t="shared" si="119"/>
        <v>0</v>
      </c>
      <c r="AE456" s="96">
        <f t="shared" si="120"/>
        <v>0</v>
      </c>
      <c r="AF456" s="96">
        <f t="shared" si="121"/>
        <v>0</v>
      </c>
      <c r="AG456" s="96">
        <f t="shared" si="122"/>
        <v>0</v>
      </c>
      <c r="AH456" s="211" t="str">
        <f t="shared" si="105"/>
        <v>0,;!0,;!0,;!0</v>
      </c>
      <c r="AI456" s="211" t="e">
        <f>INDEX([1]Library!$AL:$AL,MATCH(AH456,[1]Library!$AJ:$AJ,0),1)</f>
        <v>#N/A</v>
      </c>
      <c r="AJ456" s="211" t="e">
        <f>TEXT(INDEX([1]Library!$W:$W,MATCH(AH456,[1]Library!$AJ:$AJ,0),1),"")</f>
        <v>#N/A</v>
      </c>
    </row>
    <row r="457" spans="1:36" ht="25.2" hidden="1" customHeight="1" outlineLevel="2">
      <c r="A457" s="228"/>
      <c r="B457" s="229"/>
      <c r="C457" s="230"/>
      <c r="D457" s="231" t="s">
        <v>473</v>
      </c>
      <c r="E457" s="232"/>
      <c r="F457" s="233"/>
      <c r="G457" s="379"/>
      <c r="H457" s="380">
        <v>1</v>
      </c>
      <c r="I457" s="234" t="s">
        <v>32</v>
      </c>
      <c r="J457" s="235">
        <v>730730</v>
      </c>
      <c r="K457" s="236">
        <v>730730</v>
      </c>
      <c r="L457" s="235">
        <v>292292</v>
      </c>
      <c r="M457" s="236">
        <v>292292</v>
      </c>
      <c r="N457" s="237">
        <v>0</v>
      </c>
      <c r="O457" s="236">
        <v>0</v>
      </c>
      <c r="P457" s="238">
        <v>1023022</v>
      </c>
      <c r="Q457" s="239">
        <f t="shared" si="98"/>
        <v>5.5030073067178196E-4</v>
      </c>
      <c r="R457" s="236">
        <f t="shared" si="99"/>
        <v>54.878443910393997</v>
      </c>
      <c r="S457" s="240">
        <f t="shared" si="100"/>
        <v>2005.9254901960801</v>
      </c>
      <c r="T457" s="241"/>
      <c r="U457" s="225"/>
      <c r="V457" s="226"/>
      <c r="W457" s="227"/>
      <c r="X457" s="226"/>
      <c r="Y457" s="226"/>
      <c r="Z457" s="226"/>
      <c r="AA457" s="226"/>
      <c r="AB457" s="226"/>
      <c r="AC457" s="226"/>
      <c r="AD457" s="96">
        <f t="shared" si="119"/>
        <v>0</v>
      </c>
      <c r="AE457" s="96">
        <f t="shared" si="120"/>
        <v>0</v>
      </c>
      <c r="AF457" s="96">
        <f t="shared" si="121"/>
        <v>0</v>
      </c>
      <c r="AG457" s="96">
        <f t="shared" si="122"/>
        <v>0</v>
      </c>
      <c r="AH457" s="211" t="str">
        <f t="shared" si="105"/>
        <v>0,;!0,;!0,;!0</v>
      </c>
      <c r="AI457" s="211" t="e">
        <f>INDEX([1]Library!$AL:$AL,MATCH(AH457,[1]Library!$AJ:$AJ,0),1)</f>
        <v>#N/A</v>
      </c>
      <c r="AJ457" s="211" t="e">
        <f>TEXT(INDEX([1]Library!$W:$W,MATCH(AH457,[1]Library!$AJ:$AJ,0),1),"")</f>
        <v>#N/A</v>
      </c>
    </row>
    <row r="458" spans="1:36" ht="25.2" hidden="1" customHeight="1" outlineLevel="2">
      <c r="A458" s="242"/>
      <c r="B458" s="243"/>
      <c r="C458" s="244"/>
      <c r="D458" s="245"/>
      <c r="E458" s="246" t="s">
        <v>474</v>
      </c>
      <c r="F458" s="247"/>
      <c r="G458" s="381"/>
      <c r="H458" s="382">
        <v>2044</v>
      </c>
      <c r="I458" s="248" t="s">
        <v>354</v>
      </c>
      <c r="J458" s="249">
        <v>357.5</v>
      </c>
      <c r="K458" s="250">
        <v>730730</v>
      </c>
      <c r="L458" s="249">
        <v>143</v>
      </c>
      <c r="M458" s="250">
        <v>292292</v>
      </c>
      <c r="N458" s="251">
        <v>0</v>
      </c>
      <c r="O458" s="250">
        <v>0</v>
      </c>
      <c r="P458" s="252">
        <v>1023022</v>
      </c>
      <c r="Q458" s="253">
        <f t="shared" si="98"/>
        <v>5.5030073067178196E-4</v>
      </c>
      <c r="R458" s="254">
        <f t="shared" si="99"/>
        <v>54.878443910393997</v>
      </c>
      <c r="S458" s="255">
        <f t="shared" si="100"/>
        <v>2005.9254901960801</v>
      </c>
      <c r="T458" s="256"/>
      <c r="U458" s="225"/>
      <c r="V458" s="226"/>
      <c r="W458" s="227"/>
      <c r="X458" s="226"/>
      <c r="Y458" s="226"/>
      <c r="Z458" s="226"/>
      <c r="AA458" s="226"/>
      <c r="AB458" s="226"/>
      <c r="AC458" s="226"/>
      <c r="AD458" s="96">
        <f t="shared" si="119"/>
        <v>0</v>
      </c>
      <c r="AE458" s="96">
        <f t="shared" si="120"/>
        <v>0</v>
      </c>
      <c r="AF458" s="96">
        <f t="shared" si="121"/>
        <v>0</v>
      </c>
      <c r="AG458" s="96">
        <f t="shared" si="122"/>
        <v>0</v>
      </c>
      <c r="AH458" s="211" t="str">
        <f t="shared" si="105"/>
        <v>0,;!0,;!0,;!0</v>
      </c>
      <c r="AI458" s="211" t="e">
        <f>INDEX([1]Library!$AL:$AL,MATCH(AH458,[1]Library!$AJ:$AJ,0),1)</f>
        <v>#N/A</v>
      </c>
      <c r="AJ458" s="211" t="e">
        <f>TEXT(INDEX([1]Library!$W:$W,MATCH(AH458,[1]Library!$AJ:$AJ,0),1),"")</f>
        <v>#N/A</v>
      </c>
    </row>
    <row r="459" spans="1:36" ht="25.2" hidden="1" customHeight="1" outlineLevel="2">
      <c r="A459" s="242"/>
      <c r="B459" s="243"/>
      <c r="C459" s="244"/>
      <c r="D459" s="245"/>
      <c r="E459" s="246" t="s">
        <v>475</v>
      </c>
      <c r="F459" s="247"/>
      <c r="G459" s="381"/>
      <c r="H459" s="382">
        <v>4</v>
      </c>
      <c r="I459" s="248" t="s">
        <v>354</v>
      </c>
      <c r="J459" s="249">
        <v>0</v>
      </c>
      <c r="K459" s="250">
        <v>0</v>
      </c>
      <c r="L459" s="249">
        <v>0</v>
      </c>
      <c r="M459" s="250">
        <v>0</v>
      </c>
      <c r="N459" s="251">
        <v>0</v>
      </c>
      <c r="O459" s="250">
        <v>0</v>
      </c>
      <c r="P459" s="252">
        <v>0</v>
      </c>
      <c r="Q459" s="253">
        <f t="shared" si="98"/>
        <v>0</v>
      </c>
      <c r="R459" s="254">
        <f t="shared" si="99"/>
        <v>0</v>
      </c>
      <c r="S459" s="255">
        <f t="shared" si="100"/>
        <v>0</v>
      </c>
      <c r="T459" s="256" t="s">
        <v>471</v>
      </c>
      <c r="U459" s="225"/>
      <c r="V459" s="226"/>
      <c r="W459" s="227"/>
      <c r="X459" s="226"/>
      <c r="Y459" s="226"/>
      <c r="Z459" s="226"/>
      <c r="AA459" s="226"/>
      <c r="AB459" s="226"/>
      <c r="AC459" s="226"/>
      <c r="AD459" s="96">
        <f t="shared" si="119"/>
        <v>0</v>
      </c>
      <c r="AE459" s="96">
        <f t="shared" si="120"/>
        <v>0</v>
      </c>
      <c r="AF459" s="96">
        <f t="shared" si="121"/>
        <v>0</v>
      </c>
      <c r="AG459" s="96">
        <f t="shared" si="122"/>
        <v>0</v>
      </c>
      <c r="AH459" s="211" t="str">
        <f t="shared" si="105"/>
        <v>0,;!0,;!0,;!0</v>
      </c>
      <c r="AI459" s="211" t="e">
        <f>INDEX([1]Library!$AL:$AL,MATCH(AH459,[1]Library!$AJ:$AJ,0),1)</f>
        <v>#N/A</v>
      </c>
      <c r="AJ459" s="211" t="e">
        <f>TEXT(INDEX([1]Library!$W:$W,MATCH(AH459,[1]Library!$AJ:$AJ,0),1),"")</f>
        <v>#N/A</v>
      </c>
    </row>
    <row r="460" spans="1:36" ht="25.2" hidden="1" customHeight="1" outlineLevel="2">
      <c r="A460" s="242"/>
      <c r="B460" s="243"/>
      <c r="C460" s="244"/>
      <c r="D460" s="245"/>
      <c r="E460" s="246" t="s">
        <v>476</v>
      </c>
      <c r="F460" s="247"/>
      <c r="G460" s="381"/>
      <c r="H460" s="382">
        <v>0</v>
      </c>
      <c r="I460" s="248" t="s">
        <v>354</v>
      </c>
      <c r="J460" s="249">
        <v>0</v>
      </c>
      <c r="K460" s="250">
        <v>0</v>
      </c>
      <c r="L460" s="249">
        <v>0</v>
      </c>
      <c r="M460" s="250">
        <v>0</v>
      </c>
      <c r="N460" s="251">
        <v>0</v>
      </c>
      <c r="O460" s="250">
        <v>0</v>
      </c>
      <c r="P460" s="252">
        <v>0</v>
      </c>
      <c r="Q460" s="253">
        <f t="shared" si="98"/>
        <v>0</v>
      </c>
      <c r="R460" s="254">
        <f t="shared" si="99"/>
        <v>0</v>
      </c>
      <c r="S460" s="255">
        <f t="shared" si="100"/>
        <v>0</v>
      </c>
      <c r="T460" s="256" t="s">
        <v>471</v>
      </c>
      <c r="U460" s="225"/>
      <c r="V460" s="226"/>
      <c r="W460" s="227"/>
      <c r="X460" s="226"/>
      <c r="Y460" s="226"/>
      <c r="Z460" s="226"/>
      <c r="AA460" s="226"/>
      <c r="AB460" s="226"/>
      <c r="AC460" s="226"/>
      <c r="AD460" s="96">
        <f t="shared" si="119"/>
        <v>0</v>
      </c>
      <c r="AE460" s="96">
        <f t="shared" si="120"/>
        <v>0</v>
      </c>
      <c r="AF460" s="96">
        <f t="shared" si="121"/>
        <v>0</v>
      </c>
      <c r="AG460" s="96">
        <f t="shared" si="122"/>
        <v>0</v>
      </c>
      <c r="AH460" s="211" t="str">
        <f t="shared" si="105"/>
        <v>0,;!0,;!0,;!0</v>
      </c>
      <c r="AI460" s="211" t="e">
        <f>INDEX([1]Library!$AL:$AL,MATCH(AH460,[1]Library!$AJ:$AJ,0),1)</f>
        <v>#N/A</v>
      </c>
      <c r="AJ460" s="211" t="e">
        <f>TEXT(INDEX([1]Library!$W:$W,MATCH(AH460,[1]Library!$AJ:$AJ,0),1),"")</f>
        <v>#N/A</v>
      </c>
    </row>
    <row r="461" spans="1:36" ht="25.2" hidden="1" customHeight="1" outlineLevel="2">
      <c r="A461" s="242"/>
      <c r="B461" s="243"/>
      <c r="C461" s="244"/>
      <c r="D461" s="245"/>
      <c r="E461" s="246" t="s">
        <v>477</v>
      </c>
      <c r="F461" s="247"/>
      <c r="G461" s="381"/>
      <c r="H461" s="382">
        <v>0</v>
      </c>
      <c r="I461" s="248" t="s">
        <v>354</v>
      </c>
      <c r="J461" s="249">
        <v>0</v>
      </c>
      <c r="K461" s="250">
        <v>0</v>
      </c>
      <c r="L461" s="249">
        <v>0</v>
      </c>
      <c r="M461" s="250">
        <v>0</v>
      </c>
      <c r="N461" s="251">
        <v>0</v>
      </c>
      <c r="O461" s="250">
        <v>0</v>
      </c>
      <c r="P461" s="252">
        <v>0</v>
      </c>
      <c r="Q461" s="253">
        <f t="shared" ref="Q461:Q524" si="123">P461/P$13</f>
        <v>0</v>
      </c>
      <c r="R461" s="254">
        <f t="shared" ref="R461:R524" si="124">P461/I$5</f>
        <v>0</v>
      </c>
      <c r="S461" s="255">
        <f t="shared" ref="S461:S524" si="125">P461/I$7</f>
        <v>0</v>
      </c>
      <c r="T461" s="256" t="s">
        <v>471</v>
      </c>
      <c r="U461" s="225"/>
      <c r="V461" s="226"/>
      <c r="W461" s="227"/>
      <c r="X461" s="226"/>
      <c r="Y461" s="226"/>
      <c r="Z461" s="226"/>
      <c r="AA461" s="226"/>
      <c r="AB461" s="226"/>
      <c r="AC461" s="226"/>
      <c r="AD461" s="96">
        <f t="shared" si="119"/>
        <v>0</v>
      </c>
      <c r="AE461" s="96">
        <f t="shared" si="120"/>
        <v>0</v>
      </c>
      <c r="AF461" s="96">
        <f t="shared" si="121"/>
        <v>0</v>
      </c>
      <c r="AG461" s="96">
        <f t="shared" si="122"/>
        <v>0</v>
      </c>
      <c r="AH461" s="211" t="str">
        <f t="shared" si="105"/>
        <v>0,;!0,;!0,;!0</v>
      </c>
      <c r="AI461" s="211" t="e">
        <f>INDEX([1]Library!$AL:$AL,MATCH(AH461,[1]Library!$AJ:$AJ,0),1)</f>
        <v>#N/A</v>
      </c>
      <c r="AJ461" s="211" t="e">
        <f>TEXT(INDEX([1]Library!$W:$W,MATCH(AH461,[1]Library!$AJ:$AJ,0),1),"")</f>
        <v>#N/A</v>
      </c>
    </row>
    <row r="462" spans="1:36" ht="25.2" hidden="1" customHeight="1" outlineLevel="2">
      <c r="A462" s="242"/>
      <c r="B462" s="243"/>
      <c r="C462" s="244"/>
      <c r="D462" s="245"/>
      <c r="E462" s="246" t="s">
        <v>478</v>
      </c>
      <c r="F462" s="247"/>
      <c r="G462" s="381"/>
      <c r="H462" s="382">
        <v>0</v>
      </c>
      <c r="I462" s="248" t="s">
        <v>354</v>
      </c>
      <c r="J462" s="249">
        <v>0</v>
      </c>
      <c r="K462" s="250">
        <v>0</v>
      </c>
      <c r="L462" s="249">
        <v>0</v>
      </c>
      <c r="M462" s="250">
        <v>0</v>
      </c>
      <c r="N462" s="251">
        <v>0</v>
      </c>
      <c r="O462" s="250">
        <v>0</v>
      </c>
      <c r="P462" s="252">
        <v>0</v>
      </c>
      <c r="Q462" s="253">
        <f t="shared" si="123"/>
        <v>0</v>
      </c>
      <c r="R462" s="254">
        <f t="shared" si="124"/>
        <v>0</v>
      </c>
      <c r="S462" s="255">
        <f t="shared" si="125"/>
        <v>0</v>
      </c>
      <c r="T462" s="256" t="s">
        <v>471</v>
      </c>
      <c r="U462" s="225"/>
      <c r="V462" s="226"/>
      <c r="W462" s="227"/>
      <c r="X462" s="226"/>
      <c r="Y462" s="226"/>
      <c r="Z462" s="226"/>
      <c r="AA462" s="226"/>
      <c r="AB462" s="226"/>
      <c r="AC462" s="226"/>
      <c r="AD462" s="96">
        <f t="shared" si="119"/>
        <v>0</v>
      </c>
      <c r="AE462" s="96">
        <f t="shared" si="120"/>
        <v>0</v>
      </c>
      <c r="AF462" s="96">
        <f t="shared" si="121"/>
        <v>0</v>
      </c>
      <c r="AG462" s="96">
        <f t="shared" si="122"/>
        <v>0</v>
      </c>
      <c r="AH462" s="211" t="str">
        <f t="shared" ref="AH462:AH525" si="126">AD462&amp;",;!"&amp;AE462&amp;",;!"&amp;AF462&amp;",;!"&amp;AG462</f>
        <v>0,;!0,;!0,;!0</v>
      </c>
      <c r="AI462" s="211" t="e">
        <f>INDEX([1]Library!$AL:$AL,MATCH(AH462,[1]Library!$AJ:$AJ,0),1)</f>
        <v>#N/A</v>
      </c>
      <c r="AJ462" s="211" t="e">
        <f>TEXT(INDEX([1]Library!$W:$W,MATCH(AH462,[1]Library!$AJ:$AJ,0),1),"")</f>
        <v>#N/A</v>
      </c>
    </row>
    <row r="463" spans="1:36" ht="25.2" hidden="1" customHeight="1" outlineLevel="1" collapsed="1">
      <c r="A463" s="213"/>
      <c r="B463" s="214"/>
      <c r="C463" s="215" t="s">
        <v>479</v>
      </c>
      <c r="D463" s="215"/>
      <c r="E463" s="216"/>
      <c r="F463" s="217"/>
      <c r="G463" s="379"/>
      <c r="H463" s="219">
        <v>1</v>
      </c>
      <c r="I463" s="218" t="s">
        <v>32</v>
      </c>
      <c r="J463" s="219">
        <v>1288599.8469485301</v>
      </c>
      <c r="K463" s="219">
        <v>1288599.8469485301</v>
      </c>
      <c r="L463" s="219">
        <v>242808.83560239</v>
      </c>
      <c r="M463" s="219">
        <v>242808.83560239</v>
      </c>
      <c r="N463" s="219">
        <v>0</v>
      </c>
      <c r="O463" s="219">
        <v>0</v>
      </c>
      <c r="P463" s="220">
        <v>1531408.6825509199</v>
      </c>
      <c r="Q463" s="221">
        <f t="shared" si="123"/>
        <v>8.2377047313242704E-4</v>
      </c>
      <c r="R463" s="222">
        <f t="shared" si="124"/>
        <v>82.150066654735696</v>
      </c>
      <c r="S463" s="223">
        <f t="shared" si="125"/>
        <v>3002.76212264886</v>
      </c>
      <c r="T463" s="224"/>
      <c r="U463" s="225"/>
      <c r="V463" s="226"/>
      <c r="W463" s="227"/>
      <c r="X463" s="226"/>
      <c r="Y463" s="226"/>
      <c r="Z463" s="226"/>
      <c r="AA463" s="226"/>
      <c r="AB463" s="226"/>
      <c r="AC463" s="226"/>
      <c r="AD463" s="96">
        <f t="shared" si="119"/>
        <v>0</v>
      </c>
      <c r="AE463" s="96">
        <f t="shared" si="120"/>
        <v>0</v>
      </c>
      <c r="AF463" s="96">
        <f t="shared" si="121"/>
        <v>0</v>
      </c>
      <c r="AG463" s="96">
        <f t="shared" si="122"/>
        <v>0</v>
      </c>
      <c r="AH463" s="211" t="str">
        <f t="shared" si="126"/>
        <v>0,;!0,;!0,;!0</v>
      </c>
      <c r="AI463" s="211" t="e">
        <f>INDEX([1]Library!$AL:$AL,MATCH(AH463,[1]Library!$AJ:$AJ,0),1)</f>
        <v>#N/A</v>
      </c>
      <c r="AJ463" s="211" t="e">
        <f>TEXT(INDEX([1]Library!$W:$W,MATCH(AH463,[1]Library!$AJ:$AJ,0),1),"")</f>
        <v>#N/A</v>
      </c>
    </row>
    <row r="464" spans="1:36" ht="25.2" hidden="1" customHeight="1" outlineLevel="2">
      <c r="A464" s="228"/>
      <c r="B464" s="229"/>
      <c r="C464" s="230"/>
      <c r="D464" s="231" t="s">
        <v>406</v>
      </c>
      <c r="E464" s="232"/>
      <c r="F464" s="233"/>
      <c r="G464" s="379"/>
      <c r="H464" s="380">
        <v>1</v>
      </c>
      <c r="I464" s="234" t="s">
        <v>32</v>
      </c>
      <c r="J464" s="235">
        <v>411350.2</v>
      </c>
      <c r="K464" s="236">
        <v>411350.2</v>
      </c>
      <c r="L464" s="235">
        <v>122806.5</v>
      </c>
      <c r="M464" s="236">
        <v>122806.5</v>
      </c>
      <c r="N464" s="237">
        <v>0</v>
      </c>
      <c r="O464" s="236">
        <v>0</v>
      </c>
      <c r="P464" s="238">
        <v>534156.69999999995</v>
      </c>
      <c r="Q464" s="239">
        <f t="shared" si="123"/>
        <v>2.8733186803727399E-4</v>
      </c>
      <c r="R464" s="236">
        <f t="shared" si="124"/>
        <v>28.654015749721101</v>
      </c>
      <c r="S464" s="240">
        <f t="shared" si="125"/>
        <v>1047.3660784313699</v>
      </c>
      <c r="T464" s="241"/>
      <c r="U464" s="225"/>
      <c r="V464" s="226"/>
      <c r="W464" s="227"/>
      <c r="X464" s="226"/>
      <c r="Y464" s="226"/>
      <c r="Z464" s="226"/>
      <c r="AA464" s="226"/>
      <c r="AB464" s="226"/>
      <c r="AC464" s="226"/>
      <c r="AD464" s="96">
        <f t="shared" si="119"/>
        <v>0</v>
      </c>
      <c r="AE464" s="96">
        <f t="shared" si="120"/>
        <v>0</v>
      </c>
      <c r="AF464" s="96">
        <f t="shared" si="121"/>
        <v>0</v>
      </c>
      <c r="AG464" s="96">
        <f t="shared" si="122"/>
        <v>0</v>
      </c>
      <c r="AH464" s="211" t="str">
        <f t="shared" si="126"/>
        <v>0,;!0,;!0,;!0</v>
      </c>
      <c r="AI464" s="211" t="e">
        <f>INDEX([1]Library!$AL:$AL,MATCH(AH464,[1]Library!$AJ:$AJ,0),1)</f>
        <v>#N/A</v>
      </c>
      <c r="AJ464" s="211" t="e">
        <f>TEXT(INDEX([1]Library!$W:$W,MATCH(AH464,[1]Library!$AJ:$AJ,0),1),"")</f>
        <v>#N/A</v>
      </c>
    </row>
    <row r="465" spans="1:36" ht="25.2" hidden="1" customHeight="1" outlineLevel="2">
      <c r="A465" s="242"/>
      <c r="B465" s="243"/>
      <c r="C465" s="244"/>
      <c r="D465" s="245"/>
      <c r="E465" s="246" t="s">
        <v>291</v>
      </c>
      <c r="F465" s="247"/>
      <c r="G465" s="381"/>
      <c r="H465" s="382">
        <v>1008</v>
      </c>
      <c r="I465" s="248" t="s">
        <v>176</v>
      </c>
      <c r="J465" s="249">
        <v>34.4</v>
      </c>
      <c r="K465" s="250">
        <v>34675.199999999997</v>
      </c>
      <c r="L465" s="249">
        <v>28.178571428571399</v>
      </c>
      <c r="M465" s="250">
        <v>28404</v>
      </c>
      <c r="N465" s="251">
        <v>0</v>
      </c>
      <c r="O465" s="250">
        <v>0</v>
      </c>
      <c r="P465" s="252">
        <v>63079.199999999997</v>
      </c>
      <c r="Q465" s="253">
        <f t="shared" si="123"/>
        <v>3.3931362033457199E-5</v>
      </c>
      <c r="R465" s="254">
        <f t="shared" si="124"/>
        <v>3.38378679941636</v>
      </c>
      <c r="S465" s="255">
        <f t="shared" si="125"/>
        <v>123.684705882353</v>
      </c>
      <c r="T465" s="256"/>
      <c r="U465" s="225"/>
      <c r="V465" s="226"/>
      <c r="W465" s="227"/>
      <c r="X465" s="226"/>
      <c r="Y465" s="226"/>
      <c r="Z465" s="226"/>
      <c r="AA465" s="226"/>
      <c r="AB465" s="226"/>
      <c r="AC465" s="226"/>
      <c r="AD465" s="96">
        <f t="shared" si="119"/>
        <v>0</v>
      </c>
      <c r="AE465" s="96">
        <f t="shared" si="120"/>
        <v>0</v>
      </c>
      <c r="AF465" s="96">
        <f t="shared" si="121"/>
        <v>0</v>
      </c>
      <c r="AG465" s="96">
        <f t="shared" si="122"/>
        <v>0</v>
      </c>
      <c r="AH465" s="211" t="str">
        <f t="shared" si="126"/>
        <v>0,;!0,;!0,;!0</v>
      </c>
      <c r="AI465" s="211" t="e">
        <f>INDEX([1]Library!$AL:$AL,MATCH(AH465,[1]Library!$AJ:$AJ,0),1)</f>
        <v>#N/A</v>
      </c>
      <c r="AJ465" s="211" t="e">
        <f>TEXT(INDEX([1]Library!$W:$W,MATCH(AH465,[1]Library!$AJ:$AJ,0),1),"")</f>
        <v>#N/A</v>
      </c>
    </row>
    <row r="466" spans="1:36" ht="25.2" hidden="1" customHeight="1" outlineLevel="2">
      <c r="A466" s="242"/>
      <c r="B466" s="243"/>
      <c r="C466" s="244"/>
      <c r="D466" s="245"/>
      <c r="E466" s="246" t="s">
        <v>417</v>
      </c>
      <c r="F466" s="247"/>
      <c r="G466" s="381"/>
      <c r="H466" s="382">
        <v>68</v>
      </c>
      <c r="I466" s="248" t="s">
        <v>134</v>
      </c>
      <c r="J466" s="249">
        <v>68.75</v>
      </c>
      <c r="K466" s="250">
        <v>4675</v>
      </c>
      <c r="L466" s="249">
        <v>20.625</v>
      </c>
      <c r="M466" s="250">
        <v>1402.5</v>
      </c>
      <c r="N466" s="251">
        <v>0</v>
      </c>
      <c r="O466" s="250">
        <v>0</v>
      </c>
      <c r="P466" s="252">
        <v>6077.5</v>
      </c>
      <c r="Q466" s="253">
        <f t="shared" si="123"/>
        <v>3.2691894120143599E-6</v>
      </c>
      <c r="R466" s="254">
        <f t="shared" si="124"/>
        <v>0.32601815294824499</v>
      </c>
      <c r="S466" s="255">
        <f t="shared" si="125"/>
        <v>11.9166666666667</v>
      </c>
      <c r="T466" s="256"/>
      <c r="U466" s="225"/>
      <c r="V466" s="226"/>
      <c r="W466" s="227"/>
      <c r="X466" s="226"/>
      <c r="Y466" s="226"/>
      <c r="Z466" s="226"/>
      <c r="AA466" s="226"/>
      <c r="AB466" s="226"/>
      <c r="AC466" s="226"/>
      <c r="AD466" s="96">
        <f>IF(X466&lt;&gt;0,IF($X466&gt;=AD$12,#REF!,""),Z466)</f>
        <v>0</v>
      </c>
      <c r="AE466" s="96">
        <f>IF(AA466=" ",IF($X466&gt;=AE$12,#REF!,""),AA466)</f>
        <v>0</v>
      </c>
      <c r="AF466" s="96">
        <f>IF(AB466=" ",IF($X466&gt;=AF$12,#REF!,""),AB466)</f>
        <v>0</v>
      </c>
      <c r="AG466" s="96">
        <f>IF(AC466=" ",IF($X466&gt;=AG$12,#REF!,""),AC466)</f>
        <v>0</v>
      </c>
      <c r="AH466" s="211" t="str">
        <f t="shared" si="126"/>
        <v>0,;!0,;!0,;!0</v>
      </c>
      <c r="AI466" s="211" t="e">
        <f>INDEX([1]Library!$AL:$AL,MATCH(AH466,[1]Library!$AJ:$AJ,0),1)</f>
        <v>#N/A</v>
      </c>
      <c r="AJ466" s="211" t="e">
        <f>TEXT(INDEX([1]Library!$W:$W,MATCH(AH466,[1]Library!$AJ:$AJ,0),1),"")</f>
        <v>#N/A</v>
      </c>
    </row>
    <row r="467" spans="1:36" ht="25.2" hidden="1" customHeight="1" outlineLevel="2">
      <c r="A467" s="242"/>
      <c r="B467" s="243"/>
      <c r="C467" s="244"/>
      <c r="D467" s="245"/>
      <c r="E467" s="246" t="s">
        <v>480</v>
      </c>
      <c r="F467" s="247"/>
      <c r="G467" s="381"/>
      <c r="H467" s="382">
        <v>124</v>
      </c>
      <c r="I467" s="248" t="s">
        <v>134</v>
      </c>
      <c r="J467" s="249">
        <v>3000</v>
      </c>
      <c r="K467" s="250">
        <v>372000</v>
      </c>
      <c r="L467" s="249">
        <v>750</v>
      </c>
      <c r="M467" s="250">
        <v>93000</v>
      </c>
      <c r="N467" s="251">
        <v>0</v>
      </c>
      <c r="O467" s="250">
        <v>0</v>
      </c>
      <c r="P467" s="252">
        <v>465000</v>
      </c>
      <c r="Q467" s="253">
        <f t="shared" si="123"/>
        <v>2.5013131659180199E-4</v>
      </c>
      <c r="R467" s="254">
        <f t="shared" si="124"/>
        <v>24.944210797356501</v>
      </c>
      <c r="S467" s="255">
        <f t="shared" si="125"/>
        <v>911.76470588235304</v>
      </c>
      <c r="T467" s="256"/>
      <c r="U467" s="225"/>
      <c r="V467" s="226"/>
      <c r="W467" s="227"/>
      <c r="X467" s="226"/>
      <c r="Y467" s="226"/>
      <c r="Z467" s="226"/>
      <c r="AA467" s="226"/>
      <c r="AB467" s="226"/>
      <c r="AC467" s="226"/>
      <c r="AD467" s="96">
        <f>IF(X467&lt;&gt;0,IF($X467&gt;=AD$12,#REF!,""),Z467)</f>
        <v>0</v>
      </c>
      <c r="AE467" s="96">
        <f>IF(AA467=" ",IF($X467&gt;=AE$12,#REF!,""),AA467)</f>
        <v>0</v>
      </c>
      <c r="AF467" s="96">
        <f>IF(AB467=" ",IF($X467&gt;=AF$12,#REF!,""),AB467)</f>
        <v>0</v>
      </c>
      <c r="AG467" s="96">
        <f>IF(AC467=" ",IF($X467&gt;=AG$12,#REF!,""),AC467)</f>
        <v>0</v>
      </c>
      <c r="AH467" s="211" t="str">
        <f t="shared" si="126"/>
        <v>0,;!0,;!0,;!0</v>
      </c>
      <c r="AI467" s="211" t="e">
        <f>INDEX([1]Library!$AL:$AL,MATCH(AH467,[1]Library!$AJ:$AJ,0),1)</f>
        <v>#N/A</v>
      </c>
      <c r="AJ467" s="211" t="e">
        <f>TEXT(INDEX([1]Library!$W:$W,MATCH(AH467,[1]Library!$AJ:$AJ,0),1),"")</f>
        <v>#N/A</v>
      </c>
    </row>
    <row r="468" spans="1:36" ht="25.2" hidden="1" customHeight="1" outlineLevel="2">
      <c r="A468" s="228"/>
      <c r="B468" s="229"/>
      <c r="C468" s="230"/>
      <c r="D468" s="231" t="s">
        <v>421</v>
      </c>
      <c r="E468" s="232"/>
      <c r="F468" s="233"/>
      <c r="G468" s="379"/>
      <c r="H468" s="380">
        <v>1</v>
      </c>
      <c r="I468" s="234" t="s">
        <v>32</v>
      </c>
      <c r="J468" s="235">
        <v>47683.528124999997</v>
      </c>
      <c r="K468" s="236">
        <v>47683.528124999997</v>
      </c>
      <c r="L468" s="235">
        <v>14734.210190625001</v>
      </c>
      <c r="M468" s="236">
        <v>14734.210190625001</v>
      </c>
      <c r="N468" s="237">
        <v>0</v>
      </c>
      <c r="O468" s="236">
        <v>0</v>
      </c>
      <c r="P468" s="238">
        <v>62417.738315625</v>
      </c>
      <c r="Q468" s="239">
        <f t="shared" si="123"/>
        <v>3.3575550674343801E-5</v>
      </c>
      <c r="R468" s="236">
        <f t="shared" si="124"/>
        <v>3.3483037033100702</v>
      </c>
      <c r="S468" s="240">
        <f t="shared" si="125"/>
        <v>122.3877221875</v>
      </c>
      <c r="T468" s="241"/>
      <c r="U468" s="225"/>
      <c r="V468" s="226"/>
      <c r="W468" s="227"/>
      <c r="X468" s="226"/>
      <c r="Y468" s="226"/>
      <c r="Z468" s="226"/>
      <c r="AA468" s="226"/>
      <c r="AB468" s="226"/>
      <c r="AC468" s="226"/>
      <c r="AD468" s="96">
        <f>IF(X468&lt;&gt;0,IF($X468&gt;=AD$12,AD467,""),Z468)</f>
        <v>0</v>
      </c>
      <c r="AE468" s="96">
        <f>IF(AA468=" ",IF($X468&gt;=AE$12,AE467,""),AA468)</f>
        <v>0</v>
      </c>
      <c r="AF468" s="96">
        <f>IF(AB468=" ",IF($X468&gt;=AF$12,AF467,""),AB468)</f>
        <v>0</v>
      </c>
      <c r="AG468" s="96">
        <f>IF(AC468=" ",IF($X468&gt;=AG$12,AG467,""),AC468)</f>
        <v>0</v>
      </c>
      <c r="AH468" s="211" t="str">
        <f t="shared" si="126"/>
        <v>0,;!0,;!0,;!0</v>
      </c>
      <c r="AI468" s="211" t="e">
        <f>INDEX([1]Library!$AL:$AL,MATCH(AH468,[1]Library!$AJ:$AJ,0),1)</f>
        <v>#N/A</v>
      </c>
      <c r="AJ468" s="211" t="e">
        <f>TEXT(INDEX([1]Library!$W:$W,MATCH(AH468,[1]Library!$AJ:$AJ,0),1),"")</f>
        <v>#N/A</v>
      </c>
    </row>
    <row r="469" spans="1:36" ht="25.2" hidden="1" customHeight="1" outlineLevel="2">
      <c r="A469" s="242"/>
      <c r="B469" s="243"/>
      <c r="C469" s="244"/>
      <c r="D469" s="245"/>
      <c r="E469" s="246" t="s">
        <v>481</v>
      </c>
      <c r="F469" s="247"/>
      <c r="G469" s="381"/>
      <c r="H469" s="382">
        <v>824</v>
      </c>
      <c r="I469" s="248" t="s">
        <v>176</v>
      </c>
      <c r="J469" s="249">
        <v>57.868359374999997</v>
      </c>
      <c r="K469" s="250">
        <v>47683.528124999997</v>
      </c>
      <c r="L469" s="249">
        <v>17.881323046875</v>
      </c>
      <c r="M469" s="250">
        <v>14734.210190625001</v>
      </c>
      <c r="N469" s="251">
        <v>0</v>
      </c>
      <c r="O469" s="250">
        <v>0</v>
      </c>
      <c r="P469" s="252">
        <v>62417.738315625</v>
      </c>
      <c r="Q469" s="253">
        <f t="shared" si="123"/>
        <v>3.3575550674343801E-5</v>
      </c>
      <c r="R469" s="254">
        <f t="shared" si="124"/>
        <v>3.3483037033100702</v>
      </c>
      <c r="S469" s="255">
        <f t="shared" si="125"/>
        <v>122.3877221875</v>
      </c>
      <c r="T469" s="256"/>
      <c r="U469" s="225"/>
      <c r="V469" s="226"/>
      <c r="W469" s="227"/>
      <c r="X469" s="226"/>
      <c r="Y469" s="226"/>
      <c r="Z469" s="226"/>
      <c r="AA469" s="226"/>
      <c r="AB469" s="226"/>
      <c r="AC469" s="226"/>
      <c r="AD469" s="96">
        <f>IF(X469&lt;&gt;0,IF($X469&gt;=AD$12,#REF!,""),Z469)</f>
        <v>0</v>
      </c>
      <c r="AE469" s="96">
        <f>IF(AA469=" ",IF($X469&gt;=AE$12,#REF!,""),AA469)</f>
        <v>0</v>
      </c>
      <c r="AF469" s="96">
        <f>IF(AB469=" ",IF($X469&gt;=AF$12,#REF!,""),AB469)</f>
        <v>0</v>
      </c>
      <c r="AG469" s="96">
        <f>IF(AC469=" ",IF($X469&gt;=AG$12,#REF!,""),AC469)</f>
        <v>0</v>
      </c>
      <c r="AH469" s="211" t="str">
        <f t="shared" si="126"/>
        <v>0,;!0,;!0,;!0</v>
      </c>
      <c r="AI469" s="211" t="e">
        <f>INDEX([1]Library!$AL:$AL,MATCH(AH469,[1]Library!$AJ:$AJ,0),1)</f>
        <v>#N/A</v>
      </c>
      <c r="AJ469" s="211" t="e">
        <f>TEXT(INDEX([1]Library!$W:$W,MATCH(AH469,[1]Library!$AJ:$AJ,0),1),"")</f>
        <v>#N/A</v>
      </c>
    </row>
    <row r="470" spans="1:36" ht="25.2" hidden="1" customHeight="1" outlineLevel="2">
      <c r="A470" s="228"/>
      <c r="B470" s="229"/>
      <c r="C470" s="230"/>
      <c r="D470" s="231" t="s">
        <v>473</v>
      </c>
      <c r="E470" s="232"/>
      <c r="F470" s="233"/>
      <c r="G470" s="379"/>
      <c r="H470" s="380">
        <v>1</v>
      </c>
      <c r="I470" s="234" t="s">
        <v>32</v>
      </c>
      <c r="J470" s="235">
        <v>829566.11882352899</v>
      </c>
      <c r="K470" s="236">
        <v>829566.11882352899</v>
      </c>
      <c r="L470" s="235">
        <v>105268.125411765</v>
      </c>
      <c r="M470" s="236">
        <v>105268.125411765</v>
      </c>
      <c r="N470" s="237">
        <v>0</v>
      </c>
      <c r="O470" s="236">
        <v>0</v>
      </c>
      <c r="P470" s="238">
        <v>934834.24423529406</v>
      </c>
      <c r="Q470" s="239">
        <f t="shared" si="123"/>
        <v>5.0286305442080997E-4</v>
      </c>
      <c r="R470" s="236">
        <f t="shared" si="124"/>
        <v>50.147747201704497</v>
      </c>
      <c r="S470" s="240">
        <f t="shared" si="125"/>
        <v>1833.00832202999</v>
      </c>
      <c r="T470" s="241"/>
      <c r="U470" s="225"/>
      <c r="V470" s="226"/>
      <c r="W470" s="227"/>
      <c r="X470" s="226"/>
      <c r="Y470" s="226"/>
      <c r="Z470" s="226"/>
      <c r="AA470" s="226"/>
      <c r="AB470" s="226"/>
      <c r="AC470" s="226"/>
      <c r="AD470" s="96">
        <f t="shared" ref="AD470:AD485" si="127">IF(X470&lt;&gt;0,IF($X470&gt;=AD$12,AD469,""),Z470)</f>
        <v>0</v>
      </c>
      <c r="AE470" s="96">
        <f t="shared" ref="AE470:AE485" si="128">IF(AA470=" ",IF($X470&gt;=AE$12,AE469,""),AA470)</f>
        <v>0</v>
      </c>
      <c r="AF470" s="96">
        <f t="shared" ref="AF470:AF485" si="129">IF(AB470=" ",IF($X470&gt;=AF$12,AF469,""),AB470)</f>
        <v>0</v>
      </c>
      <c r="AG470" s="96">
        <f t="shared" ref="AG470:AG485" si="130">IF(AC470=" ",IF($X470&gt;=AG$12,AG469,""),AC470)</f>
        <v>0</v>
      </c>
      <c r="AH470" s="211" t="str">
        <f t="shared" si="126"/>
        <v>0,;!0,;!0,;!0</v>
      </c>
      <c r="AI470" s="211" t="e">
        <f>INDEX([1]Library!$AL:$AL,MATCH(AH470,[1]Library!$AJ:$AJ,0),1)</f>
        <v>#N/A</v>
      </c>
      <c r="AJ470" s="211" t="e">
        <f>TEXT(INDEX([1]Library!$W:$W,MATCH(AH470,[1]Library!$AJ:$AJ,0),1),"")</f>
        <v>#N/A</v>
      </c>
    </row>
    <row r="471" spans="1:36" ht="25.2" hidden="1" customHeight="1" outlineLevel="2">
      <c r="A471" s="242"/>
      <c r="B471" s="243"/>
      <c r="C471" s="244"/>
      <c r="D471" s="245"/>
      <c r="E471" s="246" t="s">
        <v>482</v>
      </c>
      <c r="F471" s="247"/>
      <c r="G471" s="381"/>
      <c r="H471" s="382">
        <v>8</v>
      </c>
      <c r="I471" s="248" t="s">
        <v>354</v>
      </c>
      <c r="J471" s="249">
        <v>5303.57</v>
      </c>
      <c r="K471" s="250">
        <v>42428.56</v>
      </c>
      <c r="L471" s="249">
        <v>795.54</v>
      </c>
      <c r="M471" s="250">
        <v>6364.32</v>
      </c>
      <c r="N471" s="251">
        <v>0</v>
      </c>
      <c r="O471" s="250">
        <v>0</v>
      </c>
      <c r="P471" s="252">
        <v>48792.88</v>
      </c>
      <c r="Q471" s="253">
        <f t="shared" si="123"/>
        <v>2.6246510354206099E-5</v>
      </c>
      <c r="R471" s="254">
        <f t="shared" si="124"/>
        <v>2.61741910565617</v>
      </c>
      <c r="S471" s="255">
        <f t="shared" si="125"/>
        <v>95.672313725490199</v>
      </c>
      <c r="T471" s="256"/>
      <c r="U471" s="225"/>
      <c r="V471" s="226"/>
      <c r="W471" s="227"/>
      <c r="X471" s="226"/>
      <c r="Y471" s="226"/>
      <c r="Z471" s="226"/>
      <c r="AA471" s="226"/>
      <c r="AB471" s="226"/>
      <c r="AC471" s="226"/>
      <c r="AD471" s="96">
        <f t="shared" si="127"/>
        <v>0</v>
      </c>
      <c r="AE471" s="96">
        <f t="shared" si="128"/>
        <v>0</v>
      </c>
      <c r="AF471" s="96">
        <f t="shared" si="129"/>
        <v>0</v>
      </c>
      <c r="AG471" s="96">
        <f t="shared" si="130"/>
        <v>0</v>
      </c>
      <c r="AH471" s="211" t="str">
        <f t="shared" si="126"/>
        <v>0,;!0,;!0,;!0</v>
      </c>
      <c r="AI471" s="211" t="e">
        <f>INDEX([1]Library!$AL:$AL,MATCH(AH471,[1]Library!$AJ:$AJ,0),1)</f>
        <v>#N/A</v>
      </c>
      <c r="AJ471" s="211" t="e">
        <f>TEXT(INDEX([1]Library!$W:$W,MATCH(AH471,[1]Library!$AJ:$AJ,0),1),"")</f>
        <v>#N/A</v>
      </c>
    </row>
    <row r="472" spans="1:36" ht="25.2" hidden="1" customHeight="1" outlineLevel="2">
      <c r="A472" s="242"/>
      <c r="B472" s="243"/>
      <c r="C472" s="244"/>
      <c r="D472" s="245"/>
      <c r="E472" s="246" t="s">
        <v>483</v>
      </c>
      <c r="F472" s="247"/>
      <c r="G472" s="381"/>
      <c r="H472" s="382">
        <v>4</v>
      </c>
      <c r="I472" s="248" t="s">
        <v>354</v>
      </c>
      <c r="J472" s="249">
        <v>21093.75</v>
      </c>
      <c r="K472" s="250">
        <v>84375</v>
      </c>
      <c r="L472" s="249">
        <v>4218.75</v>
      </c>
      <c r="M472" s="250">
        <v>16875</v>
      </c>
      <c r="N472" s="251">
        <v>0</v>
      </c>
      <c r="O472" s="250">
        <v>0</v>
      </c>
      <c r="P472" s="252">
        <v>101250</v>
      </c>
      <c r="Q472" s="253">
        <f t="shared" si="123"/>
        <v>5.4464076999827899E-5</v>
      </c>
      <c r="R472" s="254">
        <f t="shared" si="124"/>
        <v>5.4314007381340703</v>
      </c>
      <c r="S472" s="255">
        <f t="shared" si="125"/>
        <v>198.529411764706</v>
      </c>
      <c r="T472" s="256"/>
      <c r="U472" s="225"/>
      <c r="V472" s="226"/>
      <c r="W472" s="227"/>
      <c r="X472" s="226"/>
      <c r="Y472" s="226"/>
      <c r="Z472" s="226"/>
      <c r="AA472" s="226"/>
      <c r="AB472" s="226"/>
      <c r="AC472" s="226"/>
      <c r="AD472" s="96">
        <f t="shared" si="127"/>
        <v>0</v>
      </c>
      <c r="AE472" s="96">
        <f t="shared" si="128"/>
        <v>0</v>
      </c>
      <c r="AF472" s="96">
        <f t="shared" si="129"/>
        <v>0</v>
      </c>
      <c r="AG472" s="96">
        <f t="shared" si="130"/>
        <v>0</v>
      </c>
      <c r="AH472" s="211" t="str">
        <f t="shared" si="126"/>
        <v>0,;!0,;!0,;!0</v>
      </c>
      <c r="AI472" s="211" t="e">
        <f>INDEX([1]Library!$AL:$AL,MATCH(AH472,[1]Library!$AJ:$AJ,0),1)</f>
        <v>#N/A</v>
      </c>
      <c r="AJ472" s="211" t="e">
        <f>TEXT(INDEX([1]Library!$W:$W,MATCH(AH472,[1]Library!$AJ:$AJ,0),1),"")</f>
        <v>#N/A</v>
      </c>
    </row>
    <row r="473" spans="1:36" ht="25.2" hidden="1" customHeight="1" outlineLevel="2">
      <c r="A473" s="242"/>
      <c r="B473" s="243"/>
      <c r="C473" s="244"/>
      <c r="D473" s="245"/>
      <c r="E473" s="246" t="s">
        <v>484</v>
      </c>
      <c r="F473" s="247"/>
      <c r="G473" s="381"/>
      <c r="H473" s="382">
        <v>4</v>
      </c>
      <c r="I473" s="248" t="s">
        <v>354</v>
      </c>
      <c r="J473" s="249">
        <v>21093.75</v>
      </c>
      <c r="K473" s="250">
        <v>84375</v>
      </c>
      <c r="L473" s="249">
        <v>4218.75</v>
      </c>
      <c r="M473" s="250">
        <v>16875</v>
      </c>
      <c r="N473" s="251">
        <v>0</v>
      </c>
      <c r="O473" s="250">
        <v>0</v>
      </c>
      <c r="P473" s="252">
        <v>101250</v>
      </c>
      <c r="Q473" s="253">
        <f t="shared" si="123"/>
        <v>5.4464076999827899E-5</v>
      </c>
      <c r="R473" s="254">
        <f t="shared" si="124"/>
        <v>5.4314007381340703</v>
      </c>
      <c r="S473" s="255">
        <f t="shared" si="125"/>
        <v>198.529411764706</v>
      </c>
      <c r="T473" s="256"/>
      <c r="U473" s="225"/>
      <c r="V473" s="226"/>
      <c r="W473" s="227"/>
      <c r="X473" s="226"/>
      <c r="Y473" s="226"/>
      <c r="Z473" s="226"/>
      <c r="AA473" s="226"/>
      <c r="AB473" s="226"/>
      <c r="AC473" s="226"/>
      <c r="AD473" s="96">
        <f t="shared" si="127"/>
        <v>0</v>
      </c>
      <c r="AE473" s="96">
        <f t="shared" si="128"/>
        <v>0</v>
      </c>
      <c r="AF473" s="96">
        <f t="shared" si="129"/>
        <v>0</v>
      </c>
      <c r="AG473" s="96">
        <f t="shared" si="130"/>
        <v>0</v>
      </c>
      <c r="AH473" s="211" t="str">
        <f t="shared" si="126"/>
        <v>0,;!0,;!0,;!0</v>
      </c>
      <c r="AI473" s="211" t="e">
        <f>INDEX([1]Library!$AL:$AL,MATCH(AH473,[1]Library!$AJ:$AJ,0),1)</f>
        <v>#N/A</v>
      </c>
      <c r="AJ473" s="211" t="e">
        <f>TEXT(INDEX([1]Library!$W:$W,MATCH(AH473,[1]Library!$AJ:$AJ,0),1),"")</f>
        <v>#N/A</v>
      </c>
    </row>
    <row r="474" spans="1:36" ht="25.2" hidden="1" customHeight="1" outlineLevel="2">
      <c r="A474" s="242"/>
      <c r="B474" s="243"/>
      <c r="C474" s="244"/>
      <c r="D474" s="245"/>
      <c r="E474" s="246" t="s">
        <v>485</v>
      </c>
      <c r="F474" s="247"/>
      <c r="G474" s="381"/>
      <c r="H474" s="382">
        <v>4</v>
      </c>
      <c r="I474" s="248" t="s">
        <v>354</v>
      </c>
      <c r="J474" s="249">
        <v>7961.9549999999999</v>
      </c>
      <c r="K474" s="250">
        <v>31847.82</v>
      </c>
      <c r="L474" s="249">
        <v>1592.3910000000001</v>
      </c>
      <c r="M474" s="250">
        <v>6369.5640000000003</v>
      </c>
      <c r="N474" s="251">
        <v>0</v>
      </c>
      <c r="O474" s="250">
        <v>0</v>
      </c>
      <c r="P474" s="252">
        <v>38217.383999999998</v>
      </c>
      <c r="Q474" s="253">
        <f t="shared" si="123"/>
        <v>2.0557773283041902E-5</v>
      </c>
      <c r="R474" s="254">
        <f t="shared" si="124"/>
        <v>2.05011286584842</v>
      </c>
      <c r="S474" s="255">
        <f t="shared" si="125"/>
        <v>74.936047058823505</v>
      </c>
      <c r="T474" s="256"/>
      <c r="U474" s="225"/>
      <c r="V474" s="226"/>
      <c r="W474" s="227"/>
      <c r="X474" s="226"/>
      <c r="Y474" s="226"/>
      <c r="Z474" s="226"/>
      <c r="AA474" s="226"/>
      <c r="AB474" s="226"/>
      <c r="AC474" s="226"/>
      <c r="AD474" s="96">
        <f t="shared" si="127"/>
        <v>0</v>
      </c>
      <c r="AE474" s="96">
        <f t="shared" si="128"/>
        <v>0</v>
      </c>
      <c r="AF474" s="96">
        <f t="shared" si="129"/>
        <v>0</v>
      </c>
      <c r="AG474" s="96">
        <f t="shared" si="130"/>
        <v>0</v>
      </c>
      <c r="AH474" s="211" t="str">
        <f t="shared" si="126"/>
        <v>0,;!0,;!0,;!0</v>
      </c>
      <c r="AI474" s="211" t="e">
        <f>INDEX([1]Library!$AL:$AL,MATCH(AH474,[1]Library!$AJ:$AJ,0),1)</f>
        <v>#N/A</v>
      </c>
      <c r="AJ474" s="211" t="e">
        <f>TEXT(INDEX([1]Library!$W:$W,MATCH(AH474,[1]Library!$AJ:$AJ,0),1),"")</f>
        <v>#N/A</v>
      </c>
    </row>
    <row r="475" spans="1:36" ht="25.2" hidden="1" customHeight="1" outlineLevel="2">
      <c r="A475" s="242"/>
      <c r="B475" s="243"/>
      <c r="C475" s="244"/>
      <c r="D475" s="245"/>
      <c r="E475" s="246" t="s">
        <v>486</v>
      </c>
      <c r="F475" s="247"/>
      <c r="G475" s="381"/>
      <c r="H475" s="382">
        <v>4</v>
      </c>
      <c r="I475" s="248" t="s">
        <v>354</v>
      </c>
      <c r="J475" s="249">
        <v>480</v>
      </c>
      <c r="K475" s="250">
        <v>1920</v>
      </c>
      <c r="L475" s="249">
        <v>120</v>
      </c>
      <c r="M475" s="250">
        <v>480</v>
      </c>
      <c r="N475" s="251">
        <v>0</v>
      </c>
      <c r="O475" s="250">
        <v>0</v>
      </c>
      <c r="P475" s="252">
        <v>2400</v>
      </c>
      <c r="Q475" s="253">
        <f t="shared" si="123"/>
        <v>1.2910003436996201E-6</v>
      </c>
      <c r="R475" s="254">
        <f t="shared" si="124"/>
        <v>0.12874431379280701</v>
      </c>
      <c r="S475" s="255">
        <f t="shared" si="125"/>
        <v>4.7058823529411802</v>
      </c>
      <c r="T475" s="256"/>
      <c r="U475" s="225"/>
      <c r="V475" s="226"/>
      <c r="W475" s="227"/>
      <c r="X475" s="226"/>
      <c r="Y475" s="226"/>
      <c r="Z475" s="226"/>
      <c r="AA475" s="226"/>
      <c r="AB475" s="226"/>
      <c r="AC475" s="226"/>
      <c r="AD475" s="96">
        <f t="shared" si="127"/>
        <v>0</v>
      </c>
      <c r="AE475" s="96">
        <f t="shared" si="128"/>
        <v>0</v>
      </c>
      <c r="AF475" s="96">
        <f t="shared" si="129"/>
        <v>0</v>
      </c>
      <c r="AG475" s="96">
        <f t="shared" si="130"/>
        <v>0</v>
      </c>
      <c r="AH475" s="211" t="str">
        <f t="shared" si="126"/>
        <v>0,;!0,;!0,;!0</v>
      </c>
      <c r="AI475" s="211" t="e">
        <f>INDEX([1]Library!$AL:$AL,MATCH(AH475,[1]Library!$AJ:$AJ,0),1)</f>
        <v>#N/A</v>
      </c>
      <c r="AJ475" s="211" t="e">
        <f>TEXT(INDEX([1]Library!$W:$W,MATCH(AH475,[1]Library!$AJ:$AJ,0),1),"")</f>
        <v>#N/A</v>
      </c>
    </row>
    <row r="476" spans="1:36" ht="25.2" hidden="1" customHeight="1" outlineLevel="2">
      <c r="A476" s="242"/>
      <c r="B476" s="243"/>
      <c r="C476" s="244"/>
      <c r="D476" s="245"/>
      <c r="E476" s="246" t="s">
        <v>487</v>
      </c>
      <c r="F476" s="247"/>
      <c r="G476" s="381"/>
      <c r="H476" s="382">
        <v>4</v>
      </c>
      <c r="I476" s="248" t="s">
        <v>354</v>
      </c>
      <c r="J476" s="249">
        <v>7077.29</v>
      </c>
      <c r="K476" s="250">
        <v>28309.16</v>
      </c>
      <c r="L476" s="249">
        <v>1061.5899999999999</v>
      </c>
      <c r="M476" s="250">
        <v>4246.3599999999997</v>
      </c>
      <c r="N476" s="251">
        <v>0</v>
      </c>
      <c r="O476" s="250">
        <v>0</v>
      </c>
      <c r="P476" s="252">
        <v>32555.52</v>
      </c>
      <c r="Q476" s="253">
        <f t="shared" si="123"/>
        <v>1.7512161462216699E-5</v>
      </c>
      <c r="R476" s="254">
        <f t="shared" si="124"/>
        <v>1.74639086773668</v>
      </c>
      <c r="S476" s="255">
        <f t="shared" si="125"/>
        <v>63.834352941176498</v>
      </c>
      <c r="T476" s="256"/>
      <c r="U476" s="225"/>
      <c r="V476" s="226"/>
      <c r="W476" s="227"/>
      <c r="X476" s="226"/>
      <c r="Y476" s="226"/>
      <c r="Z476" s="226"/>
      <c r="AA476" s="226"/>
      <c r="AB476" s="226"/>
      <c r="AC476" s="226"/>
      <c r="AD476" s="96">
        <f t="shared" si="127"/>
        <v>0</v>
      </c>
      <c r="AE476" s="96">
        <f t="shared" si="128"/>
        <v>0</v>
      </c>
      <c r="AF476" s="96">
        <f t="shared" si="129"/>
        <v>0</v>
      </c>
      <c r="AG476" s="96">
        <f t="shared" si="130"/>
        <v>0</v>
      </c>
      <c r="AH476" s="211" t="str">
        <f t="shared" si="126"/>
        <v>0,;!0,;!0,;!0</v>
      </c>
      <c r="AI476" s="211" t="e">
        <f>INDEX([1]Library!$AL:$AL,MATCH(AH476,[1]Library!$AJ:$AJ,0),1)</f>
        <v>#N/A</v>
      </c>
      <c r="AJ476" s="211" t="e">
        <f>TEXT(INDEX([1]Library!$W:$W,MATCH(AH476,[1]Library!$AJ:$AJ,0),1),"")</f>
        <v>#N/A</v>
      </c>
    </row>
    <row r="477" spans="1:36" ht="25.2" hidden="1" customHeight="1" outlineLevel="2">
      <c r="A477" s="242"/>
      <c r="B477" s="243"/>
      <c r="C477" s="244"/>
      <c r="D477" s="245"/>
      <c r="E477" s="246" t="s">
        <v>488</v>
      </c>
      <c r="F477" s="247"/>
      <c r="G477" s="381"/>
      <c r="H477" s="382">
        <v>4</v>
      </c>
      <c r="I477" s="248" t="s">
        <v>354</v>
      </c>
      <c r="J477" s="249">
        <v>36432.941176470602</v>
      </c>
      <c r="K477" s="250">
        <v>145731.764705882</v>
      </c>
      <c r="L477" s="249">
        <v>3000</v>
      </c>
      <c r="M477" s="250">
        <v>12000</v>
      </c>
      <c r="N477" s="251">
        <v>0</v>
      </c>
      <c r="O477" s="250">
        <v>0</v>
      </c>
      <c r="P477" s="252">
        <v>157731.764705882</v>
      </c>
      <c r="Q477" s="253">
        <f t="shared" si="123"/>
        <v>8.4846567686517701E-5</v>
      </c>
      <c r="R477" s="254">
        <f t="shared" si="124"/>
        <v>8.4612782543280591</v>
      </c>
      <c r="S477" s="255">
        <f t="shared" si="125"/>
        <v>309.277970011533</v>
      </c>
      <c r="T477" s="256"/>
      <c r="U477" s="225"/>
      <c r="V477" s="226"/>
      <c r="W477" s="227"/>
      <c r="X477" s="226"/>
      <c r="Y477" s="226"/>
      <c r="Z477" s="226"/>
      <c r="AA477" s="226"/>
      <c r="AB477" s="226"/>
      <c r="AC477" s="226"/>
      <c r="AD477" s="96">
        <f t="shared" si="127"/>
        <v>0</v>
      </c>
      <c r="AE477" s="96">
        <f t="shared" si="128"/>
        <v>0</v>
      </c>
      <c r="AF477" s="96">
        <f t="shared" si="129"/>
        <v>0</v>
      </c>
      <c r="AG477" s="96">
        <f t="shared" si="130"/>
        <v>0</v>
      </c>
      <c r="AH477" s="211" t="str">
        <f t="shared" si="126"/>
        <v>0,;!0,;!0,;!0</v>
      </c>
      <c r="AI477" s="211" t="e">
        <f>INDEX([1]Library!$AL:$AL,MATCH(AH477,[1]Library!$AJ:$AJ,0),1)</f>
        <v>#N/A</v>
      </c>
      <c r="AJ477" s="211" t="e">
        <f>TEXT(INDEX([1]Library!$W:$W,MATCH(AH477,[1]Library!$AJ:$AJ,0),1),"")</f>
        <v>#N/A</v>
      </c>
    </row>
    <row r="478" spans="1:36" ht="25.2" hidden="1" customHeight="1" outlineLevel="2">
      <c r="A478" s="242"/>
      <c r="B478" s="243"/>
      <c r="C478" s="244"/>
      <c r="D478" s="245"/>
      <c r="E478" s="246" t="s">
        <v>489</v>
      </c>
      <c r="F478" s="247"/>
      <c r="G478" s="381"/>
      <c r="H478" s="382">
        <v>4</v>
      </c>
      <c r="I478" s="248" t="s">
        <v>354</v>
      </c>
      <c r="J478" s="249">
        <v>20000</v>
      </c>
      <c r="K478" s="250">
        <v>80000</v>
      </c>
      <c r="L478" s="249">
        <v>2250</v>
      </c>
      <c r="M478" s="250">
        <v>9000</v>
      </c>
      <c r="N478" s="251">
        <v>0</v>
      </c>
      <c r="O478" s="250">
        <v>0</v>
      </c>
      <c r="P478" s="252">
        <v>89000</v>
      </c>
      <c r="Q478" s="253">
        <f t="shared" si="123"/>
        <v>4.7874596078861098E-5</v>
      </c>
      <c r="R478" s="254">
        <f t="shared" si="124"/>
        <v>4.77426830314994</v>
      </c>
      <c r="S478" s="255">
        <f t="shared" si="125"/>
        <v>174.50980392156899</v>
      </c>
      <c r="T478" s="256"/>
      <c r="U478" s="225"/>
      <c r="V478" s="226"/>
      <c r="W478" s="227"/>
      <c r="X478" s="226"/>
      <c r="Y478" s="226"/>
      <c r="Z478" s="226"/>
      <c r="AA478" s="226"/>
      <c r="AB478" s="226"/>
      <c r="AC478" s="226"/>
      <c r="AD478" s="96">
        <f t="shared" si="127"/>
        <v>0</v>
      </c>
      <c r="AE478" s="96">
        <f t="shared" si="128"/>
        <v>0</v>
      </c>
      <c r="AF478" s="96">
        <f t="shared" si="129"/>
        <v>0</v>
      </c>
      <c r="AG478" s="96">
        <f t="shared" si="130"/>
        <v>0</v>
      </c>
      <c r="AH478" s="211" t="str">
        <f t="shared" si="126"/>
        <v>0,;!0,;!0,;!0</v>
      </c>
      <c r="AI478" s="211" t="e">
        <f>INDEX([1]Library!$AL:$AL,MATCH(AH478,[1]Library!$AJ:$AJ,0),1)</f>
        <v>#N/A</v>
      </c>
      <c r="AJ478" s="211" t="e">
        <f>TEXT(INDEX([1]Library!$W:$W,MATCH(AH478,[1]Library!$AJ:$AJ,0),1),"")</f>
        <v>#N/A</v>
      </c>
    </row>
    <row r="479" spans="1:36" ht="25.2" hidden="1" customHeight="1" outlineLevel="2">
      <c r="A479" s="242"/>
      <c r="B479" s="243"/>
      <c r="C479" s="244"/>
      <c r="D479" s="245"/>
      <c r="E479" s="246" t="s">
        <v>490</v>
      </c>
      <c r="F479" s="247"/>
      <c r="G479" s="381"/>
      <c r="H479" s="382">
        <v>4</v>
      </c>
      <c r="I479" s="248" t="s">
        <v>354</v>
      </c>
      <c r="J479" s="249">
        <v>35585.879999999997</v>
      </c>
      <c r="K479" s="250">
        <v>142343.51999999999</v>
      </c>
      <c r="L479" s="249">
        <v>3558.5880000000002</v>
      </c>
      <c r="M479" s="250">
        <v>14234.352000000001</v>
      </c>
      <c r="N479" s="251">
        <v>0</v>
      </c>
      <c r="O479" s="250">
        <v>0</v>
      </c>
      <c r="P479" s="252">
        <v>156577.872</v>
      </c>
      <c r="Q479" s="253">
        <f t="shared" si="123"/>
        <v>8.4225869403231605E-5</v>
      </c>
      <c r="R479" s="254">
        <f t="shared" si="124"/>
        <v>8.3993794524075192</v>
      </c>
      <c r="S479" s="255">
        <f t="shared" si="125"/>
        <v>307.01543529411799</v>
      </c>
      <c r="T479" s="256"/>
      <c r="U479" s="225"/>
      <c r="V479" s="226"/>
      <c r="W479" s="227"/>
      <c r="X479" s="226"/>
      <c r="Y479" s="226"/>
      <c r="Z479" s="226"/>
      <c r="AA479" s="226"/>
      <c r="AB479" s="226"/>
      <c r="AC479" s="226"/>
      <c r="AD479" s="96">
        <f t="shared" si="127"/>
        <v>0</v>
      </c>
      <c r="AE479" s="96">
        <f t="shared" si="128"/>
        <v>0</v>
      </c>
      <c r="AF479" s="96">
        <f t="shared" si="129"/>
        <v>0</v>
      </c>
      <c r="AG479" s="96">
        <f t="shared" si="130"/>
        <v>0</v>
      </c>
      <c r="AH479" s="211" t="str">
        <f t="shared" si="126"/>
        <v>0,;!0,;!0,;!0</v>
      </c>
      <c r="AI479" s="211" t="e">
        <f>INDEX([1]Library!$AL:$AL,MATCH(AH479,[1]Library!$AJ:$AJ,0),1)</f>
        <v>#N/A</v>
      </c>
      <c r="AJ479" s="211" t="e">
        <f>TEXT(INDEX([1]Library!$W:$W,MATCH(AH479,[1]Library!$AJ:$AJ,0),1),"")</f>
        <v>#N/A</v>
      </c>
    </row>
    <row r="480" spans="1:36" ht="25.2" hidden="1" customHeight="1" outlineLevel="2">
      <c r="A480" s="242"/>
      <c r="B480" s="243"/>
      <c r="C480" s="244"/>
      <c r="D480" s="245"/>
      <c r="E480" s="246" t="s">
        <v>491</v>
      </c>
      <c r="F480" s="247"/>
      <c r="G480" s="381"/>
      <c r="H480" s="382">
        <v>4</v>
      </c>
      <c r="I480" s="248" t="s">
        <v>354</v>
      </c>
      <c r="J480" s="249">
        <v>23529.411764705899</v>
      </c>
      <c r="K480" s="250">
        <v>94117.647058823495</v>
      </c>
      <c r="L480" s="249">
        <v>2352.9411764705901</v>
      </c>
      <c r="M480" s="250">
        <v>9411.7647058823495</v>
      </c>
      <c r="N480" s="251">
        <v>0</v>
      </c>
      <c r="O480" s="250">
        <v>0</v>
      </c>
      <c r="P480" s="252">
        <v>103529.411764706</v>
      </c>
      <c r="Q480" s="253">
        <f t="shared" si="123"/>
        <v>5.5690210904689699E-5</v>
      </c>
      <c r="R480" s="254">
        <f t="shared" si="124"/>
        <v>5.5536762812583698</v>
      </c>
      <c r="S480" s="255">
        <f t="shared" si="125"/>
        <v>202.998846597463</v>
      </c>
      <c r="T480" s="256"/>
      <c r="U480" s="225"/>
      <c r="V480" s="226"/>
      <c r="W480" s="227"/>
      <c r="X480" s="226"/>
      <c r="Y480" s="226"/>
      <c r="Z480" s="226"/>
      <c r="AA480" s="226"/>
      <c r="AB480" s="226"/>
      <c r="AC480" s="226"/>
      <c r="AD480" s="96">
        <f t="shared" si="127"/>
        <v>0</v>
      </c>
      <c r="AE480" s="96">
        <f t="shared" si="128"/>
        <v>0</v>
      </c>
      <c r="AF480" s="96">
        <f t="shared" si="129"/>
        <v>0</v>
      </c>
      <c r="AG480" s="96">
        <f t="shared" si="130"/>
        <v>0</v>
      </c>
      <c r="AH480" s="211" t="str">
        <f t="shared" si="126"/>
        <v>0,;!0,;!0,;!0</v>
      </c>
      <c r="AI480" s="211" t="e">
        <f>INDEX([1]Library!$AL:$AL,MATCH(AH480,[1]Library!$AJ:$AJ,0),1)</f>
        <v>#N/A</v>
      </c>
      <c r="AJ480" s="211" t="e">
        <f>TEXT(INDEX([1]Library!$W:$W,MATCH(AH480,[1]Library!$AJ:$AJ,0),1),"")</f>
        <v>#N/A</v>
      </c>
    </row>
    <row r="481" spans="1:36" ht="25.2" hidden="1" customHeight="1" outlineLevel="2">
      <c r="A481" s="242"/>
      <c r="B481" s="243"/>
      <c r="C481" s="244"/>
      <c r="D481" s="245"/>
      <c r="E481" s="246" t="s">
        <v>492</v>
      </c>
      <c r="F481" s="247"/>
      <c r="G481" s="381"/>
      <c r="H481" s="382">
        <v>4</v>
      </c>
      <c r="I481" s="248" t="s">
        <v>354</v>
      </c>
      <c r="J481" s="249">
        <v>23529.411764705899</v>
      </c>
      <c r="K481" s="250">
        <v>94117.647058823495</v>
      </c>
      <c r="L481" s="249">
        <v>2352.9411764705901</v>
      </c>
      <c r="M481" s="250">
        <v>9411.7647058823495</v>
      </c>
      <c r="N481" s="251">
        <v>0</v>
      </c>
      <c r="O481" s="250">
        <v>0</v>
      </c>
      <c r="P481" s="252">
        <v>103529.411764706</v>
      </c>
      <c r="Q481" s="253">
        <f t="shared" si="123"/>
        <v>5.5690210904689699E-5</v>
      </c>
      <c r="R481" s="254">
        <f t="shared" si="124"/>
        <v>5.5536762812583698</v>
      </c>
      <c r="S481" s="255">
        <f t="shared" si="125"/>
        <v>202.998846597463</v>
      </c>
      <c r="T481" s="256"/>
      <c r="U481" s="225"/>
      <c r="V481" s="226"/>
      <c r="W481" s="227"/>
      <c r="X481" s="226"/>
      <c r="Y481" s="226"/>
      <c r="Z481" s="226"/>
      <c r="AA481" s="226"/>
      <c r="AB481" s="226"/>
      <c r="AC481" s="226"/>
      <c r="AD481" s="96">
        <f t="shared" si="127"/>
        <v>0</v>
      </c>
      <c r="AE481" s="96">
        <f t="shared" si="128"/>
        <v>0</v>
      </c>
      <c r="AF481" s="96">
        <f t="shared" si="129"/>
        <v>0</v>
      </c>
      <c r="AG481" s="96">
        <f t="shared" si="130"/>
        <v>0</v>
      </c>
      <c r="AH481" s="211" t="str">
        <f t="shared" si="126"/>
        <v>0,;!0,;!0,;!0</v>
      </c>
      <c r="AI481" s="211" t="e">
        <f>INDEX([1]Library!$AL:$AL,MATCH(AH481,[1]Library!$AJ:$AJ,0),1)</f>
        <v>#N/A</v>
      </c>
      <c r="AJ481" s="211" t="e">
        <f>TEXT(INDEX([1]Library!$W:$W,MATCH(AH481,[1]Library!$AJ:$AJ,0),1),"")</f>
        <v>#N/A</v>
      </c>
    </row>
    <row r="482" spans="1:36" ht="25.2" hidden="1" customHeight="1" outlineLevel="1" collapsed="1">
      <c r="A482" s="213"/>
      <c r="B482" s="214"/>
      <c r="C482" s="215" t="s">
        <v>493</v>
      </c>
      <c r="D482" s="215"/>
      <c r="E482" s="216"/>
      <c r="F482" s="217"/>
      <c r="G482" s="379"/>
      <c r="H482" s="219">
        <v>1</v>
      </c>
      <c r="I482" s="218" t="s">
        <v>32</v>
      </c>
      <c r="J482" s="219">
        <v>20596730.434512399</v>
      </c>
      <c r="K482" s="219">
        <v>20596730.434512399</v>
      </c>
      <c r="L482" s="219">
        <v>3407600.87425387</v>
      </c>
      <c r="M482" s="219">
        <v>3407600.87425387</v>
      </c>
      <c r="N482" s="219">
        <v>0</v>
      </c>
      <c r="O482" s="219">
        <v>0</v>
      </c>
      <c r="P482" s="220">
        <v>24004331.308766302</v>
      </c>
      <c r="Q482" s="221">
        <f t="shared" si="123"/>
        <v>1.2912333320790399E-2</v>
      </c>
      <c r="R482" s="222">
        <f t="shared" si="124"/>
        <v>1287.6754843343001</v>
      </c>
      <c r="S482" s="223">
        <f t="shared" si="125"/>
        <v>47067.316291698597</v>
      </c>
      <c r="T482" s="224"/>
      <c r="U482" s="225"/>
      <c r="V482" s="226"/>
      <c r="W482" s="227"/>
      <c r="X482" s="226"/>
      <c r="Y482" s="226"/>
      <c r="Z482" s="226"/>
      <c r="AA482" s="226"/>
      <c r="AB482" s="226"/>
      <c r="AC482" s="226"/>
      <c r="AD482" s="96">
        <f t="shared" si="127"/>
        <v>0</v>
      </c>
      <c r="AE482" s="96">
        <f t="shared" si="128"/>
        <v>0</v>
      </c>
      <c r="AF482" s="96">
        <f t="shared" si="129"/>
        <v>0</v>
      </c>
      <c r="AG482" s="96">
        <f t="shared" si="130"/>
        <v>0</v>
      </c>
      <c r="AH482" s="211" t="str">
        <f t="shared" si="126"/>
        <v>0,;!0,;!0,;!0</v>
      </c>
      <c r="AI482" s="211" t="e">
        <f>INDEX([1]Library!$AL:$AL,MATCH(AH482,[1]Library!$AJ:$AJ,0),1)</f>
        <v>#N/A</v>
      </c>
      <c r="AJ482" s="211" t="e">
        <f>TEXT(INDEX([1]Library!$W:$W,MATCH(AH482,[1]Library!$AJ:$AJ,0),1),"")</f>
        <v>#N/A</v>
      </c>
    </row>
    <row r="483" spans="1:36" ht="25.2" hidden="1" customHeight="1" outlineLevel="2">
      <c r="A483" s="228"/>
      <c r="B483" s="229"/>
      <c r="C483" s="230"/>
      <c r="D483" s="231" t="s">
        <v>406</v>
      </c>
      <c r="E483" s="232"/>
      <c r="F483" s="233"/>
      <c r="G483" s="379"/>
      <c r="H483" s="380">
        <v>1</v>
      </c>
      <c r="I483" s="234" t="s">
        <v>32</v>
      </c>
      <c r="J483" s="235">
        <v>2165117.07142857</v>
      </c>
      <c r="K483" s="236">
        <v>2165117.07142857</v>
      </c>
      <c r="L483" s="235">
        <v>1285794.9041666701</v>
      </c>
      <c r="M483" s="236">
        <v>1285794.9041666701</v>
      </c>
      <c r="N483" s="237">
        <v>0</v>
      </c>
      <c r="O483" s="236">
        <v>0</v>
      </c>
      <c r="P483" s="238">
        <v>3450911.97559524</v>
      </c>
      <c r="Q483" s="239">
        <f t="shared" si="123"/>
        <v>1.8563035610710799E-3</v>
      </c>
      <c r="R483" s="236">
        <f t="shared" si="124"/>
        <v>185.118872607246</v>
      </c>
      <c r="S483" s="240">
        <f t="shared" si="125"/>
        <v>6766.4940697945904</v>
      </c>
      <c r="T483" s="241"/>
      <c r="U483" s="225"/>
      <c r="V483" s="226"/>
      <c r="W483" s="227"/>
      <c r="X483" s="226"/>
      <c r="Y483" s="226"/>
      <c r="Z483" s="226"/>
      <c r="AA483" s="226"/>
      <c r="AB483" s="226"/>
      <c r="AC483" s="226"/>
      <c r="AD483" s="96">
        <f t="shared" si="127"/>
        <v>0</v>
      </c>
      <c r="AE483" s="96">
        <f t="shared" si="128"/>
        <v>0</v>
      </c>
      <c r="AF483" s="96">
        <f t="shared" si="129"/>
        <v>0</v>
      </c>
      <c r="AG483" s="96">
        <f t="shared" si="130"/>
        <v>0</v>
      </c>
      <c r="AH483" s="211" t="str">
        <f t="shared" si="126"/>
        <v>0,;!0,;!0,;!0</v>
      </c>
      <c r="AI483" s="211" t="e">
        <f>INDEX([1]Library!$AL:$AL,MATCH(AH483,[1]Library!$AJ:$AJ,0),1)</f>
        <v>#N/A</v>
      </c>
      <c r="AJ483" s="211" t="e">
        <f>TEXT(INDEX([1]Library!$W:$W,MATCH(AH483,[1]Library!$AJ:$AJ,0),1),"")</f>
        <v>#N/A</v>
      </c>
    </row>
    <row r="484" spans="1:36" ht="25.2" hidden="1" customHeight="1" outlineLevel="2">
      <c r="A484" s="242"/>
      <c r="B484" s="243"/>
      <c r="C484" s="244"/>
      <c r="D484" s="245"/>
      <c r="E484" s="246" t="s">
        <v>291</v>
      </c>
      <c r="F484" s="247"/>
      <c r="G484" s="381"/>
      <c r="H484" s="382">
        <v>34900</v>
      </c>
      <c r="I484" s="248" t="s">
        <v>176</v>
      </c>
      <c r="J484" s="249">
        <v>34.4</v>
      </c>
      <c r="K484" s="250">
        <v>1200560</v>
      </c>
      <c r="L484" s="249">
        <v>28.178571428571399</v>
      </c>
      <c r="M484" s="250">
        <v>983432.14285714296</v>
      </c>
      <c r="N484" s="251">
        <v>0</v>
      </c>
      <c r="O484" s="250">
        <v>0</v>
      </c>
      <c r="P484" s="252">
        <v>2183992.1428571399</v>
      </c>
      <c r="Q484" s="253">
        <f t="shared" si="123"/>
        <v>1.1748060862774401E-3</v>
      </c>
      <c r="R484" s="254">
        <f t="shared" si="124"/>
        <v>117.156904067094</v>
      </c>
      <c r="S484" s="255">
        <f t="shared" si="125"/>
        <v>4282.3375350140004</v>
      </c>
      <c r="T484" s="256"/>
      <c r="U484" s="225"/>
      <c r="V484" s="226"/>
      <c r="W484" s="227"/>
      <c r="X484" s="226"/>
      <c r="Y484" s="226"/>
      <c r="Z484" s="226"/>
      <c r="AA484" s="226"/>
      <c r="AB484" s="226"/>
      <c r="AC484" s="226"/>
      <c r="AD484" s="96">
        <f t="shared" si="127"/>
        <v>0</v>
      </c>
      <c r="AE484" s="96">
        <f t="shared" si="128"/>
        <v>0</v>
      </c>
      <c r="AF484" s="96">
        <f t="shared" si="129"/>
        <v>0</v>
      </c>
      <c r="AG484" s="96">
        <f t="shared" si="130"/>
        <v>0</v>
      </c>
      <c r="AH484" s="211" t="str">
        <f t="shared" si="126"/>
        <v>0,;!0,;!0,;!0</v>
      </c>
      <c r="AI484" s="211" t="e">
        <f>INDEX([1]Library!$AL:$AL,MATCH(AH484,[1]Library!$AJ:$AJ,0),1)</f>
        <v>#N/A</v>
      </c>
      <c r="AJ484" s="211" t="e">
        <f>TEXT(INDEX([1]Library!$W:$W,MATCH(AH484,[1]Library!$AJ:$AJ,0),1),"")</f>
        <v>#N/A</v>
      </c>
    </row>
    <row r="485" spans="1:36" ht="25.2" hidden="1" customHeight="1" outlineLevel="2">
      <c r="A485" s="242"/>
      <c r="B485" s="243"/>
      <c r="C485" s="244"/>
      <c r="D485" s="245"/>
      <c r="E485" s="246" t="s">
        <v>494</v>
      </c>
      <c r="F485" s="247"/>
      <c r="G485" s="381"/>
      <c r="H485" s="382">
        <v>932</v>
      </c>
      <c r="I485" s="248" t="s">
        <v>176</v>
      </c>
      <c r="J485" s="249">
        <v>199.61607142857099</v>
      </c>
      <c r="K485" s="250">
        <v>186042.17857142899</v>
      </c>
      <c r="L485" s="249">
        <v>129.77976190476201</v>
      </c>
      <c r="M485" s="250">
        <v>120954.738095238</v>
      </c>
      <c r="N485" s="251">
        <v>0</v>
      </c>
      <c r="O485" s="250">
        <v>0</v>
      </c>
      <c r="P485" s="252">
        <v>306996.91666666698</v>
      </c>
      <c r="Q485" s="253">
        <f t="shared" si="123"/>
        <v>1.65138802054746E-4</v>
      </c>
      <c r="R485" s="254">
        <f t="shared" si="124"/>
        <v>16.4683780719824</v>
      </c>
      <c r="S485" s="255">
        <f t="shared" si="125"/>
        <v>601.95473856209196</v>
      </c>
      <c r="T485" s="256"/>
      <c r="U485" s="225"/>
      <c r="V485" s="226"/>
      <c r="W485" s="227"/>
      <c r="X485" s="226"/>
      <c r="Y485" s="226"/>
      <c r="Z485" s="226"/>
      <c r="AA485" s="226"/>
      <c r="AB485" s="226"/>
      <c r="AC485" s="226"/>
      <c r="AD485" s="96">
        <f t="shared" si="127"/>
        <v>0</v>
      </c>
      <c r="AE485" s="96">
        <f t="shared" si="128"/>
        <v>0</v>
      </c>
      <c r="AF485" s="96">
        <f t="shared" si="129"/>
        <v>0</v>
      </c>
      <c r="AG485" s="96">
        <f t="shared" si="130"/>
        <v>0</v>
      </c>
      <c r="AH485" s="211" t="str">
        <f t="shared" si="126"/>
        <v>0,;!0,;!0,;!0</v>
      </c>
      <c r="AI485" s="211" t="e">
        <f>INDEX([1]Library!$AL:$AL,MATCH(AH485,[1]Library!$AJ:$AJ,0),1)</f>
        <v>#N/A</v>
      </c>
      <c r="AJ485" s="211" t="e">
        <f>TEXT(INDEX([1]Library!$W:$W,MATCH(AH485,[1]Library!$AJ:$AJ,0),1),"")</f>
        <v>#N/A</v>
      </c>
    </row>
    <row r="486" spans="1:36" ht="25.2" hidden="1" customHeight="1" outlineLevel="2">
      <c r="A486" s="242"/>
      <c r="B486" s="243"/>
      <c r="C486" s="244"/>
      <c r="D486" s="245"/>
      <c r="E486" s="246" t="s">
        <v>415</v>
      </c>
      <c r="F486" s="247"/>
      <c r="G486" s="381"/>
      <c r="H486" s="382">
        <v>2040</v>
      </c>
      <c r="I486" s="248" t="s">
        <v>176</v>
      </c>
      <c r="J486" s="249">
        <v>121</v>
      </c>
      <c r="K486" s="250">
        <v>246840</v>
      </c>
      <c r="L486" s="249">
        <v>20.57</v>
      </c>
      <c r="M486" s="250">
        <v>41962.8</v>
      </c>
      <c r="N486" s="251">
        <v>0</v>
      </c>
      <c r="O486" s="250">
        <v>0</v>
      </c>
      <c r="P486" s="252">
        <v>288802.8</v>
      </c>
      <c r="Q486" s="253">
        <f t="shared" si="123"/>
        <v>1.5535188085892199E-4</v>
      </c>
      <c r="R486" s="254">
        <f t="shared" si="124"/>
        <v>15.4923826281006</v>
      </c>
      <c r="S486" s="255">
        <f t="shared" si="125"/>
        <v>566.28</v>
      </c>
      <c r="T486" s="256"/>
      <c r="U486" s="225"/>
      <c r="V486" s="226"/>
      <c r="W486" s="227"/>
      <c r="X486" s="226"/>
      <c r="Y486" s="226"/>
      <c r="Z486" s="226"/>
      <c r="AA486" s="226"/>
      <c r="AB486" s="226"/>
      <c r="AC486" s="226"/>
      <c r="AD486" s="96">
        <f>IF(X486&lt;&gt;0,IF($X486&gt;=AD$12,#REF!,""),Z486)</f>
        <v>0</v>
      </c>
      <c r="AE486" s="96">
        <f>IF(AA486=" ",IF($X486&gt;=AE$12,#REF!,""),AA486)</f>
        <v>0</v>
      </c>
      <c r="AF486" s="96">
        <f>IF(AB486=" ",IF($X486&gt;=AF$12,#REF!,""),AB486)</f>
        <v>0</v>
      </c>
      <c r="AG486" s="96">
        <f>IF(AC486=" ",IF($X486&gt;=AG$12,#REF!,""),AC486)</f>
        <v>0</v>
      </c>
      <c r="AH486" s="211" t="str">
        <f t="shared" si="126"/>
        <v>0,;!0,;!0,;!0</v>
      </c>
      <c r="AI486" s="211" t="e">
        <f>INDEX([1]Library!$AL:$AL,MATCH(AH486,[1]Library!$AJ:$AJ,0),1)</f>
        <v>#N/A</v>
      </c>
      <c r="AJ486" s="211" t="e">
        <f>TEXT(INDEX([1]Library!$W:$W,MATCH(AH486,[1]Library!$AJ:$AJ,0),1),"")</f>
        <v>#N/A</v>
      </c>
    </row>
    <row r="487" spans="1:36" ht="25.2" hidden="1" customHeight="1" outlineLevel="2">
      <c r="A487" s="242"/>
      <c r="B487" s="243"/>
      <c r="C487" s="244"/>
      <c r="D487" s="245"/>
      <c r="E487" s="246" t="s">
        <v>417</v>
      </c>
      <c r="F487" s="247"/>
      <c r="G487" s="381"/>
      <c r="H487" s="382">
        <v>1632</v>
      </c>
      <c r="I487" s="248" t="s">
        <v>134</v>
      </c>
      <c r="J487" s="249">
        <v>68.75</v>
      </c>
      <c r="K487" s="250">
        <v>112200</v>
      </c>
      <c r="L487" s="249">
        <v>20.625</v>
      </c>
      <c r="M487" s="250">
        <v>33660</v>
      </c>
      <c r="N487" s="251">
        <v>0</v>
      </c>
      <c r="O487" s="250">
        <v>0</v>
      </c>
      <c r="P487" s="252">
        <v>145860</v>
      </c>
      <c r="Q487" s="253">
        <f t="shared" si="123"/>
        <v>7.8460545888344704E-5</v>
      </c>
      <c r="R487" s="254">
        <f t="shared" si="124"/>
        <v>7.8244356707578797</v>
      </c>
      <c r="S487" s="255">
        <f t="shared" si="125"/>
        <v>286</v>
      </c>
      <c r="T487" s="256"/>
      <c r="U487" s="225"/>
      <c r="V487" s="226"/>
      <c r="W487" s="227"/>
      <c r="X487" s="226"/>
      <c r="Y487" s="226"/>
      <c r="Z487" s="226"/>
      <c r="AA487" s="226"/>
      <c r="AB487" s="226"/>
      <c r="AC487" s="226"/>
      <c r="AD487" s="96">
        <f>IF(X487&lt;&gt;0,IF($X487&gt;=AD$12,AD486,""),Z487)</f>
        <v>0</v>
      </c>
      <c r="AE487" s="96">
        <f t="shared" ref="AE487:AG491" si="131">IF(AA487=" ",IF($X487&gt;=AE$12,AE486,""),AA487)</f>
        <v>0</v>
      </c>
      <c r="AF487" s="96">
        <f t="shared" si="131"/>
        <v>0</v>
      </c>
      <c r="AG487" s="96">
        <f t="shared" si="131"/>
        <v>0</v>
      </c>
      <c r="AH487" s="211" t="str">
        <f t="shared" si="126"/>
        <v>0,;!0,;!0,;!0</v>
      </c>
      <c r="AI487" s="211" t="e">
        <f>INDEX([1]Library!$AL:$AL,MATCH(AH487,[1]Library!$AJ:$AJ,0),1)</f>
        <v>#N/A</v>
      </c>
      <c r="AJ487" s="211" t="e">
        <f>TEXT(INDEX([1]Library!$W:$W,MATCH(AH487,[1]Library!$AJ:$AJ,0),1),"")</f>
        <v>#N/A</v>
      </c>
    </row>
    <row r="488" spans="1:36" ht="25.2" hidden="1" customHeight="1" outlineLevel="2">
      <c r="A488" s="242"/>
      <c r="B488" s="243"/>
      <c r="C488" s="244"/>
      <c r="D488" s="245"/>
      <c r="E488" s="246" t="s">
        <v>418</v>
      </c>
      <c r="F488" s="247"/>
      <c r="G488" s="381"/>
      <c r="H488" s="382">
        <v>3324</v>
      </c>
      <c r="I488" s="248" t="s">
        <v>134</v>
      </c>
      <c r="J488" s="249">
        <v>62.919642857142797</v>
      </c>
      <c r="K488" s="250">
        <v>209144.89285714299</v>
      </c>
      <c r="L488" s="249">
        <v>15.729910714285699</v>
      </c>
      <c r="M488" s="250">
        <v>52286.223214285703</v>
      </c>
      <c r="N488" s="251">
        <v>0</v>
      </c>
      <c r="O488" s="250">
        <v>0</v>
      </c>
      <c r="P488" s="252">
        <v>261431.116071428</v>
      </c>
      <c r="Q488" s="253">
        <f t="shared" si="123"/>
        <v>1.4062819195916301E-4</v>
      </c>
      <c r="R488" s="254">
        <f t="shared" si="124"/>
        <v>14.0240706844599</v>
      </c>
      <c r="S488" s="255">
        <f t="shared" si="125"/>
        <v>512.610031512604</v>
      </c>
      <c r="T488" s="256"/>
      <c r="U488" s="225"/>
      <c r="V488" s="226"/>
      <c r="W488" s="227"/>
      <c r="X488" s="226"/>
      <c r="Y488" s="226"/>
      <c r="Z488" s="226"/>
      <c r="AA488" s="226"/>
      <c r="AB488" s="226"/>
      <c r="AC488" s="226"/>
      <c r="AD488" s="96">
        <f>IF(X488&lt;&gt;0,IF($X488&gt;=AD$12,AD487,""),Z488)</f>
        <v>0</v>
      </c>
      <c r="AE488" s="96">
        <f t="shared" si="131"/>
        <v>0</v>
      </c>
      <c r="AF488" s="96">
        <f t="shared" si="131"/>
        <v>0</v>
      </c>
      <c r="AG488" s="96">
        <f t="shared" si="131"/>
        <v>0</v>
      </c>
      <c r="AH488" s="211" t="str">
        <f t="shared" si="126"/>
        <v>0,;!0,;!0,;!0</v>
      </c>
      <c r="AI488" s="211" t="e">
        <f>INDEX([1]Library!$AL:$AL,MATCH(AH488,[1]Library!$AJ:$AJ,0),1)</f>
        <v>#N/A</v>
      </c>
      <c r="AJ488" s="211" t="e">
        <f>TEXT(INDEX([1]Library!$W:$W,MATCH(AH488,[1]Library!$AJ:$AJ,0),1),"")</f>
        <v>#N/A</v>
      </c>
    </row>
    <row r="489" spans="1:36" ht="25.2" hidden="1" customHeight="1" outlineLevel="2">
      <c r="A489" s="242"/>
      <c r="B489" s="243"/>
      <c r="C489" s="244"/>
      <c r="D489" s="245"/>
      <c r="E489" s="246" t="s">
        <v>419</v>
      </c>
      <c r="F489" s="247"/>
      <c r="G489" s="381"/>
      <c r="H489" s="382">
        <v>188</v>
      </c>
      <c r="I489" s="248" t="s">
        <v>354</v>
      </c>
      <c r="J489" s="249">
        <v>97.5</v>
      </c>
      <c r="K489" s="250">
        <v>18330</v>
      </c>
      <c r="L489" s="249">
        <v>29.25</v>
      </c>
      <c r="M489" s="250">
        <v>5499</v>
      </c>
      <c r="N489" s="251">
        <v>0</v>
      </c>
      <c r="O489" s="250">
        <v>0</v>
      </c>
      <c r="P489" s="252">
        <v>23829</v>
      </c>
      <c r="Q489" s="253">
        <f t="shared" si="123"/>
        <v>1.2818019662507599E-5</v>
      </c>
      <c r="R489" s="254">
        <f t="shared" si="124"/>
        <v>1.27827010557034</v>
      </c>
      <c r="S489" s="255">
        <f t="shared" si="125"/>
        <v>46.723529411764702</v>
      </c>
      <c r="T489" s="256"/>
      <c r="U489" s="225"/>
      <c r="V489" s="226"/>
      <c r="W489" s="227"/>
      <c r="X489" s="226"/>
      <c r="Y489" s="226"/>
      <c r="Z489" s="226"/>
      <c r="AA489" s="226"/>
      <c r="AB489" s="226"/>
      <c r="AC489" s="226"/>
      <c r="AD489" s="96">
        <f>IF(X489&lt;&gt;0,IF($X489&gt;=AD$12,AD488,""),Z489)</f>
        <v>0</v>
      </c>
      <c r="AE489" s="96">
        <f t="shared" si="131"/>
        <v>0</v>
      </c>
      <c r="AF489" s="96">
        <f t="shared" si="131"/>
        <v>0</v>
      </c>
      <c r="AG489" s="96">
        <f t="shared" si="131"/>
        <v>0</v>
      </c>
      <c r="AH489" s="211" t="str">
        <f t="shared" si="126"/>
        <v>0,;!0,;!0,;!0</v>
      </c>
      <c r="AI489" s="211" t="e">
        <f>INDEX([1]Library!$AL:$AL,MATCH(AH489,[1]Library!$AJ:$AJ,0),1)</f>
        <v>#N/A</v>
      </c>
      <c r="AJ489" s="211" t="e">
        <f>TEXT(INDEX([1]Library!$W:$W,MATCH(AH489,[1]Library!$AJ:$AJ,0),1),"")</f>
        <v>#N/A</v>
      </c>
    </row>
    <row r="490" spans="1:36" ht="25.2" hidden="1" customHeight="1" outlineLevel="2">
      <c r="A490" s="242"/>
      <c r="B490" s="243"/>
      <c r="C490" s="244"/>
      <c r="D490" s="245"/>
      <c r="E490" s="246" t="s">
        <v>495</v>
      </c>
      <c r="F490" s="247"/>
      <c r="G490" s="381"/>
      <c r="H490" s="382">
        <v>64</v>
      </c>
      <c r="I490" s="248" t="s">
        <v>134</v>
      </c>
      <c r="J490" s="249">
        <v>3000</v>
      </c>
      <c r="K490" s="250">
        <v>192000</v>
      </c>
      <c r="L490" s="249">
        <v>750</v>
      </c>
      <c r="M490" s="250">
        <v>48000</v>
      </c>
      <c r="N490" s="251">
        <v>0</v>
      </c>
      <c r="O490" s="250">
        <v>0</v>
      </c>
      <c r="P490" s="252">
        <v>240000</v>
      </c>
      <c r="Q490" s="253">
        <f t="shared" si="123"/>
        <v>1.29100034369962E-4</v>
      </c>
      <c r="R490" s="254">
        <f t="shared" si="124"/>
        <v>12.8744313792808</v>
      </c>
      <c r="S490" s="255">
        <f t="shared" si="125"/>
        <v>470.58823529411802</v>
      </c>
      <c r="T490" s="256"/>
      <c r="U490" s="225"/>
      <c r="V490" s="226"/>
      <c r="W490" s="227"/>
      <c r="X490" s="226"/>
      <c r="Y490" s="226"/>
      <c r="Z490" s="226"/>
      <c r="AA490" s="226"/>
      <c r="AB490" s="226"/>
      <c r="AC490" s="226"/>
      <c r="AD490" s="96">
        <f>IF(X490&lt;&gt;0,IF($X490&gt;=AD$12,AD489,""),Z490)</f>
        <v>0</v>
      </c>
      <c r="AE490" s="96">
        <f t="shared" si="131"/>
        <v>0</v>
      </c>
      <c r="AF490" s="96">
        <f t="shared" si="131"/>
        <v>0</v>
      </c>
      <c r="AG490" s="96">
        <f t="shared" si="131"/>
        <v>0</v>
      </c>
      <c r="AH490" s="211" t="str">
        <f t="shared" si="126"/>
        <v>0,;!0,;!0,;!0</v>
      </c>
      <c r="AI490" s="211" t="e">
        <f>INDEX([1]Library!$AL:$AL,MATCH(AH490,[1]Library!$AJ:$AJ,0),1)</f>
        <v>#N/A</v>
      </c>
      <c r="AJ490" s="211" t="e">
        <f>TEXT(INDEX([1]Library!$W:$W,MATCH(AH490,[1]Library!$AJ:$AJ,0),1),"")</f>
        <v>#N/A</v>
      </c>
    </row>
    <row r="491" spans="1:36" ht="25.2" hidden="1" customHeight="1" outlineLevel="2">
      <c r="A491" s="228"/>
      <c r="B491" s="229"/>
      <c r="C491" s="230"/>
      <c r="D491" s="231" t="s">
        <v>421</v>
      </c>
      <c r="E491" s="232"/>
      <c r="F491" s="233"/>
      <c r="G491" s="379"/>
      <c r="H491" s="380">
        <v>1</v>
      </c>
      <c r="I491" s="234" t="s">
        <v>32</v>
      </c>
      <c r="J491" s="235">
        <v>3272544</v>
      </c>
      <c r="K491" s="236">
        <v>3272544</v>
      </c>
      <c r="L491" s="235">
        <v>781220</v>
      </c>
      <c r="M491" s="236">
        <v>781220</v>
      </c>
      <c r="N491" s="237">
        <v>0</v>
      </c>
      <c r="O491" s="236">
        <v>0</v>
      </c>
      <c r="P491" s="238">
        <v>4053764</v>
      </c>
      <c r="Q491" s="239">
        <f t="shared" si="123"/>
        <v>2.1805877988654901E-3</v>
      </c>
      <c r="R491" s="236">
        <f t="shared" si="124"/>
        <v>217.45794352416101</v>
      </c>
      <c r="S491" s="240">
        <f t="shared" si="125"/>
        <v>7948.5568627451003</v>
      </c>
      <c r="T491" s="241"/>
      <c r="U491" s="225"/>
      <c r="V491" s="226"/>
      <c r="W491" s="227"/>
      <c r="X491" s="226"/>
      <c r="Y491" s="226"/>
      <c r="Z491" s="226"/>
      <c r="AA491" s="226"/>
      <c r="AB491" s="226"/>
      <c r="AC491" s="226"/>
      <c r="AD491" s="96">
        <f>IF(X491&lt;&gt;0,IF($X491&gt;=AD$12,AD490,""),Z491)</f>
        <v>0</v>
      </c>
      <c r="AE491" s="96">
        <f t="shared" si="131"/>
        <v>0</v>
      </c>
      <c r="AF491" s="96">
        <f t="shared" si="131"/>
        <v>0</v>
      </c>
      <c r="AG491" s="96">
        <f t="shared" si="131"/>
        <v>0</v>
      </c>
      <c r="AH491" s="211" t="str">
        <f t="shared" si="126"/>
        <v>0,;!0,;!0,;!0</v>
      </c>
      <c r="AI491" s="211" t="e">
        <f>INDEX([1]Library!$AL:$AL,MATCH(AH491,[1]Library!$AJ:$AJ,0),1)</f>
        <v>#N/A</v>
      </c>
      <c r="AJ491" s="211" t="e">
        <f>TEXT(INDEX([1]Library!$W:$W,MATCH(AH491,[1]Library!$AJ:$AJ,0),1),"")</f>
        <v>#N/A</v>
      </c>
    </row>
    <row r="492" spans="1:36" ht="25.2" hidden="1" customHeight="1" outlineLevel="2">
      <c r="A492" s="242"/>
      <c r="B492" s="243"/>
      <c r="C492" s="244"/>
      <c r="D492" s="245"/>
      <c r="E492" s="246" t="s">
        <v>496</v>
      </c>
      <c r="F492" s="247"/>
      <c r="G492" s="381"/>
      <c r="H492" s="382">
        <v>10068</v>
      </c>
      <c r="I492" s="248" t="s">
        <v>176</v>
      </c>
      <c r="J492" s="249">
        <v>73.3333333333333</v>
      </c>
      <c r="K492" s="250">
        <v>738320</v>
      </c>
      <c r="L492" s="249">
        <v>14.6666666666667</v>
      </c>
      <c r="M492" s="250">
        <v>147664</v>
      </c>
      <c r="N492" s="251">
        <v>0</v>
      </c>
      <c r="O492" s="250">
        <v>0</v>
      </c>
      <c r="P492" s="252">
        <v>885984</v>
      </c>
      <c r="Q492" s="253">
        <f t="shared" si="123"/>
        <v>4.7658568688015298E-4</v>
      </c>
      <c r="R492" s="254">
        <f t="shared" si="124"/>
        <v>47.527250879752799</v>
      </c>
      <c r="S492" s="255">
        <f t="shared" si="125"/>
        <v>1737.22352941176</v>
      </c>
      <c r="T492" s="256"/>
      <c r="U492" s="225"/>
      <c r="V492" s="226"/>
      <c r="W492" s="227"/>
      <c r="X492" s="226"/>
      <c r="Y492" s="226"/>
      <c r="Z492" s="226"/>
      <c r="AA492" s="226"/>
      <c r="AB492" s="226"/>
      <c r="AC492" s="226"/>
      <c r="AD492" s="96">
        <f>IF(X492&lt;&gt;0,IF($X492&gt;=AD$12,#REF!,""),Z492)</f>
        <v>0</v>
      </c>
      <c r="AE492" s="96">
        <f>IF(AA492=" ",IF($X492&gt;=AE$12,#REF!,""),AA492)</f>
        <v>0</v>
      </c>
      <c r="AF492" s="96">
        <f>IF(AB492=" ",IF($X492&gt;=AF$12,#REF!,""),AB492)</f>
        <v>0</v>
      </c>
      <c r="AG492" s="96">
        <f>IF(AC492=" ",IF($X492&gt;=AG$12,#REF!,""),AC492)</f>
        <v>0</v>
      </c>
      <c r="AH492" s="211" t="str">
        <f t="shared" si="126"/>
        <v>0,;!0,;!0,;!0</v>
      </c>
      <c r="AI492" s="211" t="e">
        <f>INDEX([1]Library!$AL:$AL,MATCH(AH492,[1]Library!$AJ:$AJ,0),1)</f>
        <v>#N/A</v>
      </c>
      <c r="AJ492" s="211" t="e">
        <f>TEXT(INDEX([1]Library!$W:$W,MATCH(AH492,[1]Library!$AJ:$AJ,0),1),"")</f>
        <v>#N/A</v>
      </c>
    </row>
    <row r="493" spans="1:36" ht="25.2" hidden="1" customHeight="1" outlineLevel="2">
      <c r="A493" s="242"/>
      <c r="B493" s="243"/>
      <c r="C493" s="244"/>
      <c r="D493" s="245"/>
      <c r="E493" s="246" t="s">
        <v>497</v>
      </c>
      <c r="F493" s="247"/>
      <c r="G493" s="381"/>
      <c r="H493" s="382">
        <v>32912</v>
      </c>
      <c r="I493" s="248" t="s">
        <v>176</v>
      </c>
      <c r="J493" s="249">
        <v>77</v>
      </c>
      <c r="K493" s="250">
        <v>2534224</v>
      </c>
      <c r="L493" s="249">
        <v>19.25</v>
      </c>
      <c r="M493" s="250">
        <v>633556</v>
      </c>
      <c r="N493" s="251">
        <v>0</v>
      </c>
      <c r="O493" s="250">
        <v>0</v>
      </c>
      <c r="P493" s="252">
        <v>3167780</v>
      </c>
      <c r="Q493" s="253">
        <f t="shared" si="123"/>
        <v>1.7040021119853299E-3</v>
      </c>
      <c r="R493" s="254">
        <f t="shared" si="124"/>
        <v>169.930692644408</v>
      </c>
      <c r="S493" s="255">
        <f t="shared" si="125"/>
        <v>6211.3333333333303</v>
      </c>
      <c r="T493" s="256"/>
      <c r="U493" s="225"/>
      <c r="V493" s="226"/>
      <c r="W493" s="227"/>
      <c r="X493" s="226"/>
      <c r="Y493" s="226"/>
      <c r="Z493" s="226"/>
      <c r="AA493" s="226"/>
      <c r="AB493" s="226"/>
      <c r="AC493" s="226"/>
      <c r="AD493" s="96">
        <f>IF(X493&lt;&gt;0,IF($X493&gt;=AD$12,AD492,""),Z493)</f>
        <v>0</v>
      </c>
      <c r="AE493" s="96">
        <f>IF(AA493=" ",IF($X493&gt;=AE$12,AE492,""),AA493)</f>
        <v>0</v>
      </c>
      <c r="AF493" s="96">
        <f>IF(AB493=" ",IF($X493&gt;=AF$12,AF492,""),AB493)</f>
        <v>0</v>
      </c>
      <c r="AG493" s="96">
        <f>IF(AC493=" ",IF($X493&gt;=AG$12,AG492,""),AC493)</f>
        <v>0</v>
      </c>
      <c r="AH493" s="211" t="str">
        <f t="shared" si="126"/>
        <v>0,;!0,;!0,;!0</v>
      </c>
      <c r="AI493" s="211" t="e">
        <f>INDEX([1]Library!$AL:$AL,MATCH(AH493,[1]Library!$AJ:$AJ,0),1)</f>
        <v>#N/A</v>
      </c>
      <c r="AJ493" s="211" t="e">
        <f>TEXT(INDEX([1]Library!$W:$W,MATCH(AH493,[1]Library!$AJ:$AJ,0),1),"")</f>
        <v>#N/A</v>
      </c>
    </row>
    <row r="494" spans="1:36" ht="25.2" hidden="1" customHeight="1" outlineLevel="2">
      <c r="A494" s="228"/>
      <c r="B494" s="229"/>
      <c r="C494" s="230"/>
      <c r="D494" s="231" t="s">
        <v>473</v>
      </c>
      <c r="E494" s="232"/>
      <c r="F494" s="233"/>
      <c r="G494" s="379"/>
      <c r="H494" s="380">
        <v>1</v>
      </c>
      <c r="I494" s="234" t="s">
        <v>32</v>
      </c>
      <c r="J494" s="235">
        <v>15159069.3630838</v>
      </c>
      <c r="K494" s="236">
        <v>15159069.3630838</v>
      </c>
      <c r="L494" s="235">
        <v>1340585.9700872099</v>
      </c>
      <c r="M494" s="236">
        <v>1340585.9700872099</v>
      </c>
      <c r="N494" s="237">
        <v>0</v>
      </c>
      <c r="O494" s="236">
        <v>0</v>
      </c>
      <c r="P494" s="238">
        <v>16499655.333171001</v>
      </c>
      <c r="Q494" s="239">
        <f t="shared" si="123"/>
        <v>8.8754419608538093E-3</v>
      </c>
      <c r="R494" s="236">
        <f t="shared" si="124"/>
        <v>885.09866820289005</v>
      </c>
      <c r="S494" s="240">
        <f t="shared" si="125"/>
        <v>32352.265359158799</v>
      </c>
      <c r="T494" s="241"/>
      <c r="U494" s="225"/>
      <c r="V494" s="226"/>
      <c r="W494" s="227"/>
      <c r="X494" s="226"/>
      <c r="Y494" s="226"/>
      <c r="Z494" s="226"/>
      <c r="AA494" s="226"/>
      <c r="AB494" s="226"/>
      <c r="AC494" s="226"/>
      <c r="AD494" s="96">
        <f>IF(X494&lt;&gt;0,IF($X494&gt;=AD$12,#REF!,""),Z494)</f>
        <v>0</v>
      </c>
      <c r="AE494" s="96">
        <f>IF(AA494=" ",IF($X494&gt;=AE$12,#REF!,""),AA494)</f>
        <v>0</v>
      </c>
      <c r="AF494" s="96">
        <f>IF(AB494=" ",IF($X494&gt;=AF$12,#REF!,""),AB494)</f>
        <v>0</v>
      </c>
      <c r="AG494" s="96">
        <f>IF(AC494=" ",IF($X494&gt;=AG$12,#REF!,""),AC494)</f>
        <v>0</v>
      </c>
      <c r="AH494" s="211" t="str">
        <f t="shared" si="126"/>
        <v>0,;!0,;!0,;!0</v>
      </c>
      <c r="AI494" s="211" t="e">
        <f>INDEX([1]Library!$AL:$AL,MATCH(AH494,[1]Library!$AJ:$AJ,0),1)</f>
        <v>#N/A</v>
      </c>
      <c r="AJ494" s="211" t="e">
        <f>TEXT(INDEX([1]Library!$W:$W,MATCH(AH494,[1]Library!$AJ:$AJ,0),1),"")</f>
        <v>#N/A</v>
      </c>
    </row>
    <row r="495" spans="1:36" ht="25.2" hidden="1" customHeight="1" outlineLevel="2">
      <c r="A495" s="242"/>
      <c r="B495" s="243"/>
      <c r="C495" s="244"/>
      <c r="D495" s="245"/>
      <c r="E495" s="246" t="s">
        <v>498</v>
      </c>
      <c r="F495" s="247"/>
      <c r="G495" s="381"/>
      <c r="H495" s="382">
        <v>480</v>
      </c>
      <c r="I495" s="248" t="s">
        <v>354</v>
      </c>
      <c r="J495" s="249">
        <v>1571.1104</v>
      </c>
      <c r="K495" s="250">
        <v>754132.99199999997</v>
      </c>
      <c r="L495" s="249">
        <v>147.29159999999999</v>
      </c>
      <c r="M495" s="250">
        <v>70699.967999999993</v>
      </c>
      <c r="N495" s="251">
        <v>0</v>
      </c>
      <c r="O495" s="250">
        <v>0</v>
      </c>
      <c r="P495" s="252">
        <v>824832.96</v>
      </c>
      <c r="Q495" s="253">
        <f t="shared" si="123"/>
        <v>4.43691514522824E-4</v>
      </c>
      <c r="R495" s="254">
        <f t="shared" si="124"/>
        <v>44.246897262037599</v>
      </c>
      <c r="S495" s="255">
        <f t="shared" si="125"/>
        <v>1617.31952941176</v>
      </c>
      <c r="T495" s="256"/>
      <c r="U495" s="225"/>
      <c r="V495" s="226"/>
      <c r="W495" s="227"/>
      <c r="X495" s="226"/>
      <c r="Y495" s="226"/>
      <c r="Z495" s="226"/>
      <c r="AA495" s="226"/>
      <c r="AB495" s="226"/>
      <c r="AC495" s="226"/>
      <c r="AD495" s="96">
        <f t="shared" ref="AD495:AD504" si="132">IF(X495&lt;&gt;0,IF($X495&gt;=AD$12,AD494,""),Z495)</f>
        <v>0</v>
      </c>
      <c r="AE495" s="96">
        <f t="shared" ref="AE495:AE504" si="133">IF(AA495=" ",IF($X495&gt;=AE$12,AE494,""),AA495)</f>
        <v>0</v>
      </c>
      <c r="AF495" s="96">
        <f t="shared" ref="AF495:AF504" si="134">IF(AB495=" ",IF($X495&gt;=AF$12,AF494,""),AB495)</f>
        <v>0</v>
      </c>
      <c r="AG495" s="96">
        <f t="shared" ref="AG495:AG504" si="135">IF(AC495=" ",IF($X495&gt;=AG$12,AG494,""),AC495)</f>
        <v>0</v>
      </c>
      <c r="AH495" s="211" t="str">
        <f t="shared" si="126"/>
        <v>0,;!0,;!0,;!0</v>
      </c>
      <c r="AI495" s="211" t="e">
        <f>INDEX([1]Library!$AL:$AL,MATCH(AH495,[1]Library!$AJ:$AJ,0),1)</f>
        <v>#N/A</v>
      </c>
      <c r="AJ495" s="211" t="e">
        <f>TEXT(INDEX([1]Library!$W:$W,MATCH(AH495,[1]Library!$AJ:$AJ,0),1),"")</f>
        <v>#N/A</v>
      </c>
    </row>
    <row r="496" spans="1:36" ht="25.2" hidden="1" customHeight="1" outlineLevel="2">
      <c r="A496" s="242"/>
      <c r="B496" s="243"/>
      <c r="C496" s="244"/>
      <c r="D496" s="245"/>
      <c r="E496" s="246" t="s">
        <v>499</v>
      </c>
      <c r="F496" s="247"/>
      <c r="G496" s="381"/>
      <c r="H496" s="382">
        <v>2244</v>
      </c>
      <c r="I496" s="248" t="s">
        <v>200</v>
      </c>
      <c r="J496" s="249">
        <v>2977.5562031250001</v>
      </c>
      <c r="K496" s="250">
        <v>6681636.1198124997</v>
      </c>
      <c r="L496" s="249">
        <v>242.96858617500001</v>
      </c>
      <c r="M496" s="250">
        <v>545221.50737670006</v>
      </c>
      <c r="N496" s="251">
        <v>0</v>
      </c>
      <c r="O496" s="250">
        <v>0</v>
      </c>
      <c r="P496" s="252">
        <v>7226857.6271892004</v>
      </c>
      <c r="Q496" s="253">
        <f t="shared" si="123"/>
        <v>3.8874482002373002E-3</v>
      </c>
      <c r="R496" s="254">
        <f t="shared" si="124"/>
        <v>387.67367753782901</v>
      </c>
      <c r="S496" s="255">
        <f t="shared" si="125"/>
        <v>14170.309072919999</v>
      </c>
      <c r="T496" s="256"/>
      <c r="U496" s="225"/>
      <c r="V496" s="226"/>
      <c r="W496" s="227"/>
      <c r="X496" s="226"/>
      <c r="Y496" s="226"/>
      <c r="Z496" s="226"/>
      <c r="AA496" s="226"/>
      <c r="AB496" s="226"/>
      <c r="AC496" s="226"/>
      <c r="AD496" s="96">
        <f t="shared" si="132"/>
        <v>0</v>
      </c>
      <c r="AE496" s="96">
        <f t="shared" si="133"/>
        <v>0</v>
      </c>
      <c r="AF496" s="96">
        <f t="shared" si="134"/>
        <v>0</v>
      </c>
      <c r="AG496" s="96">
        <f t="shared" si="135"/>
        <v>0</v>
      </c>
      <c r="AH496" s="211" t="str">
        <f t="shared" si="126"/>
        <v>0,;!0,;!0,;!0</v>
      </c>
      <c r="AI496" s="211" t="e">
        <f>INDEX([1]Library!$AL:$AL,MATCH(AH496,[1]Library!$AJ:$AJ,0),1)</f>
        <v>#N/A</v>
      </c>
      <c r="AJ496" s="211" t="e">
        <f>TEXT(INDEX([1]Library!$W:$W,MATCH(AH496,[1]Library!$AJ:$AJ,0),1),"")</f>
        <v>#N/A</v>
      </c>
    </row>
    <row r="497" spans="1:36" ht="25.2" hidden="1" customHeight="1" outlineLevel="2">
      <c r="A497" s="242"/>
      <c r="B497" s="243"/>
      <c r="C497" s="244"/>
      <c r="D497" s="245"/>
      <c r="E497" s="246" t="s">
        <v>500</v>
      </c>
      <c r="F497" s="247"/>
      <c r="G497" s="381"/>
      <c r="H497" s="382">
        <v>8</v>
      </c>
      <c r="I497" s="248" t="s">
        <v>200</v>
      </c>
      <c r="J497" s="249">
        <v>2744.1358593750001</v>
      </c>
      <c r="K497" s="250">
        <v>21953.086875000001</v>
      </c>
      <c r="L497" s="249">
        <v>223.921486125</v>
      </c>
      <c r="M497" s="250">
        <v>1791.371889</v>
      </c>
      <c r="N497" s="251">
        <v>0</v>
      </c>
      <c r="O497" s="250">
        <v>0</v>
      </c>
      <c r="P497" s="252">
        <v>23744.458763999999</v>
      </c>
      <c r="Q497" s="253">
        <f t="shared" si="123"/>
        <v>1.27725435105356E-5</v>
      </c>
      <c r="R497" s="254">
        <f t="shared" si="124"/>
        <v>1.27373502081366</v>
      </c>
      <c r="S497" s="255">
        <f t="shared" si="125"/>
        <v>46.557762282352897</v>
      </c>
      <c r="T497" s="256"/>
      <c r="U497" s="225"/>
      <c r="V497" s="226"/>
      <c r="W497" s="227"/>
      <c r="X497" s="226"/>
      <c r="Y497" s="226"/>
      <c r="Z497" s="226"/>
      <c r="AA497" s="226"/>
      <c r="AB497" s="226"/>
      <c r="AC497" s="226"/>
      <c r="AD497" s="96">
        <f t="shared" si="132"/>
        <v>0</v>
      </c>
      <c r="AE497" s="96">
        <f t="shared" si="133"/>
        <v>0</v>
      </c>
      <c r="AF497" s="96">
        <f t="shared" si="134"/>
        <v>0</v>
      </c>
      <c r="AG497" s="96">
        <f t="shared" si="135"/>
        <v>0</v>
      </c>
      <c r="AH497" s="211" t="str">
        <f t="shared" si="126"/>
        <v>0,;!0,;!0,;!0</v>
      </c>
      <c r="AI497" s="211" t="e">
        <f>INDEX([1]Library!$AL:$AL,MATCH(AH497,[1]Library!$AJ:$AJ,0),1)</f>
        <v>#N/A</v>
      </c>
      <c r="AJ497" s="211" t="e">
        <f>TEXT(INDEX([1]Library!$W:$W,MATCH(AH497,[1]Library!$AJ:$AJ,0),1),"")</f>
        <v>#N/A</v>
      </c>
    </row>
    <row r="498" spans="1:36" ht="25.2" hidden="1" customHeight="1" outlineLevel="2">
      <c r="A498" s="242"/>
      <c r="B498" s="243"/>
      <c r="C498" s="244"/>
      <c r="D498" s="245"/>
      <c r="E498" s="246" t="s">
        <v>501</v>
      </c>
      <c r="F498" s="247"/>
      <c r="G498" s="381"/>
      <c r="H498" s="382">
        <v>188</v>
      </c>
      <c r="I498" s="248" t="s">
        <v>354</v>
      </c>
      <c r="J498" s="249">
        <v>2294.6687999999999</v>
      </c>
      <c r="K498" s="250">
        <v>431397.73440000002</v>
      </c>
      <c r="L498" s="249">
        <v>215.12520000000001</v>
      </c>
      <c r="M498" s="250">
        <v>40443.537600000003</v>
      </c>
      <c r="N498" s="251">
        <v>0</v>
      </c>
      <c r="O498" s="250">
        <v>0</v>
      </c>
      <c r="P498" s="252">
        <v>471841.272</v>
      </c>
      <c r="Q498" s="253">
        <f t="shared" si="123"/>
        <v>2.5381135180152801E-4</v>
      </c>
      <c r="R498" s="254">
        <f t="shared" si="124"/>
        <v>25.311200326152299</v>
      </c>
      <c r="S498" s="255">
        <f t="shared" si="125"/>
        <v>925.17896470588198</v>
      </c>
      <c r="T498" s="256"/>
      <c r="U498" s="225"/>
      <c r="V498" s="226"/>
      <c r="W498" s="227"/>
      <c r="X498" s="226"/>
      <c r="Y498" s="226"/>
      <c r="Z498" s="226"/>
      <c r="AA498" s="226"/>
      <c r="AB498" s="226"/>
      <c r="AC498" s="226"/>
      <c r="AD498" s="96">
        <f t="shared" si="132"/>
        <v>0</v>
      </c>
      <c r="AE498" s="96">
        <f t="shared" si="133"/>
        <v>0</v>
      </c>
      <c r="AF498" s="96">
        <f t="shared" si="134"/>
        <v>0</v>
      </c>
      <c r="AG498" s="96">
        <f t="shared" si="135"/>
        <v>0</v>
      </c>
      <c r="AH498" s="211" t="str">
        <f t="shared" si="126"/>
        <v>0,;!0,;!0,;!0</v>
      </c>
      <c r="AI498" s="211" t="e">
        <f>INDEX([1]Library!$AL:$AL,MATCH(AH498,[1]Library!$AJ:$AJ,0),1)</f>
        <v>#N/A</v>
      </c>
      <c r="AJ498" s="211" t="e">
        <f>TEXT(INDEX([1]Library!$W:$W,MATCH(AH498,[1]Library!$AJ:$AJ,0),1),"")</f>
        <v>#N/A</v>
      </c>
    </row>
    <row r="499" spans="1:36" ht="25.2" hidden="1" customHeight="1" outlineLevel="2">
      <c r="A499" s="242"/>
      <c r="B499" s="243"/>
      <c r="C499" s="244"/>
      <c r="D499" s="245"/>
      <c r="E499" s="246" t="s">
        <v>502</v>
      </c>
      <c r="F499" s="247"/>
      <c r="G499" s="381"/>
      <c r="H499" s="382">
        <v>188</v>
      </c>
      <c r="I499" s="248" t="s">
        <v>354</v>
      </c>
      <c r="J499" s="249">
        <v>6995.9679999999998</v>
      </c>
      <c r="K499" s="250">
        <v>1315241.9839999999</v>
      </c>
      <c r="L499" s="249">
        <v>655.87199999999996</v>
      </c>
      <c r="M499" s="250">
        <v>123303.936</v>
      </c>
      <c r="N499" s="251">
        <v>0</v>
      </c>
      <c r="O499" s="250">
        <v>0</v>
      </c>
      <c r="P499" s="252">
        <v>1438545.9199999999</v>
      </c>
      <c r="Q499" s="253">
        <f t="shared" si="123"/>
        <v>7.7381803214487195E-4</v>
      </c>
      <c r="R499" s="254">
        <f t="shared" si="124"/>
        <v>77.168586387434601</v>
      </c>
      <c r="S499" s="255">
        <f t="shared" si="125"/>
        <v>2820.6782745097998</v>
      </c>
      <c r="T499" s="256"/>
      <c r="U499" s="225"/>
      <c r="V499" s="226"/>
      <c r="W499" s="227"/>
      <c r="X499" s="226"/>
      <c r="Y499" s="226"/>
      <c r="Z499" s="226"/>
      <c r="AA499" s="226"/>
      <c r="AB499" s="226"/>
      <c r="AC499" s="226"/>
      <c r="AD499" s="96">
        <f t="shared" si="132"/>
        <v>0</v>
      </c>
      <c r="AE499" s="96">
        <f t="shared" si="133"/>
        <v>0</v>
      </c>
      <c r="AF499" s="96">
        <f t="shared" si="134"/>
        <v>0</v>
      </c>
      <c r="AG499" s="96">
        <f t="shared" si="135"/>
        <v>0</v>
      </c>
      <c r="AH499" s="211" t="str">
        <f t="shared" si="126"/>
        <v>0,;!0,;!0,;!0</v>
      </c>
      <c r="AI499" s="211" t="e">
        <f>INDEX([1]Library!$AL:$AL,MATCH(AH499,[1]Library!$AJ:$AJ,0),1)</f>
        <v>#N/A</v>
      </c>
      <c r="AJ499" s="211" t="e">
        <f>TEXT(INDEX([1]Library!$W:$W,MATCH(AH499,[1]Library!$AJ:$AJ,0),1),"")</f>
        <v>#N/A</v>
      </c>
    </row>
    <row r="500" spans="1:36" ht="25.2" hidden="1" customHeight="1" outlineLevel="2">
      <c r="A500" s="242"/>
      <c r="B500" s="243"/>
      <c r="C500" s="244"/>
      <c r="D500" s="245"/>
      <c r="E500" s="246" t="s">
        <v>503</v>
      </c>
      <c r="F500" s="247"/>
      <c r="G500" s="381"/>
      <c r="H500" s="382">
        <v>64</v>
      </c>
      <c r="I500" s="248" t="s">
        <v>354</v>
      </c>
      <c r="J500" s="249">
        <v>38293.760000000002</v>
      </c>
      <c r="K500" s="250">
        <v>2450800.6400000001</v>
      </c>
      <c r="L500" s="249">
        <v>3590.04</v>
      </c>
      <c r="M500" s="250">
        <v>229762.56</v>
      </c>
      <c r="N500" s="251">
        <v>0</v>
      </c>
      <c r="O500" s="250">
        <v>0</v>
      </c>
      <c r="P500" s="252">
        <v>2680563.2000000002</v>
      </c>
      <c r="Q500" s="253">
        <f t="shared" si="123"/>
        <v>1.4419200052119001E-3</v>
      </c>
      <c r="R500" s="254">
        <f t="shared" si="124"/>
        <v>143.79469573427201</v>
      </c>
      <c r="S500" s="255">
        <f t="shared" si="125"/>
        <v>5256.0062745098003</v>
      </c>
      <c r="T500" s="256"/>
      <c r="U500" s="225"/>
      <c r="V500" s="226"/>
      <c r="W500" s="227"/>
      <c r="X500" s="226"/>
      <c r="Y500" s="226"/>
      <c r="Z500" s="226"/>
      <c r="AA500" s="226"/>
      <c r="AB500" s="226"/>
      <c r="AC500" s="226"/>
      <c r="AD500" s="96">
        <f t="shared" si="132"/>
        <v>0</v>
      </c>
      <c r="AE500" s="96">
        <f t="shared" si="133"/>
        <v>0</v>
      </c>
      <c r="AF500" s="96">
        <f t="shared" si="134"/>
        <v>0</v>
      </c>
      <c r="AG500" s="96">
        <f t="shared" si="135"/>
        <v>0</v>
      </c>
      <c r="AH500" s="211" t="str">
        <f t="shared" si="126"/>
        <v>0,;!0,;!0,;!0</v>
      </c>
      <c r="AI500" s="211" t="e">
        <f>INDEX([1]Library!$AL:$AL,MATCH(AH500,[1]Library!$AJ:$AJ,0),1)</f>
        <v>#N/A</v>
      </c>
      <c r="AJ500" s="211" t="e">
        <f>TEXT(INDEX([1]Library!$W:$W,MATCH(AH500,[1]Library!$AJ:$AJ,0),1),"")</f>
        <v>#N/A</v>
      </c>
    </row>
    <row r="501" spans="1:36" ht="25.2" hidden="1" customHeight="1" outlineLevel="2">
      <c r="A501" s="242"/>
      <c r="B501" s="243"/>
      <c r="C501" s="244"/>
      <c r="D501" s="245"/>
      <c r="E501" s="246" t="s">
        <v>504</v>
      </c>
      <c r="F501" s="247"/>
      <c r="G501" s="381"/>
      <c r="H501" s="382">
        <v>64</v>
      </c>
      <c r="I501" s="248" t="s">
        <v>354</v>
      </c>
      <c r="J501" s="249">
        <v>1793.7919999999999</v>
      </c>
      <c r="K501" s="250">
        <v>114802.68799999999</v>
      </c>
      <c r="L501" s="249">
        <v>168.16800000000001</v>
      </c>
      <c r="M501" s="250">
        <v>10762.752</v>
      </c>
      <c r="N501" s="251">
        <v>0</v>
      </c>
      <c r="O501" s="250">
        <v>0</v>
      </c>
      <c r="P501" s="252">
        <v>125565.44</v>
      </c>
      <c r="Q501" s="253">
        <f t="shared" si="123"/>
        <v>6.7543760915331097E-5</v>
      </c>
      <c r="R501" s="254">
        <f t="shared" si="124"/>
        <v>6.7357651703716401</v>
      </c>
      <c r="S501" s="255">
        <f t="shared" si="125"/>
        <v>246.20674509803899</v>
      </c>
      <c r="T501" s="256"/>
      <c r="U501" s="225"/>
      <c r="V501" s="226"/>
      <c r="W501" s="227"/>
      <c r="X501" s="226"/>
      <c r="Y501" s="226"/>
      <c r="Z501" s="226"/>
      <c r="AA501" s="226"/>
      <c r="AB501" s="226"/>
      <c r="AC501" s="226"/>
      <c r="AD501" s="96">
        <f t="shared" si="132"/>
        <v>0</v>
      </c>
      <c r="AE501" s="96">
        <f t="shared" si="133"/>
        <v>0</v>
      </c>
      <c r="AF501" s="96">
        <f t="shared" si="134"/>
        <v>0</v>
      </c>
      <c r="AG501" s="96">
        <f t="shared" si="135"/>
        <v>0</v>
      </c>
      <c r="AH501" s="211" t="str">
        <f t="shared" si="126"/>
        <v>0,;!0,;!0,;!0</v>
      </c>
      <c r="AI501" s="211" t="e">
        <f>INDEX([1]Library!$AL:$AL,MATCH(AH501,[1]Library!$AJ:$AJ,0),1)</f>
        <v>#N/A</v>
      </c>
      <c r="AJ501" s="211" t="e">
        <f>TEXT(INDEX([1]Library!$W:$W,MATCH(AH501,[1]Library!$AJ:$AJ,0),1),"")</f>
        <v>#N/A</v>
      </c>
    </row>
    <row r="502" spans="1:36" ht="25.2" hidden="1" customHeight="1" outlineLevel="2">
      <c r="A502" s="242"/>
      <c r="B502" s="243"/>
      <c r="C502" s="244"/>
      <c r="D502" s="245"/>
      <c r="E502" s="246" t="s">
        <v>505</v>
      </c>
      <c r="F502" s="247"/>
      <c r="G502" s="381"/>
      <c r="H502" s="382">
        <v>64</v>
      </c>
      <c r="I502" s="248" t="s">
        <v>354</v>
      </c>
      <c r="J502" s="249">
        <v>8.5</v>
      </c>
      <c r="K502" s="250">
        <v>544</v>
      </c>
      <c r="L502" s="249">
        <v>3.4</v>
      </c>
      <c r="M502" s="250">
        <v>217.6</v>
      </c>
      <c r="N502" s="251">
        <v>0</v>
      </c>
      <c r="O502" s="250">
        <v>0</v>
      </c>
      <c r="P502" s="252">
        <v>761.6</v>
      </c>
      <c r="Q502" s="253">
        <f t="shared" si="123"/>
        <v>4.0967744240068098E-7</v>
      </c>
      <c r="R502" s="254">
        <f t="shared" si="124"/>
        <v>4.08548622435842E-2</v>
      </c>
      <c r="S502" s="255">
        <f t="shared" si="125"/>
        <v>1.4933333333333301</v>
      </c>
      <c r="T502" s="256"/>
      <c r="U502" s="225"/>
      <c r="V502" s="226"/>
      <c r="W502" s="227"/>
      <c r="X502" s="226"/>
      <c r="Y502" s="226"/>
      <c r="Z502" s="226"/>
      <c r="AA502" s="226"/>
      <c r="AB502" s="226"/>
      <c r="AC502" s="226"/>
      <c r="AD502" s="96">
        <f t="shared" si="132"/>
        <v>0</v>
      </c>
      <c r="AE502" s="96">
        <f t="shared" si="133"/>
        <v>0</v>
      </c>
      <c r="AF502" s="96">
        <f t="shared" si="134"/>
        <v>0</v>
      </c>
      <c r="AG502" s="96">
        <f t="shared" si="135"/>
        <v>0</v>
      </c>
      <c r="AH502" s="211" t="str">
        <f t="shared" si="126"/>
        <v>0,;!0,;!0,;!0</v>
      </c>
      <c r="AI502" s="211" t="e">
        <f>INDEX([1]Library!$AL:$AL,MATCH(AH502,[1]Library!$AJ:$AJ,0),1)</f>
        <v>#N/A</v>
      </c>
      <c r="AJ502" s="211" t="e">
        <f>TEXT(INDEX([1]Library!$W:$W,MATCH(AH502,[1]Library!$AJ:$AJ,0),1),"")</f>
        <v>#N/A</v>
      </c>
    </row>
    <row r="503" spans="1:36" ht="25.2" hidden="1" customHeight="1" outlineLevel="2">
      <c r="A503" s="242"/>
      <c r="B503" s="243"/>
      <c r="C503" s="244"/>
      <c r="D503" s="245"/>
      <c r="E503" s="246" t="s">
        <v>506</v>
      </c>
      <c r="F503" s="247"/>
      <c r="G503" s="381"/>
      <c r="H503" s="382">
        <v>12</v>
      </c>
      <c r="I503" s="248" t="s">
        <v>354</v>
      </c>
      <c r="J503" s="249">
        <v>23279.46</v>
      </c>
      <c r="K503" s="250">
        <v>279353.52</v>
      </c>
      <c r="L503" s="249">
        <v>1939.9549999999999</v>
      </c>
      <c r="M503" s="250">
        <v>23279.46</v>
      </c>
      <c r="N503" s="251">
        <v>0</v>
      </c>
      <c r="O503" s="250">
        <v>0</v>
      </c>
      <c r="P503" s="252">
        <v>302632.98</v>
      </c>
      <c r="Q503" s="253">
        <f t="shared" si="123"/>
        <v>1.6279136716451699E-4</v>
      </c>
      <c r="R503" s="254">
        <f t="shared" si="124"/>
        <v>16.2342813921552</v>
      </c>
      <c r="S503" s="255">
        <f t="shared" si="125"/>
        <v>593.39800000000002</v>
      </c>
      <c r="T503" s="256"/>
      <c r="U503" s="225"/>
      <c r="V503" s="226"/>
      <c r="W503" s="227"/>
      <c r="X503" s="226"/>
      <c r="Y503" s="226"/>
      <c r="Z503" s="226"/>
      <c r="AA503" s="226"/>
      <c r="AB503" s="226"/>
      <c r="AC503" s="226"/>
      <c r="AD503" s="96">
        <f t="shared" si="132"/>
        <v>0</v>
      </c>
      <c r="AE503" s="96">
        <f t="shared" si="133"/>
        <v>0</v>
      </c>
      <c r="AF503" s="96">
        <f t="shared" si="134"/>
        <v>0</v>
      </c>
      <c r="AG503" s="96">
        <f t="shared" si="135"/>
        <v>0</v>
      </c>
      <c r="AH503" s="211" t="str">
        <f t="shared" si="126"/>
        <v>0,;!0,;!0,;!0</v>
      </c>
      <c r="AI503" s="211" t="e">
        <f>INDEX([1]Library!$AL:$AL,MATCH(AH503,[1]Library!$AJ:$AJ,0),1)</f>
        <v>#N/A</v>
      </c>
      <c r="AJ503" s="211" t="e">
        <f>TEXT(INDEX([1]Library!$W:$W,MATCH(AH503,[1]Library!$AJ:$AJ,0),1),"")</f>
        <v>#N/A</v>
      </c>
    </row>
    <row r="504" spans="1:36" ht="25.2" hidden="1" customHeight="1" outlineLevel="2">
      <c r="A504" s="242"/>
      <c r="B504" s="243"/>
      <c r="C504" s="244"/>
      <c r="D504" s="245"/>
      <c r="E504" s="246" t="s">
        <v>507</v>
      </c>
      <c r="F504" s="247"/>
      <c r="G504" s="381"/>
      <c r="H504" s="382">
        <v>60</v>
      </c>
      <c r="I504" s="248" t="s">
        <v>200</v>
      </c>
      <c r="J504" s="249">
        <v>2901.6785156249998</v>
      </c>
      <c r="K504" s="250">
        <v>174100.7109375</v>
      </c>
      <c r="L504" s="249">
        <v>295.97120859375002</v>
      </c>
      <c r="M504" s="250">
        <v>17758.272515625002</v>
      </c>
      <c r="N504" s="251">
        <v>0</v>
      </c>
      <c r="O504" s="250">
        <v>0</v>
      </c>
      <c r="P504" s="252">
        <v>191858.98345312499</v>
      </c>
      <c r="Q504" s="253">
        <f t="shared" si="123"/>
        <v>1.03204172324935E-4</v>
      </c>
      <c r="R504" s="254">
        <f t="shared" si="124"/>
        <v>10.2919804873576</v>
      </c>
      <c r="S504" s="255">
        <f t="shared" si="125"/>
        <v>376.194085202206</v>
      </c>
      <c r="T504" s="256"/>
      <c r="U504" s="225"/>
      <c r="V504" s="226"/>
      <c r="W504" s="227"/>
      <c r="X504" s="226"/>
      <c r="Y504" s="226"/>
      <c r="Z504" s="226"/>
      <c r="AA504" s="226"/>
      <c r="AB504" s="226"/>
      <c r="AC504" s="226"/>
      <c r="AD504" s="96">
        <f t="shared" si="132"/>
        <v>0</v>
      </c>
      <c r="AE504" s="96">
        <f t="shared" si="133"/>
        <v>0</v>
      </c>
      <c r="AF504" s="96">
        <f t="shared" si="134"/>
        <v>0</v>
      </c>
      <c r="AG504" s="96">
        <f t="shared" si="135"/>
        <v>0</v>
      </c>
      <c r="AH504" s="211" t="str">
        <f t="shared" si="126"/>
        <v>0,;!0,;!0,;!0</v>
      </c>
      <c r="AI504" s="211" t="e">
        <f>INDEX([1]Library!$AL:$AL,MATCH(AH504,[1]Library!$AJ:$AJ,0),1)</f>
        <v>#N/A</v>
      </c>
      <c r="AJ504" s="211" t="e">
        <f>TEXT(INDEX([1]Library!$W:$W,MATCH(AH504,[1]Library!$AJ:$AJ,0),1),"")</f>
        <v>#N/A</v>
      </c>
    </row>
    <row r="505" spans="1:36" ht="25.2" hidden="1" customHeight="1" outlineLevel="2">
      <c r="A505" s="242"/>
      <c r="B505" s="243"/>
      <c r="C505" s="244"/>
      <c r="D505" s="245"/>
      <c r="E505" s="246" t="s">
        <v>508</v>
      </c>
      <c r="F505" s="247"/>
      <c r="G505" s="381"/>
      <c r="H505" s="382">
        <v>64</v>
      </c>
      <c r="I505" s="248" t="s">
        <v>354</v>
      </c>
      <c r="J505" s="249">
        <v>2627.0720000000001</v>
      </c>
      <c r="K505" s="250">
        <v>168132.60800000001</v>
      </c>
      <c r="L505" s="249">
        <v>246.28800000000001</v>
      </c>
      <c r="M505" s="250">
        <v>15762.432000000001</v>
      </c>
      <c r="N505" s="251">
        <v>0</v>
      </c>
      <c r="O505" s="250">
        <v>0</v>
      </c>
      <c r="P505" s="252">
        <v>183895.04000000001</v>
      </c>
      <c r="Q505" s="253">
        <f t="shared" si="123"/>
        <v>9.8920233268606805E-5</v>
      </c>
      <c r="R505" s="254">
        <f t="shared" si="124"/>
        <v>9.8647669727920402</v>
      </c>
      <c r="S505" s="255">
        <f t="shared" si="125"/>
        <v>360.57850980392197</v>
      </c>
      <c r="T505" s="256"/>
      <c r="U505" s="225"/>
      <c r="V505" s="226"/>
      <c r="W505" s="227"/>
      <c r="X505" s="226"/>
      <c r="Y505" s="226"/>
      <c r="Z505" s="226"/>
      <c r="AA505" s="226"/>
      <c r="AB505" s="226"/>
      <c r="AC505" s="226"/>
      <c r="AD505" s="96">
        <f>IF(X505&lt;&gt;0,IF($X505&gt;=AD$12,#REF!,""),Z505)</f>
        <v>0</v>
      </c>
      <c r="AE505" s="96">
        <f>IF(AA505=" ",IF($X505&gt;=AE$12,#REF!,""),AA505)</f>
        <v>0</v>
      </c>
      <c r="AF505" s="96">
        <f>IF(AB505=" ",IF($X505&gt;=AF$12,#REF!,""),AB505)</f>
        <v>0</v>
      </c>
      <c r="AG505" s="96">
        <f>IF(AC505=" ",IF($X505&gt;=AG$12,#REF!,""),AC505)</f>
        <v>0</v>
      </c>
      <c r="AH505" s="211" t="str">
        <f t="shared" si="126"/>
        <v>0,;!0,;!0,;!0</v>
      </c>
      <c r="AI505" s="211" t="e">
        <f>INDEX([1]Library!$AL:$AL,MATCH(AH505,[1]Library!$AJ:$AJ,0),1)</f>
        <v>#N/A</v>
      </c>
      <c r="AJ505" s="211" t="e">
        <f>TEXT(INDEX([1]Library!$W:$W,MATCH(AH505,[1]Library!$AJ:$AJ,0),1),"")</f>
        <v>#N/A</v>
      </c>
    </row>
    <row r="506" spans="1:36" ht="25.2" hidden="1" customHeight="1" outlineLevel="2">
      <c r="A506" s="242"/>
      <c r="B506" s="243"/>
      <c r="C506" s="244"/>
      <c r="D506" s="245"/>
      <c r="E506" s="246" t="s">
        <v>509</v>
      </c>
      <c r="F506" s="247"/>
      <c r="G506" s="381"/>
      <c r="H506" s="382">
        <v>64</v>
      </c>
      <c r="I506" s="248" t="s">
        <v>354</v>
      </c>
      <c r="J506" s="249">
        <v>2627.0720000000001</v>
      </c>
      <c r="K506" s="250">
        <v>168132.60800000001</v>
      </c>
      <c r="L506" s="249">
        <v>246.28800000000001</v>
      </c>
      <c r="M506" s="250">
        <v>15762.432000000001</v>
      </c>
      <c r="N506" s="251">
        <v>0</v>
      </c>
      <c r="O506" s="250">
        <v>0</v>
      </c>
      <c r="P506" s="252">
        <v>183895.04000000001</v>
      </c>
      <c r="Q506" s="253">
        <f t="shared" si="123"/>
        <v>9.8920233268606805E-5</v>
      </c>
      <c r="R506" s="254">
        <f t="shared" si="124"/>
        <v>9.8647669727920402</v>
      </c>
      <c r="S506" s="255">
        <f t="shared" si="125"/>
        <v>360.57850980392197</v>
      </c>
      <c r="T506" s="256"/>
      <c r="U506" s="225"/>
      <c r="V506" s="226"/>
      <c r="W506" s="227"/>
      <c r="X506" s="226"/>
      <c r="Y506" s="226"/>
      <c r="Z506" s="226"/>
      <c r="AA506" s="226"/>
      <c r="AB506" s="226"/>
      <c r="AC506" s="226"/>
      <c r="AD506" s="96">
        <f t="shared" ref="AD506:AD526" si="136">IF(X506&lt;&gt;0,IF($X506&gt;=AD$12,AD505,""),Z506)</f>
        <v>0</v>
      </c>
      <c r="AE506" s="96">
        <f t="shared" ref="AE506:AE526" si="137">IF(AA506=" ",IF($X506&gt;=AE$12,AE505,""),AA506)</f>
        <v>0</v>
      </c>
      <c r="AF506" s="96">
        <f t="shared" ref="AF506:AF526" si="138">IF(AB506=" ",IF($X506&gt;=AF$12,AF505,""),AB506)</f>
        <v>0</v>
      </c>
      <c r="AG506" s="96">
        <f t="shared" ref="AG506:AG526" si="139">IF(AC506=" ",IF($X506&gt;=AG$12,AG505,""),AC506)</f>
        <v>0</v>
      </c>
      <c r="AH506" s="211" t="str">
        <f t="shared" si="126"/>
        <v>0,;!0,;!0,;!0</v>
      </c>
      <c r="AI506" s="211" t="e">
        <f>INDEX([1]Library!$AL:$AL,MATCH(AH506,[1]Library!$AJ:$AJ,0),1)</f>
        <v>#N/A</v>
      </c>
      <c r="AJ506" s="211" t="e">
        <f>TEXT(INDEX([1]Library!$W:$W,MATCH(AH506,[1]Library!$AJ:$AJ,0),1),"")</f>
        <v>#N/A</v>
      </c>
    </row>
    <row r="507" spans="1:36" ht="25.2" hidden="1" customHeight="1" outlineLevel="2">
      <c r="A507" s="242"/>
      <c r="B507" s="243"/>
      <c r="C507" s="244"/>
      <c r="D507" s="245"/>
      <c r="E507" s="246" t="s">
        <v>510</v>
      </c>
      <c r="F507" s="247"/>
      <c r="G507" s="381"/>
      <c r="H507" s="382">
        <v>20</v>
      </c>
      <c r="I507" s="248" t="s">
        <v>354</v>
      </c>
      <c r="J507" s="249">
        <v>3365.5167999999999</v>
      </c>
      <c r="K507" s="250">
        <v>67310.335999999996</v>
      </c>
      <c r="L507" s="249">
        <v>315.5172</v>
      </c>
      <c r="M507" s="250">
        <v>6310.3440000000001</v>
      </c>
      <c r="N507" s="251">
        <v>0</v>
      </c>
      <c r="O507" s="250">
        <v>0</v>
      </c>
      <c r="P507" s="252">
        <v>73620.679999999993</v>
      </c>
      <c r="Q507" s="253">
        <f t="shared" si="123"/>
        <v>3.9601801326416703E-5</v>
      </c>
      <c r="R507" s="254">
        <f t="shared" si="124"/>
        <v>3.9492683031499398</v>
      </c>
      <c r="S507" s="255">
        <f t="shared" si="125"/>
        <v>144.35427450980399</v>
      </c>
      <c r="T507" s="256"/>
      <c r="U507" s="225"/>
      <c r="V507" s="226"/>
      <c r="W507" s="227"/>
      <c r="X507" s="226"/>
      <c r="Y507" s="226"/>
      <c r="Z507" s="226"/>
      <c r="AA507" s="226"/>
      <c r="AB507" s="226"/>
      <c r="AC507" s="226"/>
      <c r="AD507" s="96">
        <f t="shared" si="136"/>
        <v>0</v>
      </c>
      <c r="AE507" s="96">
        <f t="shared" si="137"/>
        <v>0</v>
      </c>
      <c r="AF507" s="96">
        <f t="shared" si="138"/>
        <v>0</v>
      </c>
      <c r="AG507" s="96">
        <f t="shared" si="139"/>
        <v>0</v>
      </c>
      <c r="AH507" s="211" t="str">
        <f t="shared" si="126"/>
        <v>0,;!0,;!0,;!0</v>
      </c>
      <c r="AI507" s="211" t="e">
        <f>INDEX([1]Library!$AL:$AL,MATCH(AH507,[1]Library!$AJ:$AJ,0),1)</f>
        <v>#N/A</v>
      </c>
      <c r="AJ507" s="211" t="e">
        <f>TEXT(INDEX([1]Library!$W:$W,MATCH(AH507,[1]Library!$AJ:$AJ,0),1),"")</f>
        <v>#N/A</v>
      </c>
    </row>
    <row r="508" spans="1:36" ht="25.2" hidden="1" customHeight="1" outlineLevel="2">
      <c r="A508" s="242"/>
      <c r="B508" s="243"/>
      <c r="C508" s="244"/>
      <c r="D508" s="245"/>
      <c r="E508" s="246" t="s">
        <v>511</v>
      </c>
      <c r="F508" s="247"/>
      <c r="G508" s="381"/>
      <c r="H508" s="382">
        <v>36</v>
      </c>
      <c r="I508" s="248" t="s">
        <v>354</v>
      </c>
      <c r="J508" s="249">
        <v>3715.712</v>
      </c>
      <c r="K508" s="250">
        <v>133765.63200000001</v>
      </c>
      <c r="L508" s="249">
        <v>348.34800000000001</v>
      </c>
      <c r="M508" s="250">
        <v>12540.528</v>
      </c>
      <c r="N508" s="251">
        <v>0</v>
      </c>
      <c r="O508" s="250">
        <v>0</v>
      </c>
      <c r="P508" s="252">
        <v>146306.16</v>
      </c>
      <c r="Q508" s="253">
        <f t="shared" si="123"/>
        <v>7.8700542852238396E-5</v>
      </c>
      <c r="R508" s="254">
        <f t="shared" si="124"/>
        <v>7.8483692386919603</v>
      </c>
      <c r="S508" s="255">
        <f t="shared" si="125"/>
        <v>286.87482352941203</v>
      </c>
      <c r="T508" s="256"/>
      <c r="U508" s="225"/>
      <c r="V508" s="226"/>
      <c r="W508" s="227"/>
      <c r="X508" s="226"/>
      <c r="Y508" s="226"/>
      <c r="Z508" s="226"/>
      <c r="AA508" s="226"/>
      <c r="AB508" s="226"/>
      <c r="AC508" s="226"/>
      <c r="AD508" s="96">
        <f t="shared" si="136"/>
        <v>0</v>
      </c>
      <c r="AE508" s="96">
        <f t="shared" si="137"/>
        <v>0</v>
      </c>
      <c r="AF508" s="96">
        <f t="shared" si="138"/>
        <v>0</v>
      </c>
      <c r="AG508" s="96">
        <f t="shared" si="139"/>
        <v>0</v>
      </c>
      <c r="AH508" s="211" t="str">
        <f t="shared" si="126"/>
        <v>0,;!0,;!0,;!0</v>
      </c>
      <c r="AI508" s="211" t="e">
        <f>INDEX([1]Library!$AL:$AL,MATCH(AH508,[1]Library!$AJ:$AJ,0),1)</f>
        <v>#N/A</v>
      </c>
      <c r="AJ508" s="211" t="e">
        <f>TEXT(INDEX([1]Library!$W:$W,MATCH(AH508,[1]Library!$AJ:$AJ,0),1),"")</f>
        <v>#N/A</v>
      </c>
    </row>
    <row r="509" spans="1:36" ht="25.2" hidden="1" customHeight="1" outlineLevel="2">
      <c r="A509" s="242"/>
      <c r="B509" s="243"/>
      <c r="C509" s="244"/>
      <c r="D509" s="245"/>
      <c r="E509" s="246" t="s">
        <v>491</v>
      </c>
      <c r="F509" s="247"/>
      <c r="G509" s="381"/>
      <c r="H509" s="382">
        <v>4</v>
      </c>
      <c r="I509" s="248" t="s">
        <v>354</v>
      </c>
      <c r="J509" s="249">
        <v>23529.411764705899</v>
      </c>
      <c r="K509" s="250">
        <v>94117.647058823495</v>
      </c>
      <c r="L509" s="249">
        <v>2352.9411764705901</v>
      </c>
      <c r="M509" s="250">
        <v>9411.7647058823495</v>
      </c>
      <c r="N509" s="251">
        <v>0</v>
      </c>
      <c r="O509" s="250">
        <v>0</v>
      </c>
      <c r="P509" s="252">
        <v>103529.411764706</v>
      </c>
      <c r="Q509" s="253">
        <f t="shared" si="123"/>
        <v>5.5690210904689699E-5</v>
      </c>
      <c r="R509" s="254">
        <f t="shared" si="124"/>
        <v>5.5536762812583698</v>
      </c>
      <c r="S509" s="255">
        <f t="shared" si="125"/>
        <v>202.998846597463</v>
      </c>
      <c r="T509" s="256"/>
      <c r="U509" s="225"/>
      <c r="V509" s="226"/>
      <c r="W509" s="227"/>
      <c r="X509" s="226"/>
      <c r="Y509" s="226"/>
      <c r="Z509" s="226"/>
      <c r="AA509" s="226"/>
      <c r="AB509" s="226"/>
      <c r="AC509" s="226"/>
      <c r="AD509" s="96">
        <f t="shared" si="136"/>
        <v>0</v>
      </c>
      <c r="AE509" s="96">
        <f t="shared" si="137"/>
        <v>0</v>
      </c>
      <c r="AF509" s="96">
        <f t="shared" si="138"/>
        <v>0</v>
      </c>
      <c r="AG509" s="96">
        <f t="shared" si="139"/>
        <v>0</v>
      </c>
      <c r="AH509" s="211" t="str">
        <f t="shared" si="126"/>
        <v>0,;!0,;!0,;!0</v>
      </c>
      <c r="AI509" s="211" t="e">
        <f>INDEX([1]Library!$AL:$AL,MATCH(AH509,[1]Library!$AJ:$AJ,0),1)</f>
        <v>#N/A</v>
      </c>
      <c r="AJ509" s="211" t="e">
        <f>TEXT(INDEX([1]Library!$W:$W,MATCH(AH509,[1]Library!$AJ:$AJ,0),1),"")</f>
        <v>#N/A</v>
      </c>
    </row>
    <row r="510" spans="1:36" ht="25.2" hidden="1" customHeight="1" outlineLevel="2">
      <c r="A510" s="242"/>
      <c r="B510" s="243"/>
      <c r="C510" s="244"/>
      <c r="D510" s="245"/>
      <c r="E510" s="246" t="s">
        <v>512</v>
      </c>
      <c r="F510" s="247"/>
      <c r="G510" s="381"/>
      <c r="H510" s="382">
        <v>4</v>
      </c>
      <c r="I510" s="248" t="s">
        <v>354</v>
      </c>
      <c r="J510" s="249">
        <v>63623.7</v>
      </c>
      <c r="K510" s="250">
        <v>254494.8</v>
      </c>
      <c r="L510" s="249">
        <v>6362.37</v>
      </c>
      <c r="M510" s="250">
        <v>25449.48</v>
      </c>
      <c r="N510" s="251">
        <v>0</v>
      </c>
      <c r="O510" s="250">
        <v>0</v>
      </c>
      <c r="P510" s="252">
        <v>279944.28000000003</v>
      </c>
      <c r="Q510" s="253">
        <f t="shared" si="123"/>
        <v>1.5058673404031001E-4</v>
      </c>
      <c r="R510" s="254">
        <f t="shared" si="124"/>
        <v>15.0171809286757</v>
      </c>
      <c r="S510" s="255">
        <f t="shared" si="125"/>
        <v>548.91035294117603</v>
      </c>
      <c r="T510" s="256"/>
      <c r="U510" s="225"/>
      <c r="V510" s="226"/>
      <c r="W510" s="227"/>
      <c r="X510" s="226"/>
      <c r="Y510" s="226"/>
      <c r="Z510" s="226"/>
      <c r="AA510" s="226"/>
      <c r="AB510" s="226"/>
      <c r="AC510" s="226"/>
      <c r="AD510" s="96">
        <f t="shared" si="136"/>
        <v>0</v>
      </c>
      <c r="AE510" s="96">
        <f t="shared" si="137"/>
        <v>0</v>
      </c>
      <c r="AF510" s="96">
        <f t="shared" si="138"/>
        <v>0</v>
      </c>
      <c r="AG510" s="96">
        <f t="shared" si="139"/>
        <v>0</v>
      </c>
      <c r="AH510" s="211" t="str">
        <f t="shared" si="126"/>
        <v>0,;!0,;!0,;!0</v>
      </c>
      <c r="AI510" s="211" t="e">
        <f>INDEX([1]Library!$AL:$AL,MATCH(AH510,[1]Library!$AJ:$AJ,0),1)</f>
        <v>#N/A</v>
      </c>
      <c r="AJ510" s="211" t="e">
        <f>TEXT(INDEX([1]Library!$W:$W,MATCH(AH510,[1]Library!$AJ:$AJ,0),1),"")</f>
        <v>#N/A</v>
      </c>
    </row>
    <row r="511" spans="1:36" ht="25.2" hidden="1" customHeight="1" outlineLevel="2">
      <c r="A511" s="242"/>
      <c r="B511" s="243"/>
      <c r="C511" s="244"/>
      <c r="D511" s="245"/>
      <c r="E511" s="246" t="s">
        <v>513</v>
      </c>
      <c r="F511" s="247"/>
      <c r="G511" s="381"/>
      <c r="H511" s="382">
        <v>4</v>
      </c>
      <c r="I511" s="248" t="s">
        <v>354</v>
      </c>
      <c r="J511" s="249">
        <v>512288.06400000001</v>
      </c>
      <c r="K511" s="250">
        <v>2049152.2560000001</v>
      </c>
      <c r="L511" s="249">
        <v>48027.006000000001</v>
      </c>
      <c r="M511" s="250">
        <v>192108.024</v>
      </c>
      <c r="N511" s="251">
        <v>0</v>
      </c>
      <c r="O511" s="250">
        <v>0</v>
      </c>
      <c r="P511" s="252">
        <v>2241260.2799999998</v>
      </c>
      <c r="Q511" s="253">
        <f t="shared" si="123"/>
        <v>1.2056115799168E-3</v>
      </c>
      <c r="R511" s="254">
        <f t="shared" si="124"/>
        <v>120.228965324865</v>
      </c>
      <c r="S511" s="255">
        <f t="shared" si="125"/>
        <v>4394.6279999999997</v>
      </c>
      <c r="T511" s="256"/>
      <c r="U511" s="225"/>
      <c r="V511" s="226"/>
      <c r="W511" s="227"/>
      <c r="X511" s="226"/>
      <c r="Y511" s="226"/>
      <c r="Z511" s="226"/>
      <c r="AA511" s="226"/>
      <c r="AB511" s="226"/>
      <c r="AC511" s="226"/>
      <c r="AD511" s="96">
        <f t="shared" si="136"/>
        <v>0</v>
      </c>
      <c r="AE511" s="96">
        <f t="shared" si="137"/>
        <v>0</v>
      </c>
      <c r="AF511" s="96">
        <f t="shared" si="138"/>
        <v>0</v>
      </c>
      <c r="AG511" s="96">
        <f t="shared" si="139"/>
        <v>0</v>
      </c>
      <c r="AH511" s="211" t="str">
        <f t="shared" si="126"/>
        <v>0,;!0,;!0,;!0</v>
      </c>
      <c r="AI511" s="211" t="e">
        <f>INDEX([1]Library!$AL:$AL,MATCH(AH511,[1]Library!$AJ:$AJ,0),1)</f>
        <v>#N/A</v>
      </c>
      <c r="AJ511" s="211" t="e">
        <f>TEXT(INDEX([1]Library!$W:$W,MATCH(AH511,[1]Library!$AJ:$AJ,0),1),"")</f>
        <v>#N/A</v>
      </c>
    </row>
    <row r="512" spans="1:36" ht="25.2" hidden="1" customHeight="1" outlineLevel="1">
      <c r="A512" s="213"/>
      <c r="B512" s="214"/>
      <c r="C512" s="215" t="s">
        <v>326</v>
      </c>
      <c r="D512" s="215"/>
      <c r="E512" s="216"/>
      <c r="F512" s="217"/>
      <c r="G512" s="379"/>
      <c r="H512" s="219">
        <v>1</v>
      </c>
      <c r="I512" s="218" t="s">
        <v>32</v>
      </c>
      <c r="J512" s="219">
        <v>561731.00981730002</v>
      </c>
      <c r="K512" s="219">
        <v>561731.00981730002</v>
      </c>
      <c r="L512" s="219">
        <v>56173.10098173</v>
      </c>
      <c r="M512" s="219">
        <v>56173.10098173</v>
      </c>
      <c r="N512" s="219">
        <v>0</v>
      </c>
      <c r="O512" s="219">
        <v>0</v>
      </c>
      <c r="P512" s="220">
        <v>617904.11079903005</v>
      </c>
      <c r="Q512" s="221">
        <f t="shared" si="123"/>
        <v>3.3238100808956599E-4</v>
      </c>
      <c r="R512" s="222">
        <f t="shared" si="124"/>
        <v>33.146516972740002</v>
      </c>
      <c r="S512" s="223">
        <f t="shared" si="125"/>
        <v>1211.5766878412401</v>
      </c>
      <c r="T512" s="224"/>
      <c r="U512" s="225"/>
      <c r="V512" s="226"/>
      <c r="W512" s="227"/>
      <c r="X512" s="226"/>
      <c r="Y512" s="226"/>
      <c r="Z512" s="226"/>
      <c r="AA512" s="226"/>
      <c r="AB512" s="226"/>
      <c r="AC512" s="226"/>
      <c r="AD512" s="96">
        <f t="shared" si="136"/>
        <v>0</v>
      </c>
      <c r="AE512" s="96">
        <f t="shared" si="137"/>
        <v>0</v>
      </c>
      <c r="AF512" s="96">
        <f t="shared" si="138"/>
        <v>0</v>
      </c>
      <c r="AG512" s="96">
        <f t="shared" si="139"/>
        <v>0</v>
      </c>
      <c r="AH512" s="211" t="str">
        <f t="shared" si="126"/>
        <v>0,;!0,;!0,;!0</v>
      </c>
      <c r="AI512" s="211" t="e">
        <f>INDEX([1]Library!$AL:$AL,MATCH(AH512,[1]Library!$AJ:$AJ,0),1)</f>
        <v>#N/A</v>
      </c>
      <c r="AJ512" s="211" t="e">
        <f>TEXT(INDEX([1]Library!$W:$W,MATCH(AH512,[1]Library!$AJ:$AJ,0),1),"")</f>
        <v>#N/A</v>
      </c>
    </row>
    <row r="513" spans="1:36" ht="25.2" hidden="1" customHeight="1" outlineLevel="1">
      <c r="A513" s="213"/>
      <c r="B513" s="214"/>
      <c r="C513" s="215" t="s">
        <v>327</v>
      </c>
      <c r="D513" s="215"/>
      <c r="E513" s="216"/>
      <c r="F513" s="217"/>
      <c r="G513" s="379"/>
      <c r="H513" s="219">
        <v>1</v>
      </c>
      <c r="I513" s="218" t="s">
        <v>32</v>
      </c>
      <c r="J513" s="219">
        <v>702163.76227162499</v>
      </c>
      <c r="K513" s="219">
        <v>702163.76227162499</v>
      </c>
      <c r="L513" s="219">
        <v>70216.376227162502</v>
      </c>
      <c r="M513" s="219">
        <v>70216.376227162502</v>
      </c>
      <c r="N513" s="219">
        <v>0</v>
      </c>
      <c r="O513" s="219">
        <v>0</v>
      </c>
      <c r="P513" s="220">
        <v>772380.13849878695</v>
      </c>
      <c r="Q513" s="221">
        <f t="shared" si="123"/>
        <v>4.15476260111957E-4</v>
      </c>
      <c r="R513" s="222">
        <f t="shared" si="124"/>
        <v>41.433146215924999</v>
      </c>
      <c r="S513" s="223">
        <f t="shared" si="125"/>
        <v>1514.47085980154</v>
      </c>
      <c r="T513" s="224"/>
      <c r="U513" s="225"/>
      <c r="V513" s="226"/>
      <c r="W513" s="227"/>
      <c r="X513" s="226"/>
      <c r="Y513" s="226"/>
      <c r="Z513" s="226"/>
      <c r="AA513" s="226"/>
      <c r="AB513" s="226"/>
      <c r="AC513" s="226"/>
      <c r="AD513" s="96">
        <f t="shared" si="136"/>
        <v>0</v>
      </c>
      <c r="AE513" s="96">
        <f t="shared" si="137"/>
        <v>0</v>
      </c>
      <c r="AF513" s="96">
        <f t="shared" si="138"/>
        <v>0</v>
      </c>
      <c r="AG513" s="96">
        <f t="shared" si="139"/>
        <v>0</v>
      </c>
      <c r="AH513" s="211" t="str">
        <f t="shared" si="126"/>
        <v>0,;!0,;!0,;!0</v>
      </c>
      <c r="AI513" s="211" t="e">
        <f>INDEX([1]Library!$AL:$AL,MATCH(AH513,[1]Library!$AJ:$AJ,0),1)</f>
        <v>#N/A</v>
      </c>
      <c r="AJ513" s="211" t="e">
        <f>TEXT(INDEX([1]Library!$W:$W,MATCH(AH513,[1]Library!$AJ:$AJ,0),1),"")</f>
        <v>#N/A</v>
      </c>
    </row>
    <row r="514" spans="1:36" ht="25.2" hidden="1" customHeight="1" outlineLevel="1">
      <c r="A514" s="213"/>
      <c r="B514" s="214"/>
      <c r="C514" s="215" t="s">
        <v>328</v>
      </c>
      <c r="D514" s="215"/>
      <c r="E514" s="216"/>
      <c r="F514" s="217"/>
      <c r="G514" s="379"/>
      <c r="H514" s="219">
        <v>1</v>
      </c>
      <c r="I514" s="218" t="s">
        <v>32</v>
      </c>
      <c r="J514" s="219">
        <v>252778.95441778499</v>
      </c>
      <c r="K514" s="219">
        <v>252778.95441778499</v>
      </c>
      <c r="L514" s="219">
        <v>25277.895441778499</v>
      </c>
      <c r="M514" s="219">
        <v>25277.895441778499</v>
      </c>
      <c r="N514" s="219">
        <v>0</v>
      </c>
      <c r="O514" s="219">
        <v>0</v>
      </c>
      <c r="P514" s="220">
        <v>278056.84985956299</v>
      </c>
      <c r="Q514" s="221">
        <f t="shared" si="123"/>
        <v>1.4957145364030499E-4</v>
      </c>
      <c r="R514" s="222">
        <f t="shared" si="124"/>
        <v>14.915932637733</v>
      </c>
      <c r="S514" s="223">
        <f t="shared" si="125"/>
        <v>545.20950952855503</v>
      </c>
      <c r="T514" s="224"/>
      <c r="U514" s="225"/>
      <c r="V514" s="226"/>
      <c r="W514" s="227"/>
      <c r="X514" s="226"/>
      <c r="Y514" s="226"/>
      <c r="Z514" s="226"/>
      <c r="AA514" s="226"/>
      <c r="AB514" s="226"/>
      <c r="AC514" s="226"/>
      <c r="AD514" s="96">
        <f t="shared" si="136"/>
        <v>0</v>
      </c>
      <c r="AE514" s="96">
        <f t="shared" si="137"/>
        <v>0</v>
      </c>
      <c r="AF514" s="96">
        <f t="shared" si="138"/>
        <v>0</v>
      </c>
      <c r="AG514" s="96">
        <f t="shared" si="139"/>
        <v>0</v>
      </c>
      <c r="AH514" s="211" t="str">
        <f t="shared" si="126"/>
        <v>0,;!0,;!0,;!0</v>
      </c>
      <c r="AI514" s="211" t="e">
        <f>INDEX([1]Library!$AL:$AL,MATCH(AH514,[1]Library!$AJ:$AJ,0),1)</f>
        <v>#N/A</v>
      </c>
      <c r="AJ514" s="211" t="e">
        <f>TEXT(INDEX([1]Library!$W:$W,MATCH(AH514,[1]Library!$AJ:$AJ,0),1),"")</f>
        <v>#N/A</v>
      </c>
    </row>
    <row r="515" spans="1:36" ht="25.2" hidden="1" customHeight="1" outlineLevel="1">
      <c r="A515" s="213"/>
      <c r="B515" s="214"/>
      <c r="C515" s="215" t="s">
        <v>329</v>
      </c>
      <c r="D515" s="215"/>
      <c r="E515" s="216"/>
      <c r="F515" s="217"/>
      <c r="G515" s="379"/>
      <c r="H515" s="219">
        <v>1</v>
      </c>
      <c r="I515" s="218" t="s">
        <v>32</v>
      </c>
      <c r="J515" s="219">
        <v>224692.40392692</v>
      </c>
      <c r="K515" s="219">
        <v>224692.40392692</v>
      </c>
      <c r="L515" s="219">
        <v>22469.240392692001</v>
      </c>
      <c r="M515" s="219">
        <v>22469.240392692001</v>
      </c>
      <c r="N515" s="219">
        <v>0</v>
      </c>
      <c r="O515" s="219">
        <v>0</v>
      </c>
      <c r="P515" s="220">
        <v>247161.64431961201</v>
      </c>
      <c r="Q515" s="221">
        <f t="shared" si="123"/>
        <v>1.3295240323582601E-4</v>
      </c>
      <c r="R515" s="222">
        <f t="shared" si="124"/>
        <v>13.258606789096</v>
      </c>
      <c r="S515" s="223">
        <f t="shared" si="125"/>
        <v>484.63067513649401</v>
      </c>
      <c r="T515" s="224"/>
      <c r="U515" s="225"/>
      <c r="V515" s="226"/>
      <c r="W515" s="227"/>
      <c r="X515" s="226"/>
      <c r="Y515" s="226"/>
      <c r="Z515" s="226"/>
      <c r="AA515" s="226"/>
      <c r="AB515" s="226"/>
      <c r="AC515" s="226"/>
      <c r="AD515" s="96">
        <f t="shared" si="136"/>
        <v>0</v>
      </c>
      <c r="AE515" s="96">
        <f t="shared" si="137"/>
        <v>0</v>
      </c>
      <c r="AF515" s="96">
        <f t="shared" si="138"/>
        <v>0</v>
      </c>
      <c r="AG515" s="96">
        <f t="shared" si="139"/>
        <v>0</v>
      </c>
      <c r="AH515" s="211" t="str">
        <f t="shared" si="126"/>
        <v>0,;!0,;!0,;!0</v>
      </c>
      <c r="AI515" s="211" t="e">
        <f>INDEX([1]Library!$AL:$AL,MATCH(AH515,[1]Library!$AJ:$AJ,0),1)</f>
        <v>#N/A</v>
      </c>
      <c r="AJ515" s="211" t="e">
        <f>TEXT(INDEX([1]Library!$W:$W,MATCH(AH515,[1]Library!$AJ:$AJ,0),1),"")</f>
        <v>#N/A</v>
      </c>
    </row>
    <row r="516" spans="1:36" ht="25.2" hidden="1" customHeight="1" outlineLevel="1">
      <c r="A516" s="213"/>
      <c r="B516" s="214"/>
      <c r="C516" s="215" t="s">
        <v>330</v>
      </c>
      <c r="D516" s="215"/>
      <c r="E516" s="216"/>
      <c r="F516" s="217"/>
      <c r="G516" s="379"/>
      <c r="H516" s="219">
        <v>1</v>
      </c>
      <c r="I516" s="218" t="s">
        <v>32</v>
      </c>
      <c r="J516" s="219">
        <v>0</v>
      </c>
      <c r="K516" s="219">
        <v>0</v>
      </c>
      <c r="L516" s="219">
        <v>0</v>
      </c>
      <c r="M516" s="219">
        <v>0</v>
      </c>
      <c r="N516" s="219">
        <v>1157732.31087797</v>
      </c>
      <c r="O516" s="219">
        <v>1157732.31087797</v>
      </c>
      <c r="P516" s="220">
        <v>1157732.31087797</v>
      </c>
      <c r="Q516" s="221">
        <f t="shared" si="123"/>
        <v>6.2276367135650601E-4</v>
      </c>
      <c r="R516" s="222">
        <f t="shared" si="124"/>
        <v>62.104771633227301</v>
      </c>
      <c r="S516" s="223">
        <f t="shared" si="125"/>
        <v>2270.06335466269</v>
      </c>
      <c r="T516" s="224"/>
      <c r="U516" s="225"/>
      <c r="V516" s="226"/>
      <c r="W516" s="227"/>
      <c r="X516" s="226"/>
      <c r="Y516" s="226"/>
      <c r="Z516" s="226"/>
      <c r="AA516" s="226"/>
      <c r="AB516" s="226"/>
      <c r="AC516" s="226"/>
      <c r="AD516" s="96">
        <f t="shared" si="136"/>
        <v>0</v>
      </c>
      <c r="AE516" s="96">
        <f t="shared" si="137"/>
        <v>0</v>
      </c>
      <c r="AF516" s="96">
        <f t="shared" si="138"/>
        <v>0</v>
      </c>
      <c r="AG516" s="96">
        <f t="shared" si="139"/>
        <v>0</v>
      </c>
      <c r="AH516" s="211" t="str">
        <f t="shared" si="126"/>
        <v>0,;!0,;!0,;!0</v>
      </c>
      <c r="AI516" s="211" t="e">
        <f>INDEX([1]Library!$AL:$AL,MATCH(AH516,[1]Library!$AJ:$AJ,0),1)</f>
        <v>#N/A</v>
      </c>
      <c r="AJ516" s="211" t="e">
        <f>TEXT(INDEX([1]Library!$W:$W,MATCH(AH516,[1]Library!$AJ:$AJ,0),1),"")</f>
        <v>#N/A</v>
      </c>
    </row>
    <row r="517" spans="1:36" ht="25.2" customHeight="1" collapsed="1">
      <c r="A517" s="198" t="s">
        <v>514</v>
      </c>
      <c r="B517" s="199" t="s">
        <v>515</v>
      </c>
      <c r="C517" s="200"/>
      <c r="D517" s="200"/>
      <c r="E517" s="201"/>
      <c r="F517" s="202"/>
      <c r="G517" s="379"/>
      <c r="H517" s="378">
        <v>1</v>
      </c>
      <c r="I517" s="203" t="s">
        <v>32</v>
      </c>
      <c r="J517" s="204">
        <v>81135169.027134895</v>
      </c>
      <c r="K517" s="205">
        <v>81135169.027134895</v>
      </c>
      <c r="L517" s="204">
        <v>27363772.336673301</v>
      </c>
      <c r="M517" s="205">
        <v>27363772.336673301</v>
      </c>
      <c r="N517" s="204">
        <v>10142857.142857101</v>
      </c>
      <c r="O517" s="205">
        <v>10142857.142857101</v>
      </c>
      <c r="P517" s="206">
        <v>118641798.50666501</v>
      </c>
      <c r="Q517" s="207">
        <f t="shared" si="123"/>
        <v>6.3819417770519402E-2</v>
      </c>
      <c r="R517" s="205">
        <f t="shared" si="124"/>
        <v>6364.3570566188</v>
      </c>
      <c r="S517" s="208">
        <f t="shared" si="125"/>
        <v>232630.97746404901</v>
      </c>
      <c r="T517" s="209"/>
      <c r="U517" s="225"/>
      <c r="V517" s="226"/>
      <c r="W517" s="227"/>
      <c r="X517" s="226"/>
      <c r="Y517" s="226"/>
      <c r="Z517" s="226"/>
      <c r="AA517" s="226"/>
      <c r="AB517" s="226"/>
      <c r="AC517" s="226"/>
      <c r="AD517" s="96">
        <f t="shared" si="136"/>
        <v>0</v>
      </c>
      <c r="AE517" s="96">
        <f t="shared" si="137"/>
        <v>0</v>
      </c>
      <c r="AF517" s="96">
        <f t="shared" si="138"/>
        <v>0</v>
      </c>
      <c r="AG517" s="96">
        <f t="shared" si="139"/>
        <v>0</v>
      </c>
      <c r="AH517" s="211" t="str">
        <f t="shared" si="126"/>
        <v>0,;!0,;!0,;!0</v>
      </c>
      <c r="AI517" s="211" t="e">
        <f>INDEX([1]Library!$AL:$AL,MATCH(AH517,[1]Library!$AJ:$AJ,0),1)</f>
        <v>#N/A</v>
      </c>
      <c r="AJ517" s="211" t="e">
        <f>TEXT(INDEX([1]Library!$W:$W,MATCH(AH517,[1]Library!$AJ:$AJ,0),1),"")</f>
        <v>#N/A</v>
      </c>
    </row>
    <row r="518" spans="1:36" ht="25.2" hidden="1" customHeight="1" outlineLevel="1" collapsed="1">
      <c r="A518" s="213"/>
      <c r="B518" s="214"/>
      <c r="C518" s="215" t="s">
        <v>256</v>
      </c>
      <c r="D518" s="215"/>
      <c r="E518" s="216"/>
      <c r="F518" s="217"/>
      <c r="G518" s="379"/>
      <c r="H518" s="219">
        <v>1</v>
      </c>
      <c r="I518" s="218" t="s">
        <v>32</v>
      </c>
      <c r="J518" s="219">
        <v>5219054.4000000004</v>
      </c>
      <c r="K518" s="219">
        <v>5219054.4000000004</v>
      </c>
      <c r="L518" s="219">
        <v>10733806.800000001</v>
      </c>
      <c r="M518" s="219">
        <v>10733806.800000001</v>
      </c>
      <c r="N518" s="219">
        <v>0</v>
      </c>
      <c r="O518" s="219">
        <v>0</v>
      </c>
      <c r="P518" s="220">
        <v>15952861.199999999</v>
      </c>
      <c r="Q518" s="221">
        <f t="shared" si="123"/>
        <v>8.5813122050801705E-3</v>
      </c>
      <c r="R518" s="222">
        <f t="shared" si="124"/>
        <v>855.76673676079304</v>
      </c>
      <c r="S518" s="223">
        <f t="shared" si="125"/>
        <v>31280.12</v>
      </c>
      <c r="T518" s="224"/>
      <c r="U518" s="225"/>
      <c r="V518" s="226"/>
      <c r="W518" s="227"/>
      <c r="X518" s="226"/>
      <c r="Y518" s="226"/>
      <c r="Z518" s="226"/>
      <c r="AA518" s="226"/>
      <c r="AB518" s="226"/>
      <c r="AC518" s="226"/>
      <c r="AD518" s="96">
        <f t="shared" si="136"/>
        <v>0</v>
      </c>
      <c r="AE518" s="96">
        <f t="shared" si="137"/>
        <v>0</v>
      </c>
      <c r="AF518" s="96">
        <f t="shared" si="138"/>
        <v>0</v>
      </c>
      <c r="AG518" s="96">
        <f t="shared" si="139"/>
        <v>0</v>
      </c>
      <c r="AH518" s="211" t="str">
        <f t="shared" si="126"/>
        <v>0,;!0,;!0,;!0</v>
      </c>
      <c r="AI518" s="211" t="e">
        <f>INDEX([1]Library!$AL:$AL,MATCH(AH518,[1]Library!$AJ:$AJ,0),1)</f>
        <v>#N/A</v>
      </c>
      <c r="AJ518" s="211" t="e">
        <f>TEXT(INDEX([1]Library!$W:$W,MATCH(AH518,[1]Library!$AJ:$AJ,0),1),"")</f>
        <v>#N/A</v>
      </c>
    </row>
    <row r="519" spans="1:36" ht="25.2" hidden="1" customHeight="1" outlineLevel="2">
      <c r="A519" s="228"/>
      <c r="B519" s="229"/>
      <c r="C519" s="230"/>
      <c r="D519" s="231" t="s">
        <v>257</v>
      </c>
      <c r="E519" s="232"/>
      <c r="F519" s="233"/>
      <c r="G519" s="379"/>
      <c r="H519" s="380">
        <v>2040</v>
      </c>
      <c r="I519" s="234" t="s">
        <v>200</v>
      </c>
      <c r="J519" s="235">
        <v>0</v>
      </c>
      <c r="K519" s="236">
        <v>0</v>
      </c>
      <c r="L519" s="235">
        <v>1000</v>
      </c>
      <c r="M519" s="236">
        <v>2040000</v>
      </c>
      <c r="N519" s="237">
        <v>0</v>
      </c>
      <c r="O519" s="236">
        <v>0</v>
      </c>
      <c r="P519" s="238">
        <v>2040000</v>
      </c>
      <c r="Q519" s="239">
        <f t="shared" si="123"/>
        <v>1.09735029214468E-3</v>
      </c>
      <c r="R519" s="236">
        <f t="shared" si="124"/>
        <v>109.432666723886</v>
      </c>
      <c r="S519" s="240">
        <f t="shared" si="125"/>
        <v>4000</v>
      </c>
      <c r="T519" s="241"/>
      <c r="U519" s="225"/>
      <c r="V519" s="226"/>
      <c r="W519" s="227"/>
      <c r="X519" s="226"/>
      <c r="Y519" s="226"/>
      <c r="Z519" s="226"/>
      <c r="AA519" s="226"/>
      <c r="AB519" s="226"/>
      <c r="AC519" s="226"/>
      <c r="AD519" s="96">
        <f t="shared" si="136"/>
        <v>0</v>
      </c>
      <c r="AE519" s="96">
        <f t="shared" si="137"/>
        <v>0</v>
      </c>
      <c r="AF519" s="96">
        <f t="shared" si="138"/>
        <v>0</v>
      </c>
      <c r="AG519" s="96">
        <f t="shared" si="139"/>
        <v>0</v>
      </c>
      <c r="AH519" s="211" t="str">
        <f t="shared" si="126"/>
        <v>0,;!0,;!0,;!0</v>
      </c>
      <c r="AI519" s="211" t="e">
        <f>INDEX([1]Library!$AL:$AL,MATCH(AH519,[1]Library!$AJ:$AJ,0),1)</f>
        <v>#N/A</v>
      </c>
      <c r="AJ519" s="211" t="e">
        <f>TEXT(INDEX([1]Library!$W:$W,MATCH(AH519,[1]Library!$AJ:$AJ,0),1),"")</f>
        <v>#N/A</v>
      </c>
    </row>
    <row r="520" spans="1:36" ht="25.2" hidden="1" customHeight="1" outlineLevel="2">
      <c r="A520" s="228"/>
      <c r="B520" s="229"/>
      <c r="C520" s="230"/>
      <c r="D520" s="231" t="s">
        <v>258</v>
      </c>
      <c r="E520" s="232"/>
      <c r="F520" s="233"/>
      <c r="G520" s="379"/>
      <c r="H520" s="380">
        <v>2040</v>
      </c>
      <c r="I520" s="234" t="s">
        <v>200</v>
      </c>
      <c r="J520" s="235">
        <v>0</v>
      </c>
      <c r="K520" s="236">
        <v>0</v>
      </c>
      <c r="L520" s="235">
        <v>1000</v>
      </c>
      <c r="M520" s="236">
        <v>2040000</v>
      </c>
      <c r="N520" s="237">
        <v>0</v>
      </c>
      <c r="O520" s="236">
        <v>0</v>
      </c>
      <c r="P520" s="238">
        <v>2040000</v>
      </c>
      <c r="Q520" s="239">
        <f t="shared" si="123"/>
        <v>1.09735029214468E-3</v>
      </c>
      <c r="R520" s="236">
        <f t="shared" si="124"/>
        <v>109.432666723886</v>
      </c>
      <c r="S520" s="240">
        <f t="shared" si="125"/>
        <v>4000</v>
      </c>
      <c r="T520" s="241"/>
      <c r="U520" s="225"/>
      <c r="V520" s="226"/>
      <c r="W520" s="227"/>
      <c r="X520" s="226"/>
      <c r="Y520" s="226"/>
      <c r="Z520" s="226"/>
      <c r="AA520" s="226"/>
      <c r="AB520" s="226"/>
      <c r="AC520" s="226"/>
      <c r="AD520" s="96">
        <f t="shared" si="136"/>
        <v>0</v>
      </c>
      <c r="AE520" s="96">
        <f t="shared" si="137"/>
        <v>0</v>
      </c>
      <c r="AF520" s="96">
        <f t="shared" si="138"/>
        <v>0</v>
      </c>
      <c r="AG520" s="96">
        <f t="shared" si="139"/>
        <v>0</v>
      </c>
      <c r="AH520" s="211" t="str">
        <f t="shared" si="126"/>
        <v>0,;!0,;!0,;!0</v>
      </c>
      <c r="AI520" s="211" t="e">
        <f>INDEX([1]Library!$AL:$AL,MATCH(AH520,[1]Library!$AJ:$AJ,0),1)</f>
        <v>#N/A</v>
      </c>
      <c r="AJ520" s="211" t="e">
        <f>TEXT(INDEX([1]Library!$W:$W,MATCH(AH520,[1]Library!$AJ:$AJ,0),1),"")</f>
        <v>#N/A</v>
      </c>
    </row>
    <row r="521" spans="1:36" ht="25.2" hidden="1" customHeight="1" outlineLevel="2">
      <c r="A521" s="228"/>
      <c r="B521" s="229"/>
      <c r="C521" s="230"/>
      <c r="D521" s="231" t="s">
        <v>259</v>
      </c>
      <c r="E521" s="232"/>
      <c r="F521" s="233"/>
      <c r="G521" s="379"/>
      <c r="H521" s="380">
        <v>2040</v>
      </c>
      <c r="I521" s="234" t="s">
        <v>200</v>
      </c>
      <c r="J521" s="235">
        <v>0</v>
      </c>
      <c r="K521" s="236">
        <v>0</v>
      </c>
      <c r="L521" s="235">
        <v>500</v>
      </c>
      <c r="M521" s="236">
        <v>1020000</v>
      </c>
      <c r="N521" s="237">
        <v>0</v>
      </c>
      <c r="O521" s="236">
        <v>0</v>
      </c>
      <c r="P521" s="238">
        <v>1020000</v>
      </c>
      <c r="Q521" s="239">
        <f t="shared" si="123"/>
        <v>5.4867514607233998E-4</v>
      </c>
      <c r="R521" s="236">
        <f t="shared" si="124"/>
        <v>54.7163333619432</v>
      </c>
      <c r="S521" s="240">
        <f t="shared" si="125"/>
        <v>2000</v>
      </c>
      <c r="T521" s="241"/>
      <c r="U521" s="225"/>
      <c r="V521" s="226"/>
      <c r="W521" s="227"/>
      <c r="X521" s="226"/>
      <c r="Y521" s="226"/>
      <c r="Z521" s="226"/>
      <c r="AA521" s="226"/>
      <c r="AB521" s="226"/>
      <c r="AC521" s="226"/>
      <c r="AD521" s="96">
        <f t="shared" si="136"/>
        <v>0</v>
      </c>
      <c r="AE521" s="96">
        <f t="shared" si="137"/>
        <v>0</v>
      </c>
      <c r="AF521" s="96">
        <f t="shared" si="138"/>
        <v>0</v>
      </c>
      <c r="AG521" s="96">
        <f t="shared" si="139"/>
        <v>0</v>
      </c>
      <c r="AH521" s="211" t="str">
        <f t="shared" si="126"/>
        <v>0,;!0,;!0,;!0</v>
      </c>
      <c r="AI521" s="211" t="e">
        <f>INDEX([1]Library!$AL:$AL,MATCH(AH521,[1]Library!$AJ:$AJ,0),1)</f>
        <v>#N/A</v>
      </c>
      <c r="AJ521" s="211" t="e">
        <f>TEXT(INDEX([1]Library!$W:$W,MATCH(AH521,[1]Library!$AJ:$AJ,0),1),"")</f>
        <v>#N/A</v>
      </c>
    </row>
    <row r="522" spans="1:36" ht="25.2" hidden="1" customHeight="1" outlineLevel="2">
      <c r="A522" s="228"/>
      <c r="B522" s="229"/>
      <c r="C522" s="230"/>
      <c r="D522" s="231" t="s">
        <v>516</v>
      </c>
      <c r="E522" s="232"/>
      <c r="F522" s="233"/>
      <c r="G522" s="379"/>
      <c r="H522" s="380">
        <v>2040</v>
      </c>
      <c r="I522" s="234" t="s">
        <v>200</v>
      </c>
      <c r="J522" s="235">
        <v>0</v>
      </c>
      <c r="K522" s="236">
        <v>0</v>
      </c>
      <c r="L522" s="235">
        <v>500</v>
      </c>
      <c r="M522" s="236">
        <v>1020000</v>
      </c>
      <c r="N522" s="237">
        <v>0</v>
      </c>
      <c r="O522" s="236">
        <v>0</v>
      </c>
      <c r="P522" s="238">
        <v>1020000</v>
      </c>
      <c r="Q522" s="239">
        <f t="shared" si="123"/>
        <v>5.4867514607233998E-4</v>
      </c>
      <c r="R522" s="236">
        <f t="shared" si="124"/>
        <v>54.7163333619432</v>
      </c>
      <c r="S522" s="240">
        <f t="shared" si="125"/>
        <v>2000</v>
      </c>
      <c r="T522" s="241"/>
      <c r="U522" s="225"/>
      <c r="V522" s="226"/>
      <c r="W522" s="227"/>
      <c r="X522" s="226"/>
      <c r="Y522" s="226"/>
      <c r="Z522" s="226"/>
      <c r="AA522" s="226"/>
      <c r="AB522" s="226"/>
      <c r="AC522" s="226"/>
      <c r="AD522" s="96">
        <f t="shared" si="136"/>
        <v>0</v>
      </c>
      <c r="AE522" s="96">
        <f t="shared" si="137"/>
        <v>0</v>
      </c>
      <c r="AF522" s="96">
        <f t="shared" si="138"/>
        <v>0</v>
      </c>
      <c r="AG522" s="96">
        <f t="shared" si="139"/>
        <v>0</v>
      </c>
      <c r="AH522" s="211" t="str">
        <f t="shared" si="126"/>
        <v>0,;!0,;!0,;!0</v>
      </c>
      <c r="AI522" s="211" t="e">
        <f>INDEX([1]Library!$AL:$AL,MATCH(AH522,[1]Library!$AJ:$AJ,0),1)</f>
        <v>#N/A</v>
      </c>
      <c r="AJ522" s="211" t="e">
        <f>TEXT(INDEX([1]Library!$W:$W,MATCH(AH522,[1]Library!$AJ:$AJ,0),1),"")</f>
        <v>#N/A</v>
      </c>
    </row>
    <row r="523" spans="1:36" ht="25.2" hidden="1" customHeight="1" outlineLevel="2">
      <c r="A523" s="228"/>
      <c r="B523" s="229"/>
      <c r="C523" s="230"/>
      <c r="D523" s="231" t="s">
        <v>261</v>
      </c>
      <c r="E523" s="232"/>
      <c r="F523" s="233"/>
      <c r="G523" s="379"/>
      <c r="H523" s="380">
        <v>2040</v>
      </c>
      <c r="I523" s="234" t="s">
        <v>200</v>
      </c>
      <c r="J523" s="235">
        <v>0</v>
      </c>
      <c r="K523" s="236">
        <v>0</v>
      </c>
      <c r="L523" s="235">
        <v>250</v>
      </c>
      <c r="M523" s="236">
        <v>510000</v>
      </c>
      <c r="N523" s="237">
        <v>0</v>
      </c>
      <c r="O523" s="236">
        <v>0</v>
      </c>
      <c r="P523" s="238">
        <v>510000</v>
      </c>
      <c r="Q523" s="239">
        <f t="shared" si="123"/>
        <v>2.7433757303616999E-4</v>
      </c>
      <c r="R523" s="236">
        <f t="shared" si="124"/>
        <v>27.3581666809716</v>
      </c>
      <c r="S523" s="240">
        <f t="shared" si="125"/>
        <v>1000</v>
      </c>
      <c r="T523" s="241"/>
      <c r="U523" s="225"/>
      <c r="V523" s="226"/>
      <c r="W523" s="227"/>
      <c r="X523" s="226"/>
      <c r="Y523" s="226"/>
      <c r="Z523" s="226"/>
      <c r="AA523" s="226"/>
      <c r="AB523" s="226"/>
      <c r="AC523" s="226"/>
      <c r="AD523" s="96">
        <f t="shared" si="136"/>
        <v>0</v>
      </c>
      <c r="AE523" s="96">
        <f t="shared" si="137"/>
        <v>0</v>
      </c>
      <c r="AF523" s="96">
        <f t="shared" si="138"/>
        <v>0</v>
      </c>
      <c r="AG523" s="96">
        <f t="shared" si="139"/>
        <v>0</v>
      </c>
      <c r="AH523" s="211" t="str">
        <f t="shared" si="126"/>
        <v>0,;!0,;!0,;!0</v>
      </c>
      <c r="AI523" s="211" t="e">
        <f>INDEX([1]Library!$AL:$AL,MATCH(AH523,[1]Library!$AJ:$AJ,0),1)</f>
        <v>#N/A</v>
      </c>
      <c r="AJ523" s="211" t="e">
        <f>TEXT(INDEX([1]Library!$W:$W,MATCH(AH523,[1]Library!$AJ:$AJ,0),1),"")</f>
        <v>#N/A</v>
      </c>
    </row>
    <row r="524" spans="1:36" ht="25.2" hidden="1" customHeight="1" outlineLevel="2">
      <c r="A524" s="228"/>
      <c r="B524" s="229"/>
      <c r="C524" s="230"/>
      <c r="D524" s="231" t="s">
        <v>262</v>
      </c>
      <c r="E524" s="232"/>
      <c r="F524" s="233"/>
      <c r="G524" s="379"/>
      <c r="H524" s="380">
        <v>2040</v>
      </c>
      <c r="I524" s="234" t="s">
        <v>200</v>
      </c>
      <c r="J524" s="235">
        <v>0</v>
      </c>
      <c r="K524" s="236">
        <v>0</v>
      </c>
      <c r="L524" s="235">
        <v>250</v>
      </c>
      <c r="M524" s="236">
        <v>510000</v>
      </c>
      <c r="N524" s="237">
        <v>0</v>
      </c>
      <c r="O524" s="236">
        <v>0</v>
      </c>
      <c r="P524" s="238">
        <v>510000</v>
      </c>
      <c r="Q524" s="239">
        <f t="shared" si="123"/>
        <v>2.7433757303616999E-4</v>
      </c>
      <c r="R524" s="236">
        <f t="shared" si="124"/>
        <v>27.3581666809716</v>
      </c>
      <c r="S524" s="240">
        <f t="shared" si="125"/>
        <v>1000</v>
      </c>
      <c r="T524" s="241"/>
      <c r="U524" s="225"/>
      <c r="V524" s="226"/>
      <c r="W524" s="227"/>
      <c r="X524" s="226"/>
      <c r="Y524" s="226"/>
      <c r="Z524" s="226"/>
      <c r="AA524" s="226"/>
      <c r="AB524" s="226"/>
      <c r="AC524" s="226"/>
      <c r="AD524" s="96">
        <f t="shared" si="136"/>
        <v>0</v>
      </c>
      <c r="AE524" s="96">
        <f t="shared" si="137"/>
        <v>0</v>
      </c>
      <c r="AF524" s="96">
        <f t="shared" si="138"/>
        <v>0</v>
      </c>
      <c r="AG524" s="96">
        <f t="shared" si="139"/>
        <v>0</v>
      </c>
      <c r="AH524" s="211" t="str">
        <f t="shared" si="126"/>
        <v>0,;!0,;!0,;!0</v>
      </c>
      <c r="AI524" s="211" t="e">
        <f>INDEX([1]Library!$AL:$AL,MATCH(AH524,[1]Library!$AJ:$AJ,0),1)</f>
        <v>#N/A</v>
      </c>
      <c r="AJ524" s="211" t="e">
        <f>TEXT(INDEX([1]Library!$W:$W,MATCH(AH524,[1]Library!$AJ:$AJ,0),1),"")</f>
        <v>#N/A</v>
      </c>
    </row>
    <row r="525" spans="1:36" ht="25.2" hidden="1" customHeight="1" outlineLevel="2">
      <c r="A525" s="228"/>
      <c r="B525" s="229"/>
      <c r="C525" s="230"/>
      <c r="D525" s="231" t="s">
        <v>263</v>
      </c>
      <c r="E525" s="232"/>
      <c r="F525" s="233"/>
      <c r="G525" s="379"/>
      <c r="H525" s="380">
        <v>2040</v>
      </c>
      <c r="I525" s="234" t="s">
        <v>200</v>
      </c>
      <c r="J525" s="235">
        <v>0</v>
      </c>
      <c r="K525" s="236">
        <v>0</v>
      </c>
      <c r="L525" s="235">
        <v>250</v>
      </c>
      <c r="M525" s="236">
        <v>510000</v>
      </c>
      <c r="N525" s="237">
        <v>0</v>
      </c>
      <c r="O525" s="236">
        <v>0</v>
      </c>
      <c r="P525" s="238">
        <v>510000</v>
      </c>
      <c r="Q525" s="239">
        <f t="shared" ref="Q525:Q588" si="140">P525/P$13</f>
        <v>2.7433757303616999E-4</v>
      </c>
      <c r="R525" s="236">
        <f t="shared" ref="R525:R588" si="141">P525/I$5</f>
        <v>27.3581666809716</v>
      </c>
      <c r="S525" s="240">
        <f t="shared" ref="S525:S588" si="142">P525/I$7</f>
        <v>1000</v>
      </c>
      <c r="T525" s="241"/>
      <c r="U525" s="225"/>
      <c r="V525" s="226"/>
      <c r="W525" s="227"/>
      <c r="X525" s="226"/>
      <c r="Y525" s="226"/>
      <c r="Z525" s="226"/>
      <c r="AA525" s="226"/>
      <c r="AB525" s="226"/>
      <c r="AC525" s="226"/>
      <c r="AD525" s="96">
        <f t="shared" si="136"/>
        <v>0</v>
      </c>
      <c r="AE525" s="96">
        <f t="shared" si="137"/>
        <v>0</v>
      </c>
      <c r="AF525" s="96">
        <f t="shared" si="138"/>
        <v>0</v>
      </c>
      <c r="AG525" s="96">
        <f t="shared" si="139"/>
        <v>0</v>
      </c>
      <c r="AH525" s="211" t="str">
        <f t="shared" si="126"/>
        <v>0,;!0,;!0,;!0</v>
      </c>
      <c r="AI525" s="211" t="e">
        <f>INDEX([1]Library!$AL:$AL,MATCH(AH525,[1]Library!$AJ:$AJ,0),1)</f>
        <v>#N/A</v>
      </c>
      <c r="AJ525" s="211" t="e">
        <f>TEXT(INDEX([1]Library!$W:$W,MATCH(AH525,[1]Library!$AJ:$AJ,0),1),"")</f>
        <v>#N/A</v>
      </c>
    </row>
    <row r="526" spans="1:36" ht="25.2" hidden="1" customHeight="1" outlineLevel="2">
      <c r="A526" s="228"/>
      <c r="B526" s="229"/>
      <c r="C526" s="230"/>
      <c r="D526" s="231" t="s">
        <v>264</v>
      </c>
      <c r="E526" s="232"/>
      <c r="F526" s="233"/>
      <c r="G526" s="379"/>
      <c r="H526" s="380">
        <v>2040</v>
      </c>
      <c r="I526" s="234" t="s">
        <v>200</v>
      </c>
      <c r="J526" s="235">
        <v>0</v>
      </c>
      <c r="K526" s="236">
        <v>0</v>
      </c>
      <c r="L526" s="235">
        <v>1000</v>
      </c>
      <c r="M526" s="236">
        <v>2040000</v>
      </c>
      <c r="N526" s="237">
        <v>0</v>
      </c>
      <c r="O526" s="236">
        <v>0</v>
      </c>
      <c r="P526" s="238">
        <v>2040000</v>
      </c>
      <c r="Q526" s="239">
        <f t="shared" si="140"/>
        <v>1.09735029214468E-3</v>
      </c>
      <c r="R526" s="236">
        <f t="shared" si="141"/>
        <v>109.432666723886</v>
      </c>
      <c r="S526" s="240">
        <f t="shared" si="142"/>
        <v>4000</v>
      </c>
      <c r="T526" s="241"/>
      <c r="U526" s="225"/>
      <c r="V526" s="226"/>
      <c r="W526" s="227"/>
      <c r="X526" s="226"/>
      <c r="Y526" s="226"/>
      <c r="Z526" s="226"/>
      <c r="AA526" s="226"/>
      <c r="AB526" s="226"/>
      <c r="AC526" s="226"/>
      <c r="AD526" s="96">
        <f t="shared" si="136"/>
        <v>0</v>
      </c>
      <c r="AE526" s="96">
        <f t="shared" si="137"/>
        <v>0</v>
      </c>
      <c r="AF526" s="96">
        <f t="shared" si="138"/>
        <v>0</v>
      </c>
      <c r="AG526" s="96">
        <f t="shared" si="139"/>
        <v>0</v>
      </c>
      <c r="AH526" s="211" t="str">
        <f t="shared" ref="AH526:AH589" si="143">AD526&amp;",;!"&amp;AE526&amp;",;!"&amp;AF526&amp;",;!"&amp;AG526</f>
        <v>0,;!0,;!0,;!0</v>
      </c>
      <c r="AI526" s="211" t="e">
        <f>INDEX([1]Library!$AL:$AL,MATCH(AH526,[1]Library!$AJ:$AJ,0),1)</f>
        <v>#N/A</v>
      </c>
      <c r="AJ526" s="211" t="e">
        <f>TEXT(INDEX([1]Library!$W:$W,MATCH(AH526,[1]Library!$AJ:$AJ,0),1),"")</f>
        <v>#N/A</v>
      </c>
    </row>
    <row r="527" spans="1:36" ht="25.2" hidden="1" customHeight="1" outlineLevel="2">
      <c r="A527" s="228"/>
      <c r="B527" s="229"/>
      <c r="C527" s="230"/>
      <c r="D527" s="231" t="s">
        <v>517</v>
      </c>
      <c r="E527" s="232"/>
      <c r="F527" s="233"/>
      <c r="G527" s="379"/>
      <c r="H527" s="380">
        <v>2040</v>
      </c>
      <c r="I527" s="234" t="s">
        <v>200</v>
      </c>
      <c r="J527" s="235">
        <v>2558.36</v>
      </c>
      <c r="K527" s="236">
        <v>5219054.4000000004</v>
      </c>
      <c r="L527" s="235">
        <v>511.67</v>
      </c>
      <c r="M527" s="236">
        <v>1043806.8</v>
      </c>
      <c r="N527" s="237">
        <v>0</v>
      </c>
      <c r="O527" s="236">
        <v>0</v>
      </c>
      <c r="P527" s="238">
        <v>6262861.2000000002</v>
      </c>
      <c r="Q527" s="239">
        <f t="shared" si="140"/>
        <v>3.36889831739293E-3</v>
      </c>
      <c r="R527" s="236">
        <f t="shared" si="141"/>
        <v>335.96156982233299</v>
      </c>
      <c r="S527" s="240">
        <f t="shared" si="142"/>
        <v>12280.12</v>
      </c>
      <c r="T527" s="241"/>
      <c r="U527" s="225"/>
      <c r="V527" s="226"/>
      <c r="W527" s="227"/>
      <c r="X527" s="226"/>
      <c r="Y527" s="226"/>
      <c r="Z527" s="226"/>
      <c r="AA527" s="226"/>
      <c r="AB527" s="226"/>
      <c r="AC527" s="226"/>
      <c r="AD527" s="96">
        <f>IF(X527&lt;&gt;0,IF($X527&gt;=AD$12,#REF!,""),Z527)</f>
        <v>0</v>
      </c>
      <c r="AE527" s="96">
        <f>IF(AA527=" ",IF($X527&gt;=AE$12,#REF!,""),AA527)</f>
        <v>0</v>
      </c>
      <c r="AF527" s="96">
        <f>IF(AB527=" ",IF($X527&gt;=AF$12,#REF!,""),AB527)</f>
        <v>0</v>
      </c>
      <c r="AG527" s="96">
        <f>IF(AC527=" ",IF($X527&gt;=AG$12,#REF!,""),AC527)</f>
        <v>0</v>
      </c>
      <c r="AH527" s="211" t="str">
        <f t="shared" si="143"/>
        <v>0,;!0,;!0,;!0</v>
      </c>
      <c r="AI527" s="211" t="e">
        <f>INDEX([1]Library!$AL:$AL,MATCH(AH527,[1]Library!$AJ:$AJ,0),1)</f>
        <v>#N/A</v>
      </c>
      <c r="AJ527" s="211" t="e">
        <f>TEXT(INDEX([1]Library!$W:$W,MATCH(AH527,[1]Library!$AJ:$AJ,0),1),"")</f>
        <v>#N/A</v>
      </c>
    </row>
    <row r="528" spans="1:36" ht="25.2" hidden="1" customHeight="1" outlineLevel="1" collapsed="1">
      <c r="A528" s="213"/>
      <c r="B528" s="214"/>
      <c r="C528" s="215" t="s">
        <v>518</v>
      </c>
      <c r="D528" s="215"/>
      <c r="E528" s="216"/>
      <c r="F528" s="217"/>
      <c r="G528" s="379"/>
      <c r="H528" s="219">
        <v>1</v>
      </c>
      <c r="I528" s="218" t="s">
        <v>32</v>
      </c>
      <c r="J528" s="219">
        <v>322816.8</v>
      </c>
      <c r="K528" s="219">
        <v>322816.8</v>
      </c>
      <c r="L528" s="219">
        <v>80704.2</v>
      </c>
      <c r="M528" s="219">
        <v>80704.2</v>
      </c>
      <c r="N528" s="219">
        <v>0</v>
      </c>
      <c r="O528" s="219">
        <v>0</v>
      </c>
      <c r="P528" s="220">
        <v>403521</v>
      </c>
      <c r="Q528" s="221">
        <f t="shared" si="140"/>
        <v>2.17060729037507E-4</v>
      </c>
      <c r="R528" s="222">
        <f t="shared" si="141"/>
        <v>21.646264269161399</v>
      </c>
      <c r="S528" s="223">
        <f t="shared" si="142"/>
        <v>791.21764705882401</v>
      </c>
      <c r="T528" s="224"/>
      <c r="U528" s="225"/>
      <c r="V528" s="226"/>
      <c r="W528" s="227"/>
      <c r="X528" s="226"/>
      <c r="Y528" s="226"/>
      <c r="Z528" s="226"/>
      <c r="AA528" s="226"/>
      <c r="AB528" s="226"/>
      <c r="AC528" s="226"/>
      <c r="AD528" s="96">
        <f t="shared" ref="AD528:AD536" si="144">IF(X528&lt;&gt;0,IF($X528&gt;=AD$12,AD527,""),Z528)</f>
        <v>0</v>
      </c>
      <c r="AE528" s="96">
        <f t="shared" ref="AE528:AE536" si="145">IF(AA528=" ",IF($X528&gt;=AE$12,AE527,""),AA528)</f>
        <v>0</v>
      </c>
      <c r="AF528" s="96">
        <f t="shared" ref="AF528:AF536" si="146">IF(AB528=" ",IF($X528&gt;=AF$12,AF527,""),AB528)</f>
        <v>0</v>
      </c>
      <c r="AG528" s="96">
        <f t="shared" ref="AG528:AG536" si="147">IF(AC528=" ",IF($X528&gt;=AG$12,AG527,""),AC528)</f>
        <v>0</v>
      </c>
      <c r="AH528" s="211" t="str">
        <f t="shared" si="143"/>
        <v>0,;!0,;!0,;!0</v>
      </c>
      <c r="AI528" s="211" t="e">
        <f>INDEX([1]Library!$AL:$AL,MATCH(AH528,[1]Library!$AJ:$AJ,0),1)</f>
        <v>#N/A</v>
      </c>
      <c r="AJ528" s="211" t="e">
        <f>TEXT(INDEX([1]Library!$W:$W,MATCH(AH528,[1]Library!$AJ:$AJ,0),1),"")</f>
        <v>#N/A</v>
      </c>
    </row>
    <row r="529" spans="1:36" ht="25.2" hidden="1" customHeight="1" outlineLevel="2">
      <c r="A529" s="228"/>
      <c r="B529" s="229"/>
      <c r="C529" s="230"/>
      <c r="D529" s="231" t="s">
        <v>519</v>
      </c>
      <c r="E529" s="232"/>
      <c r="F529" s="233"/>
      <c r="G529" s="379"/>
      <c r="H529" s="380">
        <v>120</v>
      </c>
      <c r="I529" s="234" t="s">
        <v>176</v>
      </c>
      <c r="J529" s="235">
        <v>2690.14</v>
      </c>
      <c r="K529" s="236">
        <v>322816.8</v>
      </c>
      <c r="L529" s="235">
        <v>672.53499999999997</v>
      </c>
      <c r="M529" s="236">
        <v>80704.2</v>
      </c>
      <c r="N529" s="237">
        <v>0</v>
      </c>
      <c r="O529" s="236">
        <v>0</v>
      </c>
      <c r="P529" s="238">
        <v>403521</v>
      </c>
      <c r="Q529" s="239">
        <f t="shared" si="140"/>
        <v>2.17060729037507E-4</v>
      </c>
      <c r="R529" s="236">
        <f t="shared" si="141"/>
        <v>21.646264269161399</v>
      </c>
      <c r="S529" s="240">
        <f t="shared" si="142"/>
        <v>791.21764705882401</v>
      </c>
      <c r="T529" s="241"/>
      <c r="U529" s="225"/>
      <c r="V529" s="226"/>
      <c r="W529" s="227"/>
      <c r="X529" s="226"/>
      <c r="Y529" s="226"/>
      <c r="Z529" s="226"/>
      <c r="AA529" s="226"/>
      <c r="AB529" s="226"/>
      <c r="AC529" s="226"/>
      <c r="AD529" s="96">
        <f t="shared" si="144"/>
        <v>0</v>
      </c>
      <c r="AE529" s="96">
        <f t="shared" si="145"/>
        <v>0</v>
      </c>
      <c r="AF529" s="96">
        <f t="shared" si="146"/>
        <v>0</v>
      </c>
      <c r="AG529" s="96">
        <f t="shared" si="147"/>
        <v>0</v>
      </c>
      <c r="AH529" s="211" t="str">
        <f t="shared" si="143"/>
        <v>0,;!0,;!0,;!0</v>
      </c>
      <c r="AI529" s="211" t="e">
        <f>INDEX([1]Library!$AL:$AL,MATCH(AH529,[1]Library!$AJ:$AJ,0),1)</f>
        <v>#N/A</v>
      </c>
      <c r="AJ529" s="211" t="e">
        <f>TEXT(INDEX([1]Library!$W:$W,MATCH(AH529,[1]Library!$AJ:$AJ,0),1),"")</f>
        <v>#N/A</v>
      </c>
    </row>
    <row r="530" spans="1:36" ht="25.2" hidden="1" customHeight="1" outlineLevel="1" collapsed="1">
      <c r="A530" s="213"/>
      <c r="B530" s="214"/>
      <c r="C530" s="215" t="s">
        <v>520</v>
      </c>
      <c r="D530" s="215"/>
      <c r="E530" s="216"/>
      <c r="F530" s="217"/>
      <c r="G530" s="379"/>
      <c r="H530" s="219">
        <v>1</v>
      </c>
      <c r="I530" s="218" t="s">
        <v>32</v>
      </c>
      <c r="J530" s="219">
        <v>1084995.40253864</v>
      </c>
      <c r="K530" s="219">
        <v>1084995.40253864</v>
      </c>
      <c r="L530" s="219">
        <v>271248.85063465999</v>
      </c>
      <c r="M530" s="219">
        <v>271248.85063465999</v>
      </c>
      <c r="N530" s="219">
        <v>0</v>
      </c>
      <c r="O530" s="219">
        <v>0</v>
      </c>
      <c r="P530" s="220">
        <v>1356244.2531733001</v>
      </c>
      <c r="Q530" s="221">
        <f t="shared" si="140"/>
        <v>7.2954658207807202E-4</v>
      </c>
      <c r="R530" s="222">
        <f t="shared" si="141"/>
        <v>72.753639879264696</v>
      </c>
      <c r="S530" s="223">
        <f t="shared" si="142"/>
        <v>2659.3024572025502</v>
      </c>
      <c r="T530" s="224"/>
      <c r="U530" s="225"/>
      <c r="V530" s="226"/>
      <c r="W530" s="227"/>
      <c r="X530" s="226"/>
      <c r="Y530" s="226"/>
      <c r="Z530" s="226"/>
      <c r="AA530" s="226"/>
      <c r="AB530" s="226"/>
      <c r="AC530" s="226"/>
      <c r="AD530" s="96">
        <f t="shared" si="144"/>
        <v>0</v>
      </c>
      <c r="AE530" s="96">
        <f t="shared" si="145"/>
        <v>0</v>
      </c>
      <c r="AF530" s="96">
        <f t="shared" si="146"/>
        <v>0</v>
      </c>
      <c r="AG530" s="96">
        <f t="shared" si="147"/>
        <v>0</v>
      </c>
      <c r="AH530" s="211" t="str">
        <f t="shared" si="143"/>
        <v>0,;!0,;!0,;!0</v>
      </c>
      <c r="AI530" s="211" t="e">
        <f>INDEX([1]Library!$AL:$AL,MATCH(AH530,[1]Library!$AJ:$AJ,0),1)</f>
        <v>#N/A</v>
      </c>
      <c r="AJ530" s="211" t="e">
        <f>TEXT(INDEX([1]Library!$W:$W,MATCH(AH530,[1]Library!$AJ:$AJ,0),1),"")</f>
        <v>#N/A</v>
      </c>
    </row>
    <row r="531" spans="1:36" ht="25.2" hidden="1" customHeight="1" outlineLevel="2">
      <c r="A531" s="228"/>
      <c r="B531" s="229"/>
      <c r="C531" s="230"/>
      <c r="D531" s="231" t="s">
        <v>519</v>
      </c>
      <c r="E531" s="232"/>
      <c r="F531" s="233"/>
      <c r="G531" s="379"/>
      <c r="H531" s="380">
        <v>368</v>
      </c>
      <c r="I531" s="234" t="s">
        <v>176</v>
      </c>
      <c r="J531" s="235">
        <v>2690.14</v>
      </c>
      <c r="K531" s="236">
        <v>989971.52</v>
      </c>
      <c r="L531" s="235">
        <v>672.53499999999997</v>
      </c>
      <c r="M531" s="236">
        <v>247492.88</v>
      </c>
      <c r="N531" s="237">
        <v>0</v>
      </c>
      <c r="O531" s="236">
        <v>0</v>
      </c>
      <c r="P531" s="238">
        <v>1237464.3999999999</v>
      </c>
      <c r="Q531" s="239">
        <f t="shared" si="140"/>
        <v>6.6565290238168704E-4</v>
      </c>
      <c r="R531" s="236">
        <f t="shared" si="141"/>
        <v>66.381877092095095</v>
      </c>
      <c r="S531" s="240">
        <f t="shared" si="142"/>
        <v>2426.4007843137301</v>
      </c>
      <c r="T531" s="241"/>
      <c r="U531" s="225"/>
      <c r="V531" s="226"/>
      <c r="W531" s="227"/>
      <c r="X531" s="226"/>
      <c r="Y531" s="226"/>
      <c r="Z531" s="226"/>
      <c r="AA531" s="226"/>
      <c r="AB531" s="226"/>
      <c r="AC531" s="226"/>
      <c r="AD531" s="96">
        <f t="shared" si="144"/>
        <v>0</v>
      </c>
      <c r="AE531" s="96">
        <f t="shared" si="145"/>
        <v>0</v>
      </c>
      <c r="AF531" s="96">
        <f t="shared" si="146"/>
        <v>0</v>
      </c>
      <c r="AG531" s="96">
        <f t="shared" si="147"/>
        <v>0</v>
      </c>
      <c r="AH531" s="211" t="str">
        <f t="shared" si="143"/>
        <v>0,;!0,;!0,;!0</v>
      </c>
      <c r="AI531" s="211" t="e">
        <f>INDEX([1]Library!$AL:$AL,MATCH(AH531,[1]Library!$AJ:$AJ,0),1)</f>
        <v>#N/A</v>
      </c>
      <c r="AJ531" s="211" t="e">
        <f>TEXT(INDEX([1]Library!$W:$W,MATCH(AH531,[1]Library!$AJ:$AJ,0),1),"")</f>
        <v>#N/A</v>
      </c>
    </row>
    <row r="532" spans="1:36" ht="25.2" hidden="1" customHeight="1" outlineLevel="2">
      <c r="A532" s="228"/>
      <c r="B532" s="229"/>
      <c r="C532" s="230"/>
      <c r="D532" s="231" t="s">
        <v>521</v>
      </c>
      <c r="E532" s="232"/>
      <c r="F532" s="233"/>
      <c r="G532" s="379"/>
      <c r="H532" s="380">
        <v>52</v>
      </c>
      <c r="I532" s="234" t="s">
        <v>176</v>
      </c>
      <c r="J532" s="235">
        <v>1317.498</v>
      </c>
      <c r="K532" s="236">
        <v>68509.895999999993</v>
      </c>
      <c r="L532" s="235">
        <v>329.37450000000001</v>
      </c>
      <c r="M532" s="236">
        <v>17127.473999999998</v>
      </c>
      <c r="N532" s="237">
        <v>0</v>
      </c>
      <c r="O532" s="236">
        <v>0</v>
      </c>
      <c r="P532" s="238">
        <v>85637.37</v>
      </c>
      <c r="Q532" s="239">
        <f t="shared" si="140"/>
        <v>4.6065780876471598E-5</v>
      </c>
      <c r="R532" s="236">
        <f t="shared" si="141"/>
        <v>4.5938851815294797</v>
      </c>
      <c r="S532" s="240">
        <f t="shared" si="142"/>
        <v>167.916411764706</v>
      </c>
      <c r="T532" s="241"/>
      <c r="U532" s="225"/>
      <c r="V532" s="226"/>
      <c r="W532" s="227"/>
      <c r="X532" s="226"/>
      <c r="Y532" s="226"/>
      <c r="Z532" s="226"/>
      <c r="AA532" s="226"/>
      <c r="AB532" s="226"/>
      <c r="AC532" s="226"/>
      <c r="AD532" s="96">
        <f t="shared" si="144"/>
        <v>0</v>
      </c>
      <c r="AE532" s="96">
        <f t="shared" si="145"/>
        <v>0</v>
      </c>
      <c r="AF532" s="96">
        <f t="shared" si="146"/>
        <v>0</v>
      </c>
      <c r="AG532" s="96">
        <f t="shared" si="147"/>
        <v>0</v>
      </c>
      <c r="AH532" s="211" t="str">
        <f t="shared" si="143"/>
        <v>0,;!0,;!0,;!0</v>
      </c>
      <c r="AI532" s="211" t="e">
        <f>INDEX([1]Library!$AL:$AL,MATCH(AH532,[1]Library!$AJ:$AJ,0),1)</f>
        <v>#N/A</v>
      </c>
      <c r="AJ532" s="211" t="e">
        <f>TEXT(INDEX([1]Library!$W:$W,MATCH(AH532,[1]Library!$AJ:$AJ,0),1),"")</f>
        <v>#N/A</v>
      </c>
    </row>
    <row r="533" spans="1:36" ht="25.2" hidden="1" customHeight="1" outlineLevel="2">
      <c r="A533" s="228"/>
      <c r="B533" s="229"/>
      <c r="C533" s="230"/>
      <c r="D533" s="231" t="s">
        <v>522</v>
      </c>
      <c r="E533" s="232"/>
      <c r="F533" s="233"/>
      <c r="G533" s="379"/>
      <c r="H533" s="380">
        <v>24</v>
      </c>
      <c r="I533" s="234" t="s">
        <v>176</v>
      </c>
      <c r="J533" s="235">
        <v>1104.7494391100699</v>
      </c>
      <c r="K533" s="236">
        <v>26513.9865386417</v>
      </c>
      <c r="L533" s="235">
        <v>276.18735977751697</v>
      </c>
      <c r="M533" s="236">
        <v>6628.4966346604197</v>
      </c>
      <c r="N533" s="237">
        <v>0</v>
      </c>
      <c r="O533" s="236">
        <v>0</v>
      </c>
      <c r="P533" s="238">
        <v>33142.483173302098</v>
      </c>
      <c r="Q533" s="239">
        <f t="shared" si="140"/>
        <v>1.7827898819913301E-5</v>
      </c>
      <c r="R533" s="236">
        <f t="shared" si="141"/>
        <v>1.7778776056401899</v>
      </c>
      <c r="S533" s="240">
        <f t="shared" si="142"/>
        <v>64.985261124121806</v>
      </c>
      <c r="T533" s="241"/>
      <c r="U533" s="225"/>
      <c r="V533" s="226"/>
      <c r="W533" s="227"/>
      <c r="X533" s="226"/>
      <c r="Y533" s="226"/>
      <c r="Z533" s="226"/>
      <c r="AA533" s="226"/>
      <c r="AB533" s="226"/>
      <c r="AC533" s="226"/>
      <c r="AD533" s="96">
        <f t="shared" si="144"/>
        <v>0</v>
      </c>
      <c r="AE533" s="96">
        <f t="shared" si="145"/>
        <v>0</v>
      </c>
      <c r="AF533" s="96">
        <f t="shared" si="146"/>
        <v>0</v>
      </c>
      <c r="AG533" s="96">
        <f t="shared" si="147"/>
        <v>0</v>
      </c>
      <c r="AH533" s="211" t="str">
        <f t="shared" si="143"/>
        <v>0,;!0,;!0,;!0</v>
      </c>
      <c r="AI533" s="211" t="e">
        <f>INDEX([1]Library!$AL:$AL,MATCH(AH533,[1]Library!$AJ:$AJ,0),1)</f>
        <v>#N/A</v>
      </c>
      <c r="AJ533" s="211" t="e">
        <f>TEXT(INDEX([1]Library!$W:$W,MATCH(AH533,[1]Library!$AJ:$AJ,0),1),"")</f>
        <v>#N/A</v>
      </c>
    </row>
    <row r="534" spans="1:36" ht="25.2" hidden="1" customHeight="1" outlineLevel="1" collapsed="1">
      <c r="A534" s="213"/>
      <c r="B534" s="214"/>
      <c r="C534" s="215" t="s">
        <v>523</v>
      </c>
      <c r="D534" s="215"/>
      <c r="E534" s="216"/>
      <c r="F534" s="217"/>
      <c r="G534" s="379"/>
      <c r="H534" s="219">
        <v>1</v>
      </c>
      <c r="I534" s="218" t="s">
        <v>32</v>
      </c>
      <c r="J534" s="219">
        <v>1903840.8730589701</v>
      </c>
      <c r="K534" s="219">
        <v>1903840.8730589701</v>
      </c>
      <c r="L534" s="219">
        <v>475960.21826474398</v>
      </c>
      <c r="M534" s="219">
        <v>475960.21826474398</v>
      </c>
      <c r="N534" s="219">
        <v>0</v>
      </c>
      <c r="O534" s="219">
        <v>0</v>
      </c>
      <c r="P534" s="220">
        <v>2379801.0913237198</v>
      </c>
      <c r="Q534" s="221">
        <f t="shared" si="140"/>
        <v>1.28013501118153E-3</v>
      </c>
      <c r="R534" s="222">
        <f t="shared" si="141"/>
        <v>127.660774360769</v>
      </c>
      <c r="S534" s="223">
        <f t="shared" si="142"/>
        <v>4666.27664965435</v>
      </c>
      <c r="T534" s="224"/>
      <c r="U534" s="225"/>
      <c r="V534" s="226"/>
      <c r="W534" s="227"/>
      <c r="X534" s="226"/>
      <c r="Y534" s="226"/>
      <c r="Z534" s="226"/>
      <c r="AA534" s="226"/>
      <c r="AB534" s="226"/>
      <c r="AC534" s="226"/>
      <c r="AD534" s="96">
        <f t="shared" si="144"/>
        <v>0</v>
      </c>
      <c r="AE534" s="96">
        <f t="shared" si="145"/>
        <v>0</v>
      </c>
      <c r="AF534" s="96">
        <f t="shared" si="146"/>
        <v>0</v>
      </c>
      <c r="AG534" s="96">
        <f t="shared" si="147"/>
        <v>0</v>
      </c>
      <c r="AH534" s="211" t="str">
        <f t="shared" si="143"/>
        <v>0,;!0,;!0,;!0</v>
      </c>
      <c r="AI534" s="211" t="e">
        <f>INDEX([1]Library!$AL:$AL,MATCH(AH534,[1]Library!$AJ:$AJ,0),1)</f>
        <v>#N/A</v>
      </c>
      <c r="AJ534" s="211" t="e">
        <f>TEXT(INDEX([1]Library!$W:$W,MATCH(AH534,[1]Library!$AJ:$AJ,0),1),"")</f>
        <v>#N/A</v>
      </c>
    </row>
    <row r="535" spans="1:36" ht="25.2" hidden="1" customHeight="1" outlineLevel="2">
      <c r="A535" s="228"/>
      <c r="B535" s="229"/>
      <c r="C535" s="230"/>
      <c r="D535" s="231" t="s">
        <v>519</v>
      </c>
      <c r="E535" s="232"/>
      <c r="F535" s="233"/>
      <c r="G535" s="379"/>
      <c r="H535" s="380">
        <v>292</v>
      </c>
      <c r="I535" s="234" t="s">
        <v>176</v>
      </c>
      <c r="J535" s="235">
        <v>2690.14</v>
      </c>
      <c r="K535" s="236">
        <v>785520.88</v>
      </c>
      <c r="L535" s="235">
        <v>672.53499999999997</v>
      </c>
      <c r="M535" s="236">
        <v>196380.22</v>
      </c>
      <c r="N535" s="237">
        <v>0</v>
      </c>
      <c r="O535" s="236">
        <v>0</v>
      </c>
      <c r="P535" s="238">
        <v>981901.1</v>
      </c>
      <c r="Q535" s="239">
        <f t="shared" si="140"/>
        <v>5.2818110732460002E-4</v>
      </c>
      <c r="R535" s="236">
        <f t="shared" si="141"/>
        <v>52.672576388292903</v>
      </c>
      <c r="S535" s="240">
        <f t="shared" si="142"/>
        <v>1925.2962745098</v>
      </c>
      <c r="T535" s="241"/>
      <c r="U535" s="225"/>
      <c r="V535" s="226"/>
      <c r="W535" s="227"/>
      <c r="X535" s="226"/>
      <c r="Y535" s="226"/>
      <c r="Z535" s="226"/>
      <c r="AA535" s="226"/>
      <c r="AB535" s="226"/>
      <c r="AC535" s="226"/>
      <c r="AD535" s="96">
        <f t="shared" si="144"/>
        <v>0</v>
      </c>
      <c r="AE535" s="96">
        <f t="shared" si="145"/>
        <v>0</v>
      </c>
      <c r="AF535" s="96">
        <f t="shared" si="146"/>
        <v>0</v>
      </c>
      <c r="AG535" s="96">
        <f t="shared" si="147"/>
        <v>0</v>
      </c>
      <c r="AH535" s="211" t="str">
        <f t="shared" si="143"/>
        <v>0,;!0,;!0,;!0</v>
      </c>
      <c r="AI535" s="211" t="e">
        <f>INDEX([1]Library!$AL:$AL,MATCH(AH535,[1]Library!$AJ:$AJ,0),1)</f>
        <v>#N/A</v>
      </c>
      <c r="AJ535" s="211" t="e">
        <f>TEXT(INDEX([1]Library!$W:$W,MATCH(AH535,[1]Library!$AJ:$AJ,0),1),"")</f>
        <v>#N/A</v>
      </c>
    </row>
    <row r="536" spans="1:36" ht="25.2" hidden="1" customHeight="1" outlineLevel="2">
      <c r="A536" s="228"/>
      <c r="B536" s="229"/>
      <c r="C536" s="230"/>
      <c r="D536" s="231" t="s">
        <v>521</v>
      </c>
      <c r="E536" s="232"/>
      <c r="F536" s="233"/>
      <c r="G536" s="379"/>
      <c r="H536" s="380">
        <v>60</v>
      </c>
      <c r="I536" s="234" t="s">
        <v>176</v>
      </c>
      <c r="J536" s="235">
        <v>1317.498</v>
      </c>
      <c r="K536" s="236">
        <v>79049.88</v>
      </c>
      <c r="L536" s="235">
        <v>329.37450000000001</v>
      </c>
      <c r="M536" s="236">
        <v>19762.47</v>
      </c>
      <c r="N536" s="237">
        <v>0</v>
      </c>
      <c r="O536" s="236">
        <v>0</v>
      </c>
      <c r="P536" s="238">
        <v>98812.35</v>
      </c>
      <c r="Q536" s="239">
        <f t="shared" si="140"/>
        <v>5.3152824088236502E-5</v>
      </c>
      <c r="R536" s="236">
        <f t="shared" si="141"/>
        <v>5.30063674791863</v>
      </c>
      <c r="S536" s="240">
        <f t="shared" si="142"/>
        <v>193.749705882353</v>
      </c>
      <c r="T536" s="241"/>
      <c r="U536" s="225"/>
      <c r="V536" s="226"/>
      <c r="W536" s="227"/>
      <c r="X536" s="226"/>
      <c r="Y536" s="226"/>
      <c r="Z536" s="226"/>
      <c r="AA536" s="226"/>
      <c r="AB536" s="226"/>
      <c r="AC536" s="226"/>
      <c r="AD536" s="96">
        <f t="shared" si="144"/>
        <v>0</v>
      </c>
      <c r="AE536" s="96">
        <f t="shared" si="145"/>
        <v>0</v>
      </c>
      <c r="AF536" s="96">
        <f t="shared" si="146"/>
        <v>0</v>
      </c>
      <c r="AG536" s="96">
        <f t="shared" si="147"/>
        <v>0</v>
      </c>
      <c r="AH536" s="211" t="str">
        <f t="shared" si="143"/>
        <v>0,;!0,;!0,;!0</v>
      </c>
      <c r="AI536" s="211" t="e">
        <f>INDEX([1]Library!$AL:$AL,MATCH(AH536,[1]Library!$AJ:$AJ,0),1)</f>
        <v>#N/A</v>
      </c>
      <c r="AJ536" s="211" t="e">
        <f>TEXT(INDEX([1]Library!$W:$W,MATCH(AH536,[1]Library!$AJ:$AJ,0),1),"")</f>
        <v>#N/A</v>
      </c>
    </row>
    <row r="537" spans="1:36" ht="25.2" hidden="1" customHeight="1" outlineLevel="2">
      <c r="A537" s="228"/>
      <c r="B537" s="229"/>
      <c r="C537" s="230"/>
      <c r="D537" s="231" t="s">
        <v>524</v>
      </c>
      <c r="E537" s="232"/>
      <c r="F537" s="233"/>
      <c r="G537" s="379"/>
      <c r="H537" s="380">
        <v>1784</v>
      </c>
      <c r="I537" s="234" t="s">
        <v>176</v>
      </c>
      <c r="J537" s="235">
        <v>300.993426602564</v>
      </c>
      <c r="K537" s="236">
        <v>536972.273058975</v>
      </c>
      <c r="L537" s="235">
        <v>75.248356650641099</v>
      </c>
      <c r="M537" s="236">
        <v>134243.06826474401</v>
      </c>
      <c r="N537" s="237">
        <v>0</v>
      </c>
      <c r="O537" s="236">
        <v>0</v>
      </c>
      <c r="P537" s="238">
        <v>671215.34132371796</v>
      </c>
      <c r="Q537" s="239">
        <f t="shared" si="140"/>
        <v>3.6105801514390901E-4</v>
      </c>
      <c r="R537" s="236">
        <f t="shared" si="141"/>
        <v>36.0063160524696</v>
      </c>
      <c r="S537" s="240">
        <f t="shared" si="142"/>
        <v>1316.1085123994501</v>
      </c>
      <c r="T537" s="241"/>
      <c r="U537" s="225"/>
      <c r="V537" s="226"/>
      <c r="W537" s="227"/>
      <c r="X537" s="226"/>
      <c r="Y537" s="226"/>
      <c r="Z537" s="226"/>
      <c r="AA537" s="226"/>
      <c r="AB537" s="226"/>
      <c r="AC537" s="226"/>
      <c r="AD537" s="96">
        <f>IF(X537&lt;&gt;0,IF($X537&gt;=AD$12,#REF!,""),Z537)</f>
        <v>0</v>
      </c>
      <c r="AE537" s="96">
        <f>IF(AA537=" ",IF($X537&gt;=AE$12,#REF!,""),AA537)</f>
        <v>0</v>
      </c>
      <c r="AF537" s="96">
        <f>IF(AB537=" ",IF($X537&gt;=AF$12,#REF!,""),AB537)</f>
        <v>0</v>
      </c>
      <c r="AG537" s="96">
        <f>IF(AC537=" ",IF($X537&gt;=AG$12,#REF!,""),AC537)</f>
        <v>0</v>
      </c>
      <c r="AH537" s="211" t="str">
        <f t="shared" si="143"/>
        <v>0,;!0,;!0,;!0</v>
      </c>
      <c r="AI537" s="211" t="e">
        <f>INDEX([1]Library!$AL:$AL,MATCH(AH537,[1]Library!$AJ:$AJ,0),1)</f>
        <v>#N/A</v>
      </c>
      <c r="AJ537" s="211" t="e">
        <f>TEXT(INDEX([1]Library!$W:$W,MATCH(AH537,[1]Library!$AJ:$AJ,0),1),"")</f>
        <v>#N/A</v>
      </c>
    </row>
    <row r="538" spans="1:36" ht="25.2" hidden="1" customHeight="1" outlineLevel="2">
      <c r="A538" s="228"/>
      <c r="B538" s="229"/>
      <c r="C538" s="230"/>
      <c r="D538" s="231" t="s">
        <v>525</v>
      </c>
      <c r="E538" s="232"/>
      <c r="F538" s="233"/>
      <c r="G538" s="379"/>
      <c r="H538" s="380">
        <v>1100</v>
      </c>
      <c r="I538" s="234" t="s">
        <v>176</v>
      </c>
      <c r="J538" s="235">
        <v>275.54000000000002</v>
      </c>
      <c r="K538" s="236">
        <v>303094</v>
      </c>
      <c r="L538" s="235">
        <v>68.885000000000005</v>
      </c>
      <c r="M538" s="236">
        <v>75773.5</v>
      </c>
      <c r="N538" s="237">
        <v>0</v>
      </c>
      <c r="O538" s="236">
        <v>0</v>
      </c>
      <c r="P538" s="238">
        <v>378867.5</v>
      </c>
      <c r="Q538" s="239">
        <f t="shared" si="140"/>
        <v>2.0379919696525699E-4</v>
      </c>
      <c r="R538" s="236">
        <f t="shared" si="141"/>
        <v>20.323765127456898</v>
      </c>
      <c r="S538" s="240">
        <f t="shared" si="142"/>
        <v>742.87745098039204</v>
      </c>
      <c r="T538" s="241"/>
      <c r="U538" s="225"/>
      <c r="V538" s="226"/>
      <c r="W538" s="227"/>
      <c r="X538" s="226"/>
      <c r="Y538" s="226"/>
      <c r="Z538" s="226"/>
      <c r="AA538" s="226"/>
      <c r="AB538" s="226"/>
      <c r="AC538" s="226"/>
      <c r="AD538" s="96">
        <f>IF(X538&lt;&gt;0,IF($X538&gt;=AD$12,AD537,""),Z538)</f>
        <v>0</v>
      </c>
      <c r="AE538" s="96">
        <f t="shared" ref="AE538:AG540" si="148">IF(AA538=" ",IF($X538&gt;=AE$12,AE537,""),AA538)</f>
        <v>0</v>
      </c>
      <c r="AF538" s="96">
        <f t="shared" si="148"/>
        <v>0</v>
      </c>
      <c r="AG538" s="96">
        <f t="shared" si="148"/>
        <v>0</v>
      </c>
      <c r="AH538" s="211" t="str">
        <f t="shared" si="143"/>
        <v>0,;!0,;!0,;!0</v>
      </c>
      <c r="AI538" s="211" t="e">
        <f>INDEX([1]Library!$AL:$AL,MATCH(AH538,[1]Library!$AJ:$AJ,0),1)</f>
        <v>#N/A</v>
      </c>
      <c r="AJ538" s="211" t="e">
        <f>TEXT(INDEX([1]Library!$W:$W,MATCH(AH538,[1]Library!$AJ:$AJ,0),1),"")</f>
        <v>#N/A</v>
      </c>
    </row>
    <row r="539" spans="1:36" ht="25.2" hidden="1" customHeight="1" outlineLevel="2">
      <c r="A539" s="228"/>
      <c r="B539" s="229"/>
      <c r="C539" s="230"/>
      <c r="D539" s="231" t="s">
        <v>526</v>
      </c>
      <c r="E539" s="232"/>
      <c r="F539" s="233"/>
      <c r="G539" s="379"/>
      <c r="H539" s="380">
        <v>852</v>
      </c>
      <c r="I539" s="234" t="s">
        <v>176</v>
      </c>
      <c r="J539" s="235">
        <v>103.28</v>
      </c>
      <c r="K539" s="236">
        <v>87994.559999999998</v>
      </c>
      <c r="L539" s="235">
        <v>25.82</v>
      </c>
      <c r="M539" s="236">
        <v>21998.639999999999</v>
      </c>
      <c r="N539" s="237">
        <v>0</v>
      </c>
      <c r="O539" s="236">
        <v>0</v>
      </c>
      <c r="P539" s="238">
        <v>109993.2</v>
      </c>
      <c r="Q539" s="239">
        <f t="shared" si="140"/>
        <v>5.9167191251925603E-5</v>
      </c>
      <c r="R539" s="236">
        <f t="shared" si="141"/>
        <v>5.9004162732812597</v>
      </c>
      <c r="S539" s="240">
        <f t="shared" si="142"/>
        <v>215.672941176471</v>
      </c>
      <c r="T539" s="241"/>
      <c r="U539" s="225"/>
      <c r="V539" s="226"/>
      <c r="W539" s="227"/>
      <c r="X539" s="226"/>
      <c r="Y539" s="226"/>
      <c r="Z539" s="226"/>
      <c r="AA539" s="226"/>
      <c r="AB539" s="226"/>
      <c r="AC539" s="226"/>
      <c r="AD539" s="96">
        <f>IF(X539&lt;&gt;0,IF($X539&gt;=AD$12,AD538,""),Z539)</f>
        <v>0</v>
      </c>
      <c r="AE539" s="96">
        <f t="shared" si="148"/>
        <v>0</v>
      </c>
      <c r="AF539" s="96">
        <f t="shared" si="148"/>
        <v>0</v>
      </c>
      <c r="AG539" s="96">
        <f t="shared" si="148"/>
        <v>0</v>
      </c>
      <c r="AH539" s="211" t="str">
        <f t="shared" si="143"/>
        <v>0,;!0,;!0,;!0</v>
      </c>
      <c r="AI539" s="211" t="e">
        <f>INDEX([1]Library!$AL:$AL,MATCH(AH539,[1]Library!$AJ:$AJ,0),1)</f>
        <v>#N/A</v>
      </c>
      <c r="AJ539" s="211" t="e">
        <f>TEXT(INDEX([1]Library!$W:$W,MATCH(AH539,[1]Library!$AJ:$AJ,0),1),"")</f>
        <v>#N/A</v>
      </c>
    </row>
    <row r="540" spans="1:36" ht="25.2" hidden="1" customHeight="1" outlineLevel="2">
      <c r="A540" s="228"/>
      <c r="B540" s="229"/>
      <c r="C540" s="230"/>
      <c r="D540" s="231" t="s">
        <v>527</v>
      </c>
      <c r="E540" s="232"/>
      <c r="F540" s="233"/>
      <c r="G540" s="379"/>
      <c r="H540" s="380">
        <v>912</v>
      </c>
      <c r="I540" s="234" t="s">
        <v>176</v>
      </c>
      <c r="J540" s="235">
        <v>121.94</v>
      </c>
      <c r="K540" s="236">
        <v>111209.28</v>
      </c>
      <c r="L540" s="235">
        <v>30.484999999999999</v>
      </c>
      <c r="M540" s="236">
        <v>27802.32</v>
      </c>
      <c r="N540" s="237">
        <v>0</v>
      </c>
      <c r="O540" s="236">
        <v>0</v>
      </c>
      <c r="P540" s="238">
        <v>139011.6</v>
      </c>
      <c r="Q540" s="239">
        <f t="shared" si="140"/>
        <v>7.4776676407597797E-5</v>
      </c>
      <c r="R540" s="236">
        <f t="shared" si="141"/>
        <v>7.4570637713501</v>
      </c>
      <c r="S540" s="240">
        <f t="shared" si="142"/>
        <v>272.571764705882</v>
      </c>
      <c r="T540" s="241"/>
      <c r="U540" s="225"/>
      <c r="V540" s="226"/>
      <c r="W540" s="227"/>
      <c r="X540" s="226"/>
      <c r="Y540" s="226"/>
      <c r="Z540" s="226"/>
      <c r="AA540" s="226"/>
      <c r="AB540" s="226"/>
      <c r="AC540" s="226"/>
      <c r="AD540" s="96">
        <f>IF(X540&lt;&gt;0,IF($X540&gt;=AD$12,AD539,""),Z540)</f>
        <v>0</v>
      </c>
      <c r="AE540" s="96">
        <f t="shared" si="148"/>
        <v>0</v>
      </c>
      <c r="AF540" s="96">
        <f t="shared" si="148"/>
        <v>0</v>
      </c>
      <c r="AG540" s="96">
        <f t="shared" si="148"/>
        <v>0</v>
      </c>
      <c r="AH540" s="211" t="str">
        <f t="shared" si="143"/>
        <v>0,;!0,;!0,;!0</v>
      </c>
      <c r="AI540" s="211" t="e">
        <f>INDEX([1]Library!$AL:$AL,MATCH(AH540,[1]Library!$AJ:$AJ,0),1)</f>
        <v>#N/A</v>
      </c>
      <c r="AJ540" s="211" t="e">
        <f>TEXT(INDEX([1]Library!$W:$W,MATCH(AH540,[1]Library!$AJ:$AJ,0),1),"")</f>
        <v>#N/A</v>
      </c>
    </row>
    <row r="541" spans="1:36" ht="25.2" hidden="1" customHeight="1" outlineLevel="1" collapsed="1">
      <c r="A541" s="213"/>
      <c r="B541" s="214"/>
      <c r="C541" s="215" t="s">
        <v>528</v>
      </c>
      <c r="D541" s="215"/>
      <c r="E541" s="216"/>
      <c r="F541" s="217"/>
      <c r="G541" s="379"/>
      <c r="H541" s="219">
        <v>1</v>
      </c>
      <c r="I541" s="218" t="s">
        <v>32</v>
      </c>
      <c r="J541" s="219">
        <v>2244277.2799999998</v>
      </c>
      <c r="K541" s="219">
        <v>2244277.2799999998</v>
      </c>
      <c r="L541" s="219">
        <v>561069.31999999995</v>
      </c>
      <c r="M541" s="219">
        <v>561069.31999999995</v>
      </c>
      <c r="N541" s="219">
        <v>0</v>
      </c>
      <c r="O541" s="219">
        <v>0</v>
      </c>
      <c r="P541" s="220">
        <v>2805346.6</v>
      </c>
      <c r="Q541" s="221">
        <f t="shared" si="140"/>
        <v>1.5090430936652399E-3</v>
      </c>
      <c r="R541" s="222">
        <f t="shared" si="141"/>
        <v>150.48850956999399</v>
      </c>
      <c r="S541" s="223">
        <f t="shared" si="142"/>
        <v>5500.6796078431398</v>
      </c>
      <c r="T541" s="224"/>
      <c r="U541" s="225"/>
      <c r="V541" s="226"/>
      <c r="W541" s="227"/>
      <c r="X541" s="226"/>
      <c r="Y541" s="226"/>
      <c r="Z541" s="226"/>
      <c r="AA541" s="226"/>
      <c r="AB541" s="226"/>
      <c r="AC541" s="226"/>
      <c r="AD541" s="96">
        <f>IF(X541&lt;&gt;0,IF($X541&gt;=AD$12,#REF!,""),Z541)</f>
        <v>0</v>
      </c>
      <c r="AE541" s="96">
        <f>IF(AA541=" ",IF($X541&gt;=AE$12,#REF!,""),AA541)</f>
        <v>0</v>
      </c>
      <c r="AF541" s="96">
        <f>IF(AB541=" ",IF($X541&gt;=AF$12,#REF!,""),AB541)</f>
        <v>0</v>
      </c>
      <c r="AG541" s="96">
        <f>IF(AC541=" ",IF($X541&gt;=AG$12,#REF!,""),AC541)</f>
        <v>0</v>
      </c>
      <c r="AH541" s="211" t="str">
        <f t="shared" si="143"/>
        <v>0,;!0,;!0,;!0</v>
      </c>
      <c r="AI541" s="211" t="e">
        <f>INDEX([1]Library!$AL:$AL,MATCH(AH541,[1]Library!$AJ:$AJ,0),1)</f>
        <v>#N/A</v>
      </c>
      <c r="AJ541" s="211" t="e">
        <f>TEXT(INDEX([1]Library!$W:$W,MATCH(AH541,[1]Library!$AJ:$AJ,0),1),"")</f>
        <v>#N/A</v>
      </c>
    </row>
    <row r="542" spans="1:36" ht="25.2" hidden="1" customHeight="1" outlineLevel="2">
      <c r="A542" s="228"/>
      <c r="B542" s="229"/>
      <c r="C542" s="230"/>
      <c r="D542" s="231" t="s">
        <v>519</v>
      </c>
      <c r="E542" s="232"/>
      <c r="F542" s="233"/>
      <c r="G542" s="379"/>
      <c r="H542" s="380">
        <v>560</v>
      </c>
      <c r="I542" s="234" t="s">
        <v>176</v>
      </c>
      <c r="J542" s="235">
        <v>2690.14</v>
      </c>
      <c r="K542" s="236">
        <v>1506478.4</v>
      </c>
      <c r="L542" s="235">
        <v>672.53499999999997</v>
      </c>
      <c r="M542" s="236">
        <v>376619.6</v>
      </c>
      <c r="N542" s="237">
        <v>0</v>
      </c>
      <c r="O542" s="236">
        <v>0</v>
      </c>
      <c r="P542" s="238">
        <v>1883098</v>
      </c>
      <c r="Q542" s="239">
        <f t="shared" si="140"/>
        <v>1.0129500688417E-3</v>
      </c>
      <c r="R542" s="236">
        <f t="shared" si="141"/>
        <v>101.01589992275299</v>
      </c>
      <c r="S542" s="240">
        <f t="shared" si="142"/>
        <v>3692.3490196078401</v>
      </c>
      <c r="T542" s="241"/>
      <c r="U542" s="225"/>
      <c r="V542" s="226"/>
      <c r="W542" s="227"/>
      <c r="X542" s="226"/>
      <c r="Y542" s="226"/>
      <c r="Z542" s="226"/>
      <c r="AA542" s="226"/>
      <c r="AB542" s="226"/>
      <c r="AC542" s="226"/>
      <c r="AD542" s="96">
        <f>IF(X542&lt;&gt;0,IF($X542&gt;=AD$12,AD541,""),Z542)</f>
        <v>0</v>
      </c>
      <c r="AE542" s="96">
        <f t="shared" ref="AE542:AG544" si="149">IF(AA542=" ",IF($X542&gt;=AE$12,AE541,""),AA542)</f>
        <v>0</v>
      </c>
      <c r="AF542" s="96">
        <f t="shared" si="149"/>
        <v>0</v>
      </c>
      <c r="AG542" s="96">
        <f t="shared" si="149"/>
        <v>0</v>
      </c>
      <c r="AH542" s="211" t="str">
        <f t="shared" si="143"/>
        <v>0,;!0,;!0,;!0</v>
      </c>
      <c r="AI542" s="211" t="e">
        <f>INDEX([1]Library!$AL:$AL,MATCH(AH542,[1]Library!$AJ:$AJ,0),1)</f>
        <v>#N/A</v>
      </c>
      <c r="AJ542" s="211" t="e">
        <f>TEXT(INDEX([1]Library!$W:$W,MATCH(AH542,[1]Library!$AJ:$AJ,0),1),"")</f>
        <v>#N/A</v>
      </c>
    </row>
    <row r="543" spans="1:36" ht="25.2" hidden="1" customHeight="1" outlineLevel="2">
      <c r="A543" s="228"/>
      <c r="B543" s="229"/>
      <c r="C543" s="230"/>
      <c r="D543" s="231" t="s">
        <v>521</v>
      </c>
      <c r="E543" s="232"/>
      <c r="F543" s="233"/>
      <c r="G543" s="379"/>
      <c r="H543" s="380">
        <v>560</v>
      </c>
      <c r="I543" s="234" t="s">
        <v>176</v>
      </c>
      <c r="J543" s="235">
        <v>1317.498</v>
      </c>
      <c r="K543" s="236">
        <v>737798.88</v>
      </c>
      <c r="L543" s="235">
        <v>329.37450000000001</v>
      </c>
      <c r="M543" s="236">
        <v>184449.72</v>
      </c>
      <c r="N543" s="237">
        <v>0</v>
      </c>
      <c r="O543" s="236">
        <v>0</v>
      </c>
      <c r="P543" s="238">
        <v>922248.6</v>
      </c>
      <c r="Q543" s="239">
        <f t="shared" si="140"/>
        <v>4.9609302482354098E-4</v>
      </c>
      <c r="R543" s="236">
        <f t="shared" si="141"/>
        <v>49.472609647240603</v>
      </c>
      <c r="S543" s="240">
        <f t="shared" si="142"/>
        <v>1808.33058823529</v>
      </c>
      <c r="T543" s="241"/>
      <c r="U543" s="225"/>
      <c r="V543" s="226"/>
      <c r="W543" s="227"/>
      <c r="X543" s="226"/>
      <c r="Y543" s="226"/>
      <c r="Z543" s="226"/>
      <c r="AA543" s="226"/>
      <c r="AB543" s="226"/>
      <c r="AC543" s="226"/>
      <c r="AD543" s="96">
        <f>IF(X543&lt;&gt;0,IF($X543&gt;=AD$12,AD542,""),Z543)</f>
        <v>0</v>
      </c>
      <c r="AE543" s="96">
        <f t="shared" si="149"/>
        <v>0</v>
      </c>
      <c r="AF543" s="96">
        <f t="shared" si="149"/>
        <v>0</v>
      </c>
      <c r="AG543" s="96">
        <f t="shared" si="149"/>
        <v>0</v>
      </c>
      <c r="AH543" s="211" t="str">
        <f t="shared" si="143"/>
        <v>0,;!0,;!0,;!0</v>
      </c>
      <c r="AI543" s="211" t="e">
        <f>INDEX([1]Library!$AL:$AL,MATCH(AH543,[1]Library!$AJ:$AJ,0),1)</f>
        <v>#N/A</v>
      </c>
      <c r="AJ543" s="211" t="e">
        <f>TEXT(INDEX([1]Library!$W:$W,MATCH(AH543,[1]Library!$AJ:$AJ,0),1),"")</f>
        <v>#N/A</v>
      </c>
    </row>
    <row r="544" spans="1:36" ht="25.2" hidden="1" customHeight="1" outlineLevel="1" collapsed="1">
      <c r="A544" s="213"/>
      <c r="B544" s="214"/>
      <c r="C544" s="215" t="s">
        <v>529</v>
      </c>
      <c r="D544" s="215"/>
      <c r="E544" s="216"/>
      <c r="F544" s="217"/>
      <c r="G544" s="379"/>
      <c r="H544" s="219">
        <v>1</v>
      </c>
      <c r="I544" s="218" t="s">
        <v>32</v>
      </c>
      <c r="J544" s="219">
        <v>5708995.9458366204</v>
      </c>
      <c r="K544" s="219">
        <v>5708995.9458366204</v>
      </c>
      <c r="L544" s="219">
        <v>1141919.2024069401</v>
      </c>
      <c r="M544" s="219">
        <v>1141919.2024069401</v>
      </c>
      <c r="N544" s="219">
        <v>0</v>
      </c>
      <c r="O544" s="219">
        <v>0</v>
      </c>
      <c r="P544" s="220">
        <v>6850915.1482435605</v>
      </c>
      <c r="Q544" s="221">
        <f t="shared" si="140"/>
        <v>3.6852224212664199E-3</v>
      </c>
      <c r="R544" s="222">
        <f t="shared" si="141"/>
        <v>367.50682067223602</v>
      </c>
      <c r="S544" s="223">
        <f t="shared" si="142"/>
        <v>13433.1669573403</v>
      </c>
      <c r="T544" s="224"/>
      <c r="U544" s="225"/>
      <c r="V544" s="226"/>
      <c r="W544" s="227"/>
      <c r="X544" s="226"/>
      <c r="Y544" s="226"/>
      <c r="Z544" s="226"/>
      <c r="AA544" s="226"/>
      <c r="AB544" s="226"/>
      <c r="AC544" s="226"/>
      <c r="AD544" s="96">
        <f>IF(X544&lt;&gt;0,IF($X544&gt;=AD$12,AD543,""),Z544)</f>
        <v>0</v>
      </c>
      <c r="AE544" s="96">
        <f t="shared" si="149"/>
        <v>0</v>
      </c>
      <c r="AF544" s="96">
        <f t="shared" si="149"/>
        <v>0</v>
      </c>
      <c r="AG544" s="96">
        <f t="shared" si="149"/>
        <v>0</v>
      </c>
      <c r="AH544" s="211" t="str">
        <f t="shared" si="143"/>
        <v>0,;!0,;!0,;!0</v>
      </c>
      <c r="AI544" s="211" t="e">
        <f>INDEX([1]Library!$AL:$AL,MATCH(AH544,[1]Library!$AJ:$AJ,0),1)</f>
        <v>#N/A</v>
      </c>
      <c r="AJ544" s="211" t="e">
        <f>TEXT(INDEX([1]Library!$W:$W,MATCH(AH544,[1]Library!$AJ:$AJ,0),1),"")</f>
        <v>#N/A</v>
      </c>
    </row>
    <row r="545" spans="1:36" ht="25.2" hidden="1" customHeight="1" outlineLevel="2">
      <c r="A545" s="228"/>
      <c r="B545" s="229"/>
      <c r="C545" s="230"/>
      <c r="D545" s="231" t="s">
        <v>527</v>
      </c>
      <c r="E545" s="232"/>
      <c r="F545" s="233"/>
      <c r="G545" s="379"/>
      <c r="H545" s="380">
        <v>28</v>
      </c>
      <c r="I545" s="234" t="s">
        <v>176</v>
      </c>
      <c r="J545" s="235">
        <v>121.94</v>
      </c>
      <c r="K545" s="236">
        <v>3414.32</v>
      </c>
      <c r="L545" s="235">
        <v>30.484999999999999</v>
      </c>
      <c r="M545" s="236">
        <v>853.58</v>
      </c>
      <c r="N545" s="237">
        <v>0</v>
      </c>
      <c r="O545" s="236">
        <v>0</v>
      </c>
      <c r="P545" s="238">
        <v>4267.8999999999996</v>
      </c>
      <c r="Q545" s="239">
        <f t="shared" si="140"/>
        <v>2.2957751528648399E-6</v>
      </c>
      <c r="R545" s="236">
        <f t="shared" si="141"/>
        <v>0.22894494034846799</v>
      </c>
      <c r="S545" s="240">
        <f t="shared" si="142"/>
        <v>8.3684313725490203</v>
      </c>
      <c r="T545" s="241"/>
      <c r="U545" s="225"/>
      <c r="V545" s="226"/>
      <c r="W545" s="227"/>
      <c r="X545" s="226"/>
      <c r="Y545" s="226"/>
      <c r="Z545" s="226"/>
      <c r="AA545" s="226"/>
      <c r="AB545" s="226"/>
      <c r="AC545" s="226"/>
      <c r="AD545" s="96">
        <f>IF(X545&lt;&gt;0,IF($X545&gt;=AD$12,#REF!,""),Z545)</f>
        <v>0</v>
      </c>
      <c r="AE545" s="96">
        <f>IF(AA545=" ",IF($X545&gt;=AE$12,#REF!,""),AA545)</f>
        <v>0</v>
      </c>
      <c r="AF545" s="96">
        <f>IF(AB545=" ",IF($X545&gt;=AF$12,#REF!,""),AB545)</f>
        <v>0</v>
      </c>
      <c r="AG545" s="96">
        <f>IF(AC545=" ",IF($X545&gt;=AG$12,#REF!,""),AC545)</f>
        <v>0</v>
      </c>
      <c r="AH545" s="211" t="str">
        <f t="shared" si="143"/>
        <v>0,;!0,;!0,;!0</v>
      </c>
      <c r="AI545" s="211" t="e">
        <f>INDEX([1]Library!$AL:$AL,MATCH(AH545,[1]Library!$AJ:$AJ,0),1)</f>
        <v>#N/A</v>
      </c>
      <c r="AJ545" s="211" t="e">
        <f>TEXT(INDEX([1]Library!$W:$W,MATCH(AH545,[1]Library!$AJ:$AJ,0),1),"")</f>
        <v>#N/A</v>
      </c>
    </row>
    <row r="546" spans="1:36" ht="25.2" hidden="1" customHeight="1" outlineLevel="2">
      <c r="A546" s="228"/>
      <c r="B546" s="229"/>
      <c r="C546" s="230"/>
      <c r="D546" s="231" t="s">
        <v>530</v>
      </c>
      <c r="E546" s="232"/>
      <c r="F546" s="233"/>
      <c r="G546" s="379"/>
      <c r="H546" s="380">
        <v>34640.125893286902</v>
      </c>
      <c r="I546" s="234" t="s">
        <v>176</v>
      </c>
      <c r="J546" s="235">
        <v>164.71018735363</v>
      </c>
      <c r="K546" s="236">
        <v>5705581.6258366201</v>
      </c>
      <c r="L546" s="235">
        <v>32.940573770491802</v>
      </c>
      <c r="M546" s="236">
        <v>1141065.62240694</v>
      </c>
      <c r="N546" s="237">
        <v>0</v>
      </c>
      <c r="O546" s="236">
        <v>0</v>
      </c>
      <c r="P546" s="238">
        <v>6846647.2482435601</v>
      </c>
      <c r="Q546" s="239">
        <f t="shared" si="140"/>
        <v>3.6829266461135498E-3</v>
      </c>
      <c r="R546" s="236">
        <f t="shared" si="141"/>
        <v>367.277875731888</v>
      </c>
      <c r="S546" s="240">
        <f t="shared" si="142"/>
        <v>13424.798525967801</v>
      </c>
      <c r="T546" s="241"/>
      <c r="U546" s="225"/>
      <c r="V546" s="226"/>
      <c r="W546" s="227"/>
      <c r="X546" s="226"/>
      <c r="Y546" s="226"/>
      <c r="Z546" s="226"/>
      <c r="AA546" s="226"/>
      <c r="AB546" s="226"/>
      <c r="AC546" s="226"/>
      <c r="AD546" s="96">
        <f t="shared" ref="AD546:AD557" si="150">IF(X546&lt;&gt;0,IF($X546&gt;=AD$12,AD545,""),Z546)</f>
        <v>0</v>
      </c>
      <c r="AE546" s="96">
        <f t="shared" ref="AE546:AE557" si="151">IF(AA546=" ",IF($X546&gt;=AE$12,AE545,""),AA546)</f>
        <v>0</v>
      </c>
      <c r="AF546" s="96">
        <f t="shared" ref="AF546:AF557" si="152">IF(AB546=" ",IF($X546&gt;=AF$12,AF545,""),AB546)</f>
        <v>0</v>
      </c>
      <c r="AG546" s="96">
        <f t="shared" ref="AG546:AG557" si="153">IF(AC546=" ",IF($X546&gt;=AG$12,AG545,""),AC546)</f>
        <v>0</v>
      </c>
      <c r="AH546" s="211" t="str">
        <f t="shared" si="143"/>
        <v>0,;!0,;!0,;!0</v>
      </c>
      <c r="AI546" s="211" t="e">
        <f>INDEX([1]Library!$AL:$AL,MATCH(AH546,[1]Library!$AJ:$AJ,0),1)</f>
        <v>#N/A</v>
      </c>
      <c r="AJ546" s="211" t="e">
        <f>TEXT(INDEX([1]Library!$W:$W,MATCH(AH546,[1]Library!$AJ:$AJ,0),1),"")</f>
        <v>#N/A</v>
      </c>
    </row>
    <row r="547" spans="1:36" ht="25.2" hidden="1" customHeight="1" outlineLevel="1" collapsed="1">
      <c r="A547" s="213"/>
      <c r="B547" s="214"/>
      <c r="C547" s="215" t="s">
        <v>531</v>
      </c>
      <c r="D547" s="215"/>
      <c r="E547" s="216"/>
      <c r="F547" s="217"/>
      <c r="G547" s="379"/>
      <c r="H547" s="219">
        <v>1</v>
      </c>
      <c r="I547" s="218" t="s">
        <v>32</v>
      </c>
      <c r="J547" s="219">
        <v>15567296.6437939</v>
      </c>
      <c r="K547" s="219">
        <v>15567296.6437939</v>
      </c>
      <c r="L547" s="219">
        <v>1677169.57866511</v>
      </c>
      <c r="M547" s="219">
        <v>1677169.57866511</v>
      </c>
      <c r="N547" s="219">
        <v>0</v>
      </c>
      <c r="O547" s="219">
        <v>0</v>
      </c>
      <c r="P547" s="220">
        <v>17244466.222459</v>
      </c>
      <c r="Q547" s="221">
        <f t="shared" si="140"/>
        <v>9.2760882583796493E-3</v>
      </c>
      <c r="R547" s="222">
        <f t="shared" si="141"/>
        <v>925.05290438905502</v>
      </c>
      <c r="S547" s="223">
        <f t="shared" si="142"/>
        <v>33812.678867566698</v>
      </c>
      <c r="T547" s="224"/>
      <c r="U547" s="225"/>
      <c r="V547" s="226"/>
      <c r="W547" s="227"/>
      <c r="X547" s="226"/>
      <c r="Y547" s="226"/>
      <c r="Z547" s="226"/>
      <c r="AA547" s="226"/>
      <c r="AB547" s="226"/>
      <c r="AC547" s="226"/>
      <c r="AD547" s="96">
        <f t="shared" si="150"/>
        <v>0</v>
      </c>
      <c r="AE547" s="96">
        <f t="shared" si="151"/>
        <v>0</v>
      </c>
      <c r="AF547" s="96">
        <f t="shared" si="152"/>
        <v>0</v>
      </c>
      <c r="AG547" s="96">
        <f t="shared" si="153"/>
        <v>0</v>
      </c>
      <c r="AH547" s="211" t="str">
        <f t="shared" si="143"/>
        <v>0,;!0,;!0,;!0</v>
      </c>
      <c r="AI547" s="211" t="e">
        <f>INDEX([1]Library!$AL:$AL,MATCH(AH547,[1]Library!$AJ:$AJ,0),1)</f>
        <v>#N/A</v>
      </c>
      <c r="AJ547" s="211" t="e">
        <f>TEXT(INDEX([1]Library!$W:$W,MATCH(AH547,[1]Library!$AJ:$AJ,0),1),"")</f>
        <v>#N/A</v>
      </c>
    </row>
    <row r="548" spans="1:36" ht="25.2" hidden="1" customHeight="1" outlineLevel="2">
      <c r="A548" s="228"/>
      <c r="B548" s="229"/>
      <c r="C548" s="230"/>
      <c r="D548" s="231" t="s">
        <v>532</v>
      </c>
      <c r="E548" s="232"/>
      <c r="F548" s="233"/>
      <c r="G548" s="379"/>
      <c r="H548" s="380">
        <v>12</v>
      </c>
      <c r="I548" s="234" t="s">
        <v>200</v>
      </c>
      <c r="J548" s="235">
        <v>501.63934426229503</v>
      </c>
      <c r="K548" s="236">
        <v>6019.6721311475403</v>
      </c>
      <c r="L548" s="235">
        <v>50.163934426229503</v>
      </c>
      <c r="M548" s="236">
        <v>601.96721311475403</v>
      </c>
      <c r="N548" s="237">
        <v>0</v>
      </c>
      <c r="O548" s="236">
        <v>0</v>
      </c>
      <c r="P548" s="238">
        <v>6621.6393442622903</v>
      </c>
      <c r="Q548" s="239">
        <f t="shared" si="140"/>
        <v>3.5618911122073199E-6</v>
      </c>
      <c r="R548" s="236">
        <f t="shared" si="141"/>
        <v>0.355207672316877</v>
      </c>
      <c r="S548" s="240">
        <f t="shared" si="142"/>
        <v>12.983606557377</v>
      </c>
      <c r="T548" s="241"/>
      <c r="U548" s="225"/>
      <c r="V548" s="226"/>
      <c r="W548" s="227"/>
      <c r="X548" s="226"/>
      <c r="Y548" s="226"/>
      <c r="Z548" s="226"/>
      <c r="AA548" s="226"/>
      <c r="AB548" s="226"/>
      <c r="AC548" s="226"/>
      <c r="AD548" s="96">
        <f t="shared" si="150"/>
        <v>0</v>
      </c>
      <c r="AE548" s="96">
        <f t="shared" si="151"/>
        <v>0</v>
      </c>
      <c r="AF548" s="96">
        <f t="shared" si="152"/>
        <v>0</v>
      </c>
      <c r="AG548" s="96">
        <f t="shared" si="153"/>
        <v>0</v>
      </c>
      <c r="AH548" s="211" t="str">
        <f t="shared" si="143"/>
        <v>0,;!0,;!0,;!0</v>
      </c>
      <c r="AI548" s="211" t="e">
        <f>INDEX([1]Library!$AL:$AL,MATCH(AH548,[1]Library!$AJ:$AJ,0),1)</f>
        <v>#N/A</v>
      </c>
      <c r="AJ548" s="211" t="e">
        <f>TEXT(INDEX([1]Library!$W:$W,MATCH(AH548,[1]Library!$AJ:$AJ,0),1),"")</f>
        <v>#N/A</v>
      </c>
    </row>
    <row r="549" spans="1:36" ht="25.2" hidden="1" customHeight="1" outlineLevel="2">
      <c r="A549" s="228"/>
      <c r="B549" s="229"/>
      <c r="C549" s="230"/>
      <c r="D549" s="231" t="s">
        <v>533</v>
      </c>
      <c r="E549" s="232"/>
      <c r="F549" s="233"/>
      <c r="G549" s="379"/>
      <c r="H549" s="380">
        <v>2040</v>
      </c>
      <c r="I549" s="234" t="s">
        <v>200</v>
      </c>
      <c r="J549" s="235">
        <v>655.20000000000005</v>
      </c>
      <c r="K549" s="236">
        <v>1336608</v>
      </c>
      <c r="L549" s="235">
        <v>65.52</v>
      </c>
      <c r="M549" s="236">
        <v>133660.79999999999</v>
      </c>
      <c r="N549" s="237">
        <v>0</v>
      </c>
      <c r="O549" s="236">
        <v>0</v>
      </c>
      <c r="P549" s="238">
        <v>1470268.8</v>
      </c>
      <c r="Q549" s="239">
        <f t="shared" si="140"/>
        <v>7.9088230255451402E-4</v>
      </c>
      <c r="R549" s="236">
        <f t="shared" si="141"/>
        <v>78.870311561239404</v>
      </c>
      <c r="S549" s="240">
        <f t="shared" si="142"/>
        <v>2882.88</v>
      </c>
      <c r="T549" s="241"/>
      <c r="U549" s="225"/>
      <c r="V549" s="226"/>
      <c r="W549" s="227"/>
      <c r="X549" s="226"/>
      <c r="Y549" s="226"/>
      <c r="Z549" s="226"/>
      <c r="AA549" s="226"/>
      <c r="AB549" s="226"/>
      <c r="AC549" s="226"/>
      <c r="AD549" s="96">
        <f t="shared" si="150"/>
        <v>0</v>
      </c>
      <c r="AE549" s="96">
        <f t="shared" si="151"/>
        <v>0</v>
      </c>
      <c r="AF549" s="96">
        <f t="shared" si="152"/>
        <v>0</v>
      </c>
      <c r="AG549" s="96">
        <f t="shared" si="153"/>
        <v>0</v>
      </c>
      <c r="AH549" s="211" t="str">
        <f t="shared" si="143"/>
        <v>0,;!0,;!0,;!0</v>
      </c>
      <c r="AI549" s="211" t="e">
        <f>INDEX([1]Library!$AL:$AL,MATCH(AH549,[1]Library!$AJ:$AJ,0),1)</f>
        <v>#N/A</v>
      </c>
      <c r="AJ549" s="211" t="e">
        <f>TEXT(INDEX([1]Library!$W:$W,MATCH(AH549,[1]Library!$AJ:$AJ,0),1),"")</f>
        <v>#N/A</v>
      </c>
    </row>
    <row r="550" spans="1:36" ht="25.2" hidden="1" customHeight="1" outlineLevel="2">
      <c r="A550" s="228"/>
      <c r="B550" s="229"/>
      <c r="C550" s="230"/>
      <c r="D550" s="231" t="s">
        <v>534</v>
      </c>
      <c r="E550" s="232"/>
      <c r="F550" s="233"/>
      <c r="G550" s="379"/>
      <c r="H550" s="380">
        <v>2040</v>
      </c>
      <c r="I550" s="234" t="s">
        <v>200</v>
      </c>
      <c r="J550" s="235">
        <v>728</v>
      </c>
      <c r="K550" s="236">
        <v>1485120</v>
      </c>
      <c r="L550" s="235">
        <v>72.8</v>
      </c>
      <c r="M550" s="236">
        <v>148512</v>
      </c>
      <c r="N550" s="237">
        <v>0</v>
      </c>
      <c r="O550" s="236">
        <v>0</v>
      </c>
      <c r="P550" s="238">
        <v>1633632</v>
      </c>
      <c r="Q550" s="239">
        <f t="shared" si="140"/>
        <v>8.7875811394945999E-4</v>
      </c>
      <c r="R550" s="236">
        <f t="shared" si="141"/>
        <v>87.6336795124882</v>
      </c>
      <c r="S550" s="240">
        <f t="shared" si="142"/>
        <v>3203.2</v>
      </c>
      <c r="T550" s="241"/>
      <c r="U550" s="225"/>
      <c r="V550" s="226"/>
      <c r="W550" s="227"/>
      <c r="X550" s="226"/>
      <c r="Y550" s="226"/>
      <c r="Z550" s="226"/>
      <c r="AA550" s="226"/>
      <c r="AB550" s="226"/>
      <c r="AC550" s="226"/>
      <c r="AD550" s="96">
        <f t="shared" si="150"/>
        <v>0</v>
      </c>
      <c r="AE550" s="96">
        <f t="shared" si="151"/>
        <v>0</v>
      </c>
      <c r="AF550" s="96">
        <f t="shared" si="152"/>
        <v>0</v>
      </c>
      <c r="AG550" s="96">
        <f t="shared" si="153"/>
        <v>0</v>
      </c>
      <c r="AH550" s="211" t="str">
        <f t="shared" si="143"/>
        <v>0,;!0,;!0,;!0</v>
      </c>
      <c r="AI550" s="211" t="e">
        <f>INDEX([1]Library!$AL:$AL,MATCH(AH550,[1]Library!$AJ:$AJ,0),1)</f>
        <v>#N/A</v>
      </c>
      <c r="AJ550" s="211" t="e">
        <f>TEXT(INDEX([1]Library!$W:$W,MATCH(AH550,[1]Library!$AJ:$AJ,0),1),"")</f>
        <v>#N/A</v>
      </c>
    </row>
    <row r="551" spans="1:36" ht="25.2" hidden="1" customHeight="1" outlineLevel="2">
      <c r="A551" s="228"/>
      <c r="B551" s="229"/>
      <c r="C551" s="230"/>
      <c r="D551" s="231" t="s">
        <v>535</v>
      </c>
      <c r="E551" s="232"/>
      <c r="F551" s="233"/>
      <c r="G551" s="379"/>
      <c r="H551" s="380">
        <v>2040</v>
      </c>
      <c r="I551" s="234" t="s">
        <v>200</v>
      </c>
      <c r="J551" s="235">
        <v>2309.73360655738</v>
      </c>
      <c r="K551" s="236">
        <v>4711856.5573770599</v>
      </c>
      <c r="L551" s="235">
        <v>230.97336065573799</v>
      </c>
      <c r="M551" s="236">
        <v>471185.65573770599</v>
      </c>
      <c r="N551" s="237">
        <v>0</v>
      </c>
      <c r="O551" s="236">
        <v>0</v>
      </c>
      <c r="P551" s="238">
        <v>5183042.2131147599</v>
      </c>
      <c r="Q551" s="239">
        <f t="shared" si="140"/>
        <v>2.7880455327253398E-3</v>
      </c>
      <c r="R551" s="236">
        <f t="shared" si="141"/>
        <v>278.036338786089</v>
      </c>
      <c r="S551" s="240">
        <f t="shared" si="142"/>
        <v>10162.827868852501</v>
      </c>
      <c r="T551" s="241"/>
      <c r="U551" s="225"/>
      <c r="V551" s="226"/>
      <c r="W551" s="227"/>
      <c r="X551" s="226"/>
      <c r="Y551" s="226"/>
      <c r="Z551" s="226"/>
      <c r="AA551" s="226"/>
      <c r="AB551" s="226"/>
      <c r="AC551" s="226"/>
      <c r="AD551" s="96">
        <f t="shared" si="150"/>
        <v>0</v>
      </c>
      <c r="AE551" s="96">
        <f t="shared" si="151"/>
        <v>0</v>
      </c>
      <c r="AF551" s="96">
        <f t="shared" si="152"/>
        <v>0</v>
      </c>
      <c r="AG551" s="96">
        <f t="shared" si="153"/>
        <v>0</v>
      </c>
      <c r="AH551" s="211" t="str">
        <f t="shared" si="143"/>
        <v>0,;!0,;!0,;!0</v>
      </c>
      <c r="AI551" s="211" t="e">
        <f>INDEX([1]Library!$AL:$AL,MATCH(AH551,[1]Library!$AJ:$AJ,0),1)</f>
        <v>#N/A</v>
      </c>
      <c r="AJ551" s="211" t="e">
        <f>TEXT(INDEX([1]Library!$W:$W,MATCH(AH551,[1]Library!$AJ:$AJ,0),1),"")</f>
        <v>#N/A</v>
      </c>
    </row>
    <row r="552" spans="1:36" ht="25.2" hidden="1" customHeight="1" outlineLevel="2">
      <c r="A552" s="228"/>
      <c r="B552" s="229"/>
      <c r="C552" s="230"/>
      <c r="D552" s="231" t="s">
        <v>536</v>
      </c>
      <c r="E552" s="232"/>
      <c r="F552" s="233"/>
      <c r="G552" s="379"/>
      <c r="H552" s="380">
        <v>16</v>
      </c>
      <c r="I552" s="234" t="s">
        <v>200</v>
      </c>
      <c r="J552" s="235">
        <v>34800</v>
      </c>
      <c r="K552" s="236">
        <v>556800</v>
      </c>
      <c r="L552" s="235">
        <v>3828</v>
      </c>
      <c r="M552" s="236">
        <v>61248</v>
      </c>
      <c r="N552" s="237">
        <v>0</v>
      </c>
      <c r="O552" s="236">
        <v>0</v>
      </c>
      <c r="P552" s="238">
        <v>618048</v>
      </c>
      <c r="Q552" s="239">
        <f t="shared" si="140"/>
        <v>3.3245840850952698E-4</v>
      </c>
      <c r="R552" s="236">
        <f t="shared" si="141"/>
        <v>33.154235687923801</v>
      </c>
      <c r="S552" s="240">
        <f t="shared" si="142"/>
        <v>1211.8588235294101</v>
      </c>
      <c r="T552" s="241"/>
      <c r="U552" s="225"/>
      <c r="V552" s="226"/>
      <c r="W552" s="227"/>
      <c r="X552" s="226"/>
      <c r="Y552" s="226"/>
      <c r="Z552" s="226"/>
      <c r="AA552" s="226"/>
      <c r="AB552" s="226"/>
      <c r="AC552" s="226"/>
      <c r="AD552" s="96">
        <f t="shared" si="150"/>
        <v>0</v>
      </c>
      <c r="AE552" s="96">
        <f t="shared" si="151"/>
        <v>0</v>
      </c>
      <c r="AF552" s="96">
        <f t="shared" si="152"/>
        <v>0</v>
      </c>
      <c r="AG552" s="96">
        <f t="shared" si="153"/>
        <v>0</v>
      </c>
      <c r="AH552" s="211" t="str">
        <f t="shared" si="143"/>
        <v>0,;!0,;!0,;!0</v>
      </c>
      <c r="AI552" s="211" t="e">
        <f>INDEX([1]Library!$AL:$AL,MATCH(AH552,[1]Library!$AJ:$AJ,0),1)</f>
        <v>#N/A</v>
      </c>
      <c r="AJ552" s="211" t="e">
        <f>TEXT(INDEX([1]Library!$W:$W,MATCH(AH552,[1]Library!$AJ:$AJ,0),1),"")</f>
        <v>#N/A</v>
      </c>
    </row>
    <row r="553" spans="1:36" ht="25.2" hidden="1" customHeight="1" outlineLevel="2">
      <c r="A553" s="228"/>
      <c r="B553" s="229"/>
      <c r="C553" s="230"/>
      <c r="D553" s="231" t="s">
        <v>537</v>
      </c>
      <c r="E553" s="232"/>
      <c r="F553" s="233"/>
      <c r="G553" s="379"/>
      <c r="H553" s="380">
        <v>92</v>
      </c>
      <c r="I553" s="234" t="s">
        <v>200</v>
      </c>
      <c r="J553" s="235">
        <v>19200</v>
      </c>
      <c r="K553" s="236">
        <v>1766400</v>
      </c>
      <c r="L553" s="235">
        <v>2112</v>
      </c>
      <c r="M553" s="236">
        <v>194304</v>
      </c>
      <c r="N553" s="237">
        <v>0</v>
      </c>
      <c r="O553" s="236">
        <v>0</v>
      </c>
      <c r="P553" s="238">
        <v>1960704</v>
      </c>
      <c r="Q553" s="239">
        <f t="shared" si="140"/>
        <v>1.05469564078885E-3</v>
      </c>
      <c r="R553" s="236">
        <f t="shared" si="141"/>
        <v>105.17895459617201</v>
      </c>
      <c r="S553" s="240">
        <f t="shared" si="142"/>
        <v>3844.5176470588199</v>
      </c>
      <c r="T553" s="241"/>
      <c r="U553" s="225"/>
      <c r="V553" s="226"/>
      <c r="W553" s="227"/>
      <c r="X553" s="226"/>
      <c r="Y553" s="226"/>
      <c r="Z553" s="226"/>
      <c r="AA553" s="226"/>
      <c r="AB553" s="226"/>
      <c r="AC553" s="226"/>
      <c r="AD553" s="96">
        <f t="shared" si="150"/>
        <v>0</v>
      </c>
      <c r="AE553" s="96">
        <f t="shared" si="151"/>
        <v>0</v>
      </c>
      <c r="AF553" s="96">
        <f t="shared" si="152"/>
        <v>0</v>
      </c>
      <c r="AG553" s="96">
        <f t="shared" si="153"/>
        <v>0</v>
      </c>
      <c r="AH553" s="211" t="str">
        <f t="shared" si="143"/>
        <v>0,;!0,;!0,;!0</v>
      </c>
      <c r="AI553" s="211" t="e">
        <f>INDEX([1]Library!$AL:$AL,MATCH(AH553,[1]Library!$AJ:$AJ,0),1)</f>
        <v>#N/A</v>
      </c>
      <c r="AJ553" s="211" t="e">
        <f>TEXT(INDEX([1]Library!$W:$W,MATCH(AH553,[1]Library!$AJ:$AJ,0),1),"")</f>
        <v>#N/A</v>
      </c>
    </row>
    <row r="554" spans="1:36" ht="25.2" hidden="1" customHeight="1" outlineLevel="2">
      <c r="A554" s="228"/>
      <c r="B554" s="229"/>
      <c r="C554" s="230"/>
      <c r="D554" s="231" t="s">
        <v>538</v>
      </c>
      <c r="E554" s="232"/>
      <c r="F554" s="233"/>
      <c r="G554" s="379"/>
      <c r="H554" s="380">
        <v>12</v>
      </c>
      <c r="I554" s="234" t="s">
        <v>200</v>
      </c>
      <c r="J554" s="235">
        <v>9200</v>
      </c>
      <c r="K554" s="236">
        <v>110400</v>
      </c>
      <c r="L554" s="235">
        <v>1012</v>
      </c>
      <c r="M554" s="236">
        <v>12144</v>
      </c>
      <c r="N554" s="237">
        <v>0</v>
      </c>
      <c r="O554" s="236">
        <v>0</v>
      </c>
      <c r="P554" s="238">
        <v>122544</v>
      </c>
      <c r="Q554" s="239">
        <f t="shared" si="140"/>
        <v>6.5918477549302797E-5</v>
      </c>
      <c r="R554" s="236">
        <f t="shared" si="141"/>
        <v>6.5736846622607503</v>
      </c>
      <c r="S554" s="240">
        <f t="shared" si="142"/>
        <v>240.28235294117599</v>
      </c>
      <c r="T554" s="241"/>
      <c r="U554" s="225"/>
      <c r="V554" s="226"/>
      <c r="W554" s="227"/>
      <c r="X554" s="226"/>
      <c r="Y554" s="226"/>
      <c r="Z554" s="226"/>
      <c r="AA554" s="226"/>
      <c r="AB554" s="226"/>
      <c r="AC554" s="226"/>
      <c r="AD554" s="96">
        <f t="shared" si="150"/>
        <v>0</v>
      </c>
      <c r="AE554" s="96">
        <f t="shared" si="151"/>
        <v>0</v>
      </c>
      <c r="AF554" s="96">
        <f t="shared" si="152"/>
        <v>0</v>
      </c>
      <c r="AG554" s="96">
        <f t="shared" si="153"/>
        <v>0</v>
      </c>
      <c r="AH554" s="211" t="str">
        <f t="shared" si="143"/>
        <v>0,;!0,;!0,;!0</v>
      </c>
      <c r="AI554" s="211" t="e">
        <f>INDEX([1]Library!$AL:$AL,MATCH(AH554,[1]Library!$AJ:$AJ,0),1)</f>
        <v>#N/A</v>
      </c>
      <c r="AJ554" s="211" t="e">
        <f>TEXT(INDEX([1]Library!$W:$W,MATCH(AH554,[1]Library!$AJ:$AJ,0),1),"")</f>
        <v>#N/A</v>
      </c>
    </row>
    <row r="555" spans="1:36" ht="25.2" hidden="1" customHeight="1" outlineLevel="2">
      <c r="A555" s="228"/>
      <c r="B555" s="229"/>
      <c r="C555" s="230"/>
      <c r="D555" s="231" t="s">
        <v>539</v>
      </c>
      <c r="E555" s="232"/>
      <c r="F555" s="233"/>
      <c r="G555" s="379"/>
      <c r="H555" s="380">
        <v>136</v>
      </c>
      <c r="I555" s="234" t="s">
        <v>200</v>
      </c>
      <c r="J555" s="235">
        <v>1925</v>
      </c>
      <c r="K555" s="236">
        <v>261800</v>
      </c>
      <c r="L555" s="235">
        <v>211.75</v>
      </c>
      <c r="M555" s="236">
        <v>28798</v>
      </c>
      <c r="N555" s="237">
        <v>0</v>
      </c>
      <c r="O555" s="236">
        <v>0</v>
      </c>
      <c r="P555" s="238">
        <v>290598</v>
      </c>
      <c r="Q555" s="239">
        <f t="shared" si="140"/>
        <v>1.5631754911600999E-4</v>
      </c>
      <c r="R555" s="236">
        <f t="shared" si="141"/>
        <v>15.588683374817601</v>
      </c>
      <c r="S555" s="240">
        <f t="shared" si="142"/>
        <v>569.79999999999995</v>
      </c>
      <c r="T555" s="241"/>
      <c r="U555" s="225"/>
      <c r="V555" s="226"/>
      <c r="W555" s="227"/>
      <c r="X555" s="226"/>
      <c r="Y555" s="226"/>
      <c r="Z555" s="226"/>
      <c r="AA555" s="226"/>
      <c r="AB555" s="226"/>
      <c r="AC555" s="226"/>
      <c r="AD555" s="96">
        <f t="shared" si="150"/>
        <v>0</v>
      </c>
      <c r="AE555" s="96">
        <f t="shared" si="151"/>
        <v>0</v>
      </c>
      <c r="AF555" s="96">
        <f t="shared" si="152"/>
        <v>0</v>
      </c>
      <c r="AG555" s="96">
        <f t="shared" si="153"/>
        <v>0</v>
      </c>
      <c r="AH555" s="211" t="str">
        <f t="shared" si="143"/>
        <v>0,;!0,;!0,;!0</v>
      </c>
      <c r="AI555" s="211" t="e">
        <f>INDEX([1]Library!$AL:$AL,MATCH(AH555,[1]Library!$AJ:$AJ,0),1)</f>
        <v>#N/A</v>
      </c>
      <c r="AJ555" s="211" t="e">
        <f>TEXT(INDEX([1]Library!$W:$W,MATCH(AH555,[1]Library!$AJ:$AJ,0),1),"")</f>
        <v>#N/A</v>
      </c>
    </row>
    <row r="556" spans="1:36" ht="25.2" hidden="1" customHeight="1" outlineLevel="2">
      <c r="A556" s="228"/>
      <c r="B556" s="229"/>
      <c r="C556" s="230"/>
      <c r="D556" s="231" t="s">
        <v>540</v>
      </c>
      <c r="E556" s="232"/>
      <c r="F556" s="233"/>
      <c r="G556" s="379"/>
      <c r="H556" s="380">
        <v>32</v>
      </c>
      <c r="I556" s="234" t="s">
        <v>200</v>
      </c>
      <c r="J556" s="235">
        <v>1309</v>
      </c>
      <c r="K556" s="236">
        <v>41888</v>
      </c>
      <c r="L556" s="235">
        <v>130.9</v>
      </c>
      <c r="M556" s="236">
        <v>4188.8</v>
      </c>
      <c r="N556" s="237">
        <v>0</v>
      </c>
      <c r="O556" s="236">
        <v>0</v>
      </c>
      <c r="P556" s="238">
        <v>46076.800000000003</v>
      </c>
      <c r="Q556" s="239">
        <f t="shared" si="140"/>
        <v>2.4785485265241199E-5</v>
      </c>
      <c r="R556" s="236">
        <f t="shared" si="141"/>
        <v>2.4717191657368498</v>
      </c>
      <c r="S556" s="240">
        <f t="shared" si="142"/>
        <v>90.346666666666707</v>
      </c>
      <c r="T556" s="241"/>
      <c r="U556" s="225"/>
      <c r="V556" s="226"/>
      <c r="W556" s="227"/>
      <c r="X556" s="226"/>
      <c r="Y556" s="226"/>
      <c r="Z556" s="226"/>
      <c r="AA556" s="226"/>
      <c r="AB556" s="226"/>
      <c r="AC556" s="226"/>
      <c r="AD556" s="96">
        <f t="shared" si="150"/>
        <v>0</v>
      </c>
      <c r="AE556" s="96">
        <f t="shared" si="151"/>
        <v>0</v>
      </c>
      <c r="AF556" s="96">
        <f t="shared" si="152"/>
        <v>0</v>
      </c>
      <c r="AG556" s="96">
        <f t="shared" si="153"/>
        <v>0</v>
      </c>
      <c r="AH556" s="211" t="str">
        <f t="shared" si="143"/>
        <v>0,;!0,;!0,;!0</v>
      </c>
      <c r="AI556" s="211" t="e">
        <f>INDEX([1]Library!$AL:$AL,MATCH(AH556,[1]Library!$AJ:$AJ,0),1)</f>
        <v>#N/A</v>
      </c>
      <c r="AJ556" s="211" t="e">
        <f>TEXT(INDEX([1]Library!$W:$W,MATCH(AH556,[1]Library!$AJ:$AJ,0),1),"")</f>
        <v>#N/A</v>
      </c>
    </row>
    <row r="557" spans="1:36" ht="24.45" hidden="1" customHeight="1" outlineLevel="2">
      <c r="A557" s="228"/>
      <c r="B557" s="229"/>
      <c r="C557" s="230"/>
      <c r="D557" s="231" t="s">
        <v>541</v>
      </c>
      <c r="E557" s="232"/>
      <c r="F557" s="233"/>
      <c r="G557" s="379"/>
      <c r="H557" s="380">
        <v>12</v>
      </c>
      <c r="I557" s="234" t="s">
        <v>200</v>
      </c>
      <c r="J557" s="235">
        <v>22071</v>
      </c>
      <c r="K557" s="236">
        <v>264852</v>
      </c>
      <c r="L557" s="235">
        <v>2207.1</v>
      </c>
      <c r="M557" s="236">
        <v>26485.200000000001</v>
      </c>
      <c r="N557" s="237">
        <v>0</v>
      </c>
      <c r="O557" s="236">
        <v>0</v>
      </c>
      <c r="P557" s="238">
        <v>291337.2</v>
      </c>
      <c r="Q557" s="239">
        <f t="shared" si="140"/>
        <v>1.56715177221869E-4</v>
      </c>
      <c r="R557" s="236">
        <f t="shared" si="141"/>
        <v>15.628336623465801</v>
      </c>
      <c r="S557" s="240">
        <f t="shared" si="142"/>
        <v>571.249411764706</v>
      </c>
      <c r="T557" s="241"/>
      <c r="U557" s="225"/>
      <c r="V557" s="226"/>
      <c r="W557" s="227"/>
      <c r="X557" s="226"/>
      <c r="Y557" s="226"/>
      <c r="Z557" s="226"/>
      <c r="AA557" s="226"/>
      <c r="AB557" s="226"/>
      <c r="AC557" s="226"/>
      <c r="AD557" s="96">
        <f t="shared" si="150"/>
        <v>0</v>
      </c>
      <c r="AE557" s="96">
        <f t="shared" si="151"/>
        <v>0</v>
      </c>
      <c r="AF557" s="96">
        <f t="shared" si="152"/>
        <v>0</v>
      </c>
      <c r="AG557" s="96">
        <f t="shared" si="153"/>
        <v>0</v>
      </c>
      <c r="AH557" s="211" t="str">
        <f t="shared" si="143"/>
        <v>0,;!0,;!0,;!0</v>
      </c>
      <c r="AI557" s="211" t="e">
        <f>INDEX([1]Library!$AL:$AL,MATCH(AH557,[1]Library!$AJ:$AJ,0),1)</f>
        <v>#N/A</v>
      </c>
      <c r="AJ557" s="211" t="e">
        <f>TEXT(INDEX([1]Library!$W:$W,MATCH(AH557,[1]Library!$AJ:$AJ,0),1),"")</f>
        <v>#N/A</v>
      </c>
    </row>
    <row r="558" spans="1:36" ht="25.2" hidden="1" customHeight="1" outlineLevel="2">
      <c r="A558" s="228"/>
      <c r="B558" s="229"/>
      <c r="C558" s="230"/>
      <c r="D558" s="231" t="s">
        <v>542</v>
      </c>
      <c r="E558" s="232"/>
      <c r="F558" s="233"/>
      <c r="G558" s="379"/>
      <c r="H558" s="380">
        <v>12</v>
      </c>
      <c r="I558" s="234" t="s">
        <v>200</v>
      </c>
      <c r="J558" s="235">
        <v>650</v>
      </c>
      <c r="K558" s="236">
        <v>7800</v>
      </c>
      <c r="L558" s="235">
        <v>65</v>
      </c>
      <c r="M558" s="236">
        <v>780</v>
      </c>
      <c r="N558" s="237">
        <v>0</v>
      </c>
      <c r="O558" s="236">
        <v>0</v>
      </c>
      <c r="P558" s="238">
        <v>8580</v>
      </c>
      <c r="Q558" s="239">
        <f t="shared" si="140"/>
        <v>4.61532622872616E-6</v>
      </c>
      <c r="R558" s="236">
        <f t="shared" si="141"/>
        <v>0.46026092180928702</v>
      </c>
      <c r="S558" s="240">
        <f t="shared" si="142"/>
        <v>16.823529411764699</v>
      </c>
      <c r="T558" s="241"/>
      <c r="U558" s="225"/>
      <c r="V558" s="226"/>
      <c r="W558" s="227"/>
      <c r="X558" s="226"/>
      <c r="Y558" s="226"/>
      <c r="Z558" s="226"/>
      <c r="AA558" s="226"/>
      <c r="AB558" s="226"/>
      <c r="AC558" s="226"/>
      <c r="AD558" s="96">
        <f>IF(X558&lt;&gt;0,IF($X558&gt;=AD$12,#REF!,""),Z558)</f>
        <v>0</v>
      </c>
      <c r="AE558" s="96">
        <f>IF(AA558=" ",IF($X558&gt;=AE$12,#REF!,""),AA558)</f>
        <v>0</v>
      </c>
      <c r="AF558" s="96">
        <f>IF(AB558=" ",IF($X558&gt;=AF$12,#REF!,""),AB558)</f>
        <v>0</v>
      </c>
      <c r="AG558" s="96">
        <f>IF(AC558=" ",IF($X558&gt;=AG$12,#REF!,""),AC558)</f>
        <v>0</v>
      </c>
      <c r="AH558" s="211" t="str">
        <f t="shared" si="143"/>
        <v>0,;!0,;!0,;!0</v>
      </c>
      <c r="AI558" s="211" t="e">
        <f>INDEX([1]Library!$AL:$AL,MATCH(AH558,[1]Library!$AJ:$AJ,0),1)</f>
        <v>#N/A</v>
      </c>
      <c r="AJ558" s="211" t="e">
        <f>TEXT(INDEX([1]Library!$W:$W,MATCH(AH558,[1]Library!$AJ:$AJ,0),1),"")</f>
        <v>#N/A</v>
      </c>
    </row>
    <row r="559" spans="1:36" ht="25.2" hidden="1" customHeight="1" outlineLevel="2">
      <c r="A559" s="228"/>
      <c r="B559" s="229"/>
      <c r="C559" s="230"/>
      <c r="D559" s="231" t="s">
        <v>543</v>
      </c>
      <c r="E559" s="232"/>
      <c r="F559" s="233"/>
      <c r="G559" s="379"/>
      <c r="H559" s="380">
        <v>8</v>
      </c>
      <c r="I559" s="234" t="s">
        <v>200</v>
      </c>
      <c r="J559" s="235">
        <v>15030.3375</v>
      </c>
      <c r="K559" s="236">
        <v>120242.7</v>
      </c>
      <c r="L559" s="235">
        <v>1503.0337500000001</v>
      </c>
      <c r="M559" s="236">
        <v>12024.27</v>
      </c>
      <c r="N559" s="237">
        <v>0</v>
      </c>
      <c r="O559" s="236">
        <v>0</v>
      </c>
      <c r="P559" s="238">
        <v>132266.97</v>
      </c>
      <c r="Q559" s="239">
        <f t="shared" si="140"/>
        <v>7.1148626554211594E-5</v>
      </c>
      <c r="R559" s="236">
        <f t="shared" si="141"/>
        <v>7.0952584542099402</v>
      </c>
      <c r="S559" s="240">
        <f t="shared" si="142"/>
        <v>259.34699999999998</v>
      </c>
      <c r="T559" s="241"/>
      <c r="U559" s="225"/>
      <c r="V559" s="226"/>
      <c r="W559" s="227"/>
      <c r="X559" s="226"/>
      <c r="Y559" s="226"/>
      <c r="Z559" s="226"/>
      <c r="AA559" s="226"/>
      <c r="AB559" s="226"/>
      <c r="AC559" s="226"/>
      <c r="AD559" s="96">
        <f>IF(X559&lt;&gt;0,IF($X559&gt;=AD$12,AD558,""),Z559)</f>
        <v>0</v>
      </c>
      <c r="AE559" s="96">
        <f>IF(AA559=" ",IF($X559&gt;=AE$12,AE558,""),AA559)</f>
        <v>0</v>
      </c>
      <c r="AF559" s="96">
        <f>IF(AB559=" ",IF($X559&gt;=AF$12,AF558,""),AB559)</f>
        <v>0</v>
      </c>
      <c r="AG559" s="96">
        <f>IF(AC559=" ",IF($X559&gt;=AG$12,AG558,""),AC559)</f>
        <v>0</v>
      </c>
      <c r="AH559" s="211" t="str">
        <f t="shared" si="143"/>
        <v>0,;!0,;!0,;!0</v>
      </c>
      <c r="AI559" s="211" t="e">
        <f>INDEX([1]Library!$AL:$AL,MATCH(AH559,[1]Library!$AJ:$AJ,0),1)</f>
        <v>#N/A</v>
      </c>
      <c r="AJ559" s="211" t="e">
        <f>TEXT(INDEX([1]Library!$W:$W,MATCH(AH559,[1]Library!$AJ:$AJ,0),1),"")</f>
        <v>#N/A</v>
      </c>
    </row>
    <row r="560" spans="1:36" ht="25.2" hidden="1" customHeight="1" outlineLevel="2">
      <c r="A560" s="228"/>
      <c r="B560" s="229"/>
      <c r="C560" s="230"/>
      <c r="D560" s="231" t="s">
        <v>544</v>
      </c>
      <c r="E560" s="232"/>
      <c r="F560" s="233"/>
      <c r="G560" s="379"/>
      <c r="H560" s="380">
        <v>12</v>
      </c>
      <c r="I560" s="234" t="s">
        <v>200</v>
      </c>
      <c r="J560" s="235">
        <v>19642.857142857101</v>
      </c>
      <c r="K560" s="236">
        <v>235714.285714286</v>
      </c>
      <c r="L560" s="235">
        <v>2946.4285714285702</v>
      </c>
      <c r="M560" s="236">
        <v>35357.142857142899</v>
      </c>
      <c r="N560" s="237">
        <v>0</v>
      </c>
      <c r="O560" s="236">
        <v>0</v>
      </c>
      <c r="P560" s="238">
        <v>271071.42857142899</v>
      </c>
      <c r="Q560" s="239">
        <f t="shared" si="140"/>
        <v>1.45813878105359E-4</v>
      </c>
      <c r="R560" s="236">
        <f t="shared" si="141"/>
        <v>14.541210441776901</v>
      </c>
      <c r="S560" s="240">
        <f t="shared" si="142"/>
        <v>531.51260504201798</v>
      </c>
      <c r="T560" s="241"/>
      <c r="U560" s="225"/>
      <c r="V560" s="226"/>
      <c r="W560" s="227"/>
      <c r="X560" s="226"/>
      <c r="Y560" s="226"/>
      <c r="Z560" s="226"/>
      <c r="AA560" s="226"/>
      <c r="AB560" s="226"/>
      <c r="AC560" s="226"/>
      <c r="AD560" s="96">
        <f>IF(X560&lt;&gt;0,IF($X560&gt;=AD$12,#REF!,""),Z560)</f>
        <v>0</v>
      </c>
      <c r="AE560" s="96">
        <f>IF(AA560=" ",IF($X560&gt;=AE$12,#REF!,""),AA560)</f>
        <v>0</v>
      </c>
      <c r="AF560" s="96">
        <f>IF(AB560=" ",IF($X560&gt;=AF$12,#REF!,""),AB560)</f>
        <v>0</v>
      </c>
      <c r="AG560" s="96">
        <f>IF(AC560=" ",IF($X560&gt;=AG$12,#REF!,""),AC560)</f>
        <v>0</v>
      </c>
      <c r="AH560" s="211" t="str">
        <f t="shared" si="143"/>
        <v>0,;!0,;!0,;!0</v>
      </c>
      <c r="AI560" s="211" t="e">
        <f>INDEX([1]Library!$AL:$AL,MATCH(AH560,[1]Library!$AJ:$AJ,0),1)</f>
        <v>#N/A</v>
      </c>
      <c r="AJ560" s="211" t="e">
        <f>TEXT(INDEX([1]Library!$W:$W,MATCH(AH560,[1]Library!$AJ:$AJ,0),1),"")</f>
        <v>#N/A</v>
      </c>
    </row>
    <row r="561" spans="1:36" ht="25.2" hidden="1" customHeight="1" outlineLevel="2">
      <c r="A561" s="228"/>
      <c r="B561" s="229"/>
      <c r="C561" s="230"/>
      <c r="D561" s="231" t="s">
        <v>545</v>
      </c>
      <c r="E561" s="232"/>
      <c r="F561" s="233"/>
      <c r="G561" s="379"/>
      <c r="H561" s="380">
        <v>12</v>
      </c>
      <c r="I561" s="234" t="s">
        <v>200</v>
      </c>
      <c r="J561" s="235">
        <v>1620</v>
      </c>
      <c r="K561" s="236">
        <v>19440</v>
      </c>
      <c r="L561" s="235">
        <v>162</v>
      </c>
      <c r="M561" s="236">
        <v>1944</v>
      </c>
      <c r="N561" s="237">
        <v>0</v>
      </c>
      <c r="O561" s="236">
        <v>0</v>
      </c>
      <c r="P561" s="238">
        <v>21384</v>
      </c>
      <c r="Q561" s="239">
        <f t="shared" si="140"/>
        <v>1.15028130623637E-5</v>
      </c>
      <c r="R561" s="236">
        <f t="shared" si="141"/>
        <v>1.1471118358939101</v>
      </c>
      <c r="S561" s="240">
        <f t="shared" si="142"/>
        <v>41.929411764705897</v>
      </c>
      <c r="T561" s="241"/>
      <c r="U561" s="225"/>
      <c r="V561" s="226"/>
      <c r="W561" s="227"/>
      <c r="X561" s="226"/>
      <c r="Y561" s="226"/>
      <c r="Z561" s="226"/>
      <c r="AA561" s="226"/>
      <c r="AB561" s="226"/>
      <c r="AC561" s="226"/>
      <c r="AD561" s="96">
        <f>IF(X561&lt;&gt;0,IF($X561&gt;=AD$12,AD560,""),Z561)</f>
        <v>0</v>
      </c>
      <c r="AE561" s="96">
        <f t="shared" ref="AE561:AG563" si="154">IF(AA561=" ",IF($X561&gt;=AE$12,AE560,""),AA561)</f>
        <v>0</v>
      </c>
      <c r="AF561" s="96">
        <f t="shared" si="154"/>
        <v>0</v>
      </c>
      <c r="AG561" s="96">
        <f t="shared" si="154"/>
        <v>0</v>
      </c>
      <c r="AH561" s="211" t="str">
        <f t="shared" si="143"/>
        <v>0,;!0,;!0,;!0</v>
      </c>
      <c r="AI561" s="211" t="e">
        <f>INDEX([1]Library!$AL:$AL,MATCH(AH561,[1]Library!$AJ:$AJ,0),1)</f>
        <v>#N/A</v>
      </c>
      <c r="AJ561" s="211" t="e">
        <f>TEXT(INDEX([1]Library!$W:$W,MATCH(AH561,[1]Library!$AJ:$AJ,0),1),"")</f>
        <v>#N/A</v>
      </c>
    </row>
    <row r="562" spans="1:36" ht="25.2" hidden="1" customHeight="1" outlineLevel="2">
      <c r="A562" s="228"/>
      <c r="B562" s="229"/>
      <c r="C562" s="230"/>
      <c r="D562" s="231" t="s">
        <v>546</v>
      </c>
      <c r="E562" s="232"/>
      <c r="F562" s="233"/>
      <c r="G562" s="379"/>
      <c r="H562" s="380">
        <v>36</v>
      </c>
      <c r="I562" s="234" t="s">
        <v>200</v>
      </c>
      <c r="J562" s="235">
        <v>3600</v>
      </c>
      <c r="K562" s="236">
        <v>129600</v>
      </c>
      <c r="L562" s="235">
        <v>1080</v>
      </c>
      <c r="M562" s="236">
        <v>38880</v>
      </c>
      <c r="N562" s="237">
        <v>0</v>
      </c>
      <c r="O562" s="236">
        <v>0</v>
      </c>
      <c r="P562" s="238">
        <v>168480</v>
      </c>
      <c r="Q562" s="239">
        <f t="shared" si="140"/>
        <v>9.0628224127713595E-5</v>
      </c>
      <c r="R562" s="236">
        <f t="shared" si="141"/>
        <v>9.03785082825509</v>
      </c>
      <c r="S562" s="240">
        <f t="shared" si="142"/>
        <v>330.35294117647101</v>
      </c>
      <c r="T562" s="241"/>
      <c r="U562" s="225"/>
      <c r="V562" s="226"/>
      <c r="W562" s="227"/>
      <c r="X562" s="226"/>
      <c r="Y562" s="226"/>
      <c r="Z562" s="226"/>
      <c r="AA562" s="226"/>
      <c r="AB562" s="226"/>
      <c r="AC562" s="226"/>
      <c r="AD562" s="96">
        <f>IF(X562&lt;&gt;0,IF($X562&gt;=AD$12,AD561,""),Z562)</f>
        <v>0</v>
      </c>
      <c r="AE562" s="96">
        <f t="shared" si="154"/>
        <v>0</v>
      </c>
      <c r="AF562" s="96">
        <f t="shared" si="154"/>
        <v>0</v>
      </c>
      <c r="AG562" s="96">
        <f t="shared" si="154"/>
        <v>0</v>
      </c>
      <c r="AH562" s="211" t="str">
        <f t="shared" si="143"/>
        <v>0,;!0,;!0,;!0</v>
      </c>
      <c r="AI562" s="211" t="e">
        <f>INDEX([1]Library!$AL:$AL,MATCH(AH562,[1]Library!$AJ:$AJ,0),1)</f>
        <v>#N/A</v>
      </c>
      <c r="AJ562" s="211" t="e">
        <f>TEXT(INDEX([1]Library!$W:$W,MATCH(AH562,[1]Library!$AJ:$AJ,0),1),"")</f>
        <v>#N/A</v>
      </c>
    </row>
    <row r="563" spans="1:36" ht="24" hidden="1" customHeight="1" outlineLevel="2">
      <c r="A563" s="228"/>
      <c r="B563" s="229"/>
      <c r="C563" s="230"/>
      <c r="D563" s="231" t="s">
        <v>547</v>
      </c>
      <c r="E563" s="232"/>
      <c r="F563" s="233"/>
      <c r="G563" s="379"/>
      <c r="H563" s="380">
        <v>12</v>
      </c>
      <c r="I563" s="234" t="s">
        <v>200</v>
      </c>
      <c r="J563" s="235">
        <v>164500</v>
      </c>
      <c r="K563" s="236">
        <v>1974000</v>
      </c>
      <c r="L563" s="235">
        <v>16450</v>
      </c>
      <c r="M563" s="236">
        <v>197400</v>
      </c>
      <c r="N563" s="237">
        <v>0</v>
      </c>
      <c r="O563" s="236">
        <v>0</v>
      </c>
      <c r="P563" s="238">
        <v>2171400</v>
      </c>
      <c r="Q563" s="239">
        <f t="shared" si="140"/>
        <v>1.16803256096224E-3</v>
      </c>
      <c r="R563" s="236">
        <f t="shared" si="141"/>
        <v>116.481417904043</v>
      </c>
      <c r="S563" s="240">
        <f t="shared" si="142"/>
        <v>4257.6470588235297</v>
      </c>
      <c r="T563" s="241"/>
      <c r="U563" s="225"/>
      <c r="V563" s="226"/>
      <c r="W563" s="227"/>
      <c r="X563" s="226"/>
      <c r="Y563" s="226"/>
      <c r="Z563" s="226"/>
      <c r="AA563" s="226"/>
      <c r="AB563" s="226"/>
      <c r="AC563" s="226"/>
      <c r="AD563" s="96">
        <f>IF(X563&lt;&gt;0,IF($X563&gt;=AD$12,AD562,""),Z563)</f>
        <v>0</v>
      </c>
      <c r="AE563" s="96">
        <f t="shared" si="154"/>
        <v>0</v>
      </c>
      <c r="AF563" s="96">
        <f t="shared" si="154"/>
        <v>0</v>
      </c>
      <c r="AG563" s="96">
        <f t="shared" si="154"/>
        <v>0</v>
      </c>
      <c r="AH563" s="211" t="str">
        <f t="shared" si="143"/>
        <v>0,;!0,;!0,;!0</v>
      </c>
      <c r="AI563" s="211" t="e">
        <f>INDEX([1]Library!$AL:$AL,MATCH(AH563,[1]Library!$AJ:$AJ,0),1)</f>
        <v>#N/A</v>
      </c>
      <c r="AJ563" s="211" t="e">
        <f>TEXT(INDEX([1]Library!$W:$W,MATCH(AH563,[1]Library!$AJ:$AJ,0),1),"")</f>
        <v>#N/A</v>
      </c>
    </row>
    <row r="564" spans="1:36" ht="25.2" hidden="1" customHeight="1" outlineLevel="2">
      <c r="A564" s="228"/>
      <c r="B564" s="229"/>
      <c r="C564" s="230"/>
      <c r="D564" s="231" t="s">
        <v>548</v>
      </c>
      <c r="E564" s="232"/>
      <c r="F564" s="233"/>
      <c r="G564" s="379"/>
      <c r="H564" s="380">
        <v>8</v>
      </c>
      <c r="I564" s="234" t="s">
        <v>200</v>
      </c>
      <c r="J564" s="235">
        <v>72850</v>
      </c>
      <c r="K564" s="236">
        <v>582800</v>
      </c>
      <c r="L564" s="235">
        <v>7285</v>
      </c>
      <c r="M564" s="236">
        <v>58280</v>
      </c>
      <c r="N564" s="237">
        <v>0</v>
      </c>
      <c r="O564" s="236">
        <v>0</v>
      </c>
      <c r="P564" s="238">
        <v>641080</v>
      </c>
      <c r="Q564" s="239">
        <f t="shared" si="140"/>
        <v>3.44847708474565E-4</v>
      </c>
      <c r="R564" s="236">
        <f t="shared" si="141"/>
        <v>34.389751952622099</v>
      </c>
      <c r="S564" s="240">
        <f t="shared" si="142"/>
        <v>1257.01960784314</v>
      </c>
      <c r="T564" s="241"/>
      <c r="U564" s="225"/>
      <c r="V564" s="226"/>
      <c r="W564" s="227"/>
      <c r="X564" s="226"/>
      <c r="Y564" s="226"/>
      <c r="Z564" s="226"/>
      <c r="AA564" s="226"/>
      <c r="AB564" s="226"/>
      <c r="AC564" s="226"/>
      <c r="AD564" s="96">
        <f>IF(X564&lt;&gt;0,IF($X564&gt;=AD$12,#REF!,""),Z564)</f>
        <v>0</v>
      </c>
      <c r="AE564" s="96">
        <f>IF(AA564=" ",IF($X564&gt;=AE$12,#REF!,""),AA564)</f>
        <v>0</v>
      </c>
      <c r="AF564" s="96">
        <f>IF(AB564=" ",IF($X564&gt;=AF$12,#REF!,""),AB564)</f>
        <v>0</v>
      </c>
      <c r="AG564" s="96">
        <f>IF(AC564=" ",IF($X564&gt;=AG$12,#REF!,""),AC564)</f>
        <v>0</v>
      </c>
      <c r="AH564" s="211" t="str">
        <f t="shared" si="143"/>
        <v>0,;!0,;!0,;!0</v>
      </c>
      <c r="AI564" s="211" t="e">
        <f>INDEX([1]Library!$AL:$AL,MATCH(AH564,[1]Library!$AJ:$AJ,0),1)</f>
        <v>#N/A</v>
      </c>
      <c r="AJ564" s="211" t="e">
        <f>TEXT(INDEX([1]Library!$W:$W,MATCH(AH564,[1]Library!$AJ:$AJ,0),1),"")</f>
        <v>#N/A</v>
      </c>
    </row>
    <row r="565" spans="1:36" ht="25.2" hidden="1" customHeight="1" outlineLevel="2">
      <c r="A565" s="228"/>
      <c r="B565" s="229"/>
      <c r="C565" s="230"/>
      <c r="D565" s="231" t="s">
        <v>549</v>
      </c>
      <c r="E565" s="232"/>
      <c r="F565" s="233"/>
      <c r="G565" s="379"/>
      <c r="H565" s="380">
        <v>8</v>
      </c>
      <c r="I565" s="234" t="s">
        <v>200</v>
      </c>
      <c r="J565" s="235">
        <v>98347.5</v>
      </c>
      <c r="K565" s="236">
        <v>786780</v>
      </c>
      <c r="L565" s="235">
        <v>9834.75</v>
      </c>
      <c r="M565" s="236">
        <v>78678</v>
      </c>
      <c r="N565" s="237">
        <v>0</v>
      </c>
      <c r="O565" s="236">
        <v>0</v>
      </c>
      <c r="P565" s="238">
        <v>865458</v>
      </c>
      <c r="Q565" s="239">
        <f t="shared" si="140"/>
        <v>4.6554440644066202E-4</v>
      </c>
      <c r="R565" s="236">
        <f t="shared" si="141"/>
        <v>46.426165136039799</v>
      </c>
      <c r="S565" s="240">
        <f t="shared" si="142"/>
        <v>1696.9764705882401</v>
      </c>
      <c r="T565" s="241"/>
      <c r="U565" s="225"/>
      <c r="V565" s="226"/>
      <c r="W565" s="227"/>
      <c r="X565" s="226"/>
      <c r="Y565" s="226"/>
      <c r="Z565" s="226"/>
      <c r="AA565" s="226"/>
      <c r="AB565" s="226"/>
      <c r="AC565" s="226"/>
      <c r="AD565" s="96">
        <f t="shared" ref="AD565:AD580" si="155">IF(X565&lt;&gt;0,IF($X565&gt;=AD$12,AD564,""),Z565)</f>
        <v>0</v>
      </c>
      <c r="AE565" s="96">
        <f t="shared" ref="AE565:AE580" si="156">IF(AA565=" ",IF($X565&gt;=AE$12,AE564,""),AA565)</f>
        <v>0</v>
      </c>
      <c r="AF565" s="96">
        <f t="shared" ref="AF565:AF580" si="157">IF(AB565=" ",IF($X565&gt;=AF$12,AF564,""),AB565)</f>
        <v>0</v>
      </c>
      <c r="AG565" s="96">
        <f t="shared" ref="AG565:AG580" si="158">IF(AC565=" ",IF($X565&gt;=AG$12,AG564,""),AC565)</f>
        <v>0</v>
      </c>
      <c r="AH565" s="211" t="str">
        <f t="shared" si="143"/>
        <v>0,;!0,;!0,;!0</v>
      </c>
      <c r="AI565" s="211" t="e">
        <f>INDEX([1]Library!$AL:$AL,MATCH(AH565,[1]Library!$AJ:$AJ,0),1)</f>
        <v>#N/A</v>
      </c>
      <c r="AJ565" s="211" t="e">
        <f>TEXT(INDEX([1]Library!$W:$W,MATCH(AH565,[1]Library!$AJ:$AJ,0),1),"")</f>
        <v>#N/A</v>
      </c>
    </row>
    <row r="566" spans="1:36" ht="25.2" hidden="1" customHeight="1" outlineLevel="2">
      <c r="A566" s="228"/>
      <c r="B566" s="229"/>
      <c r="C566" s="230"/>
      <c r="D566" s="231" t="s">
        <v>550</v>
      </c>
      <c r="E566" s="232"/>
      <c r="F566" s="233"/>
      <c r="G566" s="379"/>
      <c r="H566" s="380">
        <v>12</v>
      </c>
      <c r="I566" s="234" t="s">
        <v>200</v>
      </c>
      <c r="J566" s="235">
        <v>92967</v>
      </c>
      <c r="K566" s="236">
        <v>1115604</v>
      </c>
      <c r="L566" s="235">
        <v>13945.05</v>
      </c>
      <c r="M566" s="236">
        <v>167340.6</v>
      </c>
      <c r="N566" s="237">
        <v>0</v>
      </c>
      <c r="O566" s="236">
        <v>0</v>
      </c>
      <c r="P566" s="238">
        <v>1282944.6000000001</v>
      </c>
      <c r="Q566" s="239">
        <f t="shared" si="140"/>
        <v>6.9011746647815696E-4</v>
      </c>
      <c r="R566" s="236">
        <f t="shared" si="141"/>
        <v>68.821592567161602</v>
      </c>
      <c r="S566" s="240">
        <f t="shared" si="142"/>
        <v>2515.5776470588198</v>
      </c>
      <c r="T566" s="241"/>
      <c r="U566" s="225"/>
      <c r="V566" s="226"/>
      <c r="W566" s="227"/>
      <c r="X566" s="226"/>
      <c r="Y566" s="226"/>
      <c r="Z566" s="226"/>
      <c r="AA566" s="226"/>
      <c r="AB566" s="226"/>
      <c r="AC566" s="226"/>
      <c r="AD566" s="96">
        <f t="shared" si="155"/>
        <v>0</v>
      </c>
      <c r="AE566" s="96">
        <f t="shared" si="156"/>
        <v>0</v>
      </c>
      <c r="AF566" s="96">
        <f t="shared" si="157"/>
        <v>0</v>
      </c>
      <c r="AG566" s="96">
        <f t="shared" si="158"/>
        <v>0</v>
      </c>
      <c r="AH566" s="211" t="str">
        <f t="shared" si="143"/>
        <v>0,;!0,;!0,;!0</v>
      </c>
      <c r="AI566" s="211" t="e">
        <f>INDEX([1]Library!$AL:$AL,MATCH(AH566,[1]Library!$AJ:$AJ,0),1)</f>
        <v>#N/A</v>
      </c>
      <c r="AJ566" s="211" t="e">
        <f>TEXT(INDEX([1]Library!$W:$W,MATCH(AH566,[1]Library!$AJ:$AJ,0),1),"")</f>
        <v>#N/A</v>
      </c>
    </row>
    <row r="567" spans="1:36" ht="25.2" hidden="1" customHeight="1" outlineLevel="2">
      <c r="A567" s="228"/>
      <c r="B567" s="229"/>
      <c r="C567" s="230"/>
      <c r="D567" s="231" t="s">
        <v>551</v>
      </c>
      <c r="E567" s="232"/>
      <c r="F567" s="233"/>
      <c r="G567" s="379"/>
      <c r="H567" s="380">
        <v>24</v>
      </c>
      <c r="I567" s="234" t="s">
        <v>200</v>
      </c>
      <c r="J567" s="235">
        <v>2232.1428571428601</v>
      </c>
      <c r="K567" s="236">
        <v>53571.428571428602</v>
      </c>
      <c r="L567" s="235">
        <v>223.21428571428601</v>
      </c>
      <c r="M567" s="236">
        <v>5357.1428571428596</v>
      </c>
      <c r="N567" s="237">
        <v>0</v>
      </c>
      <c r="O567" s="236">
        <v>0</v>
      </c>
      <c r="P567" s="238">
        <v>58928.571428571398</v>
      </c>
      <c r="Q567" s="239">
        <f t="shared" si="140"/>
        <v>3.1698669153339002E-5</v>
      </c>
      <c r="R567" s="236">
        <f t="shared" si="141"/>
        <v>3.16113270473411</v>
      </c>
      <c r="S567" s="240">
        <f t="shared" si="142"/>
        <v>115.546218487395</v>
      </c>
      <c r="T567" s="241"/>
      <c r="U567" s="225"/>
      <c r="V567" s="226"/>
      <c r="W567" s="227"/>
      <c r="X567" s="226"/>
      <c r="Y567" s="226"/>
      <c r="Z567" s="226"/>
      <c r="AA567" s="226"/>
      <c r="AB567" s="226"/>
      <c r="AC567" s="226"/>
      <c r="AD567" s="96">
        <f t="shared" si="155"/>
        <v>0</v>
      </c>
      <c r="AE567" s="96">
        <f t="shared" si="156"/>
        <v>0</v>
      </c>
      <c r="AF567" s="96">
        <f t="shared" si="157"/>
        <v>0</v>
      </c>
      <c r="AG567" s="96">
        <f t="shared" si="158"/>
        <v>0</v>
      </c>
      <c r="AH567" s="211" t="str">
        <f t="shared" si="143"/>
        <v>0,;!0,;!0,;!0</v>
      </c>
      <c r="AI567" s="211" t="e">
        <f>INDEX([1]Library!$AL:$AL,MATCH(AH567,[1]Library!$AJ:$AJ,0),1)</f>
        <v>#N/A</v>
      </c>
      <c r="AJ567" s="211" t="e">
        <f>TEXT(INDEX([1]Library!$W:$W,MATCH(AH567,[1]Library!$AJ:$AJ,0),1),"")</f>
        <v>#N/A</v>
      </c>
    </row>
    <row r="568" spans="1:36" ht="25.2" hidden="1" customHeight="1" outlineLevel="1" collapsed="1">
      <c r="A568" s="213"/>
      <c r="B568" s="214"/>
      <c r="C568" s="215" t="s">
        <v>552</v>
      </c>
      <c r="D568" s="215"/>
      <c r="E568" s="216"/>
      <c r="F568" s="217"/>
      <c r="G568" s="379"/>
      <c r="H568" s="219">
        <v>1</v>
      </c>
      <c r="I568" s="218" t="s">
        <v>32</v>
      </c>
      <c r="J568" s="219">
        <v>25921834.331880402</v>
      </c>
      <c r="K568" s="219">
        <v>25921834.331880402</v>
      </c>
      <c r="L568" s="219">
        <v>7064154.5485102702</v>
      </c>
      <c r="M568" s="219">
        <v>7064154.5485102702</v>
      </c>
      <c r="N568" s="219">
        <v>0</v>
      </c>
      <c r="O568" s="219">
        <v>0</v>
      </c>
      <c r="P568" s="220">
        <v>32985988.8803907</v>
      </c>
      <c r="Q568" s="221">
        <f t="shared" si="140"/>
        <v>1.7743717909106799E-2</v>
      </c>
      <c r="R568" s="222">
        <f t="shared" si="141"/>
        <v>1769.48270965962</v>
      </c>
      <c r="S568" s="223">
        <f t="shared" si="142"/>
        <v>64678.409569393501</v>
      </c>
      <c r="T568" s="224"/>
      <c r="U568" s="225"/>
      <c r="V568" s="226"/>
      <c r="W568" s="227"/>
      <c r="X568" s="226"/>
      <c r="Y568" s="226"/>
      <c r="Z568" s="226"/>
      <c r="AA568" s="226"/>
      <c r="AB568" s="226"/>
      <c r="AC568" s="226"/>
      <c r="AD568" s="96">
        <f t="shared" si="155"/>
        <v>0</v>
      </c>
      <c r="AE568" s="96">
        <f t="shared" si="156"/>
        <v>0</v>
      </c>
      <c r="AF568" s="96">
        <f t="shared" si="157"/>
        <v>0</v>
      </c>
      <c r="AG568" s="96">
        <f t="shared" si="158"/>
        <v>0</v>
      </c>
      <c r="AH568" s="211" t="str">
        <f t="shared" si="143"/>
        <v>0,;!0,;!0,;!0</v>
      </c>
      <c r="AI568" s="211" t="e">
        <f>INDEX([1]Library!$AL:$AL,MATCH(AH568,[1]Library!$AJ:$AJ,0),1)</f>
        <v>#N/A</v>
      </c>
      <c r="AJ568" s="211" t="e">
        <f>TEXT(INDEX([1]Library!$W:$W,MATCH(AH568,[1]Library!$AJ:$AJ,0),1),"")</f>
        <v>#N/A</v>
      </c>
    </row>
    <row r="569" spans="1:36" ht="25.2" hidden="1" customHeight="1" outlineLevel="2">
      <c r="A569" s="228"/>
      <c r="B569" s="229"/>
      <c r="C569" s="230"/>
      <c r="D569" s="231" t="s">
        <v>553</v>
      </c>
      <c r="E569" s="232"/>
      <c r="F569" s="233"/>
      <c r="G569" s="379"/>
      <c r="H569" s="380">
        <v>3464</v>
      </c>
      <c r="I569" s="234" t="s">
        <v>176</v>
      </c>
      <c r="J569" s="235">
        <v>1617.6668618266999</v>
      </c>
      <c r="K569" s="236">
        <v>5603598.0093676904</v>
      </c>
      <c r="L569" s="235">
        <v>647.06674473068006</v>
      </c>
      <c r="M569" s="236">
        <v>2241439.2037470802</v>
      </c>
      <c r="N569" s="237">
        <v>0</v>
      </c>
      <c r="O569" s="236">
        <v>0</v>
      </c>
      <c r="P569" s="238">
        <v>7845037.2131147599</v>
      </c>
      <c r="Q569" s="239">
        <f t="shared" si="140"/>
        <v>4.2199773910281298E-3</v>
      </c>
      <c r="R569" s="236">
        <f t="shared" si="141"/>
        <v>420.83497195062398</v>
      </c>
      <c r="S569" s="240">
        <f t="shared" si="142"/>
        <v>15382.4259080682</v>
      </c>
      <c r="T569" s="241"/>
      <c r="U569" s="225"/>
      <c r="V569" s="226"/>
      <c r="W569" s="227"/>
      <c r="X569" s="226"/>
      <c r="Y569" s="226"/>
      <c r="Z569" s="226"/>
      <c r="AA569" s="226"/>
      <c r="AB569" s="226"/>
      <c r="AC569" s="226"/>
      <c r="AD569" s="96">
        <f t="shared" si="155"/>
        <v>0</v>
      </c>
      <c r="AE569" s="96">
        <f t="shared" si="156"/>
        <v>0</v>
      </c>
      <c r="AF569" s="96">
        <f t="shared" si="157"/>
        <v>0</v>
      </c>
      <c r="AG569" s="96">
        <f t="shared" si="158"/>
        <v>0</v>
      </c>
      <c r="AH569" s="211" t="str">
        <f t="shared" si="143"/>
        <v>0,;!0,;!0,;!0</v>
      </c>
      <c r="AI569" s="211" t="e">
        <f>INDEX([1]Library!$AL:$AL,MATCH(AH569,[1]Library!$AJ:$AJ,0),1)</f>
        <v>#N/A</v>
      </c>
      <c r="AJ569" s="211" t="e">
        <f>TEXT(INDEX([1]Library!$W:$W,MATCH(AH569,[1]Library!$AJ:$AJ,0),1),"")</f>
        <v>#N/A</v>
      </c>
    </row>
    <row r="570" spans="1:36" ht="25.2" hidden="1" customHeight="1" outlineLevel="2">
      <c r="A570" s="228"/>
      <c r="B570" s="229"/>
      <c r="C570" s="230"/>
      <c r="D570" s="231" t="s">
        <v>554</v>
      </c>
      <c r="E570" s="232"/>
      <c r="F570" s="233"/>
      <c r="G570" s="379"/>
      <c r="H570" s="380">
        <v>1020</v>
      </c>
      <c r="I570" s="234" t="s">
        <v>200</v>
      </c>
      <c r="J570" s="235">
        <v>5225.0446428571404</v>
      </c>
      <c r="K570" s="236">
        <v>5329545.5357142901</v>
      </c>
      <c r="L570" s="235">
        <v>522.50446428571399</v>
      </c>
      <c r="M570" s="236">
        <v>532954.55357142899</v>
      </c>
      <c r="N570" s="237">
        <v>0</v>
      </c>
      <c r="O570" s="236">
        <v>0</v>
      </c>
      <c r="P570" s="238">
        <v>5862500.0892857099</v>
      </c>
      <c r="Q570" s="239">
        <f t="shared" si="140"/>
        <v>3.15353734591956E-3</v>
      </c>
      <c r="R570" s="236">
        <f t="shared" si="141"/>
        <v>314.48481296056701</v>
      </c>
      <c r="S570" s="240">
        <f t="shared" si="142"/>
        <v>11495.098214285699</v>
      </c>
      <c r="T570" s="241"/>
      <c r="U570" s="225"/>
      <c r="V570" s="226"/>
      <c r="W570" s="227"/>
      <c r="X570" s="226"/>
      <c r="Y570" s="226"/>
      <c r="Z570" s="226"/>
      <c r="AA570" s="226"/>
      <c r="AB570" s="226"/>
      <c r="AC570" s="226"/>
      <c r="AD570" s="96">
        <f t="shared" si="155"/>
        <v>0</v>
      </c>
      <c r="AE570" s="96">
        <f t="shared" si="156"/>
        <v>0</v>
      </c>
      <c r="AF570" s="96">
        <f t="shared" si="157"/>
        <v>0</v>
      </c>
      <c r="AG570" s="96">
        <f t="shared" si="158"/>
        <v>0</v>
      </c>
      <c r="AH570" s="211" t="str">
        <f t="shared" si="143"/>
        <v>0,;!0,;!0,;!0</v>
      </c>
      <c r="AI570" s="211" t="e">
        <f>INDEX([1]Library!$AL:$AL,MATCH(AH570,[1]Library!$AJ:$AJ,0),1)</f>
        <v>#N/A</v>
      </c>
      <c r="AJ570" s="211" t="e">
        <f>TEXT(INDEX([1]Library!$W:$W,MATCH(AH570,[1]Library!$AJ:$AJ,0),1),"")</f>
        <v>#N/A</v>
      </c>
    </row>
    <row r="571" spans="1:36" ht="25.2" hidden="1" customHeight="1" outlineLevel="2">
      <c r="A571" s="228"/>
      <c r="B571" s="229"/>
      <c r="C571" s="230"/>
      <c r="D571" s="231" t="s">
        <v>555</v>
      </c>
      <c r="E571" s="232"/>
      <c r="F571" s="233"/>
      <c r="G571" s="379"/>
      <c r="H571" s="380">
        <v>68</v>
      </c>
      <c r="I571" s="234" t="s">
        <v>134</v>
      </c>
      <c r="J571" s="235">
        <v>10365.598214285699</v>
      </c>
      <c r="K571" s="236">
        <v>704860.67857142806</v>
      </c>
      <c r="L571" s="235">
        <v>1036.5598214285701</v>
      </c>
      <c r="M571" s="236">
        <v>70486.0678571428</v>
      </c>
      <c r="N571" s="237">
        <v>0</v>
      </c>
      <c r="O571" s="236">
        <v>0</v>
      </c>
      <c r="P571" s="238">
        <v>775346.74642857094</v>
      </c>
      <c r="Q571" s="239">
        <f t="shared" si="140"/>
        <v>4.17072048385696E-4</v>
      </c>
      <c r="R571" s="236">
        <f t="shared" si="141"/>
        <v>41.592285341846797</v>
      </c>
      <c r="S571" s="240">
        <f t="shared" si="142"/>
        <v>1520.28773809524</v>
      </c>
      <c r="T571" s="241"/>
      <c r="U571" s="225"/>
      <c r="V571" s="226"/>
      <c r="W571" s="227"/>
      <c r="X571" s="226"/>
      <c r="Y571" s="226"/>
      <c r="Z571" s="226"/>
      <c r="AA571" s="226"/>
      <c r="AB571" s="226"/>
      <c r="AC571" s="226"/>
      <c r="AD571" s="96">
        <f t="shared" si="155"/>
        <v>0</v>
      </c>
      <c r="AE571" s="96">
        <f t="shared" si="156"/>
        <v>0</v>
      </c>
      <c r="AF571" s="96">
        <f t="shared" si="157"/>
        <v>0</v>
      </c>
      <c r="AG571" s="96">
        <f t="shared" si="158"/>
        <v>0</v>
      </c>
      <c r="AH571" s="211" t="str">
        <f t="shared" si="143"/>
        <v>0,;!0,;!0,;!0</v>
      </c>
      <c r="AI571" s="211" t="e">
        <f>INDEX([1]Library!$AL:$AL,MATCH(AH571,[1]Library!$AJ:$AJ,0),1)</f>
        <v>#N/A</v>
      </c>
      <c r="AJ571" s="211" t="e">
        <f>TEXT(INDEX([1]Library!$W:$W,MATCH(AH571,[1]Library!$AJ:$AJ,0),1),"")</f>
        <v>#N/A</v>
      </c>
    </row>
    <row r="572" spans="1:36" ht="25.2" hidden="1" customHeight="1" outlineLevel="2">
      <c r="A572" s="228"/>
      <c r="B572" s="229"/>
      <c r="C572" s="230"/>
      <c r="D572" s="231" t="s">
        <v>556</v>
      </c>
      <c r="E572" s="232"/>
      <c r="F572" s="233"/>
      <c r="G572" s="379"/>
      <c r="H572" s="380">
        <v>7136</v>
      </c>
      <c r="I572" s="234" t="s">
        <v>176</v>
      </c>
      <c r="J572" s="235">
        <v>363.375</v>
      </c>
      <c r="K572" s="236">
        <v>2593044</v>
      </c>
      <c r="L572" s="235">
        <v>109.0125</v>
      </c>
      <c r="M572" s="236">
        <v>777913.2</v>
      </c>
      <c r="N572" s="237">
        <v>0</v>
      </c>
      <c r="O572" s="236">
        <v>0</v>
      </c>
      <c r="P572" s="238">
        <v>3370957.2</v>
      </c>
      <c r="Q572" s="239">
        <f t="shared" si="140"/>
        <v>1.8132945432486401E-3</v>
      </c>
      <c r="R572" s="236">
        <f t="shared" si="141"/>
        <v>180.82982147455201</v>
      </c>
      <c r="S572" s="240">
        <f t="shared" si="142"/>
        <v>6609.72</v>
      </c>
      <c r="T572" s="241"/>
      <c r="U572" s="225"/>
      <c r="V572" s="226"/>
      <c r="W572" s="227"/>
      <c r="X572" s="226"/>
      <c r="Y572" s="226"/>
      <c r="Z572" s="226"/>
      <c r="AA572" s="226"/>
      <c r="AB572" s="226"/>
      <c r="AC572" s="226"/>
      <c r="AD572" s="96">
        <f t="shared" si="155"/>
        <v>0</v>
      </c>
      <c r="AE572" s="96">
        <f t="shared" si="156"/>
        <v>0</v>
      </c>
      <c r="AF572" s="96">
        <f t="shared" si="157"/>
        <v>0</v>
      </c>
      <c r="AG572" s="96">
        <f t="shared" si="158"/>
        <v>0</v>
      </c>
      <c r="AH572" s="211" t="str">
        <f t="shared" si="143"/>
        <v>0,;!0,;!0,;!0</v>
      </c>
      <c r="AI572" s="211" t="e">
        <f>INDEX([1]Library!$AL:$AL,MATCH(AH572,[1]Library!$AJ:$AJ,0),1)</f>
        <v>#N/A</v>
      </c>
      <c r="AJ572" s="211" t="e">
        <f>TEXT(INDEX([1]Library!$W:$W,MATCH(AH572,[1]Library!$AJ:$AJ,0),1),"")</f>
        <v>#N/A</v>
      </c>
    </row>
    <row r="573" spans="1:36" ht="25.2" hidden="1" customHeight="1" outlineLevel="2">
      <c r="A573" s="228"/>
      <c r="B573" s="229"/>
      <c r="C573" s="230"/>
      <c r="D573" s="231" t="s">
        <v>557</v>
      </c>
      <c r="E573" s="232"/>
      <c r="F573" s="233"/>
      <c r="G573" s="379"/>
      <c r="H573" s="380">
        <v>3600</v>
      </c>
      <c r="I573" s="234" t="s">
        <v>176</v>
      </c>
      <c r="J573" s="235">
        <v>1617.6668618266999</v>
      </c>
      <c r="K573" s="236">
        <v>5823600.7025761204</v>
      </c>
      <c r="L573" s="235">
        <v>485.30005854800999</v>
      </c>
      <c r="M573" s="236">
        <v>1747080.2107728401</v>
      </c>
      <c r="N573" s="237">
        <v>0</v>
      </c>
      <c r="O573" s="236">
        <v>0</v>
      </c>
      <c r="P573" s="238">
        <v>7570680.9133489598</v>
      </c>
      <c r="Q573" s="239">
        <f t="shared" si="140"/>
        <v>4.0723965254890401E-3</v>
      </c>
      <c r="R573" s="236">
        <f t="shared" si="141"/>
        <v>406.117549638924</v>
      </c>
      <c r="S573" s="240">
        <f t="shared" si="142"/>
        <v>14844.472379115599</v>
      </c>
      <c r="T573" s="241"/>
      <c r="U573" s="225"/>
      <c r="V573" s="226"/>
      <c r="W573" s="227"/>
      <c r="X573" s="226"/>
      <c r="Y573" s="226"/>
      <c r="Z573" s="226"/>
      <c r="AA573" s="226"/>
      <c r="AB573" s="226"/>
      <c r="AC573" s="226"/>
      <c r="AD573" s="96">
        <f t="shared" si="155"/>
        <v>0</v>
      </c>
      <c r="AE573" s="96">
        <f t="shared" si="156"/>
        <v>0</v>
      </c>
      <c r="AF573" s="96">
        <f t="shared" si="157"/>
        <v>0</v>
      </c>
      <c r="AG573" s="96">
        <f t="shared" si="158"/>
        <v>0</v>
      </c>
      <c r="AH573" s="211" t="str">
        <f t="shared" si="143"/>
        <v>0,;!0,;!0,;!0</v>
      </c>
      <c r="AI573" s="211" t="e">
        <f>INDEX([1]Library!$AL:$AL,MATCH(AH573,[1]Library!$AJ:$AJ,0),1)</f>
        <v>#N/A</v>
      </c>
      <c r="AJ573" s="211" t="e">
        <f>TEXT(INDEX([1]Library!$W:$W,MATCH(AH573,[1]Library!$AJ:$AJ,0),1),"")</f>
        <v>#N/A</v>
      </c>
    </row>
    <row r="574" spans="1:36" ht="25.2" hidden="1" customHeight="1" outlineLevel="2">
      <c r="A574" s="228"/>
      <c r="B574" s="229"/>
      <c r="C574" s="230"/>
      <c r="D574" s="231" t="s">
        <v>558</v>
      </c>
      <c r="E574" s="232"/>
      <c r="F574" s="233"/>
      <c r="G574" s="379"/>
      <c r="H574" s="380">
        <v>5400</v>
      </c>
      <c r="I574" s="234" t="s">
        <v>176</v>
      </c>
      <c r="J574" s="235">
        <v>438.69821430000002</v>
      </c>
      <c r="K574" s="236">
        <v>2368970.3572200001</v>
      </c>
      <c r="L574" s="235">
        <v>131.60946429000001</v>
      </c>
      <c r="M574" s="236">
        <v>710691.10716599994</v>
      </c>
      <c r="N574" s="237">
        <v>0</v>
      </c>
      <c r="O574" s="236">
        <v>0</v>
      </c>
      <c r="P574" s="238">
        <v>3079661.4643859998</v>
      </c>
      <c r="Q574" s="239">
        <f t="shared" si="140"/>
        <v>1.6566016704170101E-3</v>
      </c>
      <c r="R574" s="236">
        <f t="shared" si="141"/>
        <v>165.20370914438701</v>
      </c>
      <c r="S574" s="240">
        <f t="shared" si="142"/>
        <v>6038.5518909529401</v>
      </c>
      <c r="T574" s="241"/>
      <c r="U574" s="225"/>
      <c r="V574" s="226"/>
      <c r="W574" s="227"/>
      <c r="X574" s="226"/>
      <c r="Y574" s="226"/>
      <c r="Z574" s="226"/>
      <c r="AA574" s="226"/>
      <c r="AB574" s="226"/>
      <c r="AC574" s="226"/>
      <c r="AD574" s="96">
        <f t="shared" si="155"/>
        <v>0</v>
      </c>
      <c r="AE574" s="96">
        <f t="shared" si="156"/>
        <v>0</v>
      </c>
      <c r="AF574" s="96">
        <f t="shared" si="157"/>
        <v>0</v>
      </c>
      <c r="AG574" s="96">
        <f t="shared" si="158"/>
        <v>0</v>
      </c>
      <c r="AH574" s="211" t="str">
        <f t="shared" si="143"/>
        <v>0,;!0,;!0,;!0</v>
      </c>
      <c r="AI574" s="211" t="e">
        <f>INDEX([1]Library!$AL:$AL,MATCH(AH574,[1]Library!$AJ:$AJ,0),1)</f>
        <v>#N/A</v>
      </c>
      <c r="AJ574" s="211" t="e">
        <f>TEXT(INDEX([1]Library!$W:$W,MATCH(AH574,[1]Library!$AJ:$AJ,0),1),"")</f>
        <v>#N/A</v>
      </c>
    </row>
    <row r="575" spans="1:36" ht="25.2" hidden="1" customHeight="1" outlineLevel="2">
      <c r="A575" s="228"/>
      <c r="B575" s="229"/>
      <c r="C575" s="230"/>
      <c r="D575" s="231" t="s">
        <v>559</v>
      </c>
      <c r="E575" s="232"/>
      <c r="F575" s="233"/>
      <c r="G575" s="379"/>
      <c r="H575" s="380">
        <v>80</v>
      </c>
      <c r="I575" s="234" t="s">
        <v>176</v>
      </c>
      <c r="J575" s="235">
        <v>2367.134</v>
      </c>
      <c r="K575" s="236">
        <v>189370.72</v>
      </c>
      <c r="L575" s="235">
        <v>710.14020000000005</v>
      </c>
      <c r="M575" s="236">
        <v>56811.216</v>
      </c>
      <c r="N575" s="237">
        <v>0</v>
      </c>
      <c r="O575" s="236">
        <v>0</v>
      </c>
      <c r="P575" s="238">
        <v>246181.93599999999</v>
      </c>
      <c r="Q575" s="239">
        <f t="shared" si="140"/>
        <v>1.32425401661933E-4</v>
      </c>
      <c r="R575" s="236">
        <f t="shared" si="141"/>
        <v>13.206051841043699</v>
      </c>
      <c r="S575" s="240">
        <f t="shared" si="142"/>
        <v>482.70967843137299</v>
      </c>
      <c r="T575" s="241"/>
      <c r="U575" s="225"/>
      <c r="V575" s="226"/>
      <c r="W575" s="227"/>
      <c r="X575" s="226"/>
      <c r="Y575" s="226"/>
      <c r="Z575" s="226"/>
      <c r="AA575" s="226"/>
      <c r="AB575" s="226"/>
      <c r="AC575" s="226"/>
      <c r="AD575" s="96">
        <f t="shared" si="155"/>
        <v>0</v>
      </c>
      <c r="AE575" s="96">
        <f t="shared" si="156"/>
        <v>0</v>
      </c>
      <c r="AF575" s="96">
        <f t="shared" si="157"/>
        <v>0</v>
      </c>
      <c r="AG575" s="96">
        <f t="shared" si="158"/>
        <v>0</v>
      </c>
      <c r="AH575" s="211" t="str">
        <f t="shared" si="143"/>
        <v>0,;!0,;!0,;!0</v>
      </c>
      <c r="AI575" s="211" t="e">
        <f>INDEX([1]Library!$AL:$AL,MATCH(AH575,[1]Library!$AJ:$AJ,0),1)</f>
        <v>#N/A</v>
      </c>
      <c r="AJ575" s="211" t="e">
        <f>TEXT(INDEX([1]Library!$W:$W,MATCH(AH575,[1]Library!$AJ:$AJ,0),1),"")</f>
        <v>#N/A</v>
      </c>
    </row>
    <row r="576" spans="1:36" ht="25.2" hidden="1" customHeight="1" outlineLevel="2">
      <c r="A576" s="228"/>
      <c r="B576" s="229"/>
      <c r="C576" s="230"/>
      <c r="D576" s="231" t="s">
        <v>560</v>
      </c>
      <c r="E576" s="232"/>
      <c r="F576" s="233"/>
      <c r="G576" s="379"/>
      <c r="H576" s="380">
        <v>200</v>
      </c>
      <c r="I576" s="234" t="s">
        <v>176</v>
      </c>
      <c r="J576" s="235">
        <v>2083.2406323185</v>
      </c>
      <c r="K576" s="236">
        <v>416648.12646370003</v>
      </c>
      <c r="L576" s="235">
        <v>416.64959016393402</v>
      </c>
      <c r="M576" s="236">
        <v>83329.918032786794</v>
      </c>
      <c r="N576" s="237">
        <v>0</v>
      </c>
      <c r="O576" s="236">
        <v>0</v>
      </c>
      <c r="P576" s="238">
        <v>499978.04449648701</v>
      </c>
      <c r="Q576" s="239">
        <f t="shared" si="140"/>
        <v>2.6894659470301301E-4</v>
      </c>
      <c r="R576" s="236">
        <f t="shared" si="141"/>
        <v>26.8205542709042</v>
      </c>
      <c r="S576" s="240">
        <f t="shared" si="142"/>
        <v>980.34910685585703</v>
      </c>
      <c r="T576" s="241"/>
      <c r="U576" s="225"/>
      <c r="V576" s="226"/>
      <c r="W576" s="227"/>
      <c r="X576" s="226"/>
      <c r="Y576" s="226"/>
      <c r="Z576" s="226"/>
      <c r="AA576" s="226"/>
      <c r="AB576" s="226"/>
      <c r="AC576" s="226"/>
      <c r="AD576" s="96">
        <f t="shared" si="155"/>
        <v>0</v>
      </c>
      <c r="AE576" s="96">
        <f t="shared" si="156"/>
        <v>0</v>
      </c>
      <c r="AF576" s="96">
        <f t="shared" si="157"/>
        <v>0</v>
      </c>
      <c r="AG576" s="96">
        <f t="shared" si="158"/>
        <v>0</v>
      </c>
      <c r="AH576" s="211" t="str">
        <f t="shared" si="143"/>
        <v>0,;!0,;!0,;!0</v>
      </c>
      <c r="AI576" s="211" t="e">
        <f>INDEX([1]Library!$AL:$AL,MATCH(AH576,[1]Library!$AJ:$AJ,0),1)</f>
        <v>#N/A</v>
      </c>
      <c r="AJ576" s="211" t="e">
        <f>TEXT(INDEX([1]Library!$W:$W,MATCH(AH576,[1]Library!$AJ:$AJ,0),1),"")</f>
        <v>#N/A</v>
      </c>
    </row>
    <row r="577" spans="1:36" ht="25.2" hidden="1" customHeight="1" outlineLevel="2">
      <c r="A577" s="228"/>
      <c r="B577" s="229"/>
      <c r="C577" s="230"/>
      <c r="D577" s="231" t="s">
        <v>561</v>
      </c>
      <c r="E577" s="232"/>
      <c r="F577" s="233"/>
      <c r="G577" s="379"/>
      <c r="H577" s="380">
        <v>192</v>
      </c>
      <c r="I577" s="234" t="s">
        <v>176</v>
      </c>
      <c r="J577" s="235">
        <v>1260.9118852459001</v>
      </c>
      <c r="K577" s="236">
        <v>242095.08196721299</v>
      </c>
      <c r="L577" s="235">
        <v>252.18091334894601</v>
      </c>
      <c r="M577" s="236">
        <v>48418.735362997599</v>
      </c>
      <c r="N577" s="237">
        <v>0</v>
      </c>
      <c r="O577" s="236">
        <v>0</v>
      </c>
      <c r="P577" s="238">
        <v>290513.81733021</v>
      </c>
      <c r="Q577" s="239">
        <f t="shared" si="140"/>
        <v>1.5627226584283001E-4</v>
      </c>
      <c r="R577" s="236">
        <f t="shared" si="141"/>
        <v>15.5841675247945</v>
      </c>
      <c r="S577" s="240">
        <f t="shared" si="142"/>
        <v>569.63493594158797</v>
      </c>
      <c r="T577" s="241"/>
      <c r="U577" s="225"/>
      <c r="V577" s="226"/>
      <c r="W577" s="227"/>
      <c r="X577" s="226"/>
      <c r="Y577" s="226"/>
      <c r="Z577" s="226"/>
      <c r="AA577" s="226"/>
      <c r="AB577" s="226"/>
      <c r="AC577" s="226"/>
      <c r="AD577" s="96">
        <f t="shared" si="155"/>
        <v>0</v>
      </c>
      <c r="AE577" s="96">
        <f t="shared" si="156"/>
        <v>0</v>
      </c>
      <c r="AF577" s="96">
        <f t="shared" si="157"/>
        <v>0</v>
      </c>
      <c r="AG577" s="96">
        <f t="shared" si="158"/>
        <v>0</v>
      </c>
      <c r="AH577" s="211" t="str">
        <f t="shared" si="143"/>
        <v>0,;!0,;!0,;!0</v>
      </c>
      <c r="AI577" s="211" t="e">
        <f>INDEX([1]Library!$AL:$AL,MATCH(AH577,[1]Library!$AJ:$AJ,0),1)</f>
        <v>#N/A</v>
      </c>
      <c r="AJ577" s="211" t="e">
        <f>TEXT(INDEX([1]Library!$W:$W,MATCH(AH577,[1]Library!$AJ:$AJ,0),1),"")</f>
        <v>#N/A</v>
      </c>
    </row>
    <row r="578" spans="1:36" ht="25.2" hidden="1" customHeight="1" outlineLevel="2">
      <c r="A578" s="228"/>
      <c r="B578" s="229"/>
      <c r="C578" s="230"/>
      <c r="D578" s="231" t="s">
        <v>562</v>
      </c>
      <c r="E578" s="232"/>
      <c r="F578" s="233"/>
      <c r="G578" s="379"/>
      <c r="H578" s="380">
        <v>2688</v>
      </c>
      <c r="I578" s="234" t="s">
        <v>176</v>
      </c>
      <c r="J578" s="235">
        <v>363.375</v>
      </c>
      <c r="K578" s="236">
        <v>976752</v>
      </c>
      <c r="L578" s="235">
        <v>109.0125</v>
      </c>
      <c r="M578" s="236">
        <v>293025.59999999998</v>
      </c>
      <c r="N578" s="237">
        <v>0</v>
      </c>
      <c r="O578" s="236">
        <v>0</v>
      </c>
      <c r="P578" s="238">
        <v>1269777.6000000001</v>
      </c>
      <c r="Q578" s="239">
        <f t="shared" si="140"/>
        <v>6.8303471584253499E-4</v>
      </c>
      <c r="R578" s="236">
        <f t="shared" si="141"/>
        <v>68.115269075615799</v>
      </c>
      <c r="S578" s="240">
        <f t="shared" si="142"/>
        <v>2489.7600000000002</v>
      </c>
      <c r="T578" s="241"/>
      <c r="U578" s="225"/>
      <c r="V578" s="226"/>
      <c r="W578" s="227"/>
      <c r="X578" s="226"/>
      <c r="Y578" s="226"/>
      <c r="Z578" s="226"/>
      <c r="AA578" s="226"/>
      <c r="AB578" s="226"/>
      <c r="AC578" s="226"/>
      <c r="AD578" s="96">
        <f t="shared" si="155"/>
        <v>0</v>
      </c>
      <c r="AE578" s="96">
        <f t="shared" si="156"/>
        <v>0</v>
      </c>
      <c r="AF578" s="96">
        <f t="shared" si="157"/>
        <v>0</v>
      </c>
      <c r="AG578" s="96">
        <f t="shared" si="158"/>
        <v>0</v>
      </c>
      <c r="AH578" s="211" t="str">
        <f t="shared" si="143"/>
        <v>0,;!0,;!0,;!0</v>
      </c>
      <c r="AI578" s="211" t="e">
        <f>INDEX([1]Library!$AL:$AL,MATCH(AH578,[1]Library!$AJ:$AJ,0),1)</f>
        <v>#N/A</v>
      </c>
      <c r="AJ578" s="211" t="e">
        <f>TEXT(INDEX([1]Library!$W:$W,MATCH(AH578,[1]Library!$AJ:$AJ,0),1),"")</f>
        <v>#N/A</v>
      </c>
    </row>
    <row r="579" spans="1:36" ht="25.2" hidden="1" customHeight="1" outlineLevel="2">
      <c r="A579" s="228"/>
      <c r="B579" s="229"/>
      <c r="C579" s="230"/>
      <c r="D579" s="231" t="s">
        <v>563</v>
      </c>
      <c r="E579" s="232"/>
      <c r="F579" s="233"/>
      <c r="G579" s="379"/>
      <c r="H579" s="380">
        <v>8672</v>
      </c>
      <c r="I579" s="234" t="s">
        <v>176</v>
      </c>
      <c r="J579" s="235">
        <v>192.96</v>
      </c>
      <c r="K579" s="236">
        <v>1673349.1200000001</v>
      </c>
      <c r="L579" s="235">
        <v>57.887999999999998</v>
      </c>
      <c r="M579" s="236">
        <v>502004.73599999998</v>
      </c>
      <c r="N579" s="237">
        <v>0</v>
      </c>
      <c r="O579" s="236">
        <v>0</v>
      </c>
      <c r="P579" s="238">
        <v>2175353.8560000001</v>
      </c>
      <c r="Q579" s="239">
        <f t="shared" si="140"/>
        <v>1.1701594065684599E-3</v>
      </c>
      <c r="R579" s="236">
        <f t="shared" si="141"/>
        <v>116.693516436357</v>
      </c>
      <c r="S579" s="240">
        <f t="shared" si="142"/>
        <v>4265.3997176470602</v>
      </c>
      <c r="T579" s="241"/>
      <c r="U579" s="225"/>
      <c r="V579" s="226"/>
      <c r="W579" s="227"/>
      <c r="X579" s="226"/>
      <c r="Y579" s="226"/>
      <c r="Z579" s="226"/>
      <c r="AA579" s="226"/>
      <c r="AB579" s="226"/>
      <c r="AC579" s="226"/>
      <c r="AD579" s="96">
        <f t="shared" si="155"/>
        <v>0</v>
      </c>
      <c r="AE579" s="96">
        <f t="shared" si="156"/>
        <v>0</v>
      </c>
      <c r="AF579" s="96">
        <f t="shared" si="157"/>
        <v>0</v>
      </c>
      <c r="AG579" s="96">
        <f t="shared" si="158"/>
        <v>0</v>
      </c>
      <c r="AH579" s="211" t="str">
        <f t="shared" si="143"/>
        <v>0,;!0,;!0,;!0</v>
      </c>
      <c r="AI579" s="211" t="e">
        <f>INDEX([1]Library!$AL:$AL,MATCH(AH579,[1]Library!$AJ:$AJ,0),1)</f>
        <v>#N/A</v>
      </c>
      <c r="AJ579" s="211" t="e">
        <f>TEXT(INDEX([1]Library!$W:$W,MATCH(AH579,[1]Library!$AJ:$AJ,0),1),"")</f>
        <v>#N/A</v>
      </c>
    </row>
    <row r="580" spans="1:36" ht="25.2" hidden="1" customHeight="1" outlineLevel="1" collapsed="1">
      <c r="A580" s="213"/>
      <c r="B580" s="214"/>
      <c r="C580" s="215" t="s">
        <v>564</v>
      </c>
      <c r="D580" s="215"/>
      <c r="E580" s="216"/>
      <c r="F580" s="217"/>
      <c r="G580" s="379"/>
      <c r="H580" s="219">
        <v>1</v>
      </c>
      <c r="I580" s="218" t="s">
        <v>32</v>
      </c>
      <c r="J580" s="219">
        <v>4672018.1321648704</v>
      </c>
      <c r="K580" s="219">
        <v>4672018.1321648704</v>
      </c>
      <c r="L580" s="219">
        <v>1401605.4396494599</v>
      </c>
      <c r="M580" s="219">
        <v>1401605.4396494599</v>
      </c>
      <c r="N580" s="219">
        <v>0</v>
      </c>
      <c r="O580" s="219">
        <v>0</v>
      </c>
      <c r="P580" s="220">
        <v>6073623.5718143303</v>
      </c>
      <c r="Q580" s="221">
        <f t="shared" si="140"/>
        <v>3.26710421613102E-3</v>
      </c>
      <c r="R580" s="222">
        <f t="shared" si="141"/>
        <v>325.81020791210699</v>
      </c>
      <c r="S580" s="223">
        <f t="shared" si="142"/>
        <v>11909.065827086901</v>
      </c>
      <c r="T580" s="224"/>
      <c r="U580" s="225"/>
      <c r="V580" s="226"/>
      <c r="W580" s="227"/>
      <c r="X580" s="226"/>
      <c r="Y580" s="226"/>
      <c r="Z580" s="226"/>
      <c r="AA580" s="226"/>
      <c r="AB580" s="226"/>
      <c r="AC580" s="226"/>
      <c r="AD580" s="96">
        <f t="shared" si="155"/>
        <v>0</v>
      </c>
      <c r="AE580" s="96">
        <f t="shared" si="156"/>
        <v>0</v>
      </c>
      <c r="AF580" s="96">
        <f t="shared" si="157"/>
        <v>0</v>
      </c>
      <c r="AG580" s="96">
        <f t="shared" si="158"/>
        <v>0</v>
      </c>
      <c r="AH580" s="211" t="str">
        <f t="shared" si="143"/>
        <v>0,;!0,;!0,;!0</v>
      </c>
      <c r="AI580" s="211" t="e">
        <f>INDEX([1]Library!$AL:$AL,MATCH(AH580,[1]Library!$AJ:$AJ,0),1)</f>
        <v>#N/A</v>
      </c>
      <c r="AJ580" s="211" t="e">
        <f>TEXT(INDEX([1]Library!$W:$W,MATCH(AH580,[1]Library!$AJ:$AJ,0),1),"")</f>
        <v>#N/A</v>
      </c>
    </row>
    <row r="581" spans="1:36" ht="25.2" hidden="1" customHeight="1" outlineLevel="2">
      <c r="A581" s="228"/>
      <c r="B581" s="229"/>
      <c r="C581" s="230"/>
      <c r="D581" s="231" t="s">
        <v>565</v>
      </c>
      <c r="E581" s="232"/>
      <c r="F581" s="233"/>
      <c r="G581" s="379"/>
      <c r="H581" s="380">
        <v>3500</v>
      </c>
      <c r="I581" s="234" t="s">
        <v>176</v>
      </c>
      <c r="J581" s="235">
        <v>363.375</v>
      </c>
      <c r="K581" s="236">
        <v>1271812.5</v>
      </c>
      <c r="L581" s="235">
        <v>109.0125</v>
      </c>
      <c r="M581" s="236">
        <v>381543.75</v>
      </c>
      <c r="N581" s="237">
        <v>0</v>
      </c>
      <c r="O581" s="236">
        <v>0</v>
      </c>
      <c r="P581" s="238">
        <v>1653356.25</v>
      </c>
      <c r="Q581" s="239">
        <f t="shared" si="140"/>
        <v>8.8936811958663397E-4</v>
      </c>
      <c r="R581" s="236">
        <f t="shared" si="141"/>
        <v>88.691756608874798</v>
      </c>
      <c r="S581" s="240">
        <f t="shared" si="142"/>
        <v>3241.875</v>
      </c>
      <c r="T581" s="241"/>
      <c r="U581" s="225"/>
      <c r="V581" s="226"/>
      <c r="W581" s="227"/>
      <c r="X581" s="226"/>
      <c r="Y581" s="226"/>
      <c r="Z581" s="226"/>
      <c r="AA581" s="226"/>
      <c r="AB581" s="226"/>
      <c r="AC581" s="226"/>
      <c r="AD581" s="96">
        <f>IF(X581&lt;&gt;0,IF($X581&gt;=AD$12,#REF!,""),Z581)</f>
        <v>0</v>
      </c>
      <c r="AE581" s="96">
        <f>IF(AA581=" ",IF($X581&gt;=AE$12,#REF!,""),AA581)</f>
        <v>0</v>
      </c>
      <c r="AF581" s="96">
        <f>IF(AB581=" ",IF($X581&gt;=AF$12,#REF!,""),AB581)</f>
        <v>0</v>
      </c>
      <c r="AG581" s="96">
        <f>IF(AC581=" ",IF($X581&gt;=AG$12,#REF!,""),AC581)</f>
        <v>0</v>
      </c>
      <c r="AH581" s="211" t="str">
        <f t="shared" si="143"/>
        <v>0,;!0,;!0,;!0</v>
      </c>
      <c r="AI581" s="211" t="e">
        <f>INDEX([1]Library!$AL:$AL,MATCH(AH581,[1]Library!$AJ:$AJ,0),1)</f>
        <v>#N/A</v>
      </c>
      <c r="AJ581" s="211" t="e">
        <f>TEXT(INDEX([1]Library!$W:$W,MATCH(AH581,[1]Library!$AJ:$AJ,0),1),"")</f>
        <v>#N/A</v>
      </c>
    </row>
    <row r="582" spans="1:36" ht="25.2" hidden="1" customHeight="1" outlineLevel="2">
      <c r="A582" s="228"/>
      <c r="B582" s="229"/>
      <c r="C582" s="230"/>
      <c r="D582" s="231" t="s">
        <v>566</v>
      </c>
      <c r="E582" s="232"/>
      <c r="F582" s="233"/>
      <c r="G582" s="379"/>
      <c r="H582" s="380">
        <v>620</v>
      </c>
      <c r="I582" s="234" t="s">
        <v>176</v>
      </c>
      <c r="J582" s="235">
        <v>778.65800000000002</v>
      </c>
      <c r="K582" s="236">
        <v>482767.96</v>
      </c>
      <c r="L582" s="235">
        <v>233.59739999999999</v>
      </c>
      <c r="M582" s="236">
        <v>144830.38800000001</v>
      </c>
      <c r="N582" s="237">
        <v>0</v>
      </c>
      <c r="O582" s="236">
        <v>0</v>
      </c>
      <c r="P582" s="238">
        <v>627598.348</v>
      </c>
      <c r="Q582" s="239">
        <f t="shared" si="140"/>
        <v>3.3759570123888201E-4</v>
      </c>
      <c r="R582" s="236">
        <f t="shared" si="141"/>
        <v>33.666549437816499</v>
      </c>
      <c r="S582" s="240">
        <f t="shared" si="142"/>
        <v>1230.5849960784301</v>
      </c>
      <c r="T582" s="241"/>
      <c r="U582" s="225"/>
      <c r="V582" s="226"/>
      <c r="W582" s="227"/>
      <c r="X582" s="226"/>
      <c r="Y582" s="226"/>
      <c r="Z582" s="226"/>
      <c r="AA582" s="226"/>
      <c r="AB582" s="226"/>
      <c r="AC582" s="226"/>
      <c r="AD582" s="96">
        <f>IF(X582&lt;&gt;0,IF($X582&gt;=AD$12,#REF!,""),Z582)</f>
        <v>0</v>
      </c>
      <c r="AE582" s="96">
        <f>IF(AA582=" ",IF($X582&gt;=AE$12,#REF!,""),AA582)</f>
        <v>0</v>
      </c>
      <c r="AF582" s="96">
        <f>IF(AB582=" ",IF($X582&gt;=AF$12,#REF!,""),AB582)</f>
        <v>0</v>
      </c>
      <c r="AG582" s="96">
        <f>IF(AC582=" ",IF($X582&gt;=AG$12,#REF!,""),AC582)</f>
        <v>0</v>
      </c>
      <c r="AH582" s="211" t="str">
        <f t="shared" si="143"/>
        <v>0,;!0,;!0,;!0</v>
      </c>
      <c r="AI582" s="211" t="e">
        <f>INDEX([1]Library!$AL:$AL,MATCH(AH582,[1]Library!$AJ:$AJ,0),1)</f>
        <v>#N/A</v>
      </c>
      <c r="AJ582" s="211" t="e">
        <f>TEXT(INDEX([1]Library!$W:$W,MATCH(AH582,[1]Library!$AJ:$AJ,0),1),"")</f>
        <v>#N/A</v>
      </c>
    </row>
    <row r="583" spans="1:36" ht="25.2" hidden="1" customHeight="1" outlineLevel="2">
      <c r="A583" s="228"/>
      <c r="B583" s="229"/>
      <c r="C583" s="230"/>
      <c r="D583" s="231" t="s">
        <v>567</v>
      </c>
      <c r="E583" s="232"/>
      <c r="F583" s="233"/>
      <c r="G583" s="379"/>
      <c r="H583" s="380">
        <v>244</v>
      </c>
      <c r="I583" s="234" t="s">
        <v>176</v>
      </c>
      <c r="J583" s="235">
        <v>363.375</v>
      </c>
      <c r="K583" s="236">
        <v>88663.5</v>
      </c>
      <c r="L583" s="235">
        <v>109.0125</v>
      </c>
      <c r="M583" s="236">
        <v>26599.05</v>
      </c>
      <c r="N583" s="237">
        <v>0</v>
      </c>
      <c r="O583" s="236">
        <v>0</v>
      </c>
      <c r="P583" s="238">
        <v>115262.55</v>
      </c>
      <c r="Q583" s="239">
        <f t="shared" si="140"/>
        <v>6.2001663194039593E-5</v>
      </c>
      <c r="R583" s="236">
        <f t="shared" si="141"/>
        <v>6.1830824607329804</v>
      </c>
      <c r="S583" s="240">
        <f t="shared" si="142"/>
        <v>226.005</v>
      </c>
      <c r="T583" s="241"/>
      <c r="U583" s="225"/>
      <c r="V583" s="226"/>
      <c r="W583" s="227"/>
      <c r="X583" s="226"/>
      <c r="Y583" s="226"/>
      <c r="Z583" s="226"/>
      <c r="AA583" s="226"/>
      <c r="AB583" s="226"/>
      <c r="AC583" s="226"/>
      <c r="AD583" s="96">
        <f>IF(X583&lt;&gt;0,IF($X583&gt;=AD$12,AD582,""),Z583)</f>
        <v>0</v>
      </c>
      <c r="AE583" s="96">
        <f>IF(AA583=" ",IF($X583&gt;=AE$12,AE582,""),AA583)</f>
        <v>0</v>
      </c>
      <c r="AF583" s="96">
        <f>IF(AB583=" ",IF($X583&gt;=AF$12,AF582,""),AB583)</f>
        <v>0</v>
      </c>
      <c r="AG583" s="96">
        <f>IF(AC583=" ",IF($X583&gt;=AG$12,AG582,""),AC583)</f>
        <v>0</v>
      </c>
      <c r="AH583" s="211" t="str">
        <f t="shared" si="143"/>
        <v>0,;!0,;!0,;!0</v>
      </c>
      <c r="AI583" s="211" t="e">
        <f>INDEX([1]Library!$AL:$AL,MATCH(AH583,[1]Library!$AJ:$AJ,0),1)</f>
        <v>#N/A</v>
      </c>
      <c r="AJ583" s="211" t="e">
        <f>TEXT(INDEX([1]Library!$W:$W,MATCH(AH583,[1]Library!$AJ:$AJ,0),1),"")</f>
        <v>#N/A</v>
      </c>
    </row>
    <row r="584" spans="1:36" ht="25.2" hidden="1" customHeight="1" outlineLevel="2">
      <c r="A584" s="228"/>
      <c r="B584" s="229"/>
      <c r="C584" s="230"/>
      <c r="D584" s="231" t="s">
        <v>568</v>
      </c>
      <c r="E584" s="232"/>
      <c r="F584" s="233"/>
      <c r="G584" s="379"/>
      <c r="H584" s="380">
        <v>184</v>
      </c>
      <c r="I584" s="234" t="s">
        <v>176</v>
      </c>
      <c r="J584" s="235">
        <v>192.96</v>
      </c>
      <c r="K584" s="236">
        <v>35504.639999999999</v>
      </c>
      <c r="L584" s="235">
        <v>57.887999999999998</v>
      </c>
      <c r="M584" s="236">
        <v>10651.392</v>
      </c>
      <c r="N584" s="237">
        <v>0</v>
      </c>
      <c r="O584" s="236">
        <v>0</v>
      </c>
      <c r="P584" s="238">
        <v>46156.031999999999</v>
      </c>
      <c r="Q584" s="239">
        <f t="shared" si="140"/>
        <v>2.4828105489921201E-5</v>
      </c>
      <c r="R584" s="236">
        <f t="shared" si="141"/>
        <v>2.47596944468286</v>
      </c>
      <c r="S584" s="240">
        <f t="shared" si="142"/>
        <v>90.502023529411801</v>
      </c>
      <c r="T584" s="241"/>
      <c r="U584" s="225"/>
      <c r="V584" s="226"/>
      <c r="W584" s="227"/>
      <c r="X584" s="226"/>
      <c r="Y584" s="226"/>
      <c r="Z584" s="226"/>
      <c r="AA584" s="226"/>
      <c r="AB584" s="226"/>
      <c r="AC584" s="226"/>
      <c r="AD584" s="96">
        <f>IF(X584&lt;&gt;0,IF($X584&gt;=AD$12,#REF!,""),Z584)</f>
        <v>0</v>
      </c>
      <c r="AE584" s="96">
        <f>IF(AA584=" ",IF($X584&gt;=AE$12,#REF!,""),AA584)</f>
        <v>0</v>
      </c>
      <c r="AF584" s="96">
        <f>IF(AB584=" ",IF($X584&gt;=AF$12,#REF!,""),AB584)</f>
        <v>0</v>
      </c>
      <c r="AG584" s="96">
        <f>IF(AC584=" ",IF($X584&gt;=AG$12,#REF!,""),AC584)</f>
        <v>0</v>
      </c>
      <c r="AH584" s="211" t="str">
        <f t="shared" si="143"/>
        <v>0,;!0,;!0,;!0</v>
      </c>
      <c r="AI584" s="211" t="e">
        <f>INDEX([1]Library!$AL:$AL,MATCH(AH584,[1]Library!$AJ:$AJ,0),1)</f>
        <v>#N/A</v>
      </c>
      <c r="AJ584" s="211" t="e">
        <f>TEXT(INDEX([1]Library!$W:$W,MATCH(AH584,[1]Library!$AJ:$AJ,0),1),"")</f>
        <v>#N/A</v>
      </c>
    </row>
    <row r="585" spans="1:36" ht="25.2" hidden="1" customHeight="1" outlineLevel="2">
      <c r="A585" s="228"/>
      <c r="B585" s="229"/>
      <c r="C585" s="230"/>
      <c r="D585" s="231" t="s">
        <v>569</v>
      </c>
      <c r="E585" s="232"/>
      <c r="F585" s="233"/>
      <c r="G585" s="379"/>
      <c r="H585" s="380">
        <v>652</v>
      </c>
      <c r="I585" s="234" t="s">
        <v>176</v>
      </c>
      <c r="J585" s="235">
        <v>1323.7185999999999</v>
      </c>
      <c r="K585" s="236">
        <v>863064.52720000001</v>
      </c>
      <c r="L585" s="235">
        <v>397.11558000000002</v>
      </c>
      <c r="M585" s="236">
        <v>258919.35816</v>
      </c>
      <c r="N585" s="237">
        <v>0</v>
      </c>
      <c r="O585" s="236">
        <v>0</v>
      </c>
      <c r="P585" s="238">
        <v>1121983.88536</v>
      </c>
      <c r="Q585" s="239">
        <f t="shared" si="140"/>
        <v>6.0353399234383304E-4</v>
      </c>
      <c r="R585" s="236">
        <f t="shared" si="141"/>
        <v>60.1871022530255</v>
      </c>
      <c r="S585" s="240">
        <f t="shared" si="142"/>
        <v>2199.96840266667</v>
      </c>
      <c r="T585" s="241"/>
      <c r="U585" s="225"/>
      <c r="V585" s="226"/>
      <c r="W585" s="227"/>
      <c r="X585" s="226"/>
      <c r="Y585" s="226"/>
      <c r="Z585" s="226"/>
      <c r="AA585" s="226"/>
      <c r="AB585" s="226"/>
      <c r="AC585" s="226"/>
      <c r="AD585" s="96">
        <f t="shared" ref="AD585:AD592" si="159">IF(X585&lt;&gt;0,IF($X585&gt;=AD$12,AD584,""),Z585)</f>
        <v>0</v>
      </c>
      <c r="AE585" s="96">
        <f t="shared" ref="AE585:AE592" si="160">IF(AA585=" ",IF($X585&gt;=AE$12,AE584,""),AA585)</f>
        <v>0</v>
      </c>
      <c r="AF585" s="96">
        <f t="shared" ref="AF585:AF592" si="161">IF(AB585=" ",IF($X585&gt;=AF$12,AF584,""),AB585)</f>
        <v>0</v>
      </c>
      <c r="AG585" s="96">
        <f t="shared" ref="AG585:AG592" si="162">IF(AC585=" ",IF($X585&gt;=AG$12,AG584,""),AC585)</f>
        <v>0</v>
      </c>
      <c r="AH585" s="211" t="str">
        <f t="shared" si="143"/>
        <v>0,;!0,;!0,;!0</v>
      </c>
      <c r="AI585" s="211" t="e">
        <f>INDEX([1]Library!$AL:$AL,MATCH(AH585,[1]Library!$AJ:$AJ,0),1)</f>
        <v>#N/A</v>
      </c>
      <c r="AJ585" s="211" t="e">
        <f>TEXT(INDEX([1]Library!$W:$W,MATCH(AH585,[1]Library!$AJ:$AJ,0),1),"")</f>
        <v>#N/A</v>
      </c>
    </row>
    <row r="586" spans="1:36" ht="25.2" hidden="1" customHeight="1" outlineLevel="2">
      <c r="A586" s="228"/>
      <c r="B586" s="229"/>
      <c r="C586" s="230"/>
      <c r="D586" s="231" t="s">
        <v>570</v>
      </c>
      <c r="E586" s="232"/>
      <c r="F586" s="233"/>
      <c r="G586" s="379"/>
      <c r="H586" s="380">
        <v>4144</v>
      </c>
      <c r="I586" s="234" t="s">
        <v>176</v>
      </c>
      <c r="J586" s="235">
        <v>192.96</v>
      </c>
      <c r="K586" s="236">
        <v>799626.23999999999</v>
      </c>
      <c r="L586" s="235">
        <v>57.887999999999998</v>
      </c>
      <c r="M586" s="236">
        <v>239887.872</v>
      </c>
      <c r="N586" s="237">
        <v>0</v>
      </c>
      <c r="O586" s="236">
        <v>0</v>
      </c>
      <c r="P586" s="238">
        <v>1039514.112</v>
      </c>
      <c r="Q586" s="239">
        <f t="shared" si="140"/>
        <v>5.5917211494692105E-4</v>
      </c>
      <c r="R586" s="236">
        <f t="shared" si="141"/>
        <v>55.763137928074798</v>
      </c>
      <c r="S586" s="240">
        <f t="shared" si="142"/>
        <v>2038.26296470588</v>
      </c>
      <c r="T586" s="241"/>
      <c r="U586" s="225"/>
      <c r="V586" s="226"/>
      <c r="W586" s="227"/>
      <c r="X586" s="226"/>
      <c r="Y586" s="226"/>
      <c r="Z586" s="226"/>
      <c r="AA586" s="226"/>
      <c r="AB586" s="226"/>
      <c r="AC586" s="226"/>
      <c r="AD586" s="96">
        <f t="shared" si="159"/>
        <v>0</v>
      </c>
      <c r="AE586" s="96">
        <f t="shared" si="160"/>
        <v>0</v>
      </c>
      <c r="AF586" s="96">
        <f t="shared" si="161"/>
        <v>0</v>
      </c>
      <c r="AG586" s="96">
        <f t="shared" si="162"/>
        <v>0</v>
      </c>
      <c r="AH586" s="211" t="str">
        <f t="shared" si="143"/>
        <v>0,;!0,;!0,;!0</v>
      </c>
      <c r="AI586" s="211" t="e">
        <f>INDEX([1]Library!$AL:$AL,MATCH(AH586,[1]Library!$AJ:$AJ,0),1)</f>
        <v>#N/A</v>
      </c>
      <c r="AJ586" s="211" t="e">
        <f>TEXT(INDEX([1]Library!$W:$W,MATCH(AH586,[1]Library!$AJ:$AJ,0),1),"")</f>
        <v>#N/A</v>
      </c>
    </row>
    <row r="587" spans="1:36" ht="25.2" hidden="1" customHeight="1" outlineLevel="2">
      <c r="A587" s="228"/>
      <c r="B587" s="229"/>
      <c r="C587" s="230"/>
      <c r="D587" s="231" t="s">
        <v>571</v>
      </c>
      <c r="E587" s="232"/>
      <c r="F587" s="233"/>
      <c r="G587" s="379"/>
      <c r="H587" s="380">
        <v>192</v>
      </c>
      <c r="I587" s="234" t="s">
        <v>176</v>
      </c>
      <c r="J587" s="235">
        <v>192.96</v>
      </c>
      <c r="K587" s="236">
        <v>37048.32</v>
      </c>
      <c r="L587" s="235">
        <v>57.887999999999998</v>
      </c>
      <c r="M587" s="236">
        <v>11114.495999999999</v>
      </c>
      <c r="N587" s="237">
        <v>0</v>
      </c>
      <c r="O587" s="236">
        <v>0</v>
      </c>
      <c r="P587" s="238">
        <v>48162.815999999999</v>
      </c>
      <c r="Q587" s="239">
        <f t="shared" si="140"/>
        <v>2.5907588337309099E-5</v>
      </c>
      <c r="R587" s="236">
        <f t="shared" si="141"/>
        <v>2.5836202901038501</v>
      </c>
      <c r="S587" s="240">
        <f t="shared" si="142"/>
        <v>94.4368941176471</v>
      </c>
      <c r="T587" s="241"/>
      <c r="U587" s="225"/>
      <c r="V587" s="226"/>
      <c r="W587" s="227"/>
      <c r="X587" s="226"/>
      <c r="Y587" s="226"/>
      <c r="Z587" s="226"/>
      <c r="AA587" s="226"/>
      <c r="AB587" s="226"/>
      <c r="AC587" s="226"/>
      <c r="AD587" s="96">
        <f t="shared" si="159"/>
        <v>0</v>
      </c>
      <c r="AE587" s="96">
        <f t="shared" si="160"/>
        <v>0</v>
      </c>
      <c r="AF587" s="96">
        <f t="shared" si="161"/>
        <v>0</v>
      </c>
      <c r="AG587" s="96">
        <f t="shared" si="162"/>
        <v>0</v>
      </c>
      <c r="AH587" s="211" t="str">
        <f t="shared" si="143"/>
        <v>0,;!0,;!0,;!0</v>
      </c>
      <c r="AI587" s="211" t="e">
        <f>INDEX([1]Library!$AL:$AL,MATCH(AH587,[1]Library!$AJ:$AJ,0),1)</f>
        <v>#N/A</v>
      </c>
      <c r="AJ587" s="211" t="e">
        <f>TEXT(INDEX([1]Library!$W:$W,MATCH(AH587,[1]Library!$AJ:$AJ,0),1),"")</f>
        <v>#N/A</v>
      </c>
    </row>
    <row r="588" spans="1:36" ht="25.2" hidden="1" customHeight="1" outlineLevel="2">
      <c r="A588" s="228"/>
      <c r="B588" s="229"/>
      <c r="C588" s="230"/>
      <c r="D588" s="231" t="s">
        <v>572</v>
      </c>
      <c r="E588" s="232"/>
      <c r="F588" s="233"/>
      <c r="G588" s="379"/>
      <c r="H588" s="380">
        <v>3100</v>
      </c>
      <c r="I588" s="234" t="s">
        <v>176</v>
      </c>
      <c r="J588" s="235">
        <v>352.75175644028099</v>
      </c>
      <c r="K588" s="236">
        <v>1093530.4449648701</v>
      </c>
      <c r="L588" s="235">
        <v>105.825526932084</v>
      </c>
      <c r="M588" s="236">
        <v>328059.13348946098</v>
      </c>
      <c r="N588" s="237">
        <v>0</v>
      </c>
      <c r="O588" s="236">
        <v>0</v>
      </c>
      <c r="P588" s="238">
        <v>1421589.5784543301</v>
      </c>
      <c r="Q588" s="239">
        <f t="shared" si="140"/>
        <v>7.6469693099347799E-4</v>
      </c>
      <c r="R588" s="236">
        <f t="shared" si="141"/>
        <v>76.258989488795507</v>
      </c>
      <c r="S588" s="240">
        <f t="shared" si="142"/>
        <v>2787.4305459888801</v>
      </c>
      <c r="T588" s="241"/>
      <c r="U588" s="225"/>
      <c r="V588" s="226"/>
      <c r="W588" s="227"/>
      <c r="X588" s="226"/>
      <c r="Y588" s="226"/>
      <c r="Z588" s="226"/>
      <c r="AA588" s="226"/>
      <c r="AB588" s="226"/>
      <c r="AC588" s="226"/>
      <c r="AD588" s="96">
        <f t="shared" si="159"/>
        <v>0</v>
      </c>
      <c r="AE588" s="96">
        <f t="shared" si="160"/>
        <v>0</v>
      </c>
      <c r="AF588" s="96">
        <f t="shared" si="161"/>
        <v>0</v>
      </c>
      <c r="AG588" s="96">
        <f t="shared" si="162"/>
        <v>0</v>
      </c>
      <c r="AH588" s="211" t="str">
        <f t="shared" si="143"/>
        <v>0,;!0,;!0,;!0</v>
      </c>
      <c r="AI588" s="211" t="e">
        <f>INDEX([1]Library!$AL:$AL,MATCH(AH588,[1]Library!$AJ:$AJ,0),1)</f>
        <v>#N/A</v>
      </c>
      <c r="AJ588" s="211" t="e">
        <f>TEXT(INDEX([1]Library!$W:$W,MATCH(AH588,[1]Library!$AJ:$AJ,0),1),"")</f>
        <v>#N/A</v>
      </c>
    </row>
    <row r="589" spans="1:36" ht="25.2" hidden="1" customHeight="1" outlineLevel="1" collapsed="1">
      <c r="A589" s="213"/>
      <c r="B589" s="214"/>
      <c r="C589" s="215" t="s">
        <v>573</v>
      </c>
      <c r="D589" s="215"/>
      <c r="E589" s="216"/>
      <c r="F589" s="217"/>
      <c r="G589" s="379"/>
      <c r="H589" s="219">
        <v>1</v>
      </c>
      <c r="I589" s="218" t="s">
        <v>32</v>
      </c>
      <c r="J589" s="219">
        <v>1922663</v>
      </c>
      <c r="K589" s="219">
        <v>1922663</v>
      </c>
      <c r="L589" s="219">
        <v>358104.02857142902</v>
      </c>
      <c r="M589" s="219">
        <v>358104.02857142902</v>
      </c>
      <c r="N589" s="219">
        <v>0</v>
      </c>
      <c r="O589" s="219">
        <v>0</v>
      </c>
      <c r="P589" s="220">
        <v>2280767.0285714301</v>
      </c>
      <c r="Q589" s="221">
        <f t="shared" ref="Q589:Q652" si="163">P589/P$13</f>
        <v>1.2268629240768699E-3</v>
      </c>
      <c r="R589" s="222">
        <f t="shared" ref="R589:R652" si="164">P589/I$5</f>
        <v>122.34824417278701</v>
      </c>
      <c r="S589" s="223">
        <f t="shared" ref="S589:S652" si="165">P589/I$7</f>
        <v>4472.0922128851598</v>
      </c>
      <c r="T589" s="224"/>
      <c r="U589" s="225"/>
      <c r="V589" s="226"/>
      <c r="W589" s="227"/>
      <c r="X589" s="226"/>
      <c r="Y589" s="226"/>
      <c r="Z589" s="226"/>
      <c r="AA589" s="226"/>
      <c r="AB589" s="226"/>
      <c r="AC589" s="226"/>
      <c r="AD589" s="96">
        <f t="shared" si="159"/>
        <v>0</v>
      </c>
      <c r="AE589" s="96">
        <f t="shared" si="160"/>
        <v>0</v>
      </c>
      <c r="AF589" s="96">
        <f t="shared" si="161"/>
        <v>0</v>
      </c>
      <c r="AG589" s="96">
        <f t="shared" si="162"/>
        <v>0</v>
      </c>
      <c r="AH589" s="211" t="str">
        <f t="shared" si="143"/>
        <v>0,;!0,;!0,;!0</v>
      </c>
      <c r="AI589" s="211" t="e">
        <f>INDEX([1]Library!$AL:$AL,MATCH(AH589,[1]Library!$AJ:$AJ,0),1)</f>
        <v>#N/A</v>
      </c>
      <c r="AJ589" s="211" t="e">
        <f>TEXT(INDEX([1]Library!$W:$W,MATCH(AH589,[1]Library!$AJ:$AJ,0),1),"")</f>
        <v>#N/A</v>
      </c>
    </row>
    <row r="590" spans="1:36" ht="25.2" hidden="1" customHeight="1" outlineLevel="2">
      <c r="A590" s="228"/>
      <c r="B590" s="229"/>
      <c r="C590" s="230"/>
      <c r="D590" s="231" t="s">
        <v>574</v>
      </c>
      <c r="E590" s="232"/>
      <c r="F590" s="233"/>
      <c r="G590" s="379"/>
      <c r="H590" s="380">
        <v>4132</v>
      </c>
      <c r="I590" s="234" t="s">
        <v>200</v>
      </c>
      <c r="J590" s="235">
        <v>380.892857142857</v>
      </c>
      <c r="K590" s="236">
        <v>1573849.2857142901</v>
      </c>
      <c r="L590" s="235">
        <v>76.178571428571402</v>
      </c>
      <c r="M590" s="236">
        <v>314769.85714285698</v>
      </c>
      <c r="N590" s="237">
        <v>0</v>
      </c>
      <c r="O590" s="236">
        <v>0</v>
      </c>
      <c r="P590" s="238">
        <v>1888619.1428571399</v>
      </c>
      <c r="Q590" s="239">
        <f t="shared" si="163"/>
        <v>1.01591998439428E-3</v>
      </c>
      <c r="R590" s="236">
        <f t="shared" si="164"/>
        <v>101.31207315129301</v>
      </c>
      <c r="S590" s="240">
        <f t="shared" si="165"/>
        <v>3703.17478991596</v>
      </c>
      <c r="T590" s="241"/>
      <c r="U590" s="225"/>
      <c r="V590" s="226"/>
      <c r="W590" s="227"/>
      <c r="X590" s="226"/>
      <c r="Y590" s="226"/>
      <c r="Z590" s="226"/>
      <c r="AA590" s="226"/>
      <c r="AB590" s="226"/>
      <c r="AC590" s="226"/>
      <c r="AD590" s="96">
        <f t="shared" si="159"/>
        <v>0</v>
      </c>
      <c r="AE590" s="96">
        <f t="shared" si="160"/>
        <v>0</v>
      </c>
      <c r="AF590" s="96">
        <f t="shared" si="161"/>
        <v>0</v>
      </c>
      <c r="AG590" s="96">
        <f t="shared" si="162"/>
        <v>0</v>
      </c>
      <c r="AH590" s="211" t="str">
        <f t="shared" ref="AH590:AH653" si="166">AD590&amp;",;!"&amp;AE590&amp;",;!"&amp;AF590&amp;",;!"&amp;AG590</f>
        <v>0,;!0,;!0,;!0</v>
      </c>
      <c r="AI590" s="211" t="e">
        <f>INDEX([1]Library!$AL:$AL,MATCH(AH590,[1]Library!$AJ:$AJ,0),1)</f>
        <v>#N/A</v>
      </c>
      <c r="AJ590" s="211" t="e">
        <f>TEXT(INDEX([1]Library!$W:$W,MATCH(AH590,[1]Library!$AJ:$AJ,0),1),"")</f>
        <v>#N/A</v>
      </c>
    </row>
    <row r="591" spans="1:36" ht="25.2" hidden="1" customHeight="1" outlineLevel="2">
      <c r="A591" s="228"/>
      <c r="B591" s="229"/>
      <c r="C591" s="230"/>
      <c r="D591" s="231" t="s">
        <v>575</v>
      </c>
      <c r="E591" s="232"/>
      <c r="F591" s="233"/>
      <c r="G591" s="379"/>
      <c r="H591" s="380">
        <v>64</v>
      </c>
      <c r="I591" s="234" t="s">
        <v>200</v>
      </c>
      <c r="J591" s="235">
        <v>732.857142857143</v>
      </c>
      <c r="K591" s="236">
        <v>46902.857142857101</v>
      </c>
      <c r="L591" s="235">
        <v>146.57142857142901</v>
      </c>
      <c r="M591" s="236">
        <v>9380.5714285714294</v>
      </c>
      <c r="N591" s="237">
        <v>0</v>
      </c>
      <c r="O591" s="236">
        <v>0</v>
      </c>
      <c r="P591" s="238">
        <v>56283.428571428602</v>
      </c>
      <c r="Q591" s="239">
        <f t="shared" si="163"/>
        <v>3.0275802345961501E-5</v>
      </c>
      <c r="R591" s="236">
        <f t="shared" si="164"/>
        <v>3.01923807888961</v>
      </c>
      <c r="S591" s="240">
        <f t="shared" si="165"/>
        <v>110.359663865546</v>
      </c>
      <c r="T591" s="241"/>
      <c r="U591" s="225"/>
      <c r="V591" s="226"/>
      <c r="W591" s="227"/>
      <c r="X591" s="226"/>
      <c r="Y591" s="226"/>
      <c r="Z591" s="226"/>
      <c r="AA591" s="226"/>
      <c r="AB591" s="226"/>
      <c r="AC591" s="226"/>
      <c r="AD591" s="96">
        <f t="shared" si="159"/>
        <v>0</v>
      </c>
      <c r="AE591" s="96">
        <f t="shared" si="160"/>
        <v>0</v>
      </c>
      <c r="AF591" s="96">
        <f t="shared" si="161"/>
        <v>0</v>
      </c>
      <c r="AG591" s="96">
        <f t="shared" si="162"/>
        <v>0</v>
      </c>
      <c r="AH591" s="211" t="str">
        <f t="shared" si="166"/>
        <v>0,;!0,;!0,;!0</v>
      </c>
      <c r="AI591" s="211" t="e">
        <f>INDEX([1]Library!$AL:$AL,MATCH(AH591,[1]Library!$AJ:$AJ,0),1)</f>
        <v>#N/A</v>
      </c>
      <c r="AJ591" s="211" t="e">
        <f>TEXT(INDEX([1]Library!$W:$W,MATCH(AH591,[1]Library!$AJ:$AJ,0),1),"")</f>
        <v>#N/A</v>
      </c>
    </row>
    <row r="592" spans="1:36" ht="25.2" hidden="1" customHeight="1" outlineLevel="2">
      <c r="A592" s="228"/>
      <c r="B592" s="229"/>
      <c r="C592" s="230"/>
      <c r="D592" s="231" t="s">
        <v>576</v>
      </c>
      <c r="E592" s="232"/>
      <c r="F592" s="233"/>
      <c r="G592" s="379"/>
      <c r="H592" s="380">
        <v>68</v>
      </c>
      <c r="I592" s="234" t="s">
        <v>200</v>
      </c>
      <c r="J592" s="235">
        <v>1026</v>
      </c>
      <c r="K592" s="236">
        <v>69768</v>
      </c>
      <c r="L592" s="235">
        <v>205.2</v>
      </c>
      <c r="M592" s="236">
        <v>13953.6</v>
      </c>
      <c r="N592" s="237">
        <v>0</v>
      </c>
      <c r="O592" s="236">
        <v>0</v>
      </c>
      <c r="P592" s="238">
        <v>83721.600000000006</v>
      </c>
      <c r="Q592" s="239">
        <f t="shared" si="163"/>
        <v>4.5035255989617699E-5</v>
      </c>
      <c r="R592" s="236">
        <f t="shared" si="164"/>
        <v>4.4911166423482998</v>
      </c>
      <c r="S592" s="240">
        <f t="shared" si="165"/>
        <v>164.16</v>
      </c>
      <c r="T592" s="241"/>
      <c r="U592" s="225"/>
      <c r="V592" s="226"/>
      <c r="W592" s="227"/>
      <c r="X592" s="226"/>
      <c r="Y592" s="226"/>
      <c r="Z592" s="226"/>
      <c r="AA592" s="226"/>
      <c r="AB592" s="226"/>
      <c r="AC592" s="226"/>
      <c r="AD592" s="96">
        <f t="shared" si="159"/>
        <v>0</v>
      </c>
      <c r="AE592" s="96">
        <f t="shared" si="160"/>
        <v>0</v>
      </c>
      <c r="AF592" s="96">
        <f t="shared" si="161"/>
        <v>0</v>
      </c>
      <c r="AG592" s="96">
        <f t="shared" si="162"/>
        <v>0</v>
      </c>
      <c r="AH592" s="211" t="str">
        <f t="shared" si="166"/>
        <v>0,;!0,;!0,;!0</v>
      </c>
      <c r="AI592" s="211" t="e">
        <f>INDEX([1]Library!$AL:$AL,MATCH(AH592,[1]Library!$AJ:$AJ,0),1)</f>
        <v>#N/A</v>
      </c>
      <c r="AJ592" s="211" t="e">
        <f>TEXT(INDEX([1]Library!$W:$W,MATCH(AH592,[1]Library!$AJ:$AJ,0),1),"")</f>
        <v>#N/A</v>
      </c>
    </row>
    <row r="593" spans="1:36" ht="25.2" hidden="1" customHeight="1" outlineLevel="2">
      <c r="A593" s="228"/>
      <c r="B593" s="229"/>
      <c r="C593" s="230"/>
      <c r="D593" s="231" t="s">
        <v>577</v>
      </c>
      <c r="E593" s="232"/>
      <c r="F593" s="233"/>
      <c r="G593" s="379"/>
      <c r="H593" s="380">
        <v>4</v>
      </c>
      <c r="I593" s="234" t="s">
        <v>200</v>
      </c>
      <c r="J593" s="235">
        <v>58035.714285714297</v>
      </c>
      <c r="K593" s="236">
        <v>232142.85714285701</v>
      </c>
      <c r="L593" s="235">
        <v>5000</v>
      </c>
      <c r="M593" s="236">
        <v>20000</v>
      </c>
      <c r="N593" s="237">
        <v>0</v>
      </c>
      <c r="O593" s="236">
        <v>0</v>
      </c>
      <c r="P593" s="238">
        <v>252142.85714285701</v>
      </c>
      <c r="Q593" s="239">
        <f t="shared" si="163"/>
        <v>1.35631881347014E-4</v>
      </c>
      <c r="R593" s="236">
        <f t="shared" si="164"/>
        <v>13.525816300256301</v>
      </c>
      <c r="S593" s="240">
        <f t="shared" si="165"/>
        <v>494.39775910364102</v>
      </c>
      <c r="T593" s="241"/>
      <c r="U593" s="225"/>
      <c r="V593" s="226"/>
      <c r="W593" s="227"/>
      <c r="X593" s="226"/>
      <c r="Y593" s="226"/>
      <c r="Z593" s="226"/>
      <c r="AA593" s="226"/>
      <c r="AB593" s="226"/>
      <c r="AC593" s="226"/>
      <c r="AD593" s="96">
        <f>IF(X593&lt;&gt;0,IF($X593&gt;=AD$12,#REF!,""),Z593)</f>
        <v>0</v>
      </c>
      <c r="AE593" s="96">
        <f>IF(AA593=" ",IF($X593&gt;=AE$12,#REF!,""),AA593)</f>
        <v>0</v>
      </c>
      <c r="AF593" s="96">
        <f>IF(AB593=" ",IF($X593&gt;=AF$12,#REF!,""),AB593)</f>
        <v>0</v>
      </c>
      <c r="AG593" s="96">
        <f>IF(AC593=" ",IF($X593&gt;=AG$12,#REF!,""),AC593)</f>
        <v>0</v>
      </c>
      <c r="AH593" s="211" t="str">
        <f t="shared" si="166"/>
        <v>0,;!0,;!0,;!0</v>
      </c>
      <c r="AI593" s="211" t="e">
        <f>INDEX([1]Library!$AL:$AL,MATCH(AH593,[1]Library!$AJ:$AJ,0),1)</f>
        <v>#N/A</v>
      </c>
      <c r="AJ593" s="211" t="e">
        <f>TEXT(INDEX([1]Library!$W:$W,MATCH(AH593,[1]Library!$AJ:$AJ,0),1),"")</f>
        <v>#N/A</v>
      </c>
    </row>
    <row r="594" spans="1:36" ht="25.2" hidden="1" customHeight="1" outlineLevel="2">
      <c r="A594" s="228"/>
      <c r="B594" s="229"/>
      <c r="C594" s="230"/>
      <c r="D594" s="231" t="s">
        <v>578</v>
      </c>
      <c r="E594" s="232"/>
      <c r="F594" s="233"/>
      <c r="G594" s="379"/>
      <c r="H594" s="380">
        <v>32</v>
      </c>
      <c r="I594" s="234" t="s">
        <v>200</v>
      </c>
      <c r="J594" s="235">
        <v>0</v>
      </c>
      <c r="K594" s="236">
        <v>0</v>
      </c>
      <c r="L594" s="235">
        <v>0</v>
      </c>
      <c r="M594" s="236">
        <v>0</v>
      </c>
      <c r="N594" s="237">
        <v>0</v>
      </c>
      <c r="O594" s="236">
        <v>0</v>
      </c>
      <c r="P594" s="238">
        <v>0</v>
      </c>
      <c r="Q594" s="239">
        <f t="shared" si="163"/>
        <v>0</v>
      </c>
      <c r="R594" s="236">
        <f t="shared" si="164"/>
        <v>0</v>
      </c>
      <c r="S594" s="240">
        <f t="shared" si="165"/>
        <v>0</v>
      </c>
      <c r="T594" s="241"/>
      <c r="U594" s="225"/>
      <c r="V594" s="226"/>
      <c r="W594" s="227"/>
      <c r="X594" s="226"/>
      <c r="Y594" s="226"/>
      <c r="Z594" s="226"/>
      <c r="AA594" s="226"/>
      <c r="AB594" s="226"/>
      <c r="AC594" s="226"/>
      <c r="AD594" s="96">
        <f>IF(X594&lt;&gt;0,IF($X594&gt;=AD$12,AD593,""),Z594)</f>
        <v>0</v>
      </c>
      <c r="AE594" s="96">
        <f t="shared" ref="AE594:AG596" si="167">IF(AA594=" ",IF($X594&gt;=AE$12,AE593,""),AA594)</f>
        <v>0</v>
      </c>
      <c r="AF594" s="96">
        <f t="shared" si="167"/>
        <v>0</v>
      </c>
      <c r="AG594" s="96">
        <f t="shared" si="167"/>
        <v>0</v>
      </c>
      <c r="AH594" s="211" t="str">
        <f t="shared" si="166"/>
        <v>0,;!0,;!0,;!0</v>
      </c>
      <c r="AI594" s="211" t="e">
        <f>INDEX([1]Library!$AL:$AL,MATCH(AH594,[1]Library!$AJ:$AJ,0),1)</f>
        <v>#N/A</v>
      </c>
      <c r="AJ594" s="211" t="e">
        <f>TEXT(INDEX([1]Library!$W:$W,MATCH(AH594,[1]Library!$AJ:$AJ,0),1),"")</f>
        <v>#N/A</v>
      </c>
    </row>
    <row r="595" spans="1:36" ht="25.2" hidden="1" customHeight="1" outlineLevel="1" collapsed="1">
      <c r="A595" s="213"/>
      <c r="B595" s="214"/>
      <c r="C595" s="215" t="s">
        <v>579</v>
      </c>
      <c r="D595" s="215"/>
      <c r="E595" s="216"/>
      <c r="F595" s="217"/>
      <c r="G595" s="379"/>
      <c r="H595" s="219">
        <v>1</v>
      </c>
      <c r="I595" s="218" t="s">
        <v>32</v>
      </c>
      <c r="J595" s="219">
        <v>6171462.6409229003</v>
      </c>
      <c r="K595" s="219">
        <v>6171462.6409229003</v>
      </c>
      <c r="L595" s="219">
        <v>1851438.79227687</v>
      </c>
      <c r="M595" s="219">
        <v>1851438.79227687</v>
      </c>
      <c r="N595" s="219">
        <v>0</v>
      </c>
      <c r="O595" s="219">
        <v>0</v>
      </c>
      <c r="P595" s="220">
        <v>8022901.4331997698</v>
      </c>
      <c r="Q595" s="221">
        <f t="shared" si="163"/>
        <v>4.3156535448871302E-3</v>
      </c>
      <c r="R595" s="222">
        <f t="shared" si="164"/>
        <v>430.37622485193202</v>
      </c>
      <c r="S595" s="223">
        <f t="shared" si="165"/>
        <v>15731.179280783899</v>
      </c>
      <c r="T595" s="224"/>
      <c r="U595" s="225"/>
      <c r="V595" s="226"/>
      <c r="W595" s="227"/>
      <c r="X595" s="226"/>
      <c r="Y595" s="226"/>
      <c r="Z595" s="226"/>
      <c r="AA595" s="226"/>
      <c r="AB595" s="226"/>
      <c r="AC595" s="226"/>
      <c r="AD595" s="96">
        <f>IF(X595&lt;&gt;0,IF($X595&gt;=AD$12,AD594,""),Z595)</f>
        <v>0</v>
      </c>
      <c r="AE595" s="96">
        <f t="shared" si="167"/>
        <v>0</v>
      </c>
      <c r="AF595" s="96">
        <f t="shared" si="167"/>
        <v>0</v>
      </c>
      <c r="AG595" s="96">
        <f t="shared" si="167"/>
        <v>0</v>
      </c>
      <c r="AH595" s="211" t="str">
        <f t="shared" si="166"/>
        <v>0,;!0,;!0,;!0</v>
      </c>
      <c r="AI595" s="211" t="e">
        <f>INDEX([1]Library!$AL:$AL,MATCH(AH595,[1]Library!$AJ:$AJ,0),1)</f>
        <v>#N/A</v>
      </c>
      <c r="AJ595" s="211" t="e">
        <f>TEXT(INDEX([1]Library!$W:$W,MATCH(AH595,[1]Library!$AJ:$AJ,0),1),"")</f>
        <v>#N/A</v>
      </c>
    </row>
    <row r="596" spans="1:36" ht="25.2" hidden="1" customHeight="1" outlineLevel="2">
      <c r="A596" s="228"/>
      <c r="B596" s="229"/>
      <c r="C596" s="230"/>
      <c r="D596" s="231" t="s">
        <v>580</v>
      </c>
      <c r="E596" s="232"/>
      <c r="F596" s="233"/>
      <c r="G596" s="379"/>
      <c r="H596" s="380">
        <v>24</v>
      </c>
      <c r="I596" s="234" t="s">
        <v>176</v>
      </c>
      <c r="J596" s="235">
        <v>5008.2191999999995</v>
      </c>
      <c r="K596" s="236">
        <v>120197.2608</v>
      </c>
      <c r="L596" s="235">
        <v>1502.46576</v>
      </c>
      <c r="M596" s="236">
        <v>36059.178240000001</v>
      </c>
      <c r="N596" s="237">
        <v>0</v>
      </c>
      <c r="O596" s="236">
        <v>0</v>
      </c>
      <c r="P596" s="238">
        <v>156256.43904</v>
      </c>
      <c r="Q596" s="239">
        <f t="shared" si="163"/>
        <v>8.4052965210799796E-5</v>
      </c>
      <c r="R596" s="236">
        <f t="shared" si="164"/>
        <v>8.3821366749635207</v>
      </c>
      <c r="S596" s="240">
        <f t="shared" si="165"/>
        <v>306.38517458823497</v>
      </c>
      <c r="T596" s="241"/>
      <c r="U596" s="225"/>
      <c r="V596" s="226"/>
      <c r="W596" s="227"/>
      <c r="X596" s="226"/>
      <c r="Y596" s="226"/>
      <c r="Z596" s="226"/>
      <c r="AA596" s="226"/>
      <c r="AB596" s="226"/>
      <c r="AC596" s="226"/>
      <c r="AD596" s="96">
        <f>IF(X596&lt;&gt;0,IF($X596&gt;=AD$12,AD595,""),Z596)</f>
        <v>0</v>
      </c>
      <c r="AE596" s="96">
        <f t="shared" si="167"/>
        <v>0</v>
      </c>
      <c r="AF596" s="96">
        <f t="shared" si="167"/>
        <v>0</v>
      </c>
      <c r="AG596" s="96">
        <f t="shared" si="167"/>
        <v>0</v>
      </c>
      <c r="AH596" s="211" t="str">
        <f t="shared" si="166"/>
        <v>0,;!0,;!0,;!0</v>
      </c>
      <c r="AI596" s="211" t="e">
        <f>INDEX([1]Library!$AL:$AL,MATCH(AH596,[1]Library!$AJ:$AJ,0),1)</f>
        <v>#N/A</v>
      </c>
      <c r="AJ596" s="211" t="e">
        <f>TEXT(INDEX([1]Library!$W:$W,MATCH(AH596,[1]Library!$AJ:$AJ,0),1),"")</f>
        <v>#N/A</v>
      </c>
    </row>
    <row r="597" spans="1:36" ht="25.2" hidden="1" customHeight="1" outlineLevel="2">
      <c r="A597" s="228"/>
      <c r="B597" s="229"/>
      <c r="C597" s="230"/>
      <c r="D597" s="231" t="s">
        <v>581</v>
      </c>
      <c r="E597" s="232"/>
      <c r="F597" s="233"/>
      <c r="G597" s="379"/>
      <c r="H597" s="380">
        <v>24</v>
      </c>
      <c r="I597" s="234" t="s">
        <v>176</v>
      </c>
      <c r="J597" s="235">
        <v>2089.5</v>
      </c>
      <c r="K597" s="236">
        <v>50148</v>
      </c>
      <c r="L597" s="235">
        <v>626.85</v>
      </c>
      <c r="M597" s="236">
        <v>15044.4</v>
      </c>
      <c r="N597" s="237">
        <v>0</v>
      </c>
      <c r="O597" s="236">
        <v>0</v>
      </c>
      <c r="P597" s="238">
        <v>65192.4</v>
      </c>
      <c r="Q597" s="239">
        <f t="shared" si="163"/>
        <v>3.5068087836084703E-5</v>
      </c>
      <c r="R597" s="236">
        <f t="shared" si="164"/>
        <v>3.4971461677109299</v>
      </c>
      <c r="S597" s="240">
        <f t="shared" si="165"/>
        <v>127.828235294118</v>
      </c>
      <c r="T597" s="241"/>
      <c r="U597" s="225"/>
      <c r="V597" s="226"/>
      <c r="W597" s="227"/>
      <c r="X597" s="226"/>
      <c r="Y597" s="226"/>
      <c r="Z597" s="226"/>
      <c r="AA597" s="226"/>
      <c r="AB597" s="226"/>
      <c r="AC597" s="226"/>
      <c r="AD597" s="96">
        <f>IF(X597&lt;&gt;0,IF($X597&gt;=AD$12,#REF!,""),Z597)</f>
        <v>0</v>
      </c>
      <c r="AE597" s="96">
        <f>IF(AA597=" ",IF($X597&gt;=AE$12,#REF!,""),AA597)</f>
        <v>0</v>
      </c>
      <c r="AF597" s="96">
        <f>IF(AB597=" ",IF($X597&gt;=AF$12,#REF!,""),AB597)</f>
        <v>0</v>
      </c>
      <c r="AG597" s="96">
        <f>IF(AC597=" ",IF($X597&gt;=AG$12,#REF!,""),AC597)</f>
        <v>0</v>
      </c>
      <c r="AH597" s="211" t="str">
        <f t="shared" si="166"/>
        <v>0,;!0,;!0,;!0</v>
      </c>
      <c r="AI597" s="211" t="e">
        <f>INDEX([1]Library!$AL:$AL,MATCH(AH597,[1]Library!$AJ:$AJ,0),1)</f>
        <v>#N/A</v>
      </c>
      <c r="AJ597" s="211" t="e">
        <f>TEXT(INDEX([1]Library!$W:$W,MATCH(AH597,[1]Library!$AJ:$AJ,0),1),"")</f>
        <v>#N/A</v>
      </c>
    </row>
    <row r="598" spans="1:36" ht="25.2" hidden="1" customHeight="1" outlineLevel="2">
      <c r="A598" s="228"/>
      <c r="B598" s="229"/>
      <c r="C598" s="230"/>
      <c r="D598" s="231" t="s">
        <v>582</v>
      </c>
      <c r="E598" s="232"/>
      <c r="F598" s="233"/>
      <c r="G598" s="379"/>
      <c r="H598" s="380">
        <v>68</v>
      </c>
      <c r="I598" s="234" t="s">
        <v>176</v>
      </c>
      <c r="J598" s="235">
        <v>1617.6668618266999</v>
      </c>
      <c r="K598" s="236">
        <v>110001.346604216</v>
      </c>
      <c r="L598" s="235">
        <v>485.30005854800999</v>
      </c>
      <c r="M598" s="236">
        <v>33000.403981264702</v>
      </c>
      <c r="N598" s="237">
        <v>0</v>
      </c>
      <c r="O598" s="236">
        <v>0</v>
      </c>
      <c r="P598" s="238">
        <v>143001.75058548001</v>
      </c>
      <c r="Q598" s="239">
        <f t="shared" si="163"/>
        <v>7.6923045481459604E-5</v>
      </c>
      <c r="R598" s="236">
        <f t="shared" si="164"/>
        <v>7.6711092709574302</v>
      </c>
      <c r="S598" s="240">
        <f t="shared" si="165"/>
        <v>280.39558938329401</v>
      </c>
      <c r="T598" s="241"/>
      <c r="U598" s="225"/>
      <c r="V598" s="226"/>
      <c r="W598" s="227"/>
      <c r="X598" s="226"/>
      <c r="Y598" s="226"/>
      <c r="Z598" s="226"/>
      <c r="AA598" s="226"/>
      <c r="AB598" s="226"/>
      <c r="AC598" s="226"/>
      <c r="AD598" s="96">
        <f t="shared" ref="AD598:AD603" si="168">IF(X598&lt;&gt;0,IF($X598&gt;=AD$12,AD597,""),Z598)</f>
        <v>0</v>
      </c>
      <c r="AE598" s="96">
        <f t="shared" ref="AE598:AE603" si="169">IF(AA598=" ",IF($X598&gt;=AE$12,AE597,""),AA598)</f>
        <v>0</v>
      </c>
      <c r="AF598" s="96">
        <f t="shared" ref="AF598:AF603" si="170">IF(AB598=" ",IF($X598&gt;=AF$12,AF597,""),AB598)</f>
        <v>0</v>
      </c>
      <c r="AG598" s="96">
        <f t="shared" ref="AG598:AG603" si="171">IF(AC598=" ",IF($X598&gt;=AG$12,AG597,""),AC598)</f>
        <v>0</v>
      </c>
      <c r="AH598" s="211" t="str">
        <f t="shared" si="166"/>
        <v>0,;!0,;!0,;!0</v>
      </c>
      <c r="AI598" s="211" t="e">
        <f>INDEX([1]Library!$AL:$AL,MATCH(AH598,[1]Library!$AJ:$AJ,0),1)</f>
        <v>#N/A</v>
      </c>
      <c r="AJ598" s="211" t="e">
        <f>TEXT(INDEX([1]Library!$W:$W,MATCH(AH598,[1]Library!$AJ:$AJ,0),1),"")</f>
        <v>#N/A</v>
      </c>
    </row>
    <row r="599" spans="1:36" ht="25.2" hidden="1" customHeight="1" outlineLevel="2">
      <c r="A599" s="228"/>
      <c r="B599" s="229"/>
      <c r="C599" s="230"/>
      <c r="D599" s="231" t="s">
        <v>583</v>
      </c>
      <c r="E599" s="232"/>
      <c r="F599" s="233"/>
      <c r="G599" s="379"/>
      <c r="H599" s="380">
        <v>7296</v>
      </c>
      <c r="I599" s="234" t="s">
        <v>176</v>
      </c>
      <c r="J599" s="235">
        <v>272.78300000000002</v>
      </c>
      <c r="K599" s="236">
        <v>1990224.7679999999</v>
      </c>
      <c r="L599" s="235">
        <v>81.834900000000005</v>
      </c>
      <c r="M599" s="236">
        <v>597067.43039999995</v>
      </c>
      <c r="N599" s="237">
        <v>0</v>
      </c>
      <c r="O599" s="236">
        <v>0</v>
      </c>
      <c r="P599" s="238">
        <v>2587292.1984000001</v>
      </c>
      <c r="Q599" s="239">
        <f t="shared" si="163"/>
        <v>1.3917479655774E-3</v>
      </c>
      <c r="R599" s="236">
        <f t="shared" si="164"/>
        <v>138.791316110205</v>
      </c>
      <c r="S599" s="240">
        <f t="shared" si="165"/>
        <v>5073.1219576470603</v>
      </c>
      <c r="T599" s="241"/>
      <c r="U599" s="225"/>
      <c r="V599" s="226"/>
      <c r="W599" s="227"/>
      <c r="X599" s="226"/>
      <c r="Y599" s="226"/>
      <c r="Z599" s="226"/>
      <c r="AA599" s="226"/>
      <c r="AB599" s="226"/>
      <c r="AC599" s="226"/>
      <c r="AD599" s="96">
        <f t="shared" si="168"/>
        <v>0</v>
      </c>
      <c r="AE599" s="96">
        <f t="shared" si="169"/>
        <v>0</v>
      </c>
      <c r="AF599" s="96">
        <f t="shared" si="170"/>
        <v>0</v>
      </c>
      <c r="AG599" s="96">
        <f t="shared" si="171"/>
        <v>0</v>
      </c>
      <c r="AH599" s="211" t="str">
        <f t="shared" si="166"/>
        <v>0,;!0,;!0,;!0</v>
      </c>
      <c r="AI599" s="211" t="e">
        <f>INDEX([1]Library!$AL:$AL,MATCH(AH599,[1]Library!$AJ:$AJ,0),1)</f>
        <v>#N/A</v>
      </c>
      <c r="AJ599" s="211" t="e">
        <f>TEXT(INDEX([1]Library!$W:$W,MATCH(AH599,[1]Library!$AJ:$AJ,0),1),"")</f>
        <v>#N/A</v>
      </c>
    </row>
    <row r="600" spans="1:36" ht="25.2" hidden="1" customHeight="1" outlineLevel="2">
      <c r="A600" s="228"/>
      <c r="B600" s="229"/>
      <c r="C600" s="230"/>
      <c r="D600" s="231" t="s">
        <v>584</v>
      </c>
      <c r="E600" s="232"/>
      <c r="F600" s="233"/>
      <c r="G600" s="379"/>
      <c r="H600" s="380">
        <v>134.4</v>
      </c>
      <c r="I600" s="234" t="s">
        <v>176</v>
      </c>
      <c r="J600" s="235">
        <v>5008.2191999999995</v>
      </c>
      <c r="K600" s="236">
        <v>673104.66047999996</v>
      </c>
      <c r="L600" s="235">
        <v>1502.46576</v>
      </c>
      <c r="M600" s="236">
        <v>201931.39814400001</v>
      </c>
      <c r="N600" s="237">
        <v>0</v>
      </c>
      <c r="O600" s="236">
        <v>0</v>
      </c>
      <c r="P600" s="238">
        <v>875036.05862400006</v>
      </c>
      <c r="Q600" s="239">
        <f t="shared" si="163"/>
        <v>4.7069660518047902E-4</v>
      </c>
      <c r="R600" s="236">
        <f t="shared" si="164"/>
        <v>46.939965379795701</v>
      </c>
      <c r="S600" s="240">
        <f t="shared" si="165"/>
        <v>1715.75697769412</v>
      </c>
      <c r="T600" s="241"/>
      <c r="U600" s="225"/>
      <c r="V600" s="226"/>
      <c r="W600" s="227"/>
      <c r="X600" s="226"/>
      <c r="Y600" s="226"/>
      <c r="Z600" s="226"/>
      <c r="AA600" s="226"/>
      <c r="AB600" s="226"/>
      <c r="AC600" s="226"/>
      <c r="AD600" s="96">
        <f t="shared" si="168"/>
        <v>0</v>
      </c>
      <c r="AE600" s="96">
        <f t="shared" si="169"/>
        <v>0</v>
      </c>
      <c r="AF600" s="96">
        <f t="shared" si="170"/>
        <v>0</v>
      </c>
      <c r="AG600" s="96">
        <f t="shared" si="171"/>
        <v>0</v>
      </c>
      <c r="AH600" s="211" t="str">
        <f t="shared" si="166"/>
        <v>0,;!0,;!0,;!0</v>
      </c>
      <c r="AI600" s="211" t="e">
        <f>INDEX([1]Library!$AL:$AL,MATCH(AH600,[1]Library!$AJ:$AJ,0),1)</f>
        <v>#N/A</v>
      </c>
      <c r="AJ600" s="211" t="e">
        <f>TEXT(INDEX([1]Library!$W:$W,MATCH(AH600,[1]Library!$AJ:$AJ,0),1),"")</f>
        <v>#N/A</v>
      </c>
    </row>
    <row r="601" spans="1:36" ht="25.2" hidden="1" customHeight="1" outlineLevel="2">
      <c r="A601" s="228"/>
      <c r="B601" s="229"/>
      <c r="C601" s="230"/>
      <c r="D601" s="231" t="s">
        <v>585</v>
      </c>
      <c r="E601" s="232"/>
      <c r="F601" s="233"/>
      <c r="G601" s="379"/>
      <c r="H601" s="380">
        <v>134.4</v>
      </c>
      <c r="I601" s="234" t="s">
        <v>176</v>
      </c>
      <c r="J601" s="235">
        <v>3234.1704</v>
      </c>
      <c r="K601" s="236">
        <v>434672.50176000001</v>
      </c>
      <c r="L601" s="235">
        <v>970.25112000000001</v>
      </c>
      <c r="M601" s="236">
        <v>130401.750528</v>
      </c>
      <c r="N601" s="237">
        <v>0</v>
      </c>
      <c r="O601" s="236">
        <v>0</v>
      </c>
      <c r="P601" s="238">
        <v>565074.25228799996</v>
      </c>
      <c r="Q601" s="239">
        <f t="shared" si="163"/>
        <v>3.0396293913317299E-4</v>
      </c>
      <c r="R601" s="236">
        <f t="shared" si="164"/>
        <v>30.312540355334299</v>
      </c>
      <c r="S601" s="240">
        <f t="shared" si="165"/>
        <v>1107.98872997647</v>
      </c>
      <c r="T601" s="241"/>
      <c r="U601" s="225"/>
      <c r="V601" s="226"/>
      <c r="W601" s="227"/>
      <c r="X601" s="226"/>
      <c r="Y601" s="226"/>
      <c r="Z601" s="226"/>
      <c r="AA601" s="226"/>
      <c r="AB601" s="226"/>
      <c r="AC601" s="226"/>
      <c r="AD601" s="96">
        <f t="shared" si="168"/>
        <v>0</v>
      </c>
      <c r="AE601" s="96">
        <f t="shared" si="169"/>
        <v>0</v>
      </c>
      <c r="AF601" s="96">
        <f t="shared" si="170"/>
        <v>0</v>
      </c>
      <c r="AG601" s="96">
        <f t="shared" si="171"/>
        <v>0</v>
      </c>
      <c r="AH601" s="211" t="str">
        <f t="shared" si="166"/>
        <v>0,;!0,;!0,;!0</v>
      </c>
      <c r="AI601" s="211" t="e">
        <f>INDEX([1]Library!$AL:$AL,MATCH(AH601,[1]Library!$AJ:$AJ,0),1)</f>
        <v>#N/A</v>
      </c>
      <c r="AJ601" s="211" t="e">
        <f>TEXT(INDEX([1]Library!$W:$W,MATCH(AH601,[1]Library!$AJ:$AJ,0),1),"")</f>
        <v>#N/A</v>
      </c>
    </row>
    <row r="602" spans="1:36" ht="25.2" hidden="1" customHeight="1" outlineLevel="2">
      <c r="A602" s="228"/>
      <c r="B602" s="229"/>
      <c r="C602" s="230"/>
      <c r="D602" s="231" t="s">
        <v>586</v>
      </c>
      <c r="E602" s="232"/>
      <c r="F602" s="233"/>
      <c r="G602" s="379"/>
      <c r="H602" s="380">
        <v>579.6</v>
      </c>
      <c r="I602" s="234" t="s">
        <v>176</v>
      </c>
      <c r="J602" s="235">
        <v>2089.5</v>
      </c>
      <c r="K602" s="236">
        <v>1211074.2</v>
      </c>
      <c r="L602" s="235">
        <v>626.85</v>
      </c>
      <c r="M602" s="236">
        <v>363322.26</v>
      </c>
      <c r="N602" s="237">
        <v>0</v>
      </c>
      <c r="O602" s="236">
        <v>0</v>
      </c>
      <c r="P602" s="238">
        <v>1574396.46</v>
      </c>
      <c r="Q602" s="239">
        <f t="shared" si="163"/>
        <v>8.4689432124144702E-4</v>
      </c>
      <c r="R602" s="236">
        <f t="shared" si="164"/>
        <v>84.456079950218907</v>
      </c>
      <c r="S602" s="240">
        <f t="shared" si="165"/>
        <v>3087.0518823529401</v>
      </c>
      <c r="T602" s="241"/>
      <c r="U602" s="225"/>
      <c r="V602" s="226"/>
      <c r="W602" s="227"/>
      <c r="X602" s="226"/>
      <c r="Y602" s="226"/>
      <c r="Z602" s="226"/>
      <c r="AA602" s="226"/>
      <c r="AB602" s="226"/>
      <c r="AC602" s="226"/>
      <c r="AD602" s="96">
        <f t="shared" si="168"/>
        <v>0</v>
      </c>
      <c r="AE602" s="96">
        <f t="shared" si="169"/>
        <v>0</v>
      </c>
      <c r="AF602" s="96">
        <f t="shared" si="170"/>
        <v>0</v>
      </c>
      <c r="AG602" s="96">
        <f t="shared" si="171"/>
        <v>0</v>
      </c>
      <c r="AH602" s="211" t="str">
        <f t="shared" si="166"/>
        <v>0,;!0,;!0,;!0</v>
      </c>
      <c r="AI602" s="211" t="e">
        <f>INDEX([1]Library!$AL:$AL,MATCH(AH602,[1]Library!$AJ:$AJ,0),1)</f>
        <v>#N/A</v>
      </c>
      <c r="AJ602" s="211" t="e">
        <f>TEXT(INDEX([1]Library!$W:$W,MATCH(AH602,[1]Library!$AJ:$AJ,0),1),"")</f>
        <v>#N/A</v>
      </c>
    </row>
    <row r="603" spans="1:36" ht="25.2" hidden="1" customHeight="1" outlineLevel="2">
      <c r="A603" s="228"/>
      <c r="B603" s="229"/>
      <c r="C603" s="230"/>
      <c r="D603" s="231" t="s">
        <v>587</v>
      </c>
      <c r="E603" s="232"/>
      <c r="F603" s="233"/>
      <c r="G603" s="379"/>
      <c r="H603" s="380">
        <v>16.8</v>
      </c>
      <c r="I603" s="234" t="s">
        <v>176</v>
      </c>
      <c r="J603" s="235">
        <v>1617.6668618266999</v>
      </c>
      <c r="K603" s="236">
        <v>27176.8032786886</v>
      </c>
      <c r="L603" s="235">
        <v>485.30005854800999</v>
      </c>
      <c r="M603" s="236">
        <v>8153.0409836065701</v>
      </c>
      <c r="N603" s="237">
        <v>0</v>
      </c>
      <c r="O603" s="236">
        <v>0</v>
      </c>
      <c r="P603" s="238">
        <v>35329.844262295097</v>
      </c>
      <c r="Q603" s="239">
        <f t="shared" si="163"/>
        <v>1.90045171189488E-5</v>
      </c>
      <c r="R603" s="236">
        <f t="shared" si="164"/>
        <v>1.89521523164831</v>
      </c>
      <c r="S603" s="240">
        <f t="shared" si="165"/>
        <v>69.274204435872704</v>
      </c>
      <c r="T603" s="241"/>
      <c r="U603" s="225"/>
      <c r="V603" s="226"/>
      <c r="W603" s="227"/>
      <c r="X603" s="226"/>
      <c r="Y603" s="226"/>
      <c r="Z603" s="226"/>
      <c r="AA603" s="226"/>
      <c r="AB603" s="226"/>
      <c r="AC603" s="226"/>
      <c r="AD603" s="96">
        <f t="shared" si="168"/>
        <v>0</v>
      </c>
      <c r="AE603" s="96">
        <f t="shared" si="169"/>
        <v>0</v>
      </c>
      <c r="AF603" s="96">
        <f t="shared" si="170"/>
        <v>0</v>
      </c>
      <c r="AG603" s="96">
        <f t="shared" si="171"/>
        <v>0</v>
      </c>
      <c r="AH603" s="211" t="str">
        <f t="shared" si="166"/>
        <v>0,;!0,;!0,;!0</v>
      </c>
      <c r="AI603" s="211" t="e">
        <f>INDEX([1]Library!$AL:$AL,MATCH(AH603,[1]Library!$AJ:$AJ,0),1)</f>
        <v>#N/A</v>
      </c>
      <c r="AJ603" s="211" t="e">
        <f>TEXT(INDEX([1]Library!$W:$W,MATCH(AH603,[1]Library!$AJ:$AJ,0),1),"")</f>
        <v>#N/A</v>
      </c>
    </row>
    <row r="604" spans="1:36" ht="25.2" hidden="1" customHeight="1" outlineLevel="2">
      <c r="A604" s="228"/>
      <c r="B604" s="229"/>
      <c r="C604" s="230"/>
      <c r="D604" s="231" t="s">
        <v>588</v>
      </c>
      <c r="E604" s="232"/>
      <c r="F604" s="233"/>
      <c r="G604" s="379"/>
      <c r="H604" s="380">
        <v>5700</v>
      </c>
      <c r="I604" s="234" t="s">
        <v>176</v>
      </c>
      <c r="J604" s="235">
        <v>272.78300000000002</v>
      </c>
      <c r="K604" s="236">
        <v>1554863.1</v>
      </c>
      <c r="L604" s="235">
        <v>81.834900000000005</v>
      </c>
      <c r="M604" s="236">
        <v>466458.93</v>
      </c>
      <c r="N604" s="237">
        <v>0</v>
      </c>
      <c r="O604" s="236">
        <v>0</v>
      </c>
      <c r="P604" s="238">
        <v>2021322.03</v>
      </c>
      <c r="Q604" s="239">
        <f t="shared" si="163"/>
        <v>1.0873030981073399E-3</v>
      </c>
      <c r="R604" s="236">
        <f t="shared" si="164"/>
        <v>108.430715711098</v>
      </c>
      <c r="S604" s="240">
        <f t="shared" si="165"/>
        <v>3963.3765294117602</v>
      </c>
      <c r="T604" s="241"/>
      <c r="U604" s="225"/>
      <c r="V604" s="226"/>
      <c r="W604" s="227"/>
      <c r="X604" s="226"/>
      <c r="Y604" s="226"/>
      <c r="Z604" s="226"/>
      <c r="AA604" s="226"/>
      <c r="AB604" s="226"/>
      <c r="AC604" s="226"/>
      <c r="AD604" s="96">
        <f>IF(X604&lt;&gt;0,IF($X604&gt;=AD$12,#REF!,""),Z604)</f>
        <v>0</v>
      </c>
      <c r="AE604" s="96">
        <f>IF(AA604=" ",IF($X604&gt;=AE$12,#REF!,""),AA604)</f>
        <v>0</v>
      </c>
      <c r="AF604" s="96">
        <f>IF(AB604=" ",IF($X604&gt;=AF$12,#REF!,""),AB604)</f>
        <v>0</v>
      </c>
      <c r="AG604" s="96">
        <f>IF(AC604=" ",IF($X604&gt;=AG$12,#REF!,""),AC604)</f>
        <v>0</v>
      </c>
      <c r="AH604" s="211" t="str">
        <f t="shared" si="166"/>
        <v>0,;!0,;!0,;!0</v>
      </c>
      <c r="AI604" s="211" t="e">
        <f>INDEX([1]Library!$AL:$AL,MATCH(AH604,[1]Library!$AJ:$AJ,0),1)</f>
        <v>#N/A</v>
      </c>
      <c r="AJ604" s="211" t="e">
        <f>TEXT(INDEX([1]Library!$W:$W,MATCH(AH604,[1]Library!$AJ:$AJ,0),1),"")</f>
        <v>#N/A</v>
      </c>
    </row>
    <row r="605" spans="1:36" ht="25.2" hidden="1" customHeight="1" outlineLevel="1" collapsed="1">
      <c r="A605" s="213"/>
      <c r="B605" s="214"/>
      <c r="C605" s="215" t="s">
        <v>589</v>
      </c>
      <c r="D605" s="215"/>
      <c r="E605" s="216"/>
      <c r="F605" s="217"/>
      <c r="G605" s="379"/>
      <c r="H605" s="219">
        <v>1</v>
      </c>
      <c r="I605" s="218" t="s">
        <v>32</v>
      </c>
      <c r="J605" s="219">
        <v>0</v>
      </c>
      <c r="K605" s="219">
        <v>0</v>
      </c>
      <c r="L605" s="219">
        <v>0</v>
      </c>
      <c r="M605" s="219">
        <v>0</v>
      </c>
      <c r="N605" s="219">
        <v>7464285.7142857099</v>
      </c>
      <c r="O605" s="219">
        <v>7464285.7142857099</v>
      </c>
      <c r="P605" s="220">
        <v>7464285.7142857099</v>
      </c>
      <c r="Q605" s="221">
        <f t="shared" si="163"/>
        <v>4.0151647594229402E-3</v>
      </c>
      <c r="R605" s="222">
        <f t="shared" si="164"/>
        <v>400.41014259965402</v>
      </c>
      <c r="S605" s="223">
        <f t="shared" si="165"/>
        <v>14635.8543417367</v>
      </c>
      <c r="T605" s="224"/>
      <c r="U605" s="225"/>
      <c r="V605" s="226"/>
      <c r="W605" s="227"/>
      <c r="X605" s="226"/>
      <c r="Y605" s="226"/>
      <c r="Z605" s="226"/>
      <c r="AA605" s="226"/>
      <c r="AB605" s="226"/>
      <c r="AC605" s="226"/>
      <c r="AD605" s="96">
        <f t="shared" ref="AD605:AD617" si="172">IF(X605&lt;&gt;0,IF($X605&gt;=AD$12,AD604,""),Z605)</f>
        <v>0</v>
      </c>
      <c r="AE605" s="96">
        <f t="shared" ref="AE605:AE617" si="173">IF(AA605=" ",IF($X605&gt;=AE$12,AE604,""),AA605)</f>
        <v>0</v>
      </c>
      <c r="AF605" s="96">
        <f t="shared" ref="AF605:AF617" si="174">IF(AB605=" ",IF($X605&gt;=AF$12,AF604,""),AB605)</f>
        <v>0</v>
      </c>
      <c r="AG605" s="96">
        <f t="shared" ref="AG605:AG617" si="175">IF(AC605=" ",IF($X605&gt;=AG$12,AG604,""),AC605)</f>
        <v>0</v>
      </c>
      <c r="AH605" s="211" t="str">
        <f t="shared" si="166"/>
        <v>0,;!0,;!0,;!0</v>
      </c>
      <c r="AI605" s="211" t="e">
        <f>INDEX([1]Library!$AL:$AL,MATCH(AH605,[1]Library!$AJ:$AJ,0),1)</f>
        <v>#N/A</v>
      </c>
      <c r="AJ605" s="211" t="e">
        <f>TEXT(INDEX([1]Library!$W:$W,MATCH(AH605,[1]Library!$AJ:$AJ,0),1),"")</f>
        <v>#N/A</v>
      </c>
    </row>
    <row r="606" spans="1:36" ht="25.2" hidden="1" customHeight="1" outlineLevel="2">
      <c r="A606" s="228"/>
      <c r="B606" s="229"/>
      <c r="C606" s="230"/>
      <c r="D606" s="231" t="s">
        <v>590</v>
      </c>
      <c r="E606" s="232"/>
      <c r="F606" s="233"/>
      <c r="G606" s="379"/>
      <c r="H606" s="380">
        <v>4</v>
      </c>
      <c r="I606" s="234" t="s">
        <v>200</v>
      </c>
      <c r="J606" s="235">
        <v>0</v>
      </c>
      <c r="K606" s="236">
        <v>0</v>
      </c>
      <c r="L606" s="235">
        <v>0</v>
      </c>
      <c r="M606" s="236">
        <v>0</v>
      </c>
      <c r="N606" s="237">
        <v>1866071.42857143</v>
      </c>
      <c r="O606" s="236">
        <v>7464285.7142857099</v>
      </c>
      <c r="P606" s="238">
        <v>7464285.7142857099</v>
      </c>
      <c r="Q606" s="239">
        <f t="shared" si="163"/>
        <v>4.0151647594229402E-3</v>
      </c>
      <c r="R606" s="236">
        <f t="shared" si="164"/>
        <v>400.41014259965402</v>
      </c>
      <c r="S606" s="240">
        <f t="shared" si="165"/>
        <v>14635.8543417367</v>
      </c>
      <c r="T606" s="241"/>
      <c r="U606" s="225"/>
      <c r="V606" s="226"/>
      <c r="W606" s="227"/>
      <c r="X606" s="226"/>
      <c r="Y606" s="226"/>
      <c r="Z606" s="226"/>
      <c r="AA606" s="226"/>
      <c r="AB606" s="226"/>
      <c r="AC606" s="226"/>
      <c r="AD606" s="96">
        <f t="shared" si="172"/>
        <v>0</v>
      </c>
      <c r="AE606" s="96">
        <f t="shared" si="173"/>
        <v>0</v>
      </c>
      <c r="AF606" s="96">
        <f t="shared" si="174"/>
        <v>0</v>
      </c>
      <c r="AG606" s="96">
        <f t="shared" si="175"/>
        <v>0</v>
      </c>
      <c r="AH606" s="211" t="str">
        <f t="shared" si="166"/>
        <v>0,;!0,;!0,;!0</v>
      </c>
      <c r="AI606" s="211" t="e">
        <f>INDEX([1]Library!$AL:$AL,MATCH(AH606,[1]Library!$AJ:$AJ,0),1)</f>
        <v>#N/A</v>
      </c>
      <c r="AJ606" s="211" t="e">
        <f>TEXT(INDEX([1]Library!$W:$W,MATCH(AH606,[1]Library!$AJ:$AJ,0),1),"")</f>
        <v>#N/A</v>
      </c>
    </row>
    <row r="607" spans="1:36" ht="25.2" hidden="1" customHeight="1" outlineLevel="1" collapsed="1">
      <c r="A607" s="213"/>
      <c r="B607" s="214"/>
      <c r="C607" s="215" t="s">
        <v>591</v>
      </c>
      <c r="D607" s="215"/>
      <c r="E607" s="216"/>
      <c r="F607" s="217"/>
      <c r="G607" s="379"/>
      <c r="H607" s="219">
        <v>1</v>
      </c>
      <c r="I607" s="218" t="s">
        <v>32</v>
      </c>
      <c r="J607" s="219">
        <v>6250000</v>
      </c>
      <c r="K607" s="219">
        <v>6250000</v>
      </c>
      <c r="L607" s="219">
        <v>1260000</v>
      </c>
      <c r="M607" s="219">
        <v>1260000</v>
      </c>
      <c r="N607" s="219">
        <v>0</v>
      </c>
      <c r="O607" s="219">
        <v>0</v>
      </c>
      <c r="P607" s="220">
        <v>7510000</v>
      </c>
      <c r="Q607" s="221">
        <f t="shared" si="163"/>
        <v>4.0397552421600697E-3</v>
      </c>
      <c r="R607" s="222">
        <f t="shared" si="164"/>
        <v>402.86241524332701</v>
      </c>
      <c r="S607" s="223">
        <f t="shared" si="165"/>
        <v>14725.490196078399</v>
      </c>
      <c r="T607" s="224"/>
      <c r="U607" s="225"/>
      <c r="V607" s="226"/>
      <c r="W607" s="227"/>
      <c r="X607" s="226"/>
      <c r="Y607" s="226"/>
      <c r="Z607" s="226"/>
      <c r="AA607" s="226"/>
      <c r="AB607" s="226"/>
      <c r="AC607" s="226"/>
      <c r="AD607" s="96">
        <f t="shared" si="172"/>
        <v>0</v>
      </c>
      <c r="AE607" s="96">
        <f t="shared" si="173"/>
        <v>0</v>
      </c>
      <c r="AF607" s="96">
        <f t="shared" si="174"/>
        <v>0</v>
      </c>
      <c r="AG607" s="96">
        <f t="shared" si="175"/>
        <v>0</v>
      </c>
      <c r="AH607" s="211" t="str">
        <f t="shared" si="166"/>
        <v>0,;!0,;!0,;!0</v>
      </c>
      <c r="AI607" s="211" t="e">
        <f>INDEX([1]Library!$AL:$AL,MATCH(AH607,[1]Library!$AJ:$AJ,0),1)</f>
        <v>#N/A</v>
      </c>
      <c r="AJ607" s="211" t="e">
        <f>TEXT(INDEX([1]Library!$W:$W,MATCH(AH607,[1]Library!$AJ:$AJ,0),1),"")</f>
        <v>#N/A</v>
      </c>
    </row>
    <row r="608" spans="1:36" ht="25.2" hidden="1" customHeight="1" outlineLevel="2">
      <c r="A608" s="228"/>
      <c r="B608" s="229"/>
      <c r="C608" s="230"/>
      <c r="D608" s="231" t="s">
        <v>592</v>
      </c>
      <c r="E608" s="232"/>
      <c r="F608" s="233"/>
      <c r="G608" s="379"/>
      <c r="H608" s="380">
        <v>4</v>
      </c>
      <c r="I608" s="234" t="s">
        <v>200</v>
      </c>
      <c r="J608" s="235">
        <v>1051785.7142857099</v>
      </c>
      <c r="K608" s="236">
        <v>4207142.8571428601</v>
      </c>
      <c r="L608" s="235">
        <v>150000</v>
      </c>
      <c r="M608" s="236">
        <v>600000</v>
      </c>
      <c r="N608" s="237">
        <v>0</v>
      </c>
      <c r="O608" s="236">
        <v>0</v>
      </c>
      <c r="P608" s="238">
        <v>4807142.8571428601</v>
      </c>
      <c r="Q608" s="239">
        <f t="shared" si="163"/>
        <v>2.5858429503269301E-3</v>
      </c>
      <c r="R608" s="236">
        <f t="shared" si="164"/>
        <v>257.87179518618899</v>
      </c>
      <c r="S608" s="240">
        <f t="shared" si="165"/>
        <v>9425.7703081232594</v>
      </c>
      <c r="T608" s="241"/>
      <c r="U608" s="225"/>
      <c r="V608" s="226"/>
      <c r="W608" s="227"/>
      <c r="X608" s="226"/>
      <c r="Y608" s="226"/>
      <c r="Z608" s="226"/>
      <c r="AA608" s="226"/>
      <c r="AB608" s="226"/>
      <c r="AC608" s="226"/>
      <c r="AD608" s="96">
        <f t="shared" si="172"/>
        <v>0</v>
      </c>
      <c r="AE608" s="96">
        <f t="shared" si="173"/>
        <v>0</v>
      </c>
      <c r="AF608" s="96">
        <f t="shared" si="174"/>
        <v>0</v>
      </c>
      <c r="AG608" s="96">
        <f t="shared" si="175"/>
        <v>0</v>
      </c>
      <c r="AH608" s="211" t="str">
        <f t="shared" si="166"/>
        <v>0,;!0,;!0,;!0</v>
      </c>
      <c r="AI608" s="211" t="e">
        <f>INDEX([1]Library!$AL:$AL,MATCH(AH608,[1]Library!$AJ:$AJ,0),1)</f>
        <v>#N/A</v>
      </c>
      <c r="AJ608" s="211" t="e">
        <f>TEXT(INDEX([1]Library!$W:$W,MATCH(AH608,[1]Library!$AJ:$AJ,0),1),"")</f>
        <v>#N/A</v>
      </c>
    </row>
    <row r="609" spans="1:36" ht="25.2" hidden="1" customHeight="1" outlineLevel="2">
      <c r="A609" s="228"/>
      <c r="B609" s="229"/>
      <c r="C609" s="230"/>
      <c r="D609" s="231" t="s">
        <v>593</v>
      </c>
      <c r="E609" s="232"/>
      <c r="F609" s="233"/>
      <c r="G609" s="379"/>
      <c r="H609" s="380">
        <v>4</v>
      </c>
      <c r="I609" s="234" t="s">
        <v>200</v>
      </c>
      <c r="J609" s="235">
        <v>464285.71428571403</v>
      </c>
      <c r="K609" s="236">
        <v>1857142.8571428601</v>
      </c>
      <c r="L609" s="235">
        <v>150000</v>
      </c>
      <c r="M609" s="236">
        <v>600000</v>
      </c>
      <c r="N609" s="237">
        <v>0</v>
      </c>
      <c r="O609" s="236">
        <v>0</v>
      </c>
      <c r="P609" s="238">
        <v>2457142.8571428601</v>
      </c>
      <c r="Q609" s="239">
        <f t="shared" si="163"/>
        <v>1.3217384471210401E-3</v>
      </c>
      <c r="R609" s="236">
        <f t="shared" si="164"/>
        <v>131.80965459739801</v>
      </c>
      <c r="S609" s="240">
        <f t="shared" si="165"/>
        <v>4817.92717086835</v>
      </c>
      <c r="T609" s="241"/>
      <c r="U609" s="225"/>
      <c r="V609" s="226"/>
      <c r="W609" s="227"/>
      <c r="X609" s="226"/>
      <c r="Y609" s="226"/>
      <c r="Z609" s="226"/>
      <c r="AA609" s="226"/>
      <c r="AB609" s="226"/>
      <c r="AC609" s="226"/>
      <c r="AD609" s="96">
        <f t="shared" si="172"/>
        <v>0</v>
      </c>
      <c r="AE609" s="96">
        <f t="shared" si="173"/>
        <v>0</v>
      </c>
      <c r="AF609" s="96">
        <f t="shared" si="174"/>
        <v>0</v>
      </c>
      <c r="AG609" s="96">
        <f t="shared" si="175"/>
        <v>0</v>
      </c>
      <c r="AH609" s="211" t="str">
        <f t="shared" si="166"/>
        <v>0,;!0,;!0,;!0</v>
      </c>
      <c r="AI609" s="211" t="e">
        <f>INDEX([1]Library!$AL:$AL,MATCH(AH609,[1]Library!$AJ:$AJ,0),1)</f>
        <v>#N/A</v>
      </c>
      <c r="AJ609" s="211" t="e">
        <f>TEXT(INDEX([1]Library!$W:$W,MATCH(AH609,[1]Library!$AJ:$AJ,0),1),"")</f>
        <v>#N/A</v>
      </c>
    </row>
    <row r="610" spans="1:36" ht="25.2" hidden="1" customHeight="1" outlineLevel="2">
      <c r="A610" s="228"/>
      <c r="B610" s="229"/>
      <c r="C610" s="230"/>
      <c r="D610" s="231" t="s">
        <v>594</v>
      </c>
      <c r="E610" s="232"/>
      <c r="F610" s="233"/>
      <c r="G610" s="379"/>
      <c r="H610" s="380">
        <v>4</v>
      </c>
      <c r="I610" s="234" t="s">
        <v>200</v>
      </c>
      <c r="J610" s="235">
        <v>46428.571428571398</v>
      </c>
      <c r="K610" s="236">
        <v>185714.285714286</v>
      </c>
      <c r="L610" s="235">
        <v>15000</v>
      </c>
      <c r="M610" s="236">
        <v>60000</v>
      </c>
      <c r="N610" s="237">
        <v>0</v>
      </c>
      <c r="O610" s="236">
        <v>0</v>
      </c>
      <c r="P610" s="238">
        <v>245714.285714286</v>
      </c>
      <c r="Q610" s="239">
        <f t="shared" si="163"/>
        <v>1.32173844712104E-4</v>
      </c>
      <c r="R610" s="236">
        <f t="shared" si="164"/>
        <v>13.1809654597398</v>
      </c>
      <c r="S610" s="240">
        <f t="shared" si="165"/>
        <v>481.79271708683501</v>
      </c>
      <c r="T610" s="241"/>
      <c r="U610" s="225"/>
      <c r="V610" s="226"/>
      <c r="W610" s="227"/>
      <c r="X610" s="226"/>
      <c r="Y610" s="226"/>
      <c r="Z610" s="226"/>
      <c r="AA610" s="226"/>
      <c r="AB610" s="226"/>
      <c r="AC610" s="226"/>
      <c r="AD610" s="96">
        <f t="shared" si="172"/>
        <v>0</v>
      </c>
      <c r="AE610" s="96">
        <f t="shared" si="173"/>
        <v>0</v>
      </c>
      <c r="AF610" s="96">
        <f t="shared" si="174"/>
        <v>0</v>
      </c>
      <c r="AG610" s="96">
        <f t="shared" si="175"/>
        <v>0</v>
      </c>
      <c r="AH610" s="211" t="str">
        <f t="shared" si="166"/>
        <v>0,;!0,;!0,;!0</v>
      </c>
      <c r="AI610" s="211" t="e">
        <f>INDEX([1]Library!$AL:$AL,MATCH(AH610,[1]Library!$AJ:$AJ,0),1)</f>
        <v>#N/A</v>
      </c>
      <c r="AJ610" s="211" t="e">
        <f>TEXT(INDEX([1]Library!$W:$W,MATCH(AH610,[1]Library!$AJ:$AJ,0),1),"")</f>
        <v>#N/A</v>
      </c>
    </row>
    <row r="611" spans="1:36" ht="25.2" hidden="1" customHeight="1" outlineLevel="1">
      <c r="A611" s="213"/>
      <c r="B611" s="214"/>
      <c r="C611" s="215" t="s">
        <v>595</v>
      </c>
      <c r="D611" s="215"/>
      <c r="E611" s="216"/>
      <c r="F611" s="217"/>
      <c r="G611" s="379"/>
      <c r="H611" s="219">
        <v>12</v>
      </c>
      <c r="I611" s="218" t="s">
        <v>200</v>
      </c>
      <c r="J611" s="219">
        <v>15000</v>
      </c>
      <c r="K611" s="219">
        <v>180000</v>
      </c>
      <c r="L611" s="219">
        <v>7500</v>
      </c>
      <c r="M611" s="219">
        <v>90000</v>
      </c>
      <c r="N611" s="219">
        <v>0</v>
      </c>
      <c r="O611" s="219">
        <v>0</v>
      </c>
      <c r="P611" s="220">
        <v>270000</v>
      </c>
      <c r="Q611" s="221">
        <f t="shared" si="163"/>
        <v>1.4523753866620801E-4</v>
      </c>
      <c r="R611" s="222">
        <f t="shared" si="164"/>
        <v>14.4837353016908</v>
      </c>
      <c r="S611" s="223">
        <f t="shared" si="165"/>
        <v>529.41176470588198</v>
      </c>
      <c r="T611" s="224"/>
      <c r="U611" s="225"/>
      <c r="V611" s="226"/>
      <c r="W611" s="227"/>
      <c r="X611" s="226"/>
      <c r="Y611" s="226"/>
      <c r="Z611" s="226"/>
      <c r="AA611" s="226"/>
      <c r="AB611" s="226"/>
      <c r="AC611" s="226"/>
      <c r="AD611" s="96">
        <f t="shared" si="172"/>
        <v>0</v>
      </c>
      <c r="AE611" s="96">
        <f t="shared" si="173"/>
        <v>0</v>
      </c>
      <c r="AF611" s="96">
        <f t="shared" si="174"/>
        <v>0</v>
      </c>
      <c r="AG611" s="96">
        <f t="shared" si="175"/>
        <v>0</v>
      </c>
      <c r="AH611" s="211" t="str">
        <f t="shared" si="166"/>
        <v>0,;!0,;!0,;!0</v>
      </c>
      <c r="AI611" s="211" t="e">
        <f>INDEX([1]Library!$AL:$AL,MATCH(AH611,[1]Library!$AJ:$AJ,0),1)</f>
        <v>#N/A</v>
      </c>
      <c r="AJ611" s="211" t="e">
        <f>TEXT(INDEX([1]Library!$W:$W,MATCH(AH611,[1]Library!$AJ:$AJ,0),1),"")</f>
        <v>#N/A</v>
      </c>
    </row>
    <row r="612" spans="1:36" ht="25.2" hidden="1" customHeight="1" outlineLevel="1">
      <c r="A612" s="213"/>
      <c r="B612" s="214"/>
      <c r="C612" s="215" t="s">
        <v>326</v>
      </c>
      <c r="D612" s="215"/>
      <c r="E612" s="216"/>
      <c r="F612" s="217"/>
      <c r="G612" s="379"/>
      <c r="H612" s="219">
        <v>1</v>
      </c>
      <c r="I612" s="218" t="s">
        <v>32</v>
      </c>
      <c r="J612" s="219">
        <v>1183854.79908613</v>
      </c>
      <c r="K612" s="219">
        <v>1183854.79908613</v>
      </c>
      <c r="L612" s="219">
        <v>118385.47990861299</v>
      </c>
      <c r="M612" s="219">
        <v>118385.47990861299</v>
      </c>
      <c r="N612" s="219">
        <v>0</v>
      </c>
      <c r="O612" s="219">
        <v>0</v>
      </c>
      <c r="P612" s="220">
        <v>1302240.27899474</v>
      </c>
      <c r="Q612" s="221">
        <f t="shared" si="163"/>
        <v>7.0049693656737595E-4</v>
      </c>
      <c r="R612" s="222">
        <f t="shared" si="164"/>
        <v>69.856679630221706</v>
      </c>
      <c r="S612" s="223">
        <f t="shared" si="165"/>
        <v>2553.41231175439</v>
      </c>
      <c r="T612" s="224"/>
      <c r="U612" s="225"/>
      <c r="V612" s="226"/>
      <c r="W612" s="227"/>
      <c r="X612" s="226"/>
      <c r="Y612" s="226"/>
      <c r="Z612" s="226"/>
      <c r="AA612" s="226"/>
      <c r="AB612" s="226"/>
      <c r="AC612" s="226"/>
      <c r="AD612" s="96">
        <f t="shared" si="172"/>
        <v>0</v>
      </c>
      <c r="AE612" s="96">
        <f t="shared" si="173"/>
        <v>0</v>
      </c>
      <c r="AF612" s="96">
        <f t="shared" si="174"/>
        <v>0</v>
      </c>
      <c r="AG612" s="96">
        <f t="shared" si="175"/>
        <v>0</v>
      </c>
      <c r="AH612" s="211" t="str">
        <f t="shared" si="166"/>
        <v>0,;!0,;!0,;!0</v>
      </c>
      <c r="AI612" s="211" t="e">
        <f>INDEX([1]Library!$AL:$AL,MATCH(AH612,[1]Library!$AJ:$AJ,0),1)</f>
        <v>#N/A</v>
      </c>
      <c r="AJ612" s="211" t="e">
        <f>TEXT(INDEX([1]Library!$W:$W,MATCH(AH612,[1]Library!$AJ:$AJ,0),1),"")</f>
        <v>#N/A</v>
      </c>
    </row>
    <row r="613" spans="1:36" ht="25.2" hidden="1" customHeight="1" outlineLevel="1">
      <c r="A613" s="213"/>
      <c r="B613" s="214"/>
      <c r="C613" s="215" t="s">
        <v>327</v>
      </c>
      <c r="D613" s="215"/>
      <c r="E613" s="216"/>
      <c r="F613" s="217"/>
      <c r="G613" s="379"/>
      <c r="H613" s="219">
        <v>1</v>
      </c>
      <c r="I613" s="218" t="s">
        <v>32</v>
      </c>
      <c r="J613" s="219">
        <v>1479818.49885766</v>
      </c>
      <c r="K613" s="219">
        <v>1479818.49885766</v>
      </c>
      <c r="L613" s="219">
        <v>147981.84988576599</v>
      </c>
      <c r="M613" s="219">
        <v>147981.84988576599</v>
      </c>
      <c r="N613" s="219">
        <v>0</v>
      </c>
      <c r="O613" s="219">
        <v>0</v>
      </c>
      <c r="P613" s="220">
        <v>1627800.3487434201</v>
      </c>
      <c r="Q613" s="221">
        <f t="shared" si="163"/>
        <v>8.7562117070922002E-4</v>
      </c>
      <c r="R613" s="222">
        <f t="shared" si="164"/>
        <v>87.320849537776795</v>
      </c>
      <c r="S613" s="223">
        <f t="shared" si="165"/>
        <v>3191.7653896929801</v>
      </c>
      <c r="T613" s="224"/>
      <c r="U613" s="225"/>
      <c r="V613" s="226"/>
      <c r="W613" s="227"/>
      <c r="X613" s="226"/>
      <c r="Y613" s="226"/>
      <c r="Z613" s="226"/>
      <c r="AA613" s="226"/>
      <c r="AB613" s="226"/>
      <c r="AC613" s="226"/>
      <c r="AD613" s="96">
        <f t="shared" si="172"/>
        <v>0</v>
      </c>
      <c r="AE613" s="96">
        <f t="shared" si="173"/>
        <v>0</v>
      </c>
      <c r="AF613" s="96">
        <f t="shared" si="174"/>
        <v>0</v>
      </c>
      <c r="AG613" s="96">
        <f t="shared" si="175"/>
        <v>0</v>
      </c>
      <c r="AH613" s="211" t="str">
        <f t="shared" si="166"/>
        <v>0,;!0,;!0,;!0</v>
      </c>
      <c r="AI613" s="211" t="e">
        <f>INDEX([1]Library!$AL:$AL,MATCH(AH613,[1]Library!$AJ:$AJ,0),1)</f>
        <v>#N/A</v>
      </c>
      <c r="AJ613" s="211" t="e">
        <f>TEXT(INDEX([1]Library!$W:$W,MATCH(AH613,[1]Library!$AJ:$AJ,0),1),"")</f>
        <v>#N/A</v>
      </c>
    </row>
    <row r="614" spans="1:36" ht="25.2" hidden="1" customHeight="1" outlineLevel="1">
      <c r="A614" s="213"/>
      <c r="B614" s="214"/>
      <c r="C614" s="215" t="s">
        <v>328</v>
      </c>
      <c r="D614" s="215"/>
      <c r="E614" s="216"/>
      <c r="F614" s="217"/>
      <c r="G614" s="379"/>
      <c r="H614" s="219">
        <v>1</v>
      </c>
      <c r="I614" s="218" t="s">
        <v>32</v>
      </c>
      <c r="J614" s="219">
        <v>591927.39954306302</v>
      </c>
      <c r="K614" s="219">
        <v>591927.39954306302</v>
      </c>
      <c r="L614" s="219">
        <v>59192.7399543063</v>
      </c>
      <c r="M614" s="219">
        <v>59192.7399543063</v>
      </c>
      <c r="N614" s="219">
        <v>0</v>
      </c>
      <c r="O614" s="219">
        <v>0</v>
      </c>
      <c r="P614" s="220">
        <v>651120.13949736999</v>
      </c>
      <c r="Q614" s="221">
        <f t="shared" si="163"/>
        <v>3.5024846828368797E-4</v>
      </c>
      <c r="R614" s="222">
        <f t="shared" si="164"/>
        <v>34.928339815110803</v>
      </c>
      <c r="S614" s="223">
        <f t="shared" si="165"/>
        <v>1276.7061558772</v>
      </c>
      <c r="T614" s="224"/>
      <c r="U614" s="225"/>
      <c r="V614" s="226"/>
      <c r="W614" s="227"/>
      <c r="X614" s="226"/>
      <c r="Y614" s="226"/>
      <c r="Z614" s="226"/>
      <c r="AA614" s="226"/>
      <c r="AB614" s="226"/>
      <c r="AC614" s="226"/>
      <c r="AD614" s="96">
        <f t="shared" si="172"/>
        <v>0</v>
      </c>
      <c r="AE614" s="96">
        <f t="shared" si="173"/>
        <v>0</v>
      </c>
      <c r="AF614" s="96">
        <f t="shared" si="174"/>
        <v>0</v>
      </c>
      <c r="AG614" s="96">
        <f t="shared" si="175"/>
        <v>0</v>
      </c>
      <c r="AH614" s="211" t="str">
        <f t="shared" si="166"/>
        <v>0,;!0,;!0,;!0</v>
      </c>
      <c r="AI614" s="211" t="e">
        <f>INDEX([1]Library!$AL:$AL,MATCH(AH614,[1]Library!$AJ:$AJ,0),1)</f>
        <v>#N/A</v>
      </c>
      <c r="AJ614" s="211" t="e">
        <f>TEXT(INDEX([1]Library!$W:$W,MATCH(AH614,[1]Library!$AJ:$AJ,0),1),"")</f>
        <v>#N/A</v>
      </c>
    </row>
    <row r="615" spans="1:36" ht="25.2" hidden="1" customHeight="1" outlineLevel="1">
      <c r="A615" s="213"/>
      <c r="B615" s="214"/>
      <c r="C615" s="215" t="s">
        <v>329</v>
      </c>
      <c r="D615" s="215"/>
      <c r="E615" s="216"/>
      <c r="F615" s="217"/>
      <c r="G615" s="379"/>
      <c r="H615" s="219">
        <v>1</v>
      </c>
      <c r="I615" s="218" t="s">
        <v>32</v>
      </c>
      <c r="J615" s="219">
        <v>710312.87945167604</v>
      </c>
      <c r="K615" s="219">
        <v>710312.87945167604</v>
      </c>
      <c r="L615" s="219">
        <v>71031.287945167598</v>
      </c>
      <c r="M615" s="219">
        <v>71031.287945167598</v>
      </c>
      <c r="N615" s="219">
        <v>0</v>
      </c>
      <c r="O615" s="219">
        <v>0</v>
      </c>
      <c r="P615" s="220">
        <v>781344.16739684297</v>
      </c>
      <c r="Q615" s="221">
        <f t="shared" si="163"/>
        <v>4.2029816194042601E-4</v>
      </c>
      <c r="R615" s="222">
        <f t="shared" si="164"/>
        <v>41.914007778132898</v>
      </c>
      <c r="S615" s="223">
        <f t="shared" si="165"/>
        <v>1532.04738705263</v>
      </c>
      <c r="T615" s="224"/>
      <c r="U615" s="225"/>
      <c r="V615" s="226"/>
      <c r="W615" s="227"/>
      <c r="X615" s="226"/>
      <c r="Y615" s="226"/>
      <c r="Z615" s="226"/>
      <c r="AA615" s="226"/>
      <c r="AB615" s="226"/>
      <c r="AC615" s="226"/>
      <c r="AD615" s="96">
        <f t="shared" si="172"/>
        <v>0</v>
      </c>
      <c r="AE615" s="96">
        <f t="shared" si="173"/>
        <v>0</v>
      </c>
      <c r="AF615" s="96">
        <f t="shared" si="174"/>
        <v>0</v>
      </c>
      <c r="AG615" s="96">
        <f t="shared" si="175"/>
        <v>0</v>
      </c>
      <c r="AH615" s="211" t="str">
        <f t="shared" si="166"/>
        <v>0,;!0,;!0,;!0</v>
      </c>
      <c r="AI615" s="211" t="e">
        <f>INDEX([1]Library!$AL:$AL,MATCH(AH615,[1]Library!$AJ:$AJ,0),1)</f>
        <v>#N/A</v>
      </c>
      <c r="AJ615" s="211" t="e">
        <f>TEXT(INDEX([1]Library!$W:$W,MATCH(AH615,[1]Library!$AJ:$AJ,0),1),"")</f>
        <v>#N/A</v>
      </c>
    </row>
    <row r="616" spans="1:36" ht="25.2" hidden="1" customHeight="1" outlineLevel="1">
      <c r="A616" s="213"/>
      <c r="B616" s="214"/>
      <c r="C616" s="215" t="s">
        <v>330</v>
      </c>
      <c r="D616" s="215"/>
      <c r="E616" s="216"/>
      <c r="F616" s="217"/>
      <c r="G616" s="379"/>
      <c r="H616" s="219">
        <v>1</v>
      </c>
      <c r="I616" s="218" t="s">
        <v>32</v>
      </c>
      <c r="J616" s="219">
        <v>0</v>
      </c>
      <c r="K616" s="219">
        <v>0</v>
      </c>
      <c r="L616" s="219">
        <v>0</v>
      </c>
      <c r="M616" s="219">
        <v>0</v>
      </c>
      <c r="N616" s="219">
        <v>2678571.42857143</v>
      </c>
      <c r="O616" s="219">
        <v>2678571.42857143</v>
      </c>
      <c r="P616" s="220">
        <v>2678571.42857143</v>
      </c>
      <c r="Q616" s="221">
        <f t="shared" si="163"/>
        <v>1.4408485978790399E-3</v>
      </c>
      <c r="R616" s="222">
        <f t="shared" si="164"/>
        <v>143.68785021518701</v>
      </c>
      <c r="S616" s="223">
        <f t="shared" si="165"/>
        <v>5252.1008403361402</v>
      </c>
      <c r="T616" s="224"/>
      <c r="U616" s="225"/>
      <c r="V616" s="226"/>
      <c r="W616" s="227"/>
      <c r="X616" s="226"/>
      <c r="Y616" s="226"/>
      <c r="Z616" s="226"/>
      <c r="AA616" s="226"/>
      <c r="AB616" s="226"/>
      <c r="AC616" s="226"/>
      <c r="AD616" s="96">
        <f t="shared" si="172"/>
        <v>0</v>
      </c>
      <c r="AE616" s="96">
        <f t="shared" si="173"/>
        <v>0</v>
      </c>
      <c r="AF616" s="96">
        <f t="shared" si="174"/>
        <v>0</v>
      </c>
      <c r="AG616" s="96">
        <f t="shared" si="175"/>
        <v>0</v>
      </c>
      <c r="AH616" s="211" t="str">
        <f t="shared" si="166"/>
        <v>0,;!0,;!0,;!0</v>
      </c>
      <c r="AI616" s="211" t="e">
        <f>INDEX([1]Library!$AL:$AL,MATCH(AH616,[1]Library!$AJ:$AJ,0),1)</f>
        <v>#N/A</v>
      </c>
      <c r="AJ616" s="211" t="e">
        <f>TEXT(INDEX([1]Library!$W:$W,MATCH(AH616,[1]Library!$AJ:$AJ,0),1),"")</f>
        <v>#N/A</v>
      </c>
    </row>
    <row r="617" spans="1:36" ht="25.2" customHeight="1" collapsed="1">
      <c r="A617" s="198" t="s">
        <v>596</v>
      </c>
      <c r="B617" s="199" t="s">
        <v>597</v>
      </c>
      <c r="C617" s="200"/>
      <c r="D617" s="200"/>
      <c r="E617" s="201"/>
      <c r="F617" s="202"/>
      <c r="G617" s="379"/>
      <c r="H617" s="378">
        <v>1</v>
      </c>
      <c r="I617" s="203" t="s">
        <v>32</v>
      </c>
      <c r="J617" s="204">
        <v>37804183.246980801</v>
      </c>
      <c r="K617" s="205">
        <v>37804183.246980801</v>
      </c>
      <c r="L617" s="204">
        <v>10006922.017502001</v>
      </c>
      <c r="M617" s="205">
        <v>10006922.017502001</v>
      </c>
      <c r="N617" s="204">
        <v>1704436.29988553</v>
      </c>
      <c r="O617" s="205">
        <v>1704436.29988553</v>
      </c>
      <c r="P617" s="206">
        <v>49515541.5643683</v>
      </c>
      <c r="Q617" s="207">
        <f t="shared" si="163"/>
        <v>2.6635242157530201E-2</v>
      </c>
      <c r="R617" s="205">
        <f t="shared" si="164"/>
        <v>2656.1851753266001</v>
      </c>
      <c r="S617" s="208">
        <f t="shared" si="165"/>
        <v>97089.297185035903</v>
      </c>
      <c r="T617" s="209"/>
      <c r="U617" s="225"/>
      <c r="V617" s="226"/>
      <c r="W617" s="227"/>
      <c r="X617" s="226"/>
      <c r="Y617" s="226"/>
      <c r="Z617" s="226"/>
      <c r="AA617" s="226"/>
      <c r="AB617" s="226"/>
      <c r="AC617" s="226"/>
      <c r="AD617" s="96">
        <f t="shared" si="172"/>
        <v>0</v>
      </c>
      <c r="AE617" s="96">
        <f t="shared" si="173"/>
        <v>0</v>
      </c>
      <c r="AF617" s="96">
        <f t="shared" si="174"/>
        <v>0</v>
      </c>
      <c r="AG617" s="96">
        <f t="shared" si="175"/>
        <v>0</v>
      </c>
      <c r="AH617" s="211" t="str">
        <f t="shared" si="166"/>
        <v>0,;!0,;!0,;!0</v>
      </c>
      <c r="AI617" s="211" t="e">
        <f>INDEX([1]Library!$AL:$AL,MATCH(AH617,[1]Library!$AJ:$AJ,0),1)</f>
        <v>#N/A</v>
      </c>
      <c r="AJ617" s="211" t="e">
        <f>TEXT(INDEX([1]Library!$W:$W,MATCH(AH617,[1]Library!$AJ:$AJ,0),1),"")</f>
        <v>#N/A</v>
      </c>
    </row>
    <row r="618" spans="1:36" ht="25.2" hidden="1" customHeight="1" outlineLevel="1" collapsed="1">
      <c r="A618" s="213"/>
      <c r="B618" s="214"/>
      <c r="C618" s="215" t="s">
        <v>598</v>
      </c>
      <c r="D618" s="215"/>
      <c r="E618" s="216"/>
      <c r="F618" s="217"/>
      <c r="G618" s="379"/>
      <c r="H618" s="219">
        <v>1</v>
      </c>
      <c r="I618" s="218" t="s">
        <v>32</v>
      </c>
      <c r="J618" s="219">
        <v>4747545.3852726799</v>
      </c>
      <c r="K618" s="219">
        <v>4747545.3852726799</v>
      </c>
      <c r="L618" s="219">
        <v>1533214.61563423</v>
      </c>
      <c r="M618" s="219">
        <v>1533214.61563423</v>
      </c>
      <c r="N618" s="219">
        <v>0</v>
      </c>
      <c r="O618" s="219">
        <v>0</v>
      </c>
      <c r="P618" s="220">
        <v>6280760.0009068996</v>
      </c>
      <c r="Q618" s="221">
        <f t="shared" si="163"/>
        <v>3.3785263832773601E-3</v>
      </c>
      <c r="R618" s="222">
        <f t="shared" si="164"/>
        <v>336.92172350586299</v>
      </c>
      <c r="S618" s="223">
        <f t="shared" si="165"/>
        <v>12315.2156880527</v>
      </c>
      <c r="T618" s="224"/>
      <c r="U618" s="225"/>
      <c r="V618" s="226"/>
      <c r="W618" s="227"/>
      <c r="X618" s="226"/>
      <c r="Y618" s="226"/>
      <c r="Z618" s="226"/>
      <c r="AA618" s="226"/>
      <c r="AB618" s="226"/>
      <c r="AC618" s="226"/>
      <c r="AD618" s="96">
        <f>IF(X618&lt;&gt;0,IF($X618&gt;=AD$12,#REF!,""),Z618)</f>
        <v>0</v>
      </c>
      <c r="AE618" s="96">
        <f>IF(AA618=" ",IF($X618&gt;=AE$12,#REF!,""),AA618)</f>
        <v>0</v>
      </c>
      <c r="AF618" s="96">
        <f>IF(AB618=" ",IF($X618&gt;=AF$12,#REF!,""),AB618)</f>
        <v>0</v>
      </c>
      <c r="AG618" s="96">
        <f>IF(AC618=" ",IF($X618&gt;=AG$12,#REF!,""),AC618)</f>
        <v>0</v>
      </c>
      <c r="AH618" s="211" t="str">
        <f t="shared" si="166"/>
        <v>0,;!0,;!0,;!0</v>
      </c>
      <c r="AI618" s="211" t="e">
        <f>INDEX([1]Library!$AL:$AL,MATCH(AH618,[1]Library!$AJ:$AJ,0),1)</f>
        <v>#N/A</v>
      </c>
      <c r="AJ618" s="211" t="e">
        <f>TEXT(INDEX([1]Library!$W:$W,MATCH(AH618,[1]Library!$AJ:$AJ,0),1),"")</f>
        <v>#N/A</v>
      </c>
    </row>
    <row r="619" spans="1:36" ht="25.2" hidden="1" customHeight="1" outlineLevel="2">
      <c r="A619" s="228"/>
      <c r="B619" s="229"/>
      <c r="C619" s="230"/>
      <c r="D619" s="231" t="s">
        <v>599</v>
      </c>
      <c r="E619" s="232"/>
      <c r="F619" s="233"/>
      <c r="G619" s="379"/>
      <c r="H619" s="380">
        <v>628</v>
      </c>
      <c r="I619" s="234" t="s">
        <v>176</v>
      </c>
      <c r="J619" s="235">
        <v>2331.0576653512599</v>
      </c>
      <c r="K619" s="236">
        <v>1463904.2138405901</v>
      </c>
      <c r="L619" s="235">
        <v>1398.6345992107599</v>
      </c>
      <c r="M619" s="236">
        <v>878342.52830435499</v>
      </c>
      <c r="N619" s="237">
        <v>0</v>
      </c>
      <c r="O619" s="236">
        <v>0</v>
      </c>
      <c r="P619" s="238">
        <v>2342246.7421449502</v>
      </c>
      <c r="Q619" s="239">
        <f t="shared" si="163"/>
        <v>1.25993389547436E-3</v>
      </c>
      <c r="R619" s="236">
        <f t="shared" si="164"/>
        <v>125.64622897953799</v>
      </c>
      <c r="S619" s="240">
        <f t="shared" si="165"/>
        <v>4592.6406708724498</v>
      </c>
      <c r="T619" s="241"/>
      <c r="U619" s="225"/>
      <c r="V619" s="226"/>
      <c r="W619" s="227"/>
      <c r="X619" s="226"/>
      <c r="Y619" s="226"/>
      <c r="Z619" s="226"/>
      <c r="AA619" s="226"/>
      <c r="AB619" s="226"/>
      <c r="AC619" s="226"/>
      <c r="AD619" s="96">
        <f t="shared" ref="AD619:AD640" si="176">IF(X619&lt;&gt;0,IF($X619&gt;=AD$12,AD618,""),Z619)</f>
        <v>0</v>
      </c>
      <c r="AE619" s="96">
        <f t="shared" ref="AE619:AE640" si="177">IF(AA619=" ",IF($X619&gt;=AE$12,AE618,""),AA619)</f>
        <v>0</v>
      </c>
      <c r="AF619" s="96">
        <f t="shared" ref="AF619:AF640" si="178">IF(AB619=" ",IF($X619&gt;=AF$12,AF618,""),AB619)</f>
        <v>0</v>
      </c>
      <c r="AG619" s="96">
        <f t="shared" ref="AG619:AG640" si="179">IF(AC619=" ",IF($X619&gt;=AG$12,AG618,""),AC619)</f>
        <v>0</v>
      </c>
      <c r="AH619" s="211" t="str">
        <f t="shared" si="166"/>
        <v>0,;!0,;!0,;!0</v>
      </c>
      <c r="AI619" s="211" t="e">
        <f>INDEX([1]Library!$AL:$AL,MATCH(AH619,[1]Library!$AJ:$AJ,0),1)</f>
        <v>#N/A</v>
      </c>
      <c r="AJ619" s="211" t="e">
        <f>TEXT(INDEX([1]Library!$W:$W,MATCH(AH619,[1]Library!$AJ:$AJ,0),1),"")</f>
        <v>#N/A</v>
      </c>
    </row>
    <row r="620" spans="1:36" ht="25.2" hidden="1" customHeight="1" outlineLevel="2">
      <c r="A620" s="228"/>
      <c r="B620" s="229"/>
      <c r="C620" s="230"/>
      <c r="D620" s="231" t="s">
        <v>600</v>
      </c>
      <c r="E620" s="232"/>
      <c r="F620" s="233"/>
      <c r="G620" s="379"/>
      <c r="H620" s="380">
        <v>1</v>
      </c>
      <c r="I620" s="234" t="s">
        <v>32</v>
      </c>
      <c r="J620" s="235">
        <v>3283641.1714320802</v>
      </c>
      <c r="K620" s="236">
        <v>3283641.1714320802</v>
      </c>
      <c r="L620" s="235">
        <v>654872.08732986997</v>
      </c>
      <c r="M620" s="236">
        <v>654872.08732986997</v>
      </c>
      <c r="N620" s="237">
        <v>0</v>
      </c>
      <c r="O620" s="236">
        <v>0</v>
      </c>
      <c r="P620" s="238">
        <v>3938513.2587619498</v>
      </c>
      <c r="Q620" s="239">
        <f t="shared" si="163"/>
        <v>2.1185924878030001E-3</v>
      </c>
      <c r="R620" s="236">
        <f t="shared" si="164"/>
        <v>211.27549452632601</v>
      </c>
      <c r="S620" s="240">
        <f t="shared" si="165"/>
        <v>7722.5750171802902</v>
      </c>
      <c r="T620" s="241"/>
      <c r="U620" s="225"/>
      <c r="V620" s="226"/>
      <c r="W620" s="227"/>
      <c r="X620" s="226"/>
      <c r="Y620" s="226"/>
      <c r="Z620" s="226"/>
      <c r="AA620" s="226"/>
      <c r="AB620" s="226"/>
      <c r="AC620" s="226"/>
      <c r="AD620" s="96">
        <f t="shared" si="176"/>
        <v>0</v>
      </c>
      <c r="AE620" s="96">
        <f t="shared" si="177"/>
        <v>0</v>
      </c>
      <c r="AF620" s="96">
        <f t="shared" si="178"/>
        <v>0</v>
      </c>
      <c r="AG620" s="96">
        <f t="shared" si="179"/>
        <v>0</v>
      </c>
      <c r="AH620" s="211" t="str">
        <f t="shared" si="166"/>
        <v>0,;!0,;!0,;!0</v>
      </c>
      <c r="AI620" s="211" t="e">
        <f>INDEX([1]Library!$AL:$AL,MATCH(AH620,[1]Library!$AJ:$AJ,0),1)</f>
        <v>#N/A</v>
      </c>
      <c r="AJ620" s="211" t="e">
        <f>TEXT(INDEX([1]Library!$W:$W,MATCH(AH620,[1]Library!$AJ:$AJ,0),1),"")</f>
        <v>#N/A</v>
      </c>
    </row>
    <row r="621" spans="1:36" ht="25.2" hidden="1" customHeight="1" outlineLevel="2">
      <c r="A621" s="242"/>
      <c r="B621" s="243"/>
      <c r="C621" s="244"/>
      <c r="D621" s="245"/>
      <c r="E621" s="246" t="s">
        <v>601</v>
      </c>
      <c r="F621" s="247"/>
      <c r="G621" s="381"/>
      <c r="H621" s="382">
        <v>128</v>
      </c>
      <c r="I621" s="248" t="s">
        <v>354</v>
      </c>
      <c r="J621" s="249">
        <v>15222.214285714301</v>
      </c>
      <c r="K621" s="250">
        <v>1948443.42857143</v>
      </c>
      <c r="L621" s="249">
        <v>3044.4428571428598</v>
      </c>
      <c r="M621" s="250">
        <v>389688.685714286</v>
      </c>
      <c r="N621" s="251">
        <v>0</v>
      </c>
      <c r="O621" s="250">
        <v>0</v>
      </c>
      <c r="P621" s="252">
        <v>2338132.1142857098</v>
      </c>
      <c r="Q621" s="253">
        <f t="shared" si="163"/>
        <v>1.25772056798249E-3</v>
      </c>
      <c r="R621" s="254">
        <f t="shared" si="164"/>
        <v>125.425506087767</v>
      </c>
      <c r="S621" s="255">
        <f t="shared" si="165"/>
        <v>4584.5727731092302</v>
      </c>
      <c r="T621" s="256"/>
      <c r="U621" s="225"/>
      <c r="V621" s="226"/>
      <c r="W621" s="227"/>
      <c r="X621" s="226"/>
      <c r="Y621" s="226"/>
      <c r="Z621" s="226"/>
      <c r="AA621" s="226"/>
      <c r="AB621" s="226"/>
      <c r="AC621" s="226"/>
      <c r="AD621" s="96">
        <f t="shared" si="176"/>
        <v>0</v>
      </c>
      <c r="AE621" s="96">
        <f t="shared" si="177"/>
        <v>0</v>
      </c>
      <c r="AF621" s="96">
        <f t="shared" si="178"/>
        <v>0</v>
      </c>
      <c r="AG621" s="96">
        <f t="shared" si="179"/>
        <v>0</v>
      </c>
      <c r="AH621" s="211" t="str">
        <f t="shared" si="166"/>
        <v>0,;!0,;!0,;!0</v>
      </c>
      <c r="AI621" s="211" t="e">
        <f>INDEX([1]Library!$AL:$AL,MATCH(AH621,[1]Library!$AJ:$AJ,0),1)</f>
        <v>#N/A</v>
      </c>
      <c r="AJ621" s="211" t="e">
        <f>TEXT(INDEX([1]Library!$W:$W,MATCH(AH621,[1]Library!$AJ:$AJ,0),1),"")</f>
        <v>#N/A</v>
      </c>
    </row>
    <row r="622" spans="1:36" ht="25.2" hidden="1" customHeight="1" outlineLevel="2">
      <c r="A622" s="242"/>
      <c r="B622" s="243"/>
      <c r="C622" s="244"/>
      <c r="D622" s="245"/>
      <c r="E622" s="246" t="s">
        <v>602</v>
      </c>
      <c r="F622" s="247"/>
      <c r="G622" s="381"/>
      <c r="H622" s="382">
        <v>4</v>
      </c>
      <c r="I622" s="248" t="s">
        <v>354</v>
      </c>
      <c r="J622" s="249">
        <v>60171.428571428602</v>
      </c>
      <c r="K622" s="250">
        <v>240685.714285714</v>
      </c>
      <c r="L622" s="249">
        <v>12034.285714285699</v>
      </c>
      <c r="M622" s="250">
        <v>48137.142857142899</v>
      </c>
      <c r="N622" s="251">
        <v>0</v>
      </c>
      <c r="O622" s="250">
        <v>0</v>
      </c>
      <c r="P622" s="252">
        <v>288822.85714285698</v>
      </c>
      <c r="Q622" s="253">
        <f t="shared" si="163"/>
        <v>1.55362669933223E-4</v>
      </c>
      <c r="R622" s="254">
        <f t="shared" si="164"/>
        <v>15.493458562722999</v>
      </c>
      <c r="S622" s="255">
        <f t="shared" si="165"/>
        <v>566.31932773109202</v>
      </c>
      <c r="T622" s="256"/>
      <c r="U622" s="225"/>
      <c r="V622" s="226"/>
      <c r="W622" s="227"/>
      <c r="X622" s="226"/>
      <c r="Y622" s="226"/>
      <c r="Z622" s="226"/>
      <c r="AA622" s="226"/>
      <c r="AB622" s="226"/>
      <c r="AC622" s="226"/>
      <c r="AD622" s="96">
        <f t="shared" si="176"/>
        <v>0</v>
      </c>
      <c r="AE622" s="96">
        <f t="shared" si="177"/>
        <v>0</v>
      </c>
      <c r="AF622" s="96">
        <f t="shared" si="178"/>
        <v>0</v>
      </c>
      <c r="AG622" s="96">
        <f t="shared" si="179"/>
        <v>0</v>
      </c>
      <c r="AH622" s="211" t="str">
        <f t="shared" si="166"/>
        <v>0,;!0,;!0,;!0</v>
      </c>
      <c r="AI622" s="211" t="e">
        <f>INDEX([1]Library!$AL:$AL,MATCH(AH622,[1]Library!$AJ:$AJ,0),1)</f>
        <v>#N/A</v>
      </c>
      <c r="AJ622" s="211" t="e">
        <f>TEXT(INDEX([1]Library!$W:$W,MATCH(AH622,[1]Library!$AJ:$AJ,0),1),"")</f>
        <v>#N/A</v>
      </c>
    </row>
    <row r="623" spans="1:36" ht="25.2" hidden="1" customHeight="1" outlineLevel="2">
      <c r="A623" s="242"/>
      <c r="B623" s="243"/>
      <c r="C623" s="244"/>
      <c r="D623" s="245"/>
      <c r="E623" s="246" t="s">
        <v>603</v>
      </c>
      <c r="F623" s="247"/>
      <c r="G623" s="381"/>
      <c r="H623" s="382">
        <v>4</v>
      </c>
      <c r="I623" s="248" t="s">
        <v>354</v>
      </c>
      <c r="J623" s="249">
        <v>22640.751107015902</v>
      </c>
      <c r="K623" s="250">
        <v>90563.004428063403</v>
      </c>
      <c r="L623" s="249">
        <v>7771.3625590839101</v>
      </c>
      <c r="M623" s="250">
        <v>31085.4502363356</v>
      </c>
      <c r="N623" s="251">
        <v>0</v>
      </c>
      <c r="O623" s="250">
        <v>0</v>
      </c>
      <c r="P623" s="252">
        <v>121648.454664399</v>
      </c>
      <c r="Q623" s="253">
        <f t="shared" si="163"/>
        <v>6.5436748659278101E-5</v>
      </c>
      <c r="R623" s="254">
        <f t="shared" si="164"/>
        <v>6.5256445082181296</v>
      </c>
      <c r="S623" s="255">
        <f t="shared" si="165"/>
        <v>238.52638169490001</v>
      </c>
      <c r="T623" s="256"/>
      <c r="U623" s="225"/>
      <c r="V623" s="226"/>
      <c r="W623" s="227"/>
      <c r="X623" s="226"/>
      <c r="Y623" s="226"/>
      <c r="Z623" s="226"/>
      <c r="AA623" s="226"/>
      <c r="AB623" s="226"/>
      <c r="AC623" s="226"/>
      <c r="AD623" s="96">
        <f t="shared" si="176"/>
        <v>0</v>
      </c>
      <c r="AE623" s="96">
        <f t="shared" si="177"/>
        <v>0</v>
      </c>
      <c r="AF623" s="96">
        <f t="shared" si="178"/>
        <v>0</v>
      </c>
      <c r="AG623" s="96">
        <f t="shared" si="179"/>
        <v>0</v>
      </c>
      <c r="AH623" s="211" t="str">
        <f t="shared" si="166"/>
        <v>0,;!0,;!0,;!0</v>
      </c>
      <c r="AI623" s="211" t="e">
        <f>INDEX([1]Library!$AL:$AL,MATCH(AH623,[1]Library!$AJ:$AJ,0),1)</f>
        <v>#N/A</v>
      </c>
      <c r="AJ623" s="211" t="e">
        <f>TEXT(INDEX([1]Library!$W:$W,MATCH(AH623,[1]Library!$AJ:$AJ,0),1),"")</f>
        <v>#N/A</v>
      </c>
    </row>
    <row r="624" spans="1:36" ht="25.2" hidden="1" customHeight="1" outlineLevel="2">
      <c r="A624" s="242"/>
      <c r="B624" s="243"/>
      <c r="C624" s="244"/>
      <c r="D624" s="245"/>
      <c r="E624" s="246" t="s">
        <v>604</v>
      </c>
      <c r="F624" s="247"/>
      <c r="G624" s="381"/>
      <c r="H624" s="382">
        <v>4</v>
      </c>
      <c r="I624" s="248" t="s">
        <v>354</v>
      </c>
      <c r="J624" s="249">
        <v>30216.863179576299</v>
      </c>
      <c r="K624" s="250">
        <v>120867.45271830499</v>
      </c>
      <c r="L624" s="249">
        <v>10371.8378448122</v>
      </c>
      <c r="M624" s="250">
        <v>41487.351379248699</v>
      </c>
      <c r="N624" s="251">
        <v>0</v>
      </c>
      <c r="O624" s="250">
        <v>0</v>
      </c>
      <c r="P624" s="252">
        <v>162354.80409755401</v>
      </c>
      <c r="Q624" s="253">
        <f t="shared" si="163"/>
        <v>8.7333378288011402E-5</v>
      </c>
      <c r="R624" s="254">
        <f t="shared" si="164"/>
        <v>8.7092741018772006</v>
      </c>
      <c r="S624" s="255">
        <f t="shared" si="165"/>
        <v>318.34275313245899</v>
      </c>
      <c r="T624" s="256"/>
      <c r="U624" s="225"/>
      <c r="V624" s="226"/>
      <c r="W624" s="227"/>
      <c r="X624" s="226"/>
      <c r="Y624" s="226"/>
      <c r="Z624" s="226"/>
      <c r="AA624" s="226"/>
      <c r="AB624" s="226"/>
      <c r="AC624" s="226"/>
      <c r="AD624" s="96">
        <f t="shared" si="176"/>
        <v>0</v>
      </c>
      <c r="AE624" s="96">
        <f t="shared" si="177"/>
        <v>0</v>
      </c>
      <c r="AF624" s="96">
        <f t="shared" si="178"/>
        <v>0</v>
      </c>
      <c r="AG624" s="96">
        <f t="shared" si="179"/>
        <v>0</v>
      </c>
      <c r="AH624" s="211" t="str">
        <f t="shared" si="166"/>
        <v>0,;!0,;!0,;!0</v>
      </c>
      <c r="AI624" s="211" t="e">
        <f>INDEX([1]Library!$AL:$AL,MATCH(AH624,[1]Library!$AJ:$AJ,0),1)</f>
        <v>#N/A</v>
      </c>
      <c r="AJ624" s="211" t="e">
        <f>TEXT(INDEX([1]Library!$W:$W,MATCH(AH624,[1]Library!$AJ:$AJ,0),1),"")</f>
        <v>#N/A</v>
      </c>
    </row>
    <row r="625" spans="1:36" ht="25.2" hidden="1" customHeight="1" outlineLevel="2">
      <c r="A625" s="242"/>
      <c r="B625" s="243"/>
      <c r="C625" s="244"/>
      <c r="D625" s="245"/>
      <c r="E625" s="246" t="s">
        <v>605</v>
      </c>
      <c r="F625" s="247"/>
      <c r="G625" s="381"/>
      <c r="H625" s="382">
        <v>4</v>
      </c>
      <c r="I625" s="248" t="s">
        <v>354</v>
      </c>
      <c r="J625" s="249">
        <v>71435.25</v>
      </c>
      <c r="K625" s="250">
        <v>285741</v>
      </c>
      <c r="L625" s="249">
        <v>14287.05</v>
      </c>
      <c r="M625" s="250">
        <v>57148.2</v>
      </c>
      <c r="N625" s="251">
        <v>0</v>
      </c>
      <c r="O625" s="250">
        <v>0</v>
      </c>
      <c r="P625" s="252">
        <v>342889.2</v>
      </c>
      <c r="Q625" s="253">
        <f t="shared" si="163"/>
        <v>1.8444586460453701E-4</v>
      </c>
      <c r="R625" s="254">
        <f t="shared" si="164"/>
        <v>18.3937644837353</v>
      </c>
      <c r="S625" s="255">
        <f t="shared" si="165"/>
        <v>672.33176470588205</v>
      </c>
      <c r="T625" s="256"/>
      <c r="U625" s="225"/>
      <c r="V625" s="226"/>
      <c r="W625" s="227"/>
      <c r="X625" s="226"/>
      <c r="Y625" s="226"/>
      <c r="Z625" s="226"/>
      <c r="AA625" s="226"/>
      <c r="AB625" s="226"/>
      <c r="AC625" s="226"/>
      <c r="AD625" s="96">
        <f t="shared" si="176"/>
        <v>0</v>
      </c>
      <c r="AE625" s="96">
        <f t="shared" si="177"/>
        <v>0</v>
      </c>
      <c r="AF625" s="96">
        <f t="shared" si="178"/>
        <v>0</v>
      </c>
      <c r="AG625" s="96">
        <f t="shared" si="179"/>
        <v>0</v>
      </c>
      <c r="AH625" s="211" t="str">
        <f t="shared" si="166"/>
        <v>0,;!0,;!0,;!0</v>
      </c>
      <c r="AI625" s="211" t="e">
        <f>INDEX([1]Library!$AL:$AL,MATCH(AH625,[1]Library!$AJ:$AJ,0),1)</f>
        <v>#N/A</v>
      </c>
      <c r="AJ625" s="211" t="e">
        <f>TEXT(INDEX([1]Library!$W:$W,MATCH(AH625,[1]Library!$AJ:$AJ,0),1),"")</f>
        <v>#N/A</v>
      </c>
    </row>
    <row r="626" spans="1:36" ht="25.2" hidden="1" customHeight="1" outlineLevel="2">
      <c r="A626" s="242"/>
      <c r="B626" s="243"/>
      <c r="C626" s="244"/>
      <c r="D626" s="245"/>
      <c r="E626" s="246" t="s">
        <v>606</v>
      </c>
      <c r="F626" s="247"/>
      <c r="G626" s="381"/>
      <c r="H626" s="382">
        <v>8</v>
      </c>
      <c r="I626" s="248" t="s">
        <v>354</v>
      </c>
      <c r="J626" s="249">
        <v>40178.571428571398</v>
      </c>
      <c r="K626" s="250">
        <v>321428.57142857101</v>
      </c>
      <c r="L626" s="249">
        <v>4017.8571428571399</v>
      </c>
      <c r="M626" s="250">
        <v>32142.857142857101</v>
      </c>
      <c r="N626" s="251">
        <v>0</v>
      </c>
      <c r="O626" s="250">
        <v>0</v>
      </c>
      <c r="P626" s="252">
        <v>353571.42857142899</v>
      </c>
      <c r="Q626" s="253">
        <f t="shared" si="163"/>
        <v>1.9019201492003401E-4</v>
      </c>
      <c r="R626" s="254">
        <f t="shared" si="164"/>
        <v>18.9667962284047</v>
      </c>
      <c r="S626" s="255">
        <f t="shared" si="165"/>
        <v>693.27731092437102</v>
      </c>
      <c r="T626" s="256"/>
      <c r="U626" s="225"/>
      <c r="V626" s="226"/>
      <c r="W626" s="227"/>
      <c r="X626" s="226"/>
      <c r="Y626" s="226"/>
      <c r="Z626" s="226"/>
      <c r="AA626" s="226"/>
      <c r="AB626" s="226"/>
      <c r="AC626" s="226"/>
      <c r="AD626" s="96">
        <f t="shared" si="176"/>
        <v>0</v>
      </c>
      <c r="AE626" s="96">
        <f t="shared" si="177"/>
        <v>0</v>
      </c>
      <c r="AF626" s="96">
        <f t="shared" si="178"/>
        <v>0</v>
      </c>
      <c r="AG626" s="96">
        <f t="shared" si="179"/>
        <v>0</v>
      </c>
      <c r="AH626" s="211" t="str">
        <f t="shared" si="166"/>
        <v>0,;!0,;!0,;!0</v>
      </c>
      <c r="AI626" s="211" t="e">
        <f>INDEX([1]Library!$AL:$AL,MATCH(AH626,[1]Library!$AJ:$AJ,0),1)</f>
        <v>#N/A</v>
      </c>
      <c r="AJ626" s="211" t="e">
        <f>TEXT(INDEX([1]Library!$W:$W,MATCH(AH626,[1]Library!$AJ:$AJ,0),1),"")</f>
        <v>#N/A</v>
      </c>
    </row>
    <row r="627" spans="1:36" ht="25.2" hidden="1" customHeight="1" outlineLevel="2">
      <c r="A627" s="242"/>
      <c r="B627" s="243"/>
      <c r="C627" s="244"/>
      <c r="D627" s="245"/>
      <c r="E627" s="246" t="s">
        <v>607</v>
      </c>
      <c r="F627" s="247"/>
      <c r="G627" s="381"/>
      <c r="H627" s="382">
        <v>8</v>
      </c>
      <c r="I627" s="248" t="s">
        <v>354</v>
      </c>
      <c r="J627" s="249">
        <v>34489</v>
      </c>
      <c r="K627" s="250">
        <v>275912</v>
      </c>
      <c r="L627" s="249">
        <v>6897.8</v>
      </c>
      <c r="M627" s="250">
        <v>55182.400000000001</v>
      </c>
      <c r="N627" s="251">
        <v>0</v>
      </c>
      <c r="O627" s="250">
        <v>0</v>
      </c>
      <c r="P627" s="252">
        <v>331094.40000000002</v>
      </c>
      <c r="Q627" s="253">
        <f t="shared" si="163"/>
        <v>1.78101243415425E-4</v>
      </c>
      <c r="R627" s="254">
        <f t="shared" si="164"/>
        <v>17.761050553600601</v>
      </c>
      <c r="S627" s="255">
        <f t="shared" si="165"/>
        <v>649.20470588235298</v>
      </c>
      <c r="T627" s="256"/>
      <c r="U627" s="225"/>
      <c r="V627" s="226"/>
      <c r="W627" s="227"/>
      <c r="X627" s="226"/>
      <c r="Y627" s="226"/>
      <c r="Z627" s="226"/>
      <c r="AA627" s="226"/>
      <c r="AB627" s="226"/>
      <c r="AC627" s="226"/>
      <c r="AD627" s="96">
        <f t="shared" si="176"/>
        <v>0</v>
      </c>
      <c r="AE627" s="96">
        <f t="shared" si="177"/>
        <v>0</v>
      </c>
      <c r="AF627" s="96">
        <f t="shared" si="178"/>
        <v>0</v>
      </c>
      <c r="AG627" s="96">
        <f t="shared" si="179"/>
        <v>0</v>
      </c>
      <c r="AH627" s="211" t="str">
        <f t="shared" si="166"/>
        <v>0,;!0,;!0,;!0</v>
      </c>
      <c r="AI627" s="211" t="e">
        <f>INDEX([1]Library!$AL:$AL,MATCH(AH627,[1]Library!$AJ:$AJ,0),1)</f>
        <v>#N/A</v>
      </c>
      <c r="AJ627" s="211" t="e">
        <f>TEXT(INDEX([1]Library!$W:$W,MATCH(AH627,[1]Library!$AJ:$AJ,0),1),"")</f>
        <v>#N/A</v>
      </c>
    </row>
    <row r="628" spans="1:36" ht="25.2" hidden="1" customHeight="1" outlineLevel="1" collapsed="1">
      <c r="A628" s="213"/>
      <c r="B628" s="214"/>
      <c r="C628" s="215" t="s">
        <v>608</v>
      </c>
      <c r="D628" s="215"/>
      <c r="E628" s="216"/>
      <c r="F628" s="217"/>
      <c r="G628" s="379"/>
      <c r="H628" s="219">
        <v>1</v>
      </c>
      <c r="I628" s="218" t="s">
        <v>32</v>
      </c>
      <c r="J628" s="219">
        <v>6354607.1822509998</v>
      </c>
      <c r="K628" s="219">
        <v>6354607.1822509998</v>
      </c>
      <c r="L628" s="219">
        <v>1440704.9722077399</v>
      </c>
      <c r="M628" s="219">
        <v>1440704.9722077399</v>
      </c>
      <c r="N628" s="219">
        <v>0</v>
      </c>
      <c r="O628" s="219">
        <v>0</v>
      </c>
      <c r="P628" s="220">
        <v>7795312.1544587398</v>
      </c>
      <c r="Q628" s="221">
        <f t="shared" si="163"/>
        <v>4.1932294461050398E-3</v>
      </c>
      <c r="R628" s="222">
        <f t="shared" si="164"/>
        <v>418.16754755271802</v>
      </c>
      <c r="S628" s="223">
        <f t="shared" si="165"/>
        <v>15284.9257930564</v>
      </c>
      <c r="T628" s="224"/>
      <c r="U628" s="225"/>
      <c r="V628" s="226"/>
      <c r="W628" s="227"/>
      <c r="X628" s="226"/>
      <c r="Y628" s="226"/>
      <c r="Z628" s="226"/>
      <c r="AA628" s="226"/>
      <c r="AB628" s="226"/>
      <c r="AC628" s="226"/>
      <c r="AD628" s="96">
        <f t="shared" si="176"/>
        <v>0</v>
      </c>
      <c r="AE628" s="96">
        <f t="shared" si="177"/>
        <v>0</v>
      </c>
      <c r="AF628" s="96">
        <f t="shared" si="178"/>
        <v>0</v>
      </c>
      <c r="AG628" s="96">
        <f t="shared" si="179"/>
        <v>0</v>
      </c>
      <c r="AH628" s="211" t="str">
        <f t="shared" si="166"/>
        <v>0,;!0,;!0,;!0</v>
      </c>
      <c r="AI628" s="211" t="e">
        <f>INDEX([1]Library!$AL:$AL,MATCH(AH628,[1]Library!$AJ:$AJ,0),1)</f>
        <v>#N/A</v>
      </c>
      <c r="AJ628" s="211" t="e">
        <f>TEXT(INDEX([1]Library!$W:$W,MATCH(AH628,[1]Library!$AJ:$AJ,0),1),"")</f>
        <v>#N/A</v>
      </c>
    </row>
    <row r="629" spans="1:36" ht="25.2" hidden="1" customHeight="1" outlineLevel="2">
      <c r="A629" s="228"/>
      <c r="B629" s="229"/>
      <c r="C629" s="230"/>
      <c r="D629" s="231" t="s">
        <v>609</v>
      </c>
      <c r="E629" s="232"/>
      <c r="F629" s="233"/>
      <c r="G629" s="379"/>
      <c r="H629" s="380">
        <v>316</v>
      </c>
      <c r="I629" s="234" t="s">
        <v>176</v>
      </c>
      <c r="J629" s="235">
        <v>2331.0576653512599</v>
      </c>
      <c r="K629" s="236">
        <v>736614.22225099895</v>
      </c>
      <c r="L629" s="235">
        <v>1398.6345992107599</v>
      </c>
      <c r="M629" s="236">
        <v>441968.533350599</v>
      </c>
      <c r="N629" s="237">
        <v>0</v>
      </c>
      <c r="O629" s="236">
        <v>0</v>
      </c>
      <c r="P629" s="238">
        <v>1178582.7556016</v>
      </c>
      <c r="Q629" s="239">
        <f t="shared" si="163"/>
        <v>6.3397947606671395E-4</v>
      </c>
      <c r="R629" s="236">
        <f t="shared" si="164"/>
        <v>63.223261715818403</v>
      </c>
      <c r="S629" s="240">
        <f t="shared" si="165"/>
        <v>2310.9465796109798</v>
      </c>
      <c r="T629" s="241"/>
      <c r="U629" s="225"/>
      <c r="V629" s="226"/>
      <c r="W629" s="227"/>
      <c r="X629" s="226"/>
      <c r="Y629" s="226"/>
      <c r="Z629" s="226"/>
      <c r="AA629" s="226"/>
      <c r="AB629" s="226"/>
      <c r="AC629" s="226"/>
      <c r="AD629" s="96">
        <f t="shared" si="176"/>
        <v>0</v>
      </c>
      <c r="AE629" s="96">
        <f t="shared" si="177"/>
        <v>0</v>
      </c>
      <c r="AF629" s="96">
        <f t="shared" si="178"/>
        <v>0</v>
      </c>
      <c r="AG629" s="96">
        <f t="shared" si="179"/>
        <v>0</v>
      </c>
      <c r="AH629" s="211" t="str">
        <f t="shared" si="166"/>
        <v>0,;!0,;!0,;!0</v>
      </c>
      <c r="AI629" s="211" t="e">
        <f>INDEX([1]Library!$AL:$AL,MATCH(AH629,[1]Library!$AJ:$AJ,0),1)</f>
        <v>#N/A</v>
      </c>
      <c r="AJ629" s="211" t="e">
        <f>TEXT(INDEX([1]Library!$W:$W,MATCH(AH629,[1]Library!$AJ:$AJ,0),1),"")</f>
        <v>#N/A</v>
      </c>
    </row>
    <row r="630" spans="1:36" ht="25.2" hidden="1" customHeight="1" outlineLevel="2">
      <c r="A630" s="228"/>
      <c r="B630" s="229"/>
      <c r="C630" s="230"/>
      <c r="D630" s="231" t="s">
        <v>610</v>
      </c>
      <c r="E630" s="232"/>
      <c r="F630" s="233"/>
      <c r="G630" s="379"/>
      <c r="H630" s="380">
        <v>1</v>
      </c>
      <c r="I630" s="234" t="s">
        <v>32</v>
      </c>
      <c r="J630" s="235">
        <v>5617992.96</v>
      </c>
      <c r="K630" s="236">
        <v>5617992.96</v>
      </c>
      <c r="L630" s="235">
        <v>998736.43885714305</v>
      </c>
      <c r="M630" s="236">
        <v>998736.43885714305</v>
      </c>
      <c r="N630" s="237">
        <v>0</v>
      </c>
      <c r="O630" s="236">
        <v>0</v>
      </c>
      <c r="P630" s="238">
        <v>6616729.39885714</v>
      </c>
      <c r="Q630" s="239">
        <f t="shared" si="163"/>
        <v>3.55924997003833E-3</v>
      </c>
      <c r="R630" s="236">
        <f t="shared" si="164"/>
        <v>354.94428583689898</v>
      </c>
      <c r="S630" s="240">
        <f t="shared" si="165"/>
        <v>12973.9792134454</v>
      </c>
      <c r="T630" s="241"/>
      <c r="U630" s="225"/>
      <c r="V630" s="226"/>
      <c r="W630" s="227"/>
      <c r="X630" s="226"/>
      <c r="Y630" s="226"/>
      <c r="Z630" s="226"/>
      <c r="AA630" s="226"/>
      <c r="AB630" s="226"/>
      <c r="AC630" s="226"/>
      <c r="AD630" s="96">
        <f t="shared" si="176"/>
        <v>0</v>
      </c>
      <c r="AE630" s="96">
        <f t="shared" si="177"/>
        <v>0</v>
      </c>
      <c r="AF630" s="96">
        <f t="shared" si="178"/>
        <v>0</v>
      </c>
      <c r="AG630" s="96">
        <f t="shared" si="179"/>
        <v>0</v>
      </c>
      <c r="AH630" s="211" t="str">
        <f t="shared" si="166"/>
        <v>0,;!0,;!0,;!0</v>
      </c>
      <c r="AI630" s="211" t="e">
        <f>INDEX([1]Library!$AL:$AL,MATCH(AH630,[1]Library!$AJ:$AJ,0),1)</f>
        <v>#N/A</v>
      </c>
      <c r="AJ630" s="211" t="e">
        <f>TEXT(INDEX([1]Library!$W:$W,MATCH(AH630,[1]Library!$AJ:$AJ,0),1),"")</f>
        <v>#N/A</v>
      </c>
    </row>
    <row r="631" spans="1:36" ht="25.2" hidden="1" customHeight="1" outlineLevel="2">
      <c r="A631" s="242"/>
      <c r="B631" s="243"/>
      <c r="C631" s="244"/>
      <c r="D631" s="245"/>
      <c r="E631" s="246" t="s">
        <v>611</v>
      </c>
      <c r="F631" s="247"/>
      <c r="G631" s="381"/>
      <c r="H631" s="382">
        <v>64</v>
      </c>
      <c r="I631" s="248" t="s">
        <v>354</v>
      </c>
      <c r="J631" s="249">
        <v>28928.571428571398</v>
      </c>
      <c r="K631" s="250">
        <v>1851428.57142857</v>
      </c>
      <c r="L631" s="249">
        <v>5785.7142857142899</v>
      </c>
      <c r="M631" s="250">
        <v>370285.71428571403</v>
      </c>
      <c r="N631" s="251">
        <v>0</v>
      </c>
      <c r="O631" s="250">
        <v>0</v>
      </c>
      <c r="P631" s="252">
        <v>2221714.2857142901</v>
      </c>
      <c r="Q631" s="253">
        <f t="shared" si="163"/>
        <v>1.1950974610247999E-3</v>
      </c>
      <c r="R631" s="254">
        <f t="shared" si="164"/>
        <v>119.180450482485</v>
      </c>
      <c r="S631" s="255">
        <f t="shared" si="165"/>
        <v>4356.3025210084097</v>
      </c>
      <c r="T631" s="256"/>
      <c r="U631" s="225"/>
      <c r="V631" s="226"/>
      <c r="W631" s="227"/>
      <c r="X631" s="226"/>
      <c r="Y631" s="226"/>
      <c r="Z631" s="226"/>
      <c r="AA631" s="226"/>
      <c r="AB631" s="226"/>
      <c r="AC631" s="226"/>
      <c r="AD631" s="96">
        <f t="shared" si="176"/>
        <v>0</v>
      </c>
      <c r="AE631" s="96">
        <f t="shared" si="177"/>
        <v>0</v>
      </c>
      <c r="AF631" s="96">
        <f t="shared" si="178"/>
        <v>0</v>
      </c>
      <c r="AG631" s="96">
        <f t="shared" si="179"/>
        <v>0</v>
      </c>
      <c r="AH631" s="211" t="str">
        <f t="shared" si="166"/>
        <v>0,;!0,;!0,;!0</v>
      </c>
      <c r="AI631" s="211" t="e">
        <f>INDEX([1]Library!$AL:$AL,MATCH(AH631,[1]Library!$AJ:$AJ,0),1)</f>
        <v>#N/A</v>
      </c>
      <c r="AJ631" s="211" t="e">
        <f>TEXT(INDEX([1]Library!$W:$W,MATCH(AH631,[1]Library!$AJ:$AJ,0),1),"")</f>
        <v>#N/A</v>
      </c>
    </row>
    <row r="632" spans="1:36" ht="25.2" hidden="1" customHeight="1" outlineLevel="2">
      <c r="A632" s="242"/>
      <c r="B632" s="243"/>
      <c r="C632" s="244"/>
      <c r="D632" s="245"/>
      <c r="E632" s="246" t="s">
        <v>612</v>
      </c>
      <c r="F632" s="247"/>
      <c r="G632" s="381"/>
      <c r="H632" s="382">
        <v>64</v>
      </c>
      <c r="I632" s="248" t="s">
        <v>354</v>
      </c>
      <c r="J632" s="249">
        <v>5234.8214285714303</v>
      </c>
      <c r="K632" s="250">
        <v>335028.57142857101</v>
      </c>
      <c r="L632" s="249">
        <v>523.482142857143</v>
      </c>
      <c r="M632" s="250">
        <v>33502.857142857101</v>
      </c>
      <c r="N632" s="251">
        <v>0</v>
      </c>
      <c r="O632" s="250">
        <v>0</v>
      </c>
      <c r="P632" s="252">
        <v>368531.42857142899</v>
      </c>
      <c r="Q632" s="253">
        <f t="shared" si="163"/>
        <v>1.98239250395762E-4</v>
      </c>
      <c r="R632" s="254">
        <f t="shared" si="164"/>
        <v>19.769302451046499</v>
      </c>
      <c r="S632" s="255">
        <f t="shared" si="165"/>
        <v>722.61064425770405</v>
      </c>
      <c r="T632" s="256"/>
      <c r="U632" s="225"/>
      <c r="V632" s="226"/>
      <c r="W632" s="227"/>
      <c r="X632" s="226"/>
      <c r="Y632" s="226"/>
      <c r="Z632" s="226"/>
      <c r="AA632" s="226"/>
      <c r="AB632" s="226"/>
      <c r="AC632" s="226"/>
      <c r="AD632" s="96">
        <f t="shared" si="176"/>
        <v>0</v>
      </c>
      <c r="AE632" s="96">
        <f t="shared" si="177"/>
        <v>0</v>
      </c>
      <c r="AF632" s="96">
        <f t="shared" si="178"/>
        <v>0</v>
      </c>
      <c r="AG632" s="96">
        <f t="shared" si="179"/>
        <v>0</v>
      </c>
      <c r="AH632" s="211" t="str">
        <f t="shared" si="166"/>
        <v>0,;!0,;!0,;!0</v>
      </c>
      <c r="AI632" s="211" t="e">
        <f>INDEX([1]Library!$AL:$AL,MATCH(AH632,[1]Library!$AJ:$AJ,0),1)</f>
        <v>#N/A</v>
      </c>
      <c r="AJ632" s="211" t="e">
        <f>TEXT(INDEX([1]Library!$W:$W,MATCH(AH632,[1]Library!$AJ:$AJ,0),1),"")</f>
        <v>#N/A</v>
      </c>
    </row>
    <row r="633" spans="1:36" ht="25.2" hidden="1" customHeight="1" outlineLevel="2">
      <c r="A633" s="242"/>
      <c r="B633" s="243"/>
      <c r="C633" s="244"/>
      <c r="D633" s="245"/>
      <c r="E633" s="246" t="s">
        <v>613</v>
      </c>
      <c r="F633" s="247"/>
      <c r="G633" s="381"/>
      <c r="H633" s="382">
        <v>64</v>
      </c>
      <c r="I633" s="248" t="s">
        <v>354</v>
      </c>
      <c r="J633" s="249">
        <v>39342.857142857101</v>
      </c>
      <c r="K633" s="250">
        <v>2517942.8571428601</v>
      </c>
      <c r="L633" s="249">
        <v>7868.5714285714303</v>
      </c>
      <c r="M633" s="250">
        <v>503588.57142857101</v>
      </c>
      <c r="N633" s="251">
        <v>0</v>
      </c>
      <c r="O633" s="250">
        <v>0</v>
      </c>
      <c r="P633" s="252">
        <v>3021531.42857143</v>
      </c>
      <c r="Q633" s="253">
        <f t="shared" si="163"/>
        <v>1.62533254699372E-3</v>
      </c>
      <c r="R633" s="254">
        <f t="shared" si="164"/>
        <v>162.08541265617899</v>
      </c>
      <c r="S633" s="255">
        <f t="shared" si="165"/>
        <v>5924.5714285714303</v>
      </c>
      <c r="T633" s="256"/>
      <c r="U633" s="225"/>
      <c r="V633" s="226"/>
      <c r="W633" s="227"/>
      <c r="X633" s="226"/>
      <c r="Y633" s="226"/>
      <c r="Z633" s="226"/>
      <c r="AA633" s="226"/>
      <c r="AB633" s="226"/>
      <c r="AC633" s="226"/>
      <c r="AD633" s="96">
        <f t="shared" si="176"/>
        <v>0</v>
      </c>
      <c r="AE633" s="96">
        <f t="shared" si="177"/>
        <v>0</v>
      </c>
      <c r="AF633" s="96">
        <f t="shared" si="178"/>
        <v>0</v>
      </c>
      <c r="AG633" s="96">
        <f t="shared" si="179"/>
        <v>0</v>
      </c>
      <c r="AH633" s="211" t="str">
        <f t="shared" si="166"/>
        <v>0,;!0,;!0,;!0</v>
      </c>
      <c r="AI633" s="211" t="e">
        <f>INDEX([1]Library!$AL:$AL,MATCH(AH633,[1]Library!$AJ:$AJ,0),1)</f>
        <v>#N/A</v>
      </c>
      <c r="AJ633" s="211" t="e">
        <f>TEXT(INDEX([1]Library!$W:$W,MATCH(AH633,[1]Library!$AJ:$AJ,0),1),"")</f>
        <v>#N/A</v>
      </c>
    </row>
    <row r="634" spans="1:36" ht="25.2" hidden="1" customHeight="1" outlineLevel="2">
      <c r="A634" s="242"/>
      <c r="B634" s="243"/>
      <c r="C634" s="244"/>
      <c r="D634" s="245"/>
      <c r="E634" s="246" t="s">
        <v>614</v>
      </c>
      <c r="F634" s="247"/>
      <c r="G634" s="381"/>
      <c r="H634" s="382">
        <v>68</v>
      </c>
      <c r="I634" s="248" t="s">
        <v>354</v>
      </c>
      <c r="J634" s="249">
        <v>3947.36</v>
      </c>
      <c r="K634" s="250">
        <v>268420.47999999998</v>
      </c>
      <c r="L634" s="249">
        <v>394.73599999999999</v>
      </c>
      <c r="M634" s="250">
        <v>26842.047999999999</v>
      </c>
      <c r="N634" s="251">
        <v>0</v>
      </c>
      <c r="O634" s="250">
        <v>0</v>
      </c>
      <c r="P634" s="252">
        <v>295262.52799999999</v>
      </c>
      <c r="Q634" s="253">
        <f t="shared" si="163"/>
        <v>1.5882667713734201E-4</v>
      </c>
      <c r="R634" s="254">
        <f t="shared" si="164"/>
        <v>15.838904815037299</v>
      </c>
      <c r="S634" s="255">
        <f t="shared" si="165"/>
        <v>578.94613333333302</v>
      </c>
      <c r="T634" s="256"/>
      <c r="U634" s="225"/>
      <c r="V634" s="226"/>
      <c r="W634" s="227"/>
      <c r="X634" s="226"/>
      <c r="Y634" s="226"/>
      <c r="Z634" s="226"/>
      <c r="AA634" s="226"/>
      <c r="AB634" s="226"/>
      <c r="AC634" s="226"/>
      <c r="AD634" s="96">
        <f t="shared" si="176"/>
        <v>0</v>
      </c>
      <c r="AE634" s="96">
        <f t="shared" si="177"/>
        <v>0</v>
      </c>
      <c r="AF634" s="96">
        <f t="shared" si="178"/>
        <v>0</v>
      </c>
      <c r="AG634" s="96">
        <f t="shared" si="179"/>
        <v>0</v>
      </c>
      <c r="AH634" s="211" t="str">
        <f t="shared" si="166"/>
        <v>0,;!0,;!0,;!0</v>
      </c>
      <c r="AI634" s="211" t="e">
        <f>INDEX([1]Library!$AL:$AL,MATCH(AH634,[1]Library!$AJ:$AJ,0),1)</f>
        <v>#N/A</v>
      </c>
      <c r="AJ634" s="211" t="e">
        <f>TEXT(INDEX([1]Library!$W:$W,MATCH(AH634,[1]Library!$AJ:$AJ,0),1),"")</f>
        <v>#N/A</v>
      </c>
    </row>
    <row r="635" spans="1:36" ht="25.2" hidden="1" customHeight="1" outlineLevel="2">
      <c r="A635" s="242"/>
      <c r="B635" s="243"/>
      <c r="C635" s="244"/>
      <c r="D635" s="245"/>
      <c r="E635" s="246" t="s">
        <v>615</v>
      </c>
      <c r="F635" s="247"/>
      <c r="G635" s="381"/>
      <c r="H635" s="382">
        <v>64</v>
      </c>
      <c r="I635" s="248" t="s">
        <v>354</v>
      </c>
      <c r="J635" s="249">
        <v>7330.82</v>
      </c>
      <c r="K635" s="250">
        <v>469172.47999999998</v>
      </c>
      <c r="L635" s="249">
        <v>733.08199999999999</v>
      </c>
      <c r="M635" s="250">
        <v>46917.248</v>
      </c>
      <c r="N635" s="251">
        <v>0</v>
      </c>
      <c r="O635" s="250">
        <v>0</v>
      </c>
      <c r="P635" s="252">
        <v>516089.728</v>
      </c>
      <c r="Q635" s="253">
        <f t="shared" si="163"/>
        <v>2.77613340094936E-4</v>
      </c>
      <c r="R635" s="254">
        <f t="shared" si="164"/>
        <v>27.684840786198599</v>
      </c>
      <c r="S635" s="255">
        <f t="shared" si="165"/>
        <v>1011.94064313725</v>
      </c>
      <c r="T635" s="256"/>
      <c r="U635" s="225"/>
      <c r="V635" s="226"/>
      <c r="W635" s="227"/>
      <c r="X635" s="226"/>
      <c r="Y635" s="226"/>
      <c r="Z635" s="226"/>
      <c r="AA635" s="226"/>
      <c r="AB635" s="226"/>
      <c r="AC635" s="226"/>
      <c r="AD635" s="96">
        <f t="shared" si="176"/>
        <v>0</v>
      </c>
      <c r="AE635" s="96">
        <f t="shared" si="177"/>
        <v>0</v>
      </c>
      <c r="AF635" s="96">
        <f t="shared" si="178"/>
        <v>0</v>
      </c>
      <c r="AG635" s="96">
        <f t="shared" si="179"/>
        <v>0</v>
      </c>
      <c r="AH635" s="211" t="str">
        <f t="shared" si="166"/>
        <v>0,;!0,;!0,;!0</v>
      </c>
      <c r="AI635" s="211" t="e">
        <f>INDEX([1]Library!$AL:$AL,MATCH(AH635,[1]Library!$AJ:$AJ,0),1)</f>
        <v>#N/A</v>
      </c>
      <c r="AJ635" s="211" t="e">
        <f>TEXT(INDEX([1]Library!$W:$W,MATCH(AH635,[1]Library!$AJ:$AJ,0),1),"")</f>
        <v>#N/A</v>
      </c>
    </row>
    <row r="636" spans="1:36" ht="25.2" hidden="1" customHeight="1" outlineLevel="2">
      <c r="A636" s="242"/>
      <c r="B636" s="243"/>
      <c r="C636" s="244"/>
      <c r="D636" s="245"/>
      <c r="E636" s="246" t="s">
        <v>616</v>
      </c>
      <c r="F636" s="247"/>
      <c r="G636" s="381"/>
      <c r="H636" s="382">
        <v>64</v>
      </c>
      <c r="I636" s="248" t="s">
        <v>354</v>
      </c>
      <c r="J636" s="249">
        <v>2750</v>
      </c>
      <c r="K636" s="250">
        <v>176000</v>
      </c>
      <c r="L636" s="249">
        <v>275</v>
      </c>
      <c r="M636" s="250">
        <v>17600</v>
      </c>
      <c r="N636" s="251">
        <v>0</v>
      </c>
      <c r="O636" s="250">
        <v>0</v>
      </c>
      <c r="P636" s="252">
        <v>193600</v>
      </c>
      <c r="Q636" s="253">
        <f t="shared" si="163"/>
        <v>1.0414069439177E-4</v>
      </c>
      <c r="R636" s="254">
        <f t="shared" si="164"/>
        <v>10.3853746459531</v>
      </c>
      <c r="S636" s="255">
        <f t="shared" si="165"/>
        <v>379.60784313725497</v>
      </c>
      <c r="T636" s="256"/>
      <c r="U636" s="225"/>
      <c r="V636" s="226"/>
      <c r="W636" s="227"/>
      <c r="X636" s="226"/>
      <c r="Y636" s="226"/>
      <c r="Z636" s="226"/>
      <c r="AA636" s="226"/>
      <c r="AB636" s="226"/>
      <c r="AC636" s="226"/>
      <c r="AD636" s="96">
        <f t="shared" si="176"/>
        <v>0</v>
      </c>
      <c r="AE636" s="96">
        <f t="shared" si="177"/>
        <v>0</v>
      </c>
      <c r="AF636" s="96">
        <f t="shared" si="178"/>
        <v>0</v>
      </c>
      <c r="AG636" s="96">
        <f t="shared" si="179"/>
        <v>0</v>
      </c>
      <c r="AH636" s="211" t="str">
        <f t="shared" si="166"/>
        <v>0,;!0,;!0,;!0</v>
      </c>
      <c r="AI636" s="211" t="e">
        <f>INDEX([1]Library!$AL:$AL,MATCH(AH636,[1]Library!$AJ:$AJ,0),1)</f>
        <v>#N/A</v>
      </c>
      <c r="AJ636" s="211" t="e">
        <f>TEXT(INDEX([1]Library!$W:$W,MATCH(AH636,[1]Library!$AJ:$AJ,0),1),"")</f>
        <v>#N/A</v>
      </c>
    </row>
    <row r="637" spans="1:36" ht="25.2" hidden="1" customHeight="1" outlineLevel="1" collapsed="1">
      <c r="A637" s="213"/>
      <c r="B637" s="214"/>
      <c r="C637" s="215" t="s">
        <v>617</v>
      </c>
      <c r="D637" s="215"/>
      <c r="E637" s="216"/>
      <c r="F637" s="217"/>
      <c r="G637" s="379"/>
      <c r="H637" s="219">
        <v>1</v>
      </c>
      <c r="I637" s="218" t="s">
        <v>32</v>
      </c>
      <c r="J637" s="219">
        <v>5723645.3714285698</v>
      </c>
      <c r="K637" s="219">
        <v>5723645.3714285698</v>
      </c>
      <c r="L637" s="219">
        <v>1717093.61142857</v>
      </c>
      <c r="M637" s="219">
        <v>1717093.61142857</v>
      </c>
      <c r="N637" s="219">
        <v>0</v>
      </c>
      <c r="O637" s="219">
        <v>0</v>
      </c>
      <c r="P637" s="220">
        <v>7440738.9828571398</v>
      </c>
      <c r="Q637" s="221">
        <f t="shared" si="163"/>
        <v>4.0024985767699002E-3</v>
      </c>
      <c r="R637" s="222">
        <f t="shared" si="164"/>
        <v>399.14701435805603</v>
      </c>
      <c r="S637" s="223">
        <f t="shared" si="165"/>
        <v>14589.684280112</v>
      </c>
      <c r="T637" s="224"/>
      <c r="U637" s="225"/>
      <c r="V637" s="226"/>
      <c r="W637" s="227"/>
      <c r="X637" s="226"/>
      <c r="Y637" s="226"/>
      <c r="Z637" s="226"/>
      <c r="AA637" s="226"/>
      <c r="AB637" s="226"/>
      <c r="AC637" s="226"/>
      <c r="AD637" s="96">
        <f t="shared" si="176"/>
        <v>0</v>
      </c>
      <c r="AE637" s="96">
        <f t="shared" si="177"/>
        <v>0</v>
      </c>
      <c r="AF637" s="96">
        <f t="shared" si="178"/>
        <v>0</v>
      </c>
      <c r="AG637" s="96">
        <f t="shared" si="179"/>
        <v>0</v>
      </c>
      <c r="AH637" s="211" t="str">
        <f t="shared" si="166"/>
        <v>0,;!0,;!0,;!0</v>
      </c>
      <c r="AI637" s="211" t="e">
        <f>INDEX([1]Library!$AL:$AL,MATCH(AH637,[1]Library!$AJ:$AJ,0),1)</f>
        <v>#N/A</v>
      </c>
      <c r="AJ637" s="211" t="e">
        <f>TEXT(INDEX([1]Library!$W:$W,MATCH(AH637,[1]Library!$AJ:$AJ,0),1),"")</f>
        <v>#N/A</v>
      </c>
    </row>
    <row r="638" spans="1:36" ht="25.2" hidden="1" customHeight="1" outlineLevel="2">
      <c r="A638" s="228"/>
      <c r="B638" s="229"/>
      <c r="C638" s="230"/>
      <c r="D638" s="231" t="s">
        <v>618</v>
      </c>
      <c r="E638" s="232"/>
      <c r="F638" s="233"/>
      <c r="G638" s="379"/>
      <c r="H638" s="380">
        <v>352</v>
      </c>
      <c r="I638" s="234" t="s">
        <v>176</v>
      </c>
      <c r="J638" s="235">
        <v>1526.7857142857099</v>
      </c>
      <c r="K638" s="236">
        <v>537428.57142857101</v>
      </c>
      <c r="L638" s="235">
        <v>458.03571428571399</v>
      </c>
      <c r="M638" s="236">
        <v>161228.57142857101</v>
      </c>
      <c r="N638" s="237">
        <v>0</v>
      </c>
      <c r="O638" s="236">
        <v>0</v>
      </c>
      <c r="P638" s="238">
        <v>698657.14285714296</v>
      </c>
      <c r="Q638" s="239">
        <f t="shared" si="163"/>
        <v>3.7581942148198701E-4</v>
      </c>
      <c r="R638" s="236">
        <f t="shared" si="164"/>
        <v>37.4783893473276</v>
      </c>
      <c r="S638" s="240">
        <f t="shared" si="165"/>
        <v>1369.9159663865501</v>
      </c>
      <c r="T638" s="241"/>
      <c r="U638" s="225"/>
      <c r="V638" s="226"/>
      <c r="W638" s="227"/>
      <c r="X638" s="226"/>
      <c r="Y638" s="226"/>
      <c r="Z638" s="226"/>
      <c r="AA638" s="226"/>
      <c r="AB638" s="226"/>
      <c r="AC638" s="226"/>
      <c r="AD638" s="96">
        <f t="shared" si="176"/>
        <v>0</v>
      </c>
      <c r="AE638" s="96">
        <f t="shared" si="177"/>
        <v>0</v>
      </c>
      <c r="AF638" s="96">
        <f t="shared" si="178"/>
        <v>0</v>
      </c>
      <c r="AG638" s="96">
        <f t="shared" si="179"/>
        <v>0</v>
      </c>
      <c r="AH638" s="211" t="str">
        <f t="shared" si="166"/>
        <v>0,;!0,;!0,;!0</v>
      </c>
      <c r="AI638" s="211" t="e">
        <f>INDEX([1]Library!$AL:$AL,MATCH(AH638,[1]Library!$AJ:$AJ,0),1)</f>
        <v>#N/A</v>
      </c>
      <c r="AJ638" s="211" t="e">
        <f>TEXT(INDEX([1]Library!$W:$W,MATCH(AH638,[1]Library!$AJ:$AJ,0),1),"")</f>
        <v>#N/A</v>
      </c>
    </row>
    <row r="639" spans="1:36" ht="25.2" hidden="1" customHeight="1" outlineLevel="2">
      <c r="A639" s="228"/>
      <c r="B639" s="229"/>
      <c r="C639" s="230"/>
      <c r="D639" s="231" t="s">
        <v>619</v>
      </c>
      <c r="E639" s="232"/>
      <c r="F639" s="233"/>
      <c r="G639" s="379"/>
      <c r="H639" s="380">
        <v>3108</v>
      </c>
      <c r="I639" s="234" t="s">
        <v>176</v>
      </c>
      <c r="J639" s="235">
        <v>1101.5999999999999</v>
      </c>
      <c r="K639" s="236">
        <v>3423772.8</v>
      </c>
      <c r="L639" s="235">
        <v>330.48</v>
      </c>
      <c r="M639" s="236">
        <v>1027131.84</v>
      </c>
      <c r="N639" s="237">
        <v>0</v>
      </c>
      <c r="O639" s="236">
        <v>0</v>
      </c>
      <c r="P639" s="238">
        <v>4450904.6399999997</v>
      </c>
      <c r="Q639" s="239">
        <f t="shared" si="163"/>
        <v>2.39421642500594E-3</v>
      </c>
      <c r="R639" s="236">
        <f t="shared" si="164"/>
        <v>238.76194318084299</v>
      </c>
      <c r="S639" s="240">
        <f t="shared" si="165"/>
        <v>8727.2639999999992</v>
      </c>
      <c r="T639" s="241"/>
      <c r="U639" s="225"/>
      <c r="V639" s="226"/>
      <c r="W639" s="227"/>
      <c r="X639" s="226"/>
      <c r="Y639" s="226"/>
      <c r="Z639" s="226"/>
      <c r="AA639" s="226"/>
      <c r="AB639" s="226"/>
      <c r="AC639" s="226"/>
      <c r="AD639" s="96">
        <f t="shared" si="176"/>
        <v>0</v>
      </c>
      <c r="AE639" s="96">
        <f t="shared" si="177"/>
        <v>0</v>
      </c>
      <c r="AF639" s="96">
        <f t="shared" si="178"/>
        <v>0</v>
      </c>
      <c r="AG639" s="96">
        <f t="shared" si="179"/>
        <v>0</v>
      </c>
      <c r="AH639" s="211" t="str">
        <f t="shared" si="166"/>
        <v>0,;!0,;!0,;!0</v>
      </c>
      <c r="AI639" s="211" t="e">
        <f>INDEX([1]Library!$AL:$AL,MATCH(AH639,[1]Library!$AJ:$AJ,0),1)</f>
        <v>#N/A</v>
      </c>
      <c r="AJ639" s="211" t="e">
        <f>TEXT(INDEX([1]Library!$W:$W,MATCH(AH639,[1]Library!$AJ:$AJ,0),1),"")</f>
        <v>#N/A</v>
      </c>
    </row>
    <row r="640" spans="1:36" ht="25.2" hidden="1" customHeight="1" outlineLevel="2">
      <c r="A640" s="228"/>
      <c r="B640" s="229"/>
      <c r="C640" s="230"/>
      <c r="D640" s="231" t="s">
        <v>620</v>
      </c>
      <c r="E640" s="232"/>
      <c r="F640" s="233"/>
      <c r="G640" s="379"/>
      <c r="H640" s="380">
        <v>2300</v>
      </c>
      <c r="I640" s="234" t="s">
        <v>176</v>
      </c>
      <c r="J640" s="235">
        <v>766.28</v>
      </c>
      <c r="K640" s="236">
        <v>1762444</v>
      </c>
      <c r="L640" s="235">
        <v>229.88399999999999</v>
      </c>
      <c r="M640" s="236">
        <v>528733.19999999995</v>
      </c>
      <c r="N640" s="237">
        <v>0</v>
      </c>
      <c r="O640" s="236">
        <v>0</v>
      </c>
      <c r="P640" s="238">
        <v>2291177.2000000002</v>
      </c>
      <c r="Q640" s="239">
        <f t="shared" si="163"/>
        <v>1.23246273028198E-3</v>
      </c>
      <c r="R640" s="236">
        <f t="shared" si="164"/>
        <v>122.906681829886</v>
      </c>
      <c r="S640" s="240">
        <f t="shared" si="165"/>
        <v>4492.5043137254897</v>
      </c>
      <c r="T640" s="241"/>
      <c r="U640" s="225"/>
      <c r="V640" s="226"/>
      <c r="W640" s="227"/>
      <c r="X640" s="226"/>
      <c r="Y640" s="226"/>
      <c r="Z640" s="226"/>
      <c r="AA640" s="226"/>
      <c r="AB640" s="226"/>
      <c r="AC640" s="226"/>
      <c r="AD640" s="96">
        <f t="shared" si="176"/>
        <v>0</v>
      </c>
      <c r="AE640" s="96">
        <f t="shared" si="177"/>
        <v>0</v>
      </c>
      <c r="AF640" s="96">
        <f t="shared" si="178"/>
        <v>0</v>
      </c>
      <c r="AG640" s="96">
        <f t="shared" si="179"/>
        <v>0</v>
      </c>
      <c r="AH640" s="211" t="str">
        <f t="shared" si="166"/>
        <v>0,;!0,;!0,;!0</v>
      </c>
      <c r="AI640" s="211" t="e">
        <f>INDEX([1]Library!$AL:$AL,MATCH(AH640,[1]Library!$AJ:$AJ,0),1)</f>
        <v>#N/A</v>
      </c>
      <c r="AJ640" s="211" t="e">
        <f>TEXT(INDEX([1]Library!$W:$W,MATCH(AH640,[1]Library!$AJ:$AJ,0),1),"")</f>
        <v>#N/A</v>
      </c>
    </row>
    <row r="641" spans="1:36" ht="25.2" hidden="1" customHeight="1" outlineLevel="1" collapsed="1">
      <c r="A641" s="213"/>
      <c r="B641" s="214"/>
      <c r="C641" s="215" t="s">
        <v>621</v>
      </c>
      <c r="D641" s="215"/>
      <c r="E641" s="216"/>
      <c r="F641" s="217"/>
      <c r="G641" s="379"/>
      <c r="H641" s="219">
        <v>1</v>
      </c>
      <c r="I641" s="218" t="s">
        <v>32</v>
      </c>
      <c r="J641" s="219">
        <v>9332808.6400000006</v>
      </c>
      <c r="K641" s="219">
        <v>9332808.6400000006</v>
      </c>
      <c r="L641" s="219">
        <v>2799842.5920000002</v>
      </c>
      <c r="M641" s="219">
        <v>2799842.5920000002</v>
      </c>
      <c r="N641" s="219">
        <v>0</v>
      </c>
      <c r="O641" s="219">
        <v>0</v>
      </c>
      <c r="P641" s="220">
        <v>12132651.232000001</v>
      </c>
      <c r="Q641" s="221">
        <f t="shared" si="163"/>
        <v>6.52635704604153E-3</v>
      </c>
      <c r="R641" s="222">
        <f t="shared" si="164"/>
        <v>650.83744056304204</v>
      </c>
      <c r="S641" s="223">
        <f t="shared" si="165"/>
        <v>23789.512219607801</v>
      </c>
      <c r="T641" s="224"/>
      <c r="U641" s="225"/>
      <c r="V641" s="226"/>
      <c r="W641" s="227"/>
      <c r="X641" s="226"/>
      <c r="Y641" s="226"/>
      <c r="Z641" s="226"/>
      <c r="AA641" s="226"/>
      <c r="AB641" s="226"/>
      <c r="AC641" s="226"/>
      <c r="AD641" s="96">
        <f>IF(X641&lt;&gt;0,IF($X641&gt;=AD$12,#REF!,""),Z641)</f>
        <v>0</v>
      </c>
      <c r="AE641" s="96">
        <f>IF(AA641=" ",IF($X641&gt;=AE$12,#REF!,""),AA641)</f>
        <v>0</v>
      </c>
      <c r="AF641" s="96">
        <f>IF(AB641=" ",IF($X641&gt;=AF$12,#REF!,""),AB641)</f>
        <v>0</v>
      </c>
      <c r="AG641" s="96">
        <f>IF(AC641=" ",IF($X641&gt;=AG$12,#REF!,""),AC641)</f>
        <v>0</v>
      </c>
      <c r="AH641" s="211" t="str">
        <f t="shared" si="166"/>
        <v>0,;!0,;!0,;!0</v>
      </c>
      <c r="AI641" s="211" t="e">
        <f>INDEX([1]Library!$AL:$AL,MATCH(AH641,[1]Library!$AJ:$AJ,0),1)</f>
        <v>#N/A</v>
      </c>
      <c r="AJ641" s="211" t="e">
        <f>TEXT(INDEX([1]Library!$W:$W,MATCH(AH641,[1]Library!$AJ:$AJ,0),1),"")</f>
        <v>#N/A</v>
      </c>
    </row>
    <row r="642" spans="1:36" ht="25.2" hidden="1" customHeight="1" outlineLevel="2">
      <c r="A642" s="228"/>
      <c r="B642" s="229"/>
      <c r="C642" s="230"/>
      <c r="D642" s="231" t="s">
        <v>622</v>
      </c>
      <c r="E642" s="232"/>
      <c r="F642" s="233"/>
      <c r="G642" s="379"/>
      <c r="H642" s="380">
        <v>204</v>
      </c>
      <c r="I642" s="234" t="s">
        <v>176</v>
      </c>
      <c r="J642" s="235">
        <v>553.23333333333301</v>
      </c>
      <c r="K642" s="236">
        <v>112859.6</v>
      </c>
      <c r="L642" s="235">
        <v>165.97</v>
      </c>
      <c r="M642" s="236">
        <v>33857.879999999997</v>
      </c>
      <c r="N642" s="237">
        <v>0</v>
      </c>
      <c r="O642" s="236">
        <v>0</v>
      </c>
      <c r="P642" s="238">
        <v>146717.48000000001</v>
      </c>
      <c r="Q642" s="239">
        <f t="shared" si="163"/>
        <v>7.8921798794476106E-5</v>
      </c>
      <c r="R642" s="236">
        <f t="shared" si="164"/>
        <v>7.8704338683374804</v>
      </c>
      <c r="S642" s="240">
        <f t="shared" si="165"/>
        <v>287.68133333333299</v>
      </c>
      <c r="T642" s="241"/>
      <c r="U642" s="225"/>
      <c r="V642" s="226"/>
      <c r="W642" s="227"/>
      <c r="X642" s="226"/>
      <c r="Y642" s="226"/>
      <c r="Z642" s="226"/>
      <c r="AA642" s="226"/>
      <c r="AB642" s="226"/>
      <c r="AC642" s="226"/>
      <c r="AD642" s="96">
        <f t="shared" ref="AD642:AD650" si="180">IF(X642&lt;&gt;0,IF($X642&gt;=AD$12,AD641,""),Z642)</f>
        <v>0</v>
      </c>
      <c r="AE642" s="96">
        <f t="shared" ref="AE642:AE650" si="181">IF(AA642=" ",IF($X642&gt;=AE$12,AE641,""),AA642)</f>
        <v>0</v>
      </c>
      <c r="AF642" s="96">
        <f t="shared" ref="AF642:AF650" si="182">IF(AB642=" ",IF($X642&gt;=AF$12,AF641,""),AB642)</f>
        <v>0</v>
      </c>
      <c r="AG642" s="96">
        <f t="shared" ref="AG642:AG650" si="183">IF(AC642=" ",IF($X642&gt;=AG$12,AG641,""),AC642)</f>
        <v>0</v>
      </c>
      <c r="AH642" s="211" t="str">
        <f t="shared" si="166"/>
        <v>0,;!0,;!0,;!0</v>
      </c>
      <c r="AI642" s="211" t="e">
        <f>INDEX([1]Library!$AL:$AL,MATCH(AH642,[1]Library!$AJ:$AJ,0),1)</f>
        <v>#N/A</v>
      </c>
      <c r="AJ642" s="211" t="e">
        <f>TEXT(INDEX([1]Library!$W:$W,MATCH(AH642,[1]Library!$AJ:$AJ,0),1),"")</f>
        <v>#N/A</v>
      </c>
    </row>
    <row r="643" spans="1:36" ht="25.2" hidden="1" customHeight="1" outlineLevel="2">
      <c r="A643" s="228"/>
      <c r="B643" s="229"/>
      <c r="C643" s="230"/>
      <c r="D643" s="231" t="s">
        <v>623</v>
      </c>
      <c r="E643" s="232"/>
      <c r="F643" s="233"/>
      <c r="G643" s="379"/>
      <c r="H643" s="380">
        <v>444</v>
      </c>
      <c r="I643" s="234" t="s">
        <v>176</v>
      </c>
      <c r="J643" s="235">
        <v>450.79</v>
      </c>
      <c r="K643" s="236">
        <v>200150.76</v>
      </c>
      <c r="L643" s="235">
        <v>135.23699999999999</v>
      </c>
      <c r="M643" s="236">
        <v>60045.228000000003</v>
      </c>
      <c r="N643" s="237">
        <v>0</v>
      </c>
      <c r="O643" s="236">
        <v>0</v>
      </c>
      <c r="P643" s="238">
        <v>260195.98800000001</v>
      </c>
      <c r="Q643" s="239">
        <f t="shared" si="163"/>
        <v>1.3996379580719301E-4</v>
      </c>
      <c r="R643" s="236">
        <f t="shared" si="164"/>
        <v>13.9578141361257</v>
      </c>
      <c r="S643" s="240">
        <f t="shared" si="165"/>
        <v>510.18821176470601</v>
      </c>
      <c r="T643" s="241"/>
      <c r="U643" s="225"/>
      <c r="V643" s="226"/>
      <c r="W643" s="227"/>
      <c r="X643" s="226"/>
      <c r="Y643" s="226"/>
      <c r="Z643" s="226"/>
      <c r="AA643" s="226"/>
      <c r="AB643" s="226"/>
      <c r="AC643" s="226"/>
      <c r="AD643" s="96">
        <f t="shared" si="180"/>
        <v>0</v>
      </c>
      <c r="AE643" s="96">
        <f t="shared" si="181"/>
        <v>0</v>
      </c>
      <c r="AF643" s="96">
        <f t="shared" si="182"/>
        <v>0</v>
      </c>
      <c r="AG643" s="96">
        <f t="shared" si="183"/>
        <v>0</v>
      </c>
      <c r="AH643" s="211" t="str">
        <f t="shared" si="166"/>
        <v>0,;!0,;!0,;!0</v>
      </c>
      <c r="AI643" s="211" t="e">
        <f>INDEX([1]Library!$AL:$AL,MATCH(AH643,[1]Library!$AJ:$AJ,0),1)</f>
        <v>#N/A</v>
      </c>
      <c r="AJ643" s="211" t="e">
        <f>TEXT(INDEX([1]Library!$W:$W,MATCH(AH643,[1]Library!$AJ:$AJ,0),1),"")</f>
        <v>#N/A</v>
      </c>
    </row>
    <row r="644" spans="1:36" ht="25.2" hidden="1" customHeight="1" outlineLevel="2">
      <c r="A644" s="228"/>
      <c r="B644" s="229"/>
      <c r="C644" s="230"/>
      <c r="D644" s="231" t="s">
        <v>624</v>
      </c>
      <c r="E644" s="232"/>
      <c r="F644" s="233"/>
      <c r="G644" s="379"/>
      <c r="H644" s="380">
        <v>14244</v>
      </c>
      <c r="I644" s="234" t="s">
        <v>176</v>
      </c>
      <c r="J644" s="235">
        <v>343.51</v>
      </c>
      <c r="K644" s="236">
        <v>4892956.4400000004</v>
      </c>
      <c r="L644" s="235">
        <v>103.053</v>
      </c>
      <c r="M644" s="236">
        <v>1467886.932</v>
      </c>
      <c r="N644" s="237">
        <v>0</v>
      </c>
      <c r="O644" s="236">
        <v>0</v>
      </c>
      <c r="P644" s="238">
        <v>6360843.3720000004</v>
      </c>
      <c r="Q644" s="239">
        <f t="shared" si="163"/>
        <v>3.4216045747797802E-3</v>
      </c>
      <c r="R644" s="236">
        <f t="shared" si="164"/>
        <v>341.21767294652801</v>
      </c>
      <c r="S644" s="240">
        <f t="shared" si="165"/>
        <v>12472.2419058824</v>
      </c>
      <c r="T644" s="241"/>
      <c r="U644" s="225"/>
      <c r="V644" s="226"/>
      <c r="W644" s="227"/>
      <c r="X644" s="226"/>
      <c r="Y644" s="226"/>
      <c r="Z644" s="226"/>
      <c r="AA644" s="226"/>
      <c r="AB644" s="226"/>
      <c r="AC644" s="226"/>
      <c r="AD644" s="96">
        <f t="shared" si="180"/>
        <v>0</v>
      </c>
      <c r="AE644" s="96">
        <f t="shared" si="181"/>
        <v>0</v>
      </c>
      <c r="AF644" s="96">
        <f t="shared" si="182"/>
        <v>0</v>
      </c>
      <c r="AG644" s="96">
        <f t="shared" si="183"/>
        <v>0</v>
      </c>
      <c r="AH644" s="211" t="str">
        <f t="shared" si="166"/>
        <v>0,;!0,;!0,;!0</v>
      </c>
      <c r="AI644" s="211" t="e">
        <f>INDEX([1]Library!$AL:$AL,MATCH(AH644,[1]Library!$AJ:$AJ,0),1)</f>
        <v>#N/A</v>
      </c>
      <c r="AJ644" s="211" t="e">
        <f>TEXT(INDEX([1]Library!$W:$W,MATCH(AH644,[1]Library!$AJ:$AJ,0),1),"")</f>
        <v>#N/A</v>
      </c>
    </row>
    <row r="645" spans="1:36" ht="25.2" hidden="1" customHeight="1" outlineLevel="2">
      <c r="A645" s="228"/>
      <c r="B645" s="229"/>
      <c r="C645" s="230"/>
      <c r="D645" s="231" t="s">
        <v>625</v>
      </c>
      <c r="E645" s="232"/>
      <c r="F645" s="233"/>
      <c r="G645" s="379"/>
      <c r="H645" s="380">
        <v>19976</v>
      </c>
      <c r="I645" s="234" t="s">
        <v>176</v>
      </c>
      <c r="J645" s="235">
        <v>206.59</v>
      </c>
      <c r="K645" s="236">
        <v>4126841.84</v>
      </c>
      <c r="L645" s="235">
        <v>61.976999999999997</v>
      </c>
      <c r="M645" s="236">
        <v>1238052.5519999999</v>
      </c>
      <c r="N645" s="237">
        <v>0</v>
      </c>
      <c r="O645" s="236">
        <v>0</v>
      </c>
      <c r="P645" s="238">
        <v>5364894.392</v>
      </c>
      <c r="Q645" s="239">
        <f t="shared" si="163"/>
        <v>2.88586687666008E-3</v>
      </c>
      <c r="R645" s="236">
        <f t="shared" si="164"/>
        <v>287.79151961205002</v>
      </c>
      <c r="S645" s="240">
        <f t="shared" si="165"/>
        <v>10519.4007686275</v>
      </c>
      <c r="T645" s="241"/>
      <c r="U645" s="225"/>
      <c r="V645" s="226"/>
      <c r="W645" s="227"/>
      <c r="X645" s="226"/>
      <c r="Y645" s="226"/>
      <c r="Z645" s="226"/>
      <c r="AA645" s="226"/>
      <c r="AB645" s="226"/>
      <c r="AC645" s="226"/>
      <c r="AD645" s="96">
        <f t="shared" si="180"/>
        <v>0</v>
      </c>
      <c r="AE645" s="96">
        <f t="shared" si="181"/>
        <v>0</v>
      </c>
      <c r="AF645" s="96">
        <f t="shared" si="182"/>
        <v>0</v>
      </c>
      <c r="AG645" s="96">
        <f t="shared" si="183"/>
        <v>0</v>
      </c>
      <c r="AH645" s="211" t="str">
        <f t="shared" si="166"/>
        <v>0,;!0,;!0,;!0</v>
      </c>
      <c r="AI645" s="211" t="e">
        <f>INDEX([1]Library!$AL:$AL,MATCH(AH645,[1]Library!$AJ:$AJ,0),1)</f>
        <v>#N/A</v>
      </c>
      <c r="AJ645" s="211" t="e">
        <f>TEXT(INDEX([1]Library!$W:$W,MATCH(AH645,[1]Library!$AJ:$AJ,0),1),"")</f>
        <v>#N/A</v>
      </c>
    </row>
    <row r="646" spans="1:36" ht="25.2" hidden="1" customHeight="1" outlineLevel="1" collapsed="1">
      <c r="A646" s="213"/>
      <c r="B646" s="214"/>
      <c r="C646" s="215" t="s">
        <v>626</v>
      </c>
      <c r="D646" s="215"/>
      <c r="E646" s="216"/>
      <c r="F646" s="217"/>
      <c r="G646" s="379"/>
      <c r="H646" s="219">
        <v>1</v>
      </c>
      <c r="I646" s="218" t="s">
        <v>32</v>
      </c>
      <c r="J646" s="219">
        <v>269885.8</v>
      </c>
      <c r="K646" s="219">
        <v>269885.8</v>
      </c>
      <c r="L646" s="219">
        <v>79425.740000000005</v>
      </c>
      <c r="M646" s="219">
        <v>79425.740000000005</v>
      </c>
      <c r="N646" s="219">
        <v>0</v>
      </c>
      <c r="O646" s="219">
        <v>0</v>
      </c>
      <c r="P646" s="220">
        <v>349311.54</v>
      </c>
      <c r="Q646" s="221">
        <f t="shared" si="163"/>
        <v>1.8790054924926899E-4</v>
      </c>
      <c r="R646" s="222">
        <f t="shared" si="164"/>
        <v>18.738281048836999</v>
      </c>
      <c r="S646" s="223">
        <f t="shared" si="165"/>
        <v>684.92458823529398</v>
      </c>
      <c r="T646" s="224"/>
      <c r="U646" s="225"/>
      <c r="V646" s="226"/>
      <c r="W646" s="227"/>
      <c r="X646" s="226"/>
      <c r="Y646" s="226"/>
      <c r="Z646" s="226"/>
      <c r="AA646" s="226"/>
      <c r="AB646" s="226"/>
      <c r="AC646" s="226"/>
      <c r="AD646" s="96">
        <f t="shared" si="180"/>
        <v>0</v>
      </c>
      <c r="AE646" s="96">
        <f t="shared" si="181"/>
        <v>0</v>
      </c>
      <c r="AF646" s="96">
        <f t="shared" si="182"/>
        <v>0</v>
      </c>
      <c r="AG646" s="96">
        <f t="shared" si="183"/>
        <v>0</v>
      </c>
      <c r="AH646" s="211" t="str">
        <f t="shared" si="166"/>
        <v>0,;!0,;!0,;!0</v>
      </c>
      <c r="AI646" s="211" t="e">
        <f>INDEX([1]Library!$AL:$AL,MATCH(AH646,[1]Library!$AJ:$AJ,0),1)</f>
        <v>#N/A</v>
      </c>
      <c r="AJ646" s="211" t="e">
        <f>TEXT(INDEX([1]Library!$W:$W,MATCH(AH646,[1]Library!$AJ:$AJ,0),1),"")</f>
        <v>#N/A</v>
      </c>
    </row>
    <row r="647" spans="1:36" ht="25.2" hidden="1" customHeight="1" outlineLevel="2">
      <c r="A647" s="228"/>
      <c r="B647" s="229"/>
      <c r="C647" s="230"/>
      <c r="D647" s="231" t="s">
        <v>627</v>
      </c>
      <c r="E647" s="232"/>
      <c r="F647" s="233"/>
      <c r="G647" s="379"/>
      <c r="H647" s="380">
        <v>460</v>
      </c>
      <c r="I647" s="234" t="s">
        <v>176</v>
      </c>
      <c r="J647" s="235">
        <v>553.23</v>
      </c>
      <c r="K647" s="236">
        <v>254485.8</v>
      </c>
      <c r="L647" s="235">
        <v>165.96899999999999</v>
      </c>
      <c r="M647" s="236">
        <v>76345.740000000005</v>
      </c>
      <c r="N647" s="237">
        <v>0</v>
      </c>
      <c r="O647" s="236">
        <v>0</v>
      </c>
      <c r="P647" s="238">
        <v>330831.53999999998</v>
      </c>
      <c r="Q647" s="239">
        <f t="shared" si="163"/>
        <v>1.7795984660278199E-4</v>
      </c>
      <c r="R647" s="236">
        <f t="shared" si="164"/>
        <v>17.746949832632399</v>
      </c>
      <c r="S647" s="240">
        <f t="shared" si="165"/>
        <v>648.68929411764702</v>
      </c>
      <c r="T647" s="241"/>
      <c r="U647" s="225"/>
      <c r="V647" s="226"/>
      <c r="W647" s="227"/>
      <c r="X647" s="226"/>
      <c r="Y647" s="226"/>
      <c r="Z647" s="226"/>
      <c r="AA647" s="226"/>
      <c r="AB647" s="226"/>
      <c r="AC647" s="226"/>
      <c r="AD647" s="96">
        <f t="shared" si="180"/>
        <v>0</v>
      </c>
      <c r="AE647" s="96">
        <f t="shared" si="181"/>
        <v>0</v>
      </c>
      <c r="AF647" s="96">
        <f t="shared" si="182"/>
        <v>0</v>
      </c>
      <c r="AG647" s="96">
        <f t="shared" si="183"/>
        <v>0</v>
      </c>
      <c r="AH647" s="211" t="str">
        <f t="shared" si="166"/>
        <v>0,;!0,;!0,;!0</v>
      </c>
      <c r="AI647" s="211" t="e">
        <f>INDEX([1]Library!$AL:$AL,MATCH(AH647,[1]Library!$AJ:$AJ,0),1)</f>
        <v>#N/A</v>
      </c>
      <c r="AJ647" s="211" t="e">
        <f>TEXT(INDEX([1]Library!$W:$W,MATCH(AH647,[1]Library!$AJ:$AJ,0),1),"")</f>
        <v>#N/A</v>
      </c>
    </row>
    <row r="648" spans="1:36" ht="25.2" hidden="1" customHeight="1" outlineLevel="2">
      <c r="A648" s="228"/>
      <c r="B648" s="229"/>
      <c r="C648" s="230"/>
      <c r="D648" s="231" t="s">
        <v>628</v>
      </c>
      <c r="E648" s="232"/>
      <c r="F648" s="233"/>
      <c r="G648" s="379"/>
      <c r="H648" s="380">
        <v>8</v>
      </c>
      <c r="I648" s="234" t="s">
        <v>200</v>
      </c>
      <c r="J648" s="235">
        <v>1925</v>
      </c>
      <c r="K648" s="236">
        <v>15400</v>
      </c>
      <c r="L648" s="235">
        <v>385</v>
      </c>
      <c r="M648" s="236">
        <v>3080</v>
      </c>
      <c r="N648" s="237">
        <v>0</v>
      </c>
      <c r="O648" s="236">
        <v>0</v>
      </c>
      <c r="P648" s="238">
        <v>18480</v>
      </c>
      <c r="Q648" s="239">
        <f t="shared" si="163"/>
        <v>9.9407026464871092E-6</v>
      </c>
      <c r="R648" s="236">
        <f t="shared" si="164"/>
        <v>0.99133121620461795</v>
      </c>
      <c r="S648" s="240">
        <f t="shared" si="165"/>
        <v>36.235294117647101</v>
      </c>
      <c r="T648" s="241"/>
      <c r="U648" s="225"/>
      <c r="V648" s="226"/>
      <c r="W648" s="227"/>
      <c r="X648" s="226"/>
      <c r="Y648" s="226"/>
      <c r="Z648" s="226"/>
      <c r="AA648" s="226"/>
      <c r="AB648" s="226"/>
      <c r="AC648" s="226"/>
      <c r="AD648" s="96">
        <f t="shared" si="180"/>
        <v>0</v>
      </c>
      <c r="AE648" s="96">
        <f t="shared" si="181"/>
        <v>0</v>
      </c>
      <c r="AF648" s="96">
        <f t="shared" si="182"/>
        <v>0</v>
      </c>
      <c r="AG648" s="96">
        <f t="shared" si="183"/>
        <v>0</v>
      </c>
      <c r="AH648" s="211" t="str">
        <f t="shared" si="166"/>
        <v>0,;!0,;!0,;!0</v>
      </c>
      <c r="AI648" s="211" t="e">
        <f>INDEX([1]Library!$AL:$AL,MATCH(AH648,[1]Library!$AJ:$AJ,0),1)</f>
        <v>#N/A</v>
      </c>
      <c r="AJ648" s="211" t="e">
        <f>TEXT(INDEX([1]Library!$W:$W,MATCH(AH648,[1]Library!$AJ:$AJ,0),1),"")</f>
        <v>#N/A</v>
      </c>
    </row>
    <row r="649" spans="1:36" ht="25.2" hidden="1" customHeight="1" outlineLevel="1" collapsed="1">
      <c r="A649" s="213"/>
      <c r="B649" s="214"/>
      <c r="C649" s="215" t="s">
        <v>629</v>
      </c>
      <c r="D649" s="215"/>
      <c r="E649" s="216"/>
      <c r="F649" s="217"/>
      <c r="G649" s="379"/>
      <c r="H649" s="219">
        <v>1</v>
      </c>
      <c r="I649" s="218" t="s">
        <v>32</v>
      </c>
      <c r="J649" s="219">
        <v>8101516.8628571397</v>
      </c>
      <c r="K649" s="219">
        <v>8101516.8628571397</v>
      </c>
      <c r="L649" s="219">
        <v>2109223.0857142899</v>
      </c>
      <c r="M649" s="219">
        <v>2109223.0857142899</v>
      </c>
      <c r="N649" s="219">
        <v>0</v>
      </c>
      <c r="O649" s="219">
        <v>0</v>
      </c>
      <c r="P649" s="220">
        <v>10210739.948571401</v>
      </c>
      <c r="Q649" s="221">
        <f t="shared" si="163"/>
        <v>5.4925286595971703E-3</v>
      </c>
      <c r="R649" s="222">
        <f t="shared" si="164"/>
        <v>547.73946166484598</v>
      </c>
      <c r="S649" s="223">
        <f t="shared" si="165"/>
        <v>20021.058722688998</v>
      </c>
      <c r="T649" s="224"/>
      <c r="U649" s="225"/>
      <c r="V649" s="226"/>
      <c r="W649" s="227"/>
      <c r="X649" s="226"/>
      <c r="Y649" s="226"/>
      <c r="Z649" s="226"/>
      <c r="AA649" s="226"/>
      <c r="AB649" s="226"/>
      <c r="AC649" s="226"/>
      <c r="AD649" s="96">
        <f t="shared" si="180"/>
        <v>0</v>
      </c>
      <c r="AE649" s="96">
        <f t="shared" si="181"/>
        <v>0</v>
      </c>
      <c r="AF649" s="96">
        <f t="shared" si="182"/>
        <v>0</v>
      </c>
      <c r="AG649" s="96">
        <f t="shared" si="183"/>
        <v>0</v>
      </c>
      <c r="AH649" s="211" t="str">
        <f t="shared" si="166"/>
        <v>0,;!0,;!0,;!0</v>
      </c>
      <c r="AI649" s="211" t="e">
        <f>INDEX([1]Library!$AL:$AL,MATCH(AH649,[1]Library!$AJ:$AJ,0),1)</f>
        <v>#N/A</v>
      </c>
      <c r="AJ649" s="211" t="e">
        <f>TEXT(INDEX([1]Library!$W:$W,MATCH(AH649,[1]Library!$AJ:$AJ,0),1),"")</f>
        <v>#N/A</v>
      </c>
    </row>
    <row r="650" spans="1:36" ht="25.2" hidden="1" customHeight="1" outlineLevel="2">
      <c r="A650" s="228"/>
      <c r="B650" s="229"/>
      <c r="C650" s="230"/>
      <c r="D650" s="231" t="s">
        <v>630</v>
      </c>
      <c r="E650" s="232"/>
      <c r="F650" s="233"/>
      <c r="G650" s="379"/>
      <c r="H650" s="380">
        <v>1660</v>
      </c>
      <c r="I650" s="234" t="s">
        <v>354</v>
      </c>
      <c r="J650" s="235">
        <v>247.68</v>
      </c>
      <c r="K650" s="236">
        <v>411148.79999999999</v>
      </c>
      <c r="L650" s="235">
        <v>150</v>
      </c>
      <c r="M650" s="236">
        <v>249000</v>
      </c>
      <c r="N650" s="237">
        <v>0</v>
      </c>
      <c r="O650" s="236">
        <v>0</v>
      </c>
      <c r="P650" s="238">
        <v>660148.80000000005</v>
      </c>
      <c r="Q650" s="239">
        <f t="shared" si="163"/>
        <v>3.55105136538706E-4</v>
      </c>
      <c r="R650" s="236">
        <f t="shared" si="164"/>
        <v>35.412668440477198</v>
      </c>
      <c r="S650" s="240">
        <f t="shared" si="165"/>
        <v>1294.4094117647101</v>
      </c>
      <c r="T650" s="241"/>
      <c r="U650" s="225"/>
      <c r="V650" s="226"/>
      <c r="W650" s="227"/>
      <c r="X650" s="226"/>
      <c r="Y650" s="226"/>
      <c r="Z650" s="226"/>
      <c r="AA650" s="226"/>
      <c r="AB650" s="226"/>
      <c r="AC650" s="226"/>
      <c r="AD650" s="96">
        <f t="shared" si="180"/>
        <v>0</v>
      </c>
      <c r="AE650" s="96">
        <f t="shared" si="181"/>
        <v>0</v>
      </c>
      <c r="AF650" s="96">
        <f t="shared" si="182"/>
        <v>0</v>
      </c>
      <c r="AG650" s="96">
        <f t="shared" si="183"/>
        <v>0</v>
      </c>
      <c r="AH650" s="211" t="str">
        <f t="shared" si="166"/>
        <v>0,;!0,;!0,;!0</v>
      </c>
      <c r="AI650" s="211" t="e">
        <f>INDEX([1]Library!$AL:$AL,MATCH(AH650,[1]Library!$AJ:$AJ,0),1)</f>
        <v>#N/A</v>
      </c>
      <c r="AJ650" s="211" t="e">
        <f>TEXT(INDEX([1]Library!$W:$W,MATCH(AH650,[1]Library!$AJ:$AJ,0),1),"")</f>
        <v>#N/A</v>
      </c>
    </row>
    <row r="651" spans="1:36" ht="25.2" hidden="1" customHeight="1" outlineLevel="2">
      <c r="A651" s="228"/>
      <c r="B651" s="229"/>
      <c r="C651" s="230"/>
      <c r="D651" s="231" t="s">
        <v>631</v>
      </c>
      <c r="E651" s="232"/>
      <c r="F651" s="233"/>
      <c r="G651" s="379"/>
      <c r="H651" s="380">
        <v>4232</v>
      </c>
      <c r="I651" s="234" t="s">
        <v>354</v>
      </c>
      <c r="J651" s="235">
        <v>421.56</v>
      </c>
      <c r="K651" s="236">
        <v>1784041.92</v>
      </c>
      <c r="L651" s="235">
        <v>150</v>
      </c>
      <c r="M651" s="236">
        <v>634800</v>
      </c>
      <c r="N651" s="237">
        <v>0</v>
      </c>
      <c r="O651" s="236">
        <v>0</v>
      </c>
      <c r="P651" s="238">
        <v>2418841.92</v>
      </c>
      <c r="Q651" s="239">
        <f t="shared" si="163"/>
        <v>1.30113572919794E-3</v>
      </c>
      <c r="R651" s="236">
        <f t="shared" si="164"/>
        <v>129.75505965153201</v>
      </c>
      <c r="S651" s="240">
        <f t="shared" si="165"/>
        <v>4742.8272941176501</v>
      </c>
      <c r="T651" s="241"/>
      <c r="U651" s="225"/>
      <c r="V651" s="226"/>
      <c r="W651" s="227"/>
      <c r="X651" s="226"/>
      <c r="Y651" s="226"/>
      <c r="Z651" s="226"/>
      <c r="AA651" s="226"/>
      <c r="AB651" s="226"/>
      <c r="AC651" s="226"/>
      <c r="AD651" s="96">
        <f>IF(X651&lt;&gt;0,IF($X651&gt;=AD$12,#REF!,""),Z651)</f>
        <v>0</v>
      </c>
      <c r="AE651" s="96">
        <f>IF(AA651=" ",IF($X651&gt;=AE$12,#REF!,""),AA651)</f>
        <v>0</v>
      </c>
      <c r="AF651" s="96">
        <f>IF(AB651=" ",IF($X651&gt;=AF$12,#REF!,""),AB651)</f>
        <v>0</v>
      </c>
      <c r="AG651" s="96">
        <f>IF(AC651=" ",IF($X651&gt;=AG$12,#REF!,""),AC651)</f>
        <v>0</v>
      </c>
      <c r="AH651" s="211" t="str">
        <f t="shared" si="166"/>
        <v>0,;!0,;!0,;!0</v>
      </c>
      <c r="AI651" s="211" t="e">
        <f>INDEX([1]Library!$AL:$AL,MATCH(AH651,[1]Library!$AJ:$AJ,0),1)</f>
        <v>#N/A</v>
      </c>
      <c r="AJ651" s="211" t="e">
        <f>TEXT(INDEX([1]Library!$W:$W,MATCH(AH651,[1]Library!$AJ:$AJ,0),1),"")</f>
        <v>#N/A</v>
      </c>
    </row>
    <row r="652" spans="1:36" ht="25.2" hidden="1" customHeight="1" outlineLevel="2">
      <c r="A652" s="228"/>
      <c r="B652" s="229"/>
      <c r="C652" s="230"/>
      <c r="D652" s="231" t="s">
        <v>632</v>
      </c>
      <c r="E652" s="232"/>
      <c r="F652" s="233"/>
      <c r="G652" s="379"/>
      <c r="H652" s="380">
        <v>2040</v>
      </c>
      <c r="I652" s="234" t="s">
        <v>354</v>
      </c>
      <c r="J652" s="235">
        <v>636.16071428571399</v>
      </c>
      <c r="K652" s="236">
        <v>1297767.8571428601</v>
      </c>
      <c r="L652" s="235">
        <v>150</v>
      </c>
      <c r="M652" s="236">
        <v>306000</v>
      </c>
      <c r="N652" s="237">
        <v>0</v>
      </c>
      <c r="O652" s="236">
        <v>0</v>
      </c>
      <c r="P652" s="238">
        <v>1603767.8571428601</v>
      </c>
      <c r="Q652" s="239">
        <f t="shared" si="163"/>
        <v>8.6269368949409896E-4</v>
      </c>
      <c r="R652" s="236">
        <f t="shared" si="164"/>
        <v>86.031663437841203</v>
      </c>
      <c r="S652" s="240">
        <f t="shared" si="165"/>
        <v>3144.6428571428601</v>
      </c>
      <c r="T652" s="241"/>
      <c r="U652" s="225"/>
      <c r="V652" s="226"/>
      <c r="W652" s="227"/>
      <c r="X652" s="226"/>
      <c r="Y652" s="226"/>
      <c r="Z652" s="226"/>
      <c r="AA652" s="226"/>
      <c r="AB652" s="226"/>
      <c r="AC652" s="226"/>
      <c r="AD652" s="96">
        <f t="shared" ref="AD652:AD668" si="184">IF(X652&lt;&gt;0,IF($X652&gt;=AD$12,AD651,""),Z652)</f>
        <v>0</v>
      </c>
      <c r="AE652" s="96">
        <f t="shared" ref="AE652:AE668" si="185">IF(AA652=" ",IF($X652&gt;=AE$12,AE651,""),AA652)</f>
        <v>0</v>
      </c>
      <c r="AF652" s="96">
        <f t="shared" ref="AF652:AF668" si="186">IF(AB652=" ",IF($X652&gt;=AF$12,AF651,""),AB652)</f>
        <v>0</v>
      </c>
      <c r="AG652" s="96">
        <f t="shared" ref="AG652:AG668" si="187">IF(AC652=" ",IF($X652&gt;=AG$12,AG651,""),AC652)</f>
        <v>0</v>
      </c>
      <c r="AH652" s="211" t="str">
        <f t="shared" si="166"/>
        <v>0,;!0,;!0,;!0</v>
      </c>
      <c r="AI652" s="211" t="e">
        <f>INDEX([1]Library!$AL:$AL,MATCH(AH652,[1]Library!$AJ:$AJ,0),1)</f>
        <v>#N/A</v>
      </c>
      <c r="AJ652" s="211" t="e">
        <f>TEXT(INDEX([1]Library!$W:$W,MATCH(AH652,[1]Library!$AJ:$AJ,0),1),"")</f>
        <v>#N/A</v>
      </c>
    </row>
    <row r="653" spans="1:36" ht="25.2" hidden="1" customHeight="1" outlineLevel="2">
      <c r="A653" s="228"/>
      <c r="B653" s="229"/>
      <c r="C653" s="230"/>
      <c r="D653" s="231" t="s">
        <v>633</v>
      </c>
      <c r="E653" s="232"/>
      <c r="F653" s="233"/>
      <c r="G653" s="379"/>
      <c r="H653" s="380">
        <v>220</v>
      </c>
      <c r="I653" s="234" t="s">
        <v>354</v>
      </c>
      <c r="J653" s="235">
        <v>2087.8000000000002</v>
      </c>
      <c r="K653" s="236">
        <v>459316</v>
      </c>
      <c r="L653" s="235">
        <v>500</v>
      </c>
      <c r="M653" s="236">
        <v>110000</v>
      </c>
      <c r="N653" s="237">
        <v>0</v>
      </c>
      <c r="O653" s="236">
        <v>0</v>
      </c>
      <c r="P653" s="238">
        <v>569316</v>
      </c>
      <c r="Q653" s="239">
        <f t="shared" ref="Q653:Q669" si="188">P653/P$13</f>
        <v>3.0624464653070598E-4</v>
      </c>
      <c r="R653" s="236">
        <f t="shared" ref="R653:R674" si="189">P653/I$5</f>
        <v>30.540082396360798</v>
      </c>
      <c r="S653" s="240">
        <f t="shared" ref="S653:S674" si="190">P653/I$7</f>
        <v>1116.30588235294</v>
      </c>
      <c r="T653" s="241"/>
      <c r="U653" s="225"/>
      <c r="V653" s="226"/>
      <c r="W653" s="227"/>
      <c r="X653" s="226"/>
      <c r="Y653" s="226"/>
      <c r="Z653" s="226"/>
      <c r="AA653" s="226"/>
      <c r="AB653" s="226"/>
      <c r="AC653" s="226"/>
      <c r="AD653" s="96">
        <f t="shared" si="184"/>
        <v>0</v>
      </c>
      <c r="AE653" s="96">
        <f t="shared" si="185"/>
        <v>0</v>
      </c>
      <c r="AF653" s="96">
        <f t="shared" si="186"/>
        <v>0</v>
      </c>
      <c r="AG653" s="96">
        <f t="shared" si="187"/>
        <v>0</v>
      </c>
      <c r="AH653" s="211" t="str">
        <f t="shared" si="166"/>
        <v>0,;!0,;!0,;!0</v>
      </c>
      <c r="AI653" s="211" t="e">
        <f>INDEX([1]Library!$AL:$AL,MATCH(AH653,[1]Library!$AJ:$AJ,0),1)</f>
        <v>#N/A</v>
      </c>
      <c r="AJ653" s="211" t="e">
        <f>TEXT(INDEX([1]Library!$W:$W,MATCH(AH653,[1]Library!$AJ:$AJ,0),1),"")</f>
        <v>#N/A</v>
      </c>
    </row>
    <row r="654" spans="1:36" ht="25.2" hidden="1" customHeight="1" outlineLevel="2">
      <c r="A654" s="228"/>
      <c r="B654" s="229"/>
      <c r="C654" s="230"/>
      <c r="D654" s="231" t="s">
        <v>634</v>
      </c>
      <c r="E654" s="232"/>
      <c r="F654" s="233"/>
      <c r="G654" s="379"/>
      <c r="H654" s="380">
        <v>136</v>
      </c>
      <c r="I654" s="234" t="s">
        <v>354</v>
      </c>
      <c r="J654" s="235">
        <v>12337</v>
      </c>
      <c r="K654" s="236">
        <v>1677832</v>
      </c>
      <c r="L654" s="235">
        <v>500</v>
      </c>
      <c r="M654" s="236">
        <v>68000</v>
      </c>
      <c r="N654" s="237">
        <v>0</v>
      </c>
      <c r="O654" s="236">
        <v>0</v>
      </c>
      <c r="P654" s="238">
        <v>1745832</v>
      </c>
      <c r="Q654" s="239">
        <f t="shared" si="188"/>
        <v>9.3911238001741801E-4</v>
      </c>
      <c r="R654" s="236">
        <f t="shared" si="189"/>
        <v>93.652476182301996</v>
      </c>
      <c r="S654" s="240">
        <f t="shared" si="190"/>
        <v>3423.2</v>
      </c>
      <c r="T654" s="241"/>
      <c r="U654" s="225"/>
      <c r="V654" s="226"/>
      <c r="W654" s="227"/>
      <c r="X654" s="226"/>
      <c r="Y654" s="226"/>
      <c r="Z654" s="226"/>
      <c r="AA654" s="226"/>
      <c r="AB654" s="226"/>
      <c r="AC654" s="226"/>
      <c r="AD654" s="96">
        <f t="shared" si="184"/>
        <v>0</v>
      </c>
      <c r="AE654" s="96">
        <f t="shared" si="185"/>
        <v>0</v>
      </c>
      <c r="AF654" s="96">
        <f t="shared" si="186"/>
        <v>0</v>
      </c>
      <c r="AG654" s="96">
        <f t="shared" si="187"/>
        <v>0</v>
      </c>
      <c r="AH654" s="211" t="str">
        <f t="shared" ref="AH654:AH669" si="191">AD654&amp;",;!"&amp;AE654&amp;",;!"&amp;AF654&amp;",;!"&amp;AG654</f>
        <v>0,;!0,;!0,;!0</v>
      </c>
      <c r="AI654" s="211" t="e">
        <f>INDEX([1]Library!$AL:$AL,MATCH(AH654,[1]Library!$AJ:$AJ,0),1)</f>
        <v>#N/A</v>
      </c>
      <c r="AJ654" s="211" t="e">
        <f>TEXT(INDEX([1]Library!$W:$W,MATCH(AH654,[1]Library!$AJ:$AJ,0),1),"")</f>
        <v>#N/A</v>
      </c>
    </row>
    <row r="655" spans="1:36" ht="25.2" hidden="1" customHeight="1" outlineLevel="2">
      <c r="A655" s="228"/>
      <c r="B655" s="229"/>
      <c r="C655" s="230"/>
      <c r="D655" s="231" t="s">
        <v>635</v>
      </c>
      <c r="E655" s="232"/>
      <c r="F655" s="233"/>
      <c r="G655" s="379"/>
      <c r="H655" s="380">
        <v>128</v>
      </c>
      <c r="I655" s="234" t="s">
        <v>354</v>
      </c>
      <c r="J655" s="235">
        <v>19307.892857142899</v>
      </c>
      <c r="K655" s="236">
        <v>2471410.2857142901</v>
      </c>
      <c r="L655" s="235">
        <v>5792.36785714286</v>
      </c>
      <c r="M655" s="236">
        <v>741423.08571428596</v>
      </c>
      <c r="N655" s="237">
        <v>0</v>
      </c>
      <c r="O655" s="236">
        <v>0</v>
      </c>
      <c r="P655" s="238">
        <v>3212833.3714285698</v>
      </c>
      <c r="Q655" s="239">
        <f t="shared" si="188"/>
        <v>1.7282370778183001E-3</v>
      </c>
      <c r="R655" s="236">
        <f t="shared" si="189"/>
        <v>172.34751155633501</v>
      </c>
      <c r="S655" s="240">
        <f t="shared" si="190"/>
        <v>6299.6732773109197</v>
      </c>
      <c r="T655" s="241"/>
      <c r="U655" s="225"/>
      <c r="V655" s="226"/>
      <c r="W655" s="227"/>
      <c r="X655" s="226"/>
      <c r="Y655" s="226"/>
      <c r="Z655" s="226"/>
      <c r="AA655" s="226"/>
      <c r="AB655" s="226"/>
      <c r="AC655" s="226"/>
      <c r="AD655" s="96">
        <f t="shared" si="184"/>
        <v>0</v>
      </c>
      <c r="AE655" s="96">
        <f t="shared" si="185"/>
        <v>0</v>
      </c>
      <c r="AF655" s="96">
        <f t="shared" si="186"/>
        <v>0</v>
      </c>
      <c r="AG655" s="96">
        <f t="shared" si="187"/>
        <v>0</v>
      </c>
      <c r="AH655" s="211" t="str">
        <f t="shared" si="191"/>
        <v>0,;!0,;!0,;!0</v>
      </c>
      <c r="AI655" s="211" t="e">
        <f>INDEX([1]Library!$AL:$AL,MATCH(AH655,[1]Library!$AJ:$AJ,0),1)</f>
        <v>#N/A</v>
      </c>
      <c r="AJ655" s="211" t="e">
        <f>TEXT(INDEX([1]Library!$W:$W,MATCH(AH655,[1]Library!$AJ:$AJ,0),1),"")</f>
        <v>#N/A</v>
      </c>
    </row>
    <row r="656" spans="1:36" ht="25.2" hidden="1" customHeight="1" outlineLevel="1">
      <c r="A656" s="213"/>
      <c r="B656" s="214"/>
      <c r="C656" s="215" t="s">
        <v>326</v>
      </c>
      <c r="D656" s="215"/>
      <c r="E656" s="216"/>
      <c r="F656" s="217"/>
      <c r="G656" s="379"/>
      <c r="H656" s="219">
        <v>1</v>
      </c>
      <c r="I656" s="218" t="s">
        <v>32</v>
      </c>
      <c r="J656" s="219">
        <v>972426.91097142803</v>
      </c>
      <c r="K656" s="219">
        <v>972426.91097142803</v>
      </c>
      <c r="L656" s="219">
        <v>97242.691097142902</v>
      </c>
      <c r="M656" s="219">
        <v>97242.691097142902</v>
      </c>
      <c r="N656" s="219">
        <v>0</v>
      </c>
      <c r="O656" s="219">
        <v>0</v>
      </c>
      <c r="P656" s="220">
        <v>1069669.60206857</v>
      </c>
      <c r="Q656" s="221">
        <f t="shared" si="188"/>
        <v>5.7539325996481898E-4</v>
      </c>
      <c r="R656" s="222">
        <f t="shared" si="189"/>
        <v>57.380782876393098</v>
      </c>
      <c r="S656" s="223">
        <f t="shared" si="190"/>
        <v>2097.39137660504</v>
      </c>
      <c r="T656" s="224"/>
      <c r="U656" s="225"/>
      <c r="V656" s="226"/>
      <c r="W656" s="227"/>
      <c r="X656" s="226"/>
      <c r="Y656" s="226"/>
      <c r="Z656" s="226"/>
      <c r="AA656" s="226"/>
      <c r="AB656" s="226"/>
      <c r="AC656" s="226"/>
      <c r="AD656" s="96">
        <f t="shared" si="184"/>
        <v>0</v>
      </c>
      <c r="AE656" s="96">
        <f t="shared" si="185"/>
        <v>0</v>
      </c>
      <c r="AF656" s="96">
        <f t="shared" si="186"/>
        <v>0</v>
      </c>
      <c r="AG656" s="96">
        <f t="shared" si="187"/>
        <v>0</v>
      </c>
      <c r="AH656" s="211" t="str">
        <f t="shared" si="191"/>
        <v>0,;!0,;!0,;!0</v>
      </c>
      <c r="AI656" s="211" t="e">
        <f>INDEX([1]Library!$AL:$AL,MATCH(AH656,[1]Library!$AJ:$AJ,0),1)</f>
        <v>#N/A</v>
      </c>
      <c r="AJ656" s="211" t="e">
        <f>TEXT(INDEX([1]Library!$W:$W,MATCH(AH656,[1]Library!$AJ:$AJ,0),1),"")</f>
        <v>#N/A</v>
      </c>
    </row>
    <row r="657" spans="1:36" ht="25.2" hidden="1" customHeight="1" outlineLevel="1">
      <c r="A657" s="213"/>
      <c r="B657" s="214"/>
      <c r="C657" s="215" t="s">
        <v>327</v>
      </c>
      <c r="D657" s="215"/>
      <c r="E657" s="216"/>
      <c r="F657" s="217"/>
      <c r="G657" s="379"/>
      <c r="H657" s="219">
        <v>1</v>
      </c>
      <c r="I657" s="218" t="s">
        <v>32</v>
      </c>
      <c r="J657" s="219">
        <v>1215533.63871429</v>
      </c>
      <c r="K657" s="219">
        <v>1215533.63871429</v>
      </c>
      <c r="L657" s="219">
        <v>121553.363871429</v>
      </c>
      <c r="M657" s="219">
        <v>121553.363871429</v>
      </c>
      <c r="N657" s="219">
        <v>0</v>
      </c>
      <c r="O657" s="219">
        <v>0</v>
      </c>
      <c r="P657" s="220">
        <v>1337087.00258571</v>
      </c>
      <c r="Q657" s="221">
        <f t="shared" si="188"/>
        <v>7.19241574956024E-4</v>
      </c>
      <c r="R657" s="222">
        <f t="shared" si="189"/>
        <v>71.725978595491299</v>
      </c>
      <c r="S657" s="223">
        <f t="shared" si="190"/>
        <v>2621.7392207562898</v>
      </c>
      <c r="T657" s="224"/>
      <c r="U657" s="225"/>
      <c r="V657" s="226"/>
      <c r="W657" s="227"/>
      <c r="X657" s="226"/>
      <c r="Y657" s="226"/>
      <c r="Z657" s="226"/>
      <c r="AA657" s="226"/>
      <c r="AB657" s="226"/>
      <c r="AC657" s="226"/>
      <c r="AD657" s="96">
        <f t="shared" si="184"/>
        <v>0</v>
      </c>
      <c r="AE657" s="96">
        <f t="shared" si="185"/>
        <v>0</v>
      </c>
      <c r="AF657" s="96">
        <f t="shared" si="186"/>
        <v>0</v>
      </c>
      <c r="AG657" s="96">
        <f t="shared" si="187"/>
        <v>0</v>
      </c>
      <c r="AH657" s="211" t="str">
        <f t="shared" si="191"/>
        <v>0,;!0,;!0,;!0</v>
      </c>
      <c r="AI657" s="211" t="e">
        <f>INDEX([1]Library!$AL:$AL,MATCH(AH657,[1]Library!$AJ:$AJ,0),1)</f>
        <v>#N/A</v>
      </c>
      <c r="AJ657" s="211" t="e">
        <f>TEXT(INDEX([1]Library!$W:$W,MATCH(AH657,[1]Library!$AJ:$AJ,0),1),"")</f>
        <v>#N/A</v>
      </c>
    </row>
    <row r="658" spans="1:36" ht="25.2" hidden="1" customHeight="1" outlineLevel="1">
      <c r="A658" s="213"/>
      <c r="B658" s="214"/>
      <c r="C658" s="215" t="s">
        <v>328</v>
      </c>
      <c r="D658" s="215"/>
      <c r="E658" s="216"/>
      <c r="F658" s="217"/>
      <c r="G658" s="379"/>
      <c r="H658" s="219">
        <v>1</v>
      </c>
      <c r="I658" s="218" t="s">
        <v>32</v>
      </c>
      <c r="J658" s="219">
        <v>486213.45548571402</v>
      </c>
      <c r="K658" s="219">
        <v>486213.45548571402</v>
      </c>
      <c r="L658" s="219">
        <v>48621.3455485714</v>
      </c>
      <c r="M658" s="219">
        <v>48621.3455485714</v>
      </c>
      <c r="N658" s="219">
        <v>0</v>
      </c>
      <c r="O658" s="219">
        <v>0</v>
      </c>
      <c r="P658" s="220">
        <v>534834.80103428604</v>
      </c>
      <c r="Q658" s="221">
        <f t="shared" si="188"/>
        <v>2.8769662998240998E-4</v>
      </c>
      <c r="R658" s="222">
        <f t="shared" si="189"/>
        <v>28.690391438196599</v>
      </c>
      <c r="S658" s="223">
        <f t="shared" si="190"/>
        <v>1048.69568830252</v>
      </c>
      <c r="T658" s="224"/>
      <c r="U658" s="225"/>
      <c r="V658" s="226"/>
      <c r="W658" s="227"/>
      <c r="X658" s="226"/>
      <c r="Y658" s="226"/>
      <c r="Z658" s="226"/>
      <c r="AA658" s="226"/>
      <c r="AB658" s="226"/>
      <c r="AC658" s="226"/>
      <c r="AD658" s="96">
        <f t="shared" si="184"/>
        <v>0</v>
      </c>
      <c r="AE658" s="96">
        <f t="shared" si="185"/>
        <v>0</v>
      </c>
      <c r="AF658" s="96">
        <f t="shared" si="186"/>
        <v>0</v>
      </c>
      <c r="AG658" s="96">
        <f t="shared" si="187"/>
        <v>0</v>
      </c>
      <c r="AH658" s="211" t="str">
        <f t="shared" si="191"/>
        <v>0,;!0,;!0,;!0</v>
      </c>
      <c r="AI658" s="211" t="e">
        <f>INDEX([1]Library!$AL:$AL,MATCH(AH658,[1]Library!$AJ:$AJ,0),1)</f>
        <v>#N/A</v>
      </c>
      <c r="AJ658" s="211" t="e">
        <f>TEXT(INDEX([1]Library!$W:$W,MATCH(AH658,[1]Library!$AJ:$AJ,0),1),"")</f>
        <v>#N/A</v>
      </c>
    </row>
    <row r="659" spans="1:36" ht="25.2" hidden="1" customHeight="1" outlineLevel="1">
      <c r="A659" s="213"/>
      <c r="B659" s="214"/>
      <c r="C659" s="215" t="s">
        <v>329</v>
      </c>
      <c r="D659" s="215"/>
      <c r="E659" s="216"/>
      <c r="F659" s="217"/>
      <c r="G659" s="379"/>
      <c r="H659" s="219">
        <v>1</v>
      </c>
      <c r="I659" s="218" t="s">
        <v>32</v>
      </c>
      <c r="J659" s="219">
        <v>600000</v>
      </c>
      <c r="K659" s="219">
        <v>600000</v>
      </c>
      <c r="L659" s="219">
        <v>60000</v>
      </c>
      <c r="M659" s="219">
        <v>60000</v>
      </c>
      <c r="N659" s="219">
        <v>0</v>
      </c>
      <c r="O659" s="219">
        <v>0</v>
      </c>
      <c r="P659" s="220">
        <v>660000</v>
      </c>
      <c r="Q659" s="221">
        <f t="shared" si="188"/>
        <v>3.5502509451739703E-4</v>
      </c>
      <c r="R659" s="222">
        <f t="shared" si="189"/>
        <v>35.404686293022102</v>
      </c>
      <c r="S659" s="223">
        <f t="shared" si="190"/>
        <v>1294.11764705882</v>
      </c>
      <c r="T659" s="224"/>
      <c r="U659" s="225"/>
      <c r="V659" s="226"/>
      <c r="W659" s="227"/>
      <c r="X659" s="226"/>
      <c r="Y659" s="226"/>
      <c r="Z659" s="226"/>
      <c r="AA659" s="226"/>
      <c r="AB659" s="226"/>
      <c r="AC659" s="226"/>
      <c r="AD659" s="96">
        <f t="shared" si="184"/>
        <v>0</v>
      </c>
      <c r="AE659" s="96">
        <f t="shared" si="185"/>
        <v>0</v>
      </c>
      <c r="AF659" s="96">
        <f t="shared" si="186"/>
        <v>0</v>
      </c>
      <c r="AG659" s="96">
        <f t="shared" si="187"/>
        <v>0</v>
      </c>
      <c r="AH659" s="211" t="str">
        <f t="shared" si="191"/>
        <v>0,;!0,;!0,;!0</v>
      </c>
      <c r="AI659" s="211" t="e">
        <f>INDEX([1]Library!$AL:$AL,MATCH(AH659,[1]Library!$AJ:$AJ,0),1)</f>
        <v>#N/A</v>
      </c>
      <c r="AJ659" s="211" t="e">
        <f>TEXT(INDEX([1]Library!$W:$W,MATCH(AH659,[1]Library!$AJ:$AJ,0),1),"")</f>
        <v>#N/A</v>
      </c>
    </row>
    <row r="660" spans="1:36" ht="25.2" hidden="1" customHeight="1" outlineLevel="1">
      <c r="A660" s="213"/>
      <c r="B660" s="214"/>
      <c r="C660" s="215" t="s">
        <v>330</v>
      </c>
      <c r="D660" s="215"/>
      <c r="E660" s="216"/>
      <c r="F660" s="217"/>
      <c r="G660" s="379"/>
      <c r="H660" s="219">
        <v>1</v>
      </c>
      <c r="I660" s="218" t="s">
        <v>32</v>
      </c>
      <c r="J660" s="219">
        <v>0</v>
      </c>
      <c r="K660" s="219">
        <v>0</v>
      </c>
      <c r="L660" s="219">
        <v>0</v>
      </c>
      <c r="M660" s="219">
        <v>0</v>
      </c>
      <c r="N660" s="219">
        <v>1704436.29988553</v>
      </c>
      <c r="O660" s="219">
        <v>1704436.29988553</v>
      </c>
      <c r="P660" s="220">
        <v>1704436.29988553</v>
      </c>
      <c r="Q660" s="221">
        <f t="shared" si="188"/>
        <v>9.1684493706930604E-4</v>
      </c>
      <c r="R660" s="222">
        <f t="shared" si="189"/>
        <v>91.431867430131007</v>
      </c>
      <c r="S660" s="223">
        <f t="shared" si="190"/>
        <v>3342.0319605598602</v>
      </c>
      <c r="T660" s="224"/>
      <c r="U660" s="225"/>
      <c r="V660" s="226"/>
      <c r="W660" s="227"/>
      <c r="X660" s="226"/>
      <c r="Y660" s="226"/>
      <c r="Z660" s="226"/>
      <c r="AA660" s="226"/>
      <c r="AB660" s="226"/>
      <c r="AC660" s="226"/>
      <c r="AD660" s="96">
        <f t="shared" si="184"/>
        <v>0</v>
      </c>
      <c r="AE660" s="96">
        <f t="shared" si="185"/>
        <v>0</v>
      </c>
      <c r="AF660" s="96">
        <f t="shared" si="186"/>
        <v>0</v>
      </c>
      <c r="AG660" s="96">
        <f t="shared" si="187"/>
        <v>0</v>
      </c>
      <c r="AH660" s="211" t="str">
        <f t="shared" si="191"/>
        <v>0,;!0,;!0,;!0</v>
      </c>
      <c r="AI660" s="211" t="e">
        <f>INDEX([1]Library!$AL:$AL,MATCH(AH660,[1]Library!$AJ:$AJ,0),1)</f>
        <v>#N/A</v>
      </c>
      <c r="AJ660" s="211" t="e">
        <f>TEXT(INDEX([1]Library!$W:$W,MATCH(AH660,[1]Library!$AJ:$AJ,0),1),"")</f>
        <v>#N/A</v>
      </c>
    </row>
    <row r="661" spans="1:36" ht="25.2" customHeight="1" collapsed="1">
      <c r="A661" s="198" t="s">
        <v>636</v>
      </c>
      <c r="B661" s="199" t="s">
        <v>637</v>
      </c>
      <c r="C661" s="200"/>
      <c r="D661" s="200"/>
      <c r="E661" s="201"/>
      <c r="F661" s="202"/>
      <c r="G661" s="379"/>
      <c r="H661" s="378">
        <v>1</v>
      </c>
      <c r="I661" s="203" t="s">
        <v>32</v>
      </c>
      <c r="J661" s="204">
        <v>0</v>
      </c>
      <c r="K661" s="205">
        <v>0</v>
      </c>
      <c r="L661" s="204">
        <v>0</v>
      </c>
      <c r="M661" s="205">
        <v>0</v>
      </c>
      <c r="N661" s="204">
        <v>20128571.4285715</v>
      </c>
      <c r="O661" s="205">
        <v>20128571.4285715</v>
      </c>
      <c r="P661" s="206">
        <v>20128571.4285715</v>
      </c>
      <c r="Q661" s="207">
        <f t="shared" si="188"/>
        <v>1.08274969301951E-2</v>
      </c>
      <c r="R661" s="205">
        <f t="shared" si="189"/>
        <v>1079.7662984170599</v>
      </c>
      <c r="S661" s="208">
        <f t="shared" si="190"/>
        <v>39467.787114846098</v>
      </c>
      <c r="T661" s="209"/>
      <c r="U661" s="225"/>
      <c r="V661" s="226"/>
      <c r="W661" s="227"/>
      <c r="X661" s="226"/>
      <c r="Y661" s="226"/>
      <c r="Z661" s="226"/>
      <c r="AA661" s="226"/>
      <c r="AB661" s="226"/>
      <c r="AC661" s="226"/>
      <c r="AD661" s="96">
        <f t="shared" si="184"/>
        <v>0</v>
      </c>
      <c r="AE661" s="96">
        <f t="shared" si="185"/>
        <v>0</v>
      </c>
      <c r="AF661" s="96">
        <f t="shared" si="186"/>
        <v>0</v>
      </c>
      <c r="AG661" s="96">
        <f t="shared" si="187"/>
        <v>0</v>
      </c>
      <c r="AH661" s="211" t="str">
        <f t="shared" si="191"/>
        <v>0,;!0,;!0,;!0</v>
      </c>
      <c r="AI661" s="211" t="e">
        <f>INDEX([1]Library!$AL:$AL,MATCH(AH661,[1]Library!$AJ:$AJ,0),1)</f>
        <v>#N/A</v>
      </c>
      <c r="AJ661" s="211" t="e">
        <f>TEXT(INDEX([1]Library!$W:$W,MATCH(AH661,[1]Library!$AJ:$AJ,0),1),"")</f>
        <v>#N/A</v>
      </c>
    </row>
    <row r="662" spans="1:36" ht="25.2" hidden="1" customHeight="1" outlineLevel="1" collapsed="1">
      <c r="A662" s="213"/>
      <c r="B662" s="214"/>
      <c r="C662" s="215" t="s">
        <v>638</v>
      </c>
      <c r="D662" s="215"/>
      <c r="E662" s="216"/>
      <c r="F662" s="217"/>
      <c r="G662" s="379"/>
      <c r="H662" s="219">
        <v>1</v>
      </c>
      <c r="I662" s="218" t="s">
        <v>32</v>
      </c>
      <c r="J662" s="219">
        <v>0</v>
      </c>
      <c r="K662" s="219">
        <v>0</v>
      </c>
      <c r="L662" s="219">
        <v>0</v>
      </c>
      <c r="M662" s="219">
        <v>0</v>
      </c>
      <c r="N662" s="219">
        <v>11678571.4285715</v>
      </c>
      <c r="O662" s="219">
        <v>11678571.4285715</v>
      </c>
      <c r="P662" s="220">
        <v>11678571.4285715</v>
      </c>
      <c r="Q662" s="221">
        <f t="shared" si="188"/>
        <v>6.2820998867526498E-3</v>
      </c>
      <c r="R662" s="222">
        <f t="shared" si="189"/>
        <v>626.47902693821902</v>
      </c>
      <c r="S662" s="223">
        <f t="shared" si="190"/>
        <v>22899.159663865699</v>
      </c>
      <c r="T662" s="224"/>
      <c r="U662" s="225"/>
      <c r="V662" s="226"/>
      <c r="W662" s="227"/>
      <c r="X662" s="226"/>
      <c r="Y662" s="226"/>
      <c r="Z662" s="226"/>
      <c r="AA662" s="226"/>
      <c r="AB662" s="226"/>
      <c r="AC662" s="226"/>
      <c r="AD662" s="96">
        <f t="shared" si="184"/>
        <v>0</v>
      </c>
      <c r="AE662" s="96">
        <f t="shared" si="185"/>
        <v>0</v>
      </c>
      <c r="AF662" s="96">
        <f t="shared" si="186"/>
        <v>0</v>
      </c>
      <c r="AG662" s="96">
        <f t="shared" si="187"/>
        <v>0</v>
      </c>
      <c r="AH662" s="211" t="str">
        <f t="shared" si="191"/>
        <v>0,;!0,;!0,;!0</v>
      </c>
      <c r="AI662" s="211" t="e">
        <f>INDEX([1]Library!$AL:$AL,MATCH(AH662,[1]Library!$AJ:$AJ,0),1)</f>
        <v>#N/A</v>
      </c>
      <c r="AJ662" s="211" t="e">
        <f>TEXT(INDEX([1]Library!$W:$W,MATCH(AH662,[1]Library!$AJ:$AJ,0),1),"")</f>
        <v>#N/A</v>
      </c>
    </row>
    <row r="663" spans="1:36" ht="25.2" hidden="1" customHeight="1" outlineLevel="2">
      <c r="A663" s="228"/>
      <c r="B663" s="229"/>
      <c r="C663" s="230"/>
      <c r="D663" s="231" t="s">
        <v>639</v>
      </c>
      <c r="E663" s="232"/>
      <c r="F663" s="233"/>
      <c r="G663" s="379"/>
      <c r="H663" s="380">
        <v>4</v>
      </c>
      <c r="I663" s="234" t="s">
        <v>640</v>
      </c>
      <c r="J663" s="235">
        <v>0</v>
      </c>
      <c r="K663" s="236">
        <v>0</v>
      </c>
      <c r="L663" s="235">
        <v>0</v>
      </c>
      <c r="M663" s="236">
        <v>0</v>
      </c>
      <c r="N663" s="237">
        <v>1839285.7142857099</v>
      </c>
      <c r="O663" s="236">
        <v>7357142.8571428601</v>
      </c>
      <c r="P663" s="238">
        <v>7357142.8571428601</v>
      </c>
      <c r="Q663" s="239">
        <f t="shared" si="188"/>
        <v>3.9575308155077801E-3</v>
      </c>
      <c r="R663" s="236">
        <f t="shared" si="189"/>
        <v>394.662628591047</v>
      </c>
      <c r="S663" s="240">
        <f t="shared" si="190"/>
        <v>14425.770308123299</v>
      </c>
      <c r="T663" s="241"/>
      <c r="U663" s="225"/>
      <c r="V663" s="226"/>
      <c r="W663" s="227"/>
      <c r="X663" s="226"/>
      <c r="Y663" s="226"/>
      <c r="Z663" s="226"/>
      <c r="AA663" s="226"/>
      <c r="AB663" s="226"/>
      <c r="AC663" s="226"/>
      <c r="AD663" s="96">
        <f t="shared" si="184"/>
        <v>0</v>
      </c>
      <c r="AE663" s="96">
        <f t="shared" si="185"/>
        <v>0</v>
      </c>
      <c r="AF663" s="96">
        <f t="shared" si="186"/>
        <v>0</v>
      </c>
      <c r="AG663" s="96">
        <f t="shared" si="187"/>
        <v>0</v>
      </c>
      <c r="AH663" s="211" t="str">
        <f t="shared" si="191"/>
        <v>0,;!0,;!0,;!0</v>
      </c>
      <c r="AI663" s="211" t="e">
        <f>INDEX([1]Library!$AL:$AL,MATCH(AH663,[1]Library!$AJ:$AJ,0),1)</f>
        <v>#N/A</v>
      </c>
      <c r="AJ663" s="211" t="e">
        <f>TEXT(INDEX([1]Library!$W:$W,MATCH(AH663,[1]Library!$AJ:$AJ,0),1),"")</f>
        <v>#N/A</v>
      </c>
    </row>
    <row r="664" spans="1:36" ht="25.2" hidden="1" customHeight="1" outlineLevel="2">
      <c r="A664" s="228"/>
      <c r="B664" s="229"/>
      <c r="C664" s="230"/>
      <c r="D664" s="231" t="s">
        <v>641</v>
      </c>
      <c r="E664" s="232"/>
      <c r="F664" s="233"/>
      <c r="G664" s="379"/>
      <c r="H664" s="380">
        <v>0</v>
      </c>
      <c r="I664" s="234" t="s">
        <v>640</v>
      </c>
      <c r="J664" s="235">
        <v>0</v>
      </c>
      <c r="K664" s="236">
        <v>0</v>
      </c>
      <c r="L664" s="235">
        <v>0</v>
      </c>
      <c r="M664" s="236">
        <v>0</v>
      </c>
      <c r="N664" s="237">
        <v>0</v>
      </c>
      <c r="O664" s="236">
        <v>0</v>
      </c>
      <c r="P664" s="238">
        <v>0</v>
      </c>
      <c r="Q664" s="239">
        <f t="shared" si="188"/>
        <v>0</v>
      </c>
      <c r="R664" s="236">
        <f t="shared" si="189"/>
        <v>0</v>
      </c>
      <c r="S664" s="240">
        <f t="shared" si="190"/>
        <v>0</v>
      </c>
      <c r="T664" s="241" t="s">
        <v>642</v>
      </c>
      <c r="U664" s="225"/>
      <c r="V664" s="226"/>
      <c r="W664" s="227"/>
      <c r="X664" s="226"/>
      <c r="Y664" s="226"/>
      <c r="Z664" s="226"/>
      <c r="AA664" s="226"/>
      <c r="AB664" s="226"/>
      <c r="AC664" s="226"/>
      <c r="AD664" s="96">
        <f t="shared" si="184"/>
        <v>0</v>
      </c>
      <c r="AE664" s="96">
        <f t="shared" si="185"/>
        <v>0</v>
      </c>
      <c r="AF664" s="96">
        <f t="shared" si="186"/>
        <v>0</v>
      </c>
      <c r="AG664" s="96">
        <f t="shared" si="187"/>
        <v>0</v>
      </c>
      <c r="AH664" s="211" t="str">
        <f t="shared" si="191"/>
        <v>0,;!0,;!0,;!0</v>
      </c>
      <c r="AI664" s="211" t="e">
        <f>INDEX([1]Library!$AL:$AL,MATCH(AH664,[1]Library!$AJ:$AJ,0),1)</f>
        <v>#N/A</v>
      </c>
      <c r="AJ664" s="211" t="e">
        <f>TEXT(INDEX([1]Library!$W:$W,MATCH(AH664,[1]Library!$AJ:$AJ,0),1),"")</f>
        <v>#N/A</v>
      </c>
    </row>
    <row r="665" spans="1:36" ht="25.2" hidden="1" customHeight="1" outlineLevel="2">
      <c r="A665" s="228"/>
      <c r="B665" s="229"/>
      <c r="C665" s="230"/>
      <c r="D665" s="231" t="s">
        <v>643</v>
      </c>
      <c r="E665" s="232"/>
      <c r="F665" s="233"/>
      <c r="G665" s="379"/>
      <c r="H665" s="380">
        <v>4</v>
      </c>
      <c r="I665" s="234" t="s">
        <v>640</v>
      </c>
      <c r="J665" s="235">
        <v>0</v>
      </c>
      <c r="K665" s="236">
        <v>0</v>
      </c>
      <c r="L665" s="235">
        <v>0</v>
      </c>
      <c r="M665" s="236">
        <v>0</v>
      </c>
      <c r="N665" s="237">
        <v>1080357.1428571499</v>
      </c>
      <c r="O665" s="236">
        <v>4321428.5714285998</v>
      </c>
      <c r="P665" s="238">
        <v>4321428.5714285998</v>
      </c>
      <c r="Q665" s="239">
        <f t="shared" si="188"/>
        <v>2.3245690712448801E-3</v>
      </c>
      <c r="R665" s="236">
        <f t="shared" si="189"/>
        <v>231.81639834717001</v>
      </c>
      <c r="S665" s="240">
        <f t="shared" si="190"/>
        <v>8473.3893557423507</v>
      </c>
      <c r="T665" s="241"/>
      <c r="U665" s="225"/>
      <c r="V665" s="226"/>
      <c r="W665" s="227"/>
      <c r="X665" s="226"/>
      <c r="Y665" s="226"/>
      <c r="Z665" s="226"/>
      <c r="AA665" s="226"/>
      <c r="AB665" s="226"/>
      <c r="AC665" s="226"/>
      <c r="AD665" s="96">
        <f t="shared" si="184"/>
        <v>0</v>
      </c>
      <c r="AE665" s="96">
        <f t="shared" si="185"/>
        <v>0</v>
      </c>
      <c r="AF665" s="96">
        <f t="shared" si="186"/>
        <v>0</v>
      </c>
      <c r="AG665" s="96">
        <f t="shared" si="187"/>
        <v>0</v>
      </c>
      <c r="AH665" s="211" t="str">
        <f t="shared" si="191"/>
        <v>0,;!0,;!0,;!0</v>
      </c>
      <c r="AI665" s="211" t="e">
        <f>INDEX([1]Library!$AL:$AL,MATCH(AH665,[1]Library!$AJ:$AJ,0),1)</f>
        <v>#N/A</v>
      </c>
      <c r="AJ665" s="211" t="e">
        <f>TEXT(INDEX([1]Library!$W:$W,MATCH(AH665,[1]Library!$AJ:$AJ,0),1),"")</f>
        <v>#N/A</v>
      </c>
    </row>
    <row r="666" spans="1:36" ht="25.2" hidden="1" customHeight="1" outlineLevel="1">
      <c r="A666" s="213"/>
      <c r="B666" s="214"/>
      <c r="C666" s="215" t="s">
        <v>644</v>
      </c>
      <c r="D666" s="215"/>
      <c r="E666" s="216"/>
      <c r="F666" s="217"/>
      <c r="G666" s="379"/>
      <c r="H666" s="219">
        <v>1</v>
      </c>
      <c r="I666" s="218" t="s">
        <v>32</v>
      </c>
      <c r="J666" s="219">
        <v>0</v>
      </c>
      <c r="K666" s="219">
        <v>0</v>
      </c>
      <c r="L666" s="219">
        <v>0</v>
      </c>
      <c r="M666" s="219">
        <v>0</v>
      </c>
      <c r="N666" s="219">
        <v>0</v>
      </c>
      <c r="O666" s="219">
        <v>0</v>
      </c>
      <c r="P666" s="220">
        <v>0</v>
      </c>
      <c r="Q666" s="221">
        <f t="shared" si="188"/>
        <v>0</v>
      </c>
      <c r="R666" s="222">
        <f t="shared" si="189"/>
        <v>0</v>
      </c>
      <c r="S666" s="223">
        <f t="shared" si="190"/>
        <v>0</v>
      </c>
      <c r="T666" s="224" t="s">
        <v>645</v>
      </c>
      <c r="U666" s="225"/>
      <c r="V666" s="226"/>
      <c r="W666" s="227"/>
      <c r="X666" s="226"/>
      <c r="Y666" s="226"/>
      <c r="Z666" s="226"/>
      <c r="AA666" s="226"/>
      <c r="AB666" s="226"/>
      <c r="AC666" s="226"/>
      <c r="AD666" s="96">
        <f t="shared" si="184"/>
        <v>0</v>
      </c>
      <c r="AE666" s="96">
        <f t="shared" si="185"/>
        <v>0</v>
      </c>
      <c r="AF666" s="96">
        <f t="shared" si="186"/>
        <v>0</v>
      </c>
      <c r="AG666" s="96">
        <f t="shared" si="187"/>
        <v>0</v>
      </c>
      <c r="AH666" s="211" t="str">
        <f t="shared" si="191"/>
        <v>0,;!0,;!0,;!0</v>
      </c>
      <c r="AI666" s="211" t="e">
        <f>INDEX([1]Library!$AL:$AL,MATCH(AH666,[1]Library!$AJ:$AJ,0),1)</f>
        <v>#N/A</v>
      </c>
      <c r="AJ666" s="211" t="e">
        <f>TEXT(INDEX([1]Library!$W:$W,MATCH(AH666,[1]Library!$AJ:$AJ,0),1),"")</f>
        <v>#N/A</v>
      </c>
    </row>
    <row r="667" spans="1:36" ht="25.2" hidden="1" customHeight="1" outlineLevel="1" collapsed="1">
      <c r="A667" s="213"/>
      <c r="B667" s="214"/>
      <c r="C667" s="215" t="s">
        <v>646</v>
      </c>
      <c r="D667" s="215"/>
      <c r="E667" s="216"/>
      <c r="F667" s="217"/>
      <c r="G667" s="379"/>
      <c r="H667" s="219">
        <v>1</v>
      </c>
      <c r="I667" s="218" t="s">
        <v>32</v>
      </c>
      <c r="J667" s="219">
        <v>0</v>
      </c>
      <c r="K667" s="219">
        <v>0</v>
      </c>
      <c r="L667" s="219">
        <v>0</v>
      </c>
      <c r="M667" s="219">
        <v>0</v>
      </c>
      <c r="N667" s="219">
        <v>8450000</v>
      </c>
      <c r="O667" s="219">
        <v>8450000</v>
      </c>
      <c r="P667" s="220">
        <v>8450000</v>
      </c>
      <c r="Q667" s="221">
        <f t="shared" si="188"/>
        <v>4.5453970434424298E-3</v>
      </c>
      <c r="R667" s="222">
        <f t="shared" si="189"/>
        <v>453.28727147884302</v>
      </c>
      <c r="S667" s="223">
        <f t="shared" si="190"/>
        <v>16568.627450980399</v>
      </c>
      <c r="T667" s="224"/>
      <c r="U667" s="225"/>
      <c r="V667" s="226"/>
      <c r="W667" s="227"/>
      <c r="X667" s="226"/>
      <c r="Y667" s="226"/>
      <c r="Z667" s="226"/>
      <c r="AA667" s="226"/>
      <c r="AB667" s="226"/>
      <c r="AC667" s="226"/>
      <c r="AD667" s="96">
        <f t="shared" si="184"/>
        <v>0</v>
      </c>
      <c r="AE667" s="96">
        <f t="shared" si="185"/>
        <v>0</v>
      </c>
      <c r="AF667" s="96">
        <f t="shared" si="186"/>
        <v>0</v>
      </c>
      <c r="AG667" s="96">
        <f t="shared" si="187"/>
        <v>0</v>
      </c>
      <c r="AH667" s="211" t="str">
        <f t="shared" si="191"/>
        <v>0,;!0,;!0,;!0</v>
      </c>
      <c r="AI667" s="211" t="e">
        <f>INDEX([1]Library!$AL:$AL,MATCH(AH667,[1]Library!$AJ:$AJ,0),1)</f>
        <v>#N/A</v>
      </c>
      <c r="AJ667" s="211" t="e">
        <f>TEXT(INDEX([1]Library!$W:$W,MATCH(AH667,[1]Library!$AJ:$AJ,0),1),"")</f>
        <v>#N/A</v>
      </c>
    </row>
    <row r="668" spans="1:36" ht="25.2" hidden="1" customHeight="1" outlineLevel="2">
      <c r="A668" s="228"/>
      <c r="B668" s="229"/>
      <c r="C668" s="230"/>
      <c r="D668" s="231" t="s">
        <v>647</v>
      </c>
      <c r="E668" s="232"/>
      <c r="F668" s="233"/>
      <c r="G668" s="379"/>
      <c r="H668" s="380">
        <v>4</v>
      </c>
      <c r="I668" s="234" t="s">
        <v>640</v>
      </c>
      <c r="J668" s="235">
        <v>0</v>
      </c>
      <c r="K668" s="236">
        <v>0</v>
      </c>
      <c r="L668" s="235">
        <v>0</v>
      </c>
      <c r="M668" s="236">
        <v>0</v>
      </c>
      <c r="N668" s="237">
        <v>2112500</v>
      </c>
      <c r="O668" s="236">
        <v>8450000</v>
      </c>
      <c r="P668" s="238">
        <v>8450000</v>
      </c>
      <c r="Q668" s="239">
        <f t="shared" si="188"/>
        <v>4.5453970434424298E-3</v>
      </c>
      <c r="R668" s="236">
        <f t="shared" si="189"/>
        <v>453.28727147884302</v>
      </c>
      <c r="S668" s="240">
        <f t="shared" si="190"/>
        <v>16568.627450980399</v>
      </c>
      <c r="T668" s="241"/>
      <c r="U668" s="225"/>
      <c r="V668" s="226"/>
      <c r="W668" s="227"/>
      <c r="X668" s="226"/>
      <c r="Y668" s="226"/>
      <c r="Z668" s="226"/>
      <c r="AA668" s="226"/>
      <c r="AB668" s="226"/>
      <c r="AC668" s="226"/>
      <c r="AD668" s="96">
        <f t="shared" si="184"/>
        <v>0</v>
      </c>
      <c r="AE668" s="96">
        <f t="shared" si="185"/>
        <v>0</v>
      </c>
      <c r="AF668" s="96">
        <f t="shared" si="186"/>
        <v>0</v>
      </c>
      <c r="AG668" s="96">
        <f t="shared" si="187"/>
        <v>0</v>
      </c>
      <c r="AH668" s="211" t="str">
        <f t="shared" si="191"/>
        <v>0,;!0,;!0,;!0</v>
      </c>
      <c r="AI668" s="211" t="e">
        <f>INDEX([1]Library!$AL:$AL,MATCH(AH668,[1]Library!$AJ:$AJ,0),1)</f>
        <v>#N/A</v>
      </c>
      <c r="AJ668" s="211" t="e">
        <f>TEXT(INDEX([1]Library!$W:$W,MATCH(AH668,[1]Library!$AJ:$AJ,0),1),"")</f>
        <v>#N/A</v>
      </c>
    </row>
    <row r="669" spans="1:36" ht="25.2" customHeight="1">
      <c r="A669" s="271"/>
      <c r="B669" s="272"/>
      <c r="C669" s="387"/>
      <c r="D669" s="387"/>
      <c r="E669" s="388"/>
      <c r="F669" s="274" t="s">
        <v>648</v>
      </c>
      <c r="G669" s="389"/>
      <c r="H669" s="390"/>
      <c r="I669" s="390"/>
      <c r="J669" s="390"/>
      <c r="K669" s="390"/>
      <c r="L669" s="390"/>
      <c r="M669" s="390"/>
      <c r="N669" s="390"/>
      <c r="O669" s="390"/>
      <c r="P669" s="391">
        <f>P13</f>
        <v>1859023517.4704199</v>
      </c>
      <c r="Q669" s="392">
        <f t="shared" si="188"/>
        <v>1</v>
      </c>
      <c r="R669" s="281">
        <f t="shared" si="189"/>
        <v>99724.461283925193</v>
      </c>
      <c r="S669" s="281">
        <f t="shared" si="190"/>
        <v>3645144.1519027799</v>
      </c>
      <c r="T669" s="282"/>
      <c r="U669" s="351"/>
      <c r="V669" s="352"/>
      <c r="W669" s="353" t="s">
        <v>649</v>
      </c>
      <c r="AD669" s="111">
        <f>IF(X669&lt;&gt;0,IF($X669&gt;=AD$12,#REF!,""),Z669)</f>
        <v>0</v>
      </c>
      <c r="AE669" s="98">
        <f>IF(AA669=" ",IF($X669&gt;=AE$12,#REF!,""),AA669)</f>
        <v>0</v>
      </c>
      <c r="AF669" s="111">
        <f>IF(AB669=" ",IF($X669&gt;=AF$12,#REF!,""),AB669)</f>
        <v>0</v>
      </c>
      <c r="AG669" s="111">
        <f>IF(AC669=" ",IF($X669&gt;=AG$12,#REF!,""),AC669)</f>
        <v>0</v>
      </c>
      <c r="AH669" s="111" t="str">
        <f t="shared" si="191"/>
        <v>0,;!0,;!0,;!0</v>
      </c>
      <c r="AI669" s="111" t="e">
        <f>INDEX([1]Library!$AL:$AL,MATCH(AH669,[1]Library!$AJ:$AJ,0),1)</f>
        <v>#N/A</v>
      </c>
      <c r="AJ669" s="111" t="e">
        <f>TEXT(INDEX([1]Library!$W:$W,MATCH(AH669,[1]Library!$AJ:$AJ,0),1),"")</f>
        <v>#N/A</v>
      </c>
    </row>
    <row r="670" spans="1:36" ht="25.2" customHeight="1">
      <c r="A670" s="283"/>
      <c r="B670" s="284"/>
      <c r="C670" s="393" t="s">
        <v>650</v>
      </c>
      <c r="D670" s="285"/>
      <c r="E670" s="286"/>
      <c r="F670" s="287"/>
      <c r="G670" s="394"/>
      <c r="H670" s="395"/>
      <c r="I670" s="289"/>
      <c r="J670" s="290"/>
      <c r="K670" s="291"/>
      <c r="L670" s="290"/>
      <c r="M670" s="291"/>
      <c r="N670" s="290"/>
      <c r="O670" s="292">
        <v>0.02</v>
      </c>
      <c r="P670" s="293">
        <f>(P669-P14)*O670</f>
        <v>31633860.1229022</v>
      </c>
      <c r="Q670" s="294"/>
      <c r="R670" s="296">
        <f t="shared" si="189"/>
        <v>1696.9498392252899</v>
      </c>
      <c r="S670" s="296">
        <f t="shared" si="190"/>
        <v>62027.176711572902</v>
      </c>
      <c r="T670" s="297"/>
      <c r="U670" s="356"/>
      <c r="V670" s="357"/>
      <c r="W670" s="358"/>
    </row>
    <row r="671" spans="1:36" ht="25.2" customHeight="1">
      <c r="A671" s="283"/>
      <c r="B671" s="284"/>
      <c r="C671" s="393" t="s">
        <v>651</v>
      </c>
      <c r="D671" s="285"/>
      <c r="E671" s="286"/>
      <c r="F671" s="287"/>
      <c r="G671" s="394"/>
      <c r="H671" s="395"/>
      <c r="I671" s="289"/>
      <c r="J671" s="290"/>
      <c r="K671" s="291"/>
      <c r="L671" s="290"/>
      <c r="M671" s="291"/>
      <c r="N671" s="290"/>
      <c r="O671" s="292">
        <v>0</v>
      </c>
      <c r="P671" s="293">
        <f>O671*P$669</f>
        <v>0</v>
      </c>
      <c r="Q671" s="294"/>
      <c r="R671" s="296">
        <f t="shared" si="189"/>
        <v>0</v>
      </c>
      <c r="S671" s="296">
        <f t="shared" si="190"/>
        <v>0</v>
      </c>
      <c r="T671" s="297"/>
      <c r="U671" s="356"/>
      <c r="V671" s="357"/>
      <c r="W671" s="358"/>
    </row>
    <row r="672" spans="1:36" ht="25.2" customHeight="1">
      <c r="A672" s="283"/>
      <c r="B672" s="284"/>
      <c r="C672" s="393" t="s">
        <v>652</v>
      </c>
      <c r="D672" s="285"/>
      <c r="E672" s="286"/>
      <c r="F672" s="287"/>
      <c r="G672" s="394"/>
      <c r="H672" s="395"/>
      <c r="I672" s="289"/>
      <c r="J672" s="290"/>
      <c r="K672" s="291"/>
      <c r="L672" s="290"/>
      <c r="M672" s="291"/>
      <c r="N672" s="290"/>
      <c r="O672" s="292">
        <v>0.05</v>
      </c>
      <c r="P672" s="293">
        <f>O672*P$669</f>
        <v>92951175.873521104</v>
      </c>
      <c r="Q672" s="294"/>
      <c r="R672" s="296">
        <f t="shared" si="189"/>
        <v>4986.2230641962697</v>
      </c>
      <c r="S672" s="296">
        <f t="shared" si="190"/>
        <v>182257.20759513901</v>
      </c>
      <c r="T672" s="297"/>
      <c r="U672" s="356"/>
      <c r="V672" s="357"/>
      <c r="W672" s="358"/>
    </row>
    <row r="673" spans="1:36" ht="25.2" customHeight="1">
      <c r="A673" s="283"/>
      <c r="B673" s="284"/>
      <c r="C673" s="393" t="s">
        <v>653</v>
      </c>
      <c r="D673" s="285"/>
      <c r="E673" s="286"/>
      <c r="F673" s="287"/>
      <c r="G673" s="394"/>
      <c r="H673" s="395"/>
      <c r="I673" s="289"/>
      <c r="J673" s="290"/>
      <c r="K673" s="291"/>
      <c r="L673" s="290"/>
      <c r="M673" s="291"/>
      <c r="N673" s="290"/>
      <c r="O673" s="292">
        <v>0.153201208916702</v>
      </c>
      <c r="P673" s="293">
        <f>O673*P$669</f>
        <v>284804650.281048</v>
      </c>
      <c r="Q673" s="294"/>
      <c r="R673" s="296">
        <f t="shared" si="189"/>
        <v>15277.9080272642</v>
      </c>
      <c r="S673" s="296">
        <f t="shared" si="190"/>
        <v>558440.49074715294</v>
      </c>
      <c r="T673" s="297"/>
    </row>
    <row r="674" spans="1:36" ht="25.2" customHeight="1">
      <c r="A674" s="271"/>
      <c r="B674" s="272"/>
      <c r="C674" s="187"/>
      <c r="D674" s="187"/>
      <c r="E674" s="273"/>
      <c r="F674" s="274" t="s">
        <v>654</v>
      </c>
      <c r="G674" s="389"/>
      <c r="H674" s="390"/>
      <c r="I674" s="275"/>
      <c r="J674" s="276"/>
      <c r="K674" s="277"/>
      <c r="L674" s="276"/>
      <c r="M674" s="277"/>
      <c r="N674" s="276"/>
      <c r="O674" s="278"/>
      <c r="P674" s="279">
        <f>SUBTOTAL(9,P669:P673)</f>
        <v>2268413203.74789</v>
      </c>
      <c r="Q674" s="280"/>
      <c r="R674" s="281">
        <f t="shared" si="189"/>
        <v>121685.54221461101</v>
      </c>
      <c r="S674" s="281">
        <f t="shared" si="190"/>
        <v>4447869.0269566504</v>
      </c>
      <c r="T674" s="282"/>
    </row>
    <row r="675" spans="1:36" ht="25.2" customHeight="1">
      <c r="A675" s="283"/>
      <c r="B675" s="284"/>
      <c r="C675" s="285" t="s">
        <v>655</v>
      </c>
      <c r="D675" s="285"/>
      <c r="E675" s="286"/>
      <c r="F675" s="287"/>
      <c r="G675" s="394"/>
      <c r="H675" s="395"/>
      <c r="I675" s="289"/>
      <c r="J675" s="290"/>
      <c r="K675" s="291"/>
      <c r="L675" s="290"/>
      <c r="M675" s="291"/>
      <c r="N675" s="290"/>
      <c r="O675" s="292">
        <v>0.12</v>
      </c>
      <c r="P675" s="293">
        <f>$O675*P$674</f>
        <v>272209584.44974703</v>
      </c>
      <c r="Q675" s="294"/>
      <c r="R675" s="295"/>
      <c r="S675" s="296"/>
      <c r="T675" s="297"/>
    </row>
    <row r="676" spans="1:36" ht="25.2" customHeight="1">
      <c r="A676" s="298"/>
      <c r="B676" s="299"/>
      <c r="C676" s="300"/>
      <c r="D676" s="300"/>
      <c r="E676" s="301"/>
      <c r="F676" s="302" t="s">
        <v>656</v>
      </c>
      <c r="G676" s="389"/>
      <c r="H676" s="396"/>
      <c r="I676" s="303"/>
      <c r="J676" s="304"/>
      <c r="K676" s="305"/>
      <c r="L676" s="304"/>
      <c r="M676" s="305"/>
      <c r="N676" s="304"/>
      <c r="O676" s="305"/>
      <c r="P676" s="306">
        <f>SUM(P674:P675)</f>
        <v>2540622788.1976399</v>
      </c>
      <c r="Q676" s="307"/>
      <c r="R676" s="308">
        <f>P676/I$5</f>
        <v>136287.80728036401</v>
      </c>
      <c r="S676" s="308">
        <f>P676/I$7</f>
        <v>4981613.3101914497</v>
      </c>
      <c r="T676" s="309"/>
    </row>
    <row r="677" spans="1:36" ht="19.95" customHeight="1">
      <c r="A677" s="310"/>
      <c r="B677" s="311"/>
      <c r="C677" s="311"/>
      <c r="D677" s="312"/>
      <c r="E677" s="310"/>
      <c r="F677" s="313"/>
      <c r="G677" s="314"/>
      <c r="H677" s="315"/>
      <c r="I677" s="316"/>
      <c r="J677" s="317"/>
      <c r="K677" s="318"/>
      <c r="L677" s="317"/>
      <c r="M677" s="318"/>
      <c r="N677" s="317"/>
      <c r="O677" s="119"/>
      <c r="P677" s="319"/>
      <c r="Q677" s="320"/>
      <c r="R677" s="318"/>
      <c r="S677" s="321"/>
      <c r="T677" s="321"/>
      <c r="U677" s="322"/>
      <c r="V677" s="310"/>
      <c r="W677" s="323"/>
    </row>
    <row r="678" spans="1:36" ht="19.95" customHeight="1">
      <c r="A678" s="111"/>
      <c r="B678" s="324"/>
      <c r="C678" s="324"/>
      <c r="D678" s="325"/>
      <c r="E678" s="111"/>
      <c r="F678" s="326"/>
      <c r="G678" s="288"/>
      <c r="H678" s="327"/>
      <c r="I678" s="328"/>
      <c r="J678" s="329"/>
      <c r="K678" s="109"/>
      <c r="L678" s="329"/>
      <c r="M678" s="109"/>
      <c r="N678" s="329"/>
      <c r="O678" s="330"/>
      <c r="P678" s="331"/>
      <c r="Q678" s="332"/>
      <c r="S678" s="333"/>
      <c r="T678" s="333"/>
    </row>
    <row r="679" spans="1:36" s="337" customFormat="1" ht="19.95" customHeight="1">
      <c r="A679" s="98"/>
      <c r="B679" s="99"/>
      <c r="C679" s="99"/>
      <c r="D679" s="100"/>
      <c r="E679" s="98"/>
      <c r="F679" s="101"/>
      <c r="G679" s="98"/>
      <c r="H679" s="102"/>
      <c r="I679" s="103"/>
      <c r="J679" s="104"/>
      <c r="K679" s="105"/>
      <c r="L679" s="106"/>
      <c r="M679" s="105"/>
      <c r="N679" s="104"/>
      <c r="O679" s="105"/>
      <c r="P679" s="107"/>
      <c r="Q679" s="108"/>
      <c r="R679" s="109"/>
      <c r="S679" s="102"/>
      <c r="T679" s="102"/>
      <c r="U679" s="110"/>
      <c r="V679" s="111"/>
      <c r="W679" s="98"/>
      <c r="X679" s="111"/>
      <c r="Y679" s="111"/>
      <c r="Z679" s="111"/>
      <c r="AA679" s="111"/>
      <c r="AB679" s="111"/>
      <c r="AC679" s="111"/>
      <c r="AD679" s="111"/>
      <c r="AE679" s="98"/>
      <c r="AF679" s="111"/>
      <c r="AG679" s="111"/>
      <c r="AH679" s="111"/>
      <c r="AI679" s="111"/>
      <c r="AJ679" s="111"/>
    </row>
    <row r="680" spans="1:36" ht="19.95" customHeight="1">
      <c r="A680" s="334"/>
      <c r="B680" s="335" t="s">
        <v>657</v>
      </c>
      <c r="C680" s="336"/>
      <c r="D680" s="336"/>
      <c r="E680" s="334"/>
      <c r="F680" s="337"/>
      <c r="G680" s="334"/>
      <c r="H680" s="338" t="s">
        <v>658</v>
      </c>
      <c r="I680" s="337"/>
      <c r="J680" s="339"/>
      <c r="K680" s="340"/>
      <c r="L680" s="341"/>
      <c r="M680" s="340"/>
      <c r="N680" s="335" t="s">
        <v>658</v>
      </c>
      <c r="O680" s="340"/>
      <c r="P680" s="342"/>
      <c r="Q680" s="343"/>
      <c r="R680" s="344"/>
      <c r="S680" s="345"/>
      <c r="T680" s="345"/>
      <c r="U680" s="346"/>
      <c r="V680" s="347"/>
      <c r="W680" s="348"/>
      <c r="X680" s="337"/>
      <c r="Y680" s="337"/>
      <c r="Z680" s="337"/>
      <c r="AA680" s="337"/>
      <c r="AB680" s="337"/>
      <c r="AC680" s="337"/>
      <c r="AD680" s="337"/>
      <c r="AE680" s="334"/>
      <c r="AF680" s="337"/>
      <c r="AG680" s="337"/>
      <c r="AH680" s="337"/>
      <c r="AI680" s="337"/>
      <c r="AJ680" s="337"/>
    </row>
    <row r="681" spans="1:36" ht="19.95" customHeight="1">
      <c r="B681" s="349"/>
      <c r="H681" s="350"/>
      <c r="N681" s="349"/>
      <c r="U681" s="351"/>
      <c r="V681" s="352"/>
      <c r="W681" s="353"/>
    </row>
    <row r="682" spans="1:36" ht="19.95" customHeight="1">
      <c r="B682" s="349"/>
      <c r="H682" s="350"/>
      <c r="N682" s="349"/>
      <c r="U682" s="351"/>
      <c r="V682" s="352"/>
      <c r="W682" s="353"/>
    </row>
    <row r="683" spans="1:36" ht="19.95" customHeight="1">
      <c r="B683" s="87" t="s">
        <v>659</v>
      </c>
      <c r="H683" s="354" t="s">
        <v>660</v>
      </c>
      <c r="N683" s="87" t="s">
        <v>661</v>
      </c>
      <c r="U683" s="351"/>
      <c r="V683" s="352"/>
      <c r="W683" s="353"/>
    </row>
    <row r="684" spans="1:36" ht="19.95" customHeight="1">
      <c r="B684" s="88" t="s">
        <v>662</v>
      </c>
      <c r="H684" s="355" t="s">
        <v>663</v>
      </c>
      <c r="N684" s="88" t="s">
        <v>664</v>
      </c>
      <c r="U684" s="351"/>
      <c r="V684" s="352"/>
      <c r="W684" s="353"/>
    </row>
    <row r="685" spans="1:36" ht="19.95" customHeight="1">
      <c r="U685" s="351"/>
      <c r="V685" s="352"/>
      <c r="W685" s="353"/>
    </row>
    <row r="686" spans="1:36" ht="19.95" customHeight="1">
      <c r="U686" s="351"/>
      <c r="V686" s="352"/>
      <c r="W686" s="353"/>
    </row>
    <row r="687" spans="1:36" ht="19.95" customHeight="1">
      <c r="U687" s="351"/>
      <c r="V687" s="352"/>
      <c r="W687" s="353"/>
    </row>
    <row r="688" spans="1:36" ht="19.95" customHeight="1">
      <c r="U688" s="351"/>
      <c r="V688" s="352"/>
      <c r="W688" s="353"/>
    </row>
    <row r="689" spans="21:23" ht="19.95" customHeight="1">
      <c r="U689" s="351"/>
      <c r="V689" s="352"/>
      <c r="W689" s="353"/>
    </row>
    <row r="690" spans="21:23" ht="19.95" customHeight="1">
      <c r="U690" s="351"/>
      <c r="V690" s="352"/>
      <c r="W690" s="353"/>
    </row>
    <row r="691" spans="21:23" ht="19.95" customHeight="1">
      <c r="U691" s="351"/>
      <c r="V691" s="352"/>
      <c r="W691" s="353"/>
    </row>
    <row r="692" spans="21:23" ht="19.95" customHeight="1">
      <c r="U692" s="351"/>
      <c r="V692" s="352"/>
      <c r="W692" s="353"/>
    </row>
    <row r="693" spans="21:23" ht="19.95" customHeight="1">
      <c r="U693" s="351"/>
      <c r="V693" s="352"/>
      <c r="W693" s="353"/>
    </row>
    <row r="694" spans="21:23" ht="19.95" customHeight="1">
      <c r="U694" s="351"/>
      <c r="V694" s="352"/>
      <c r="W694" s="353"/>
    </row>
    <row r="695" spans="21:23" ht="19.95" customHeight="1">
      <c r="U695" s="351"/>
      <c r="V695" s="352"/>
      <c r="W695" s="353"/>
    </row>
    <row r="696" spans="21:23" ht="19.95" hidden="1" customHeight="1">
      <c r="U696" s="351"/>
      <c r="V696" s="352"/>
      <c r="W696" s="353"/>
    </row>
    <row r="697" spans="21:23" ht="19.95" hidden="1" customHeight="1">
      <c r="U697" s="351"/>
      <c r="V697" s="352"/>
      <c r="W697" s="353"/>
    </row>
    <row r="698" spans="21:23" ht="19.95" hidden="1" customHeight="1">
      <c r="U698" s="351"/>
      <c r="V698" s="352"/>
      <c r="W698" s="353"/>
    </row>
    <row r="699" spans="21:23" ht="19.95" hidden="1" customHeight="1">
      <c r="U699" s="351"/>
      <c r="V699" s="352"/>
      <c r="W699" s="353"/>
    </row>
    <row r="700" spans="21:23" ht="19.95" hidden="1" customHeight="1">
      <c r="U700" s="351"/>
      <c r="V700" s="352"/>
      <c r="W700" s="353"/>
    </row>
    <row r="701" spans="21:23" ht="19.95" hidden="1" customHeight="1">
      <c r="U701" s="351"/>
      <c r="V701" s="352"/>
      <c r="W701" s="353"/>
    </row>
    <row r="702" spans="21:23" ht="19.95" customHeight="1">
      <c r="U702" s="351"/>
      <c r="V702" s="352"/>
      <c r="W702" s="353"/>
    </row>
    <row r="703" spans="21:23" ht="19.95" customHeight="1">
      <c r="U703" s="351"/>
      <c r="V703" s="352"/>
      <c r="W703" s="353"/>
    </row>
    <row r="704" spans="21:23" ht="19.95" customHeight="1">
      <c r="U704" s="351"/>
      <c r="V704" s="352"/>
      <c r="W704" s="353"/>
    </row>
    <row r="705" spans="21:23" ht="19.95" customHeight="1">
      <c r="U705" s="351"/>
      <c r="V705" s="352"/>
      <c r="W705" s="353"/>
    </row>
    <row r="706" spans="21:23" ht="19.95" customHeight="1">
      <c r="U706" s="351"/>
      <c r="V706" s="352"/>
      <c r="W706" s="353"/>
    </row>
    <row r="707" spans="21:23" ht="19.95" customHeight="1">
      <c r="U707" s="351"/>
      <c r="V707" s="352"/>
      <c r="W707" s="353"/>
    </row>
    <row r="708" spans="21:23" ht="19.95" customHeight="1">
      <c r="U708" s="351"/>
      <c r="V708" s="352"/>
      <c r="W708" s="353"/>
    </row>
    <row r="709" spans="21:23" ht="19.95" customHeight="1">
      <c r="U709" s="351"/>
      <c r="V709" s="352"/>
      <c r="W709" s="353"/>
    </row>
    <row r="710" spans="21:23" ht="19.95" customHeight="1">
      <c r="U710" s="351"/>
      <c r="V710" s="352"/>
      <c r="W710" s="353"/>
    </row>
    <row r="711" spans="21:23" ht="19.95" customHeight="1">
      <c r="U711" s="351"/>
      <c r="V711" s="352"/>
      <c r="W711" s="353"/>
    </row>
    <row r="712" spans="21:23" ht="19.95" customHeight="1">
      <c r="U712" s="351"/>
      <c r="V712" s="352"/>
      <c r="W712" s="353"/>
    </row>
    <row r="713" spans="21:23" ht="19.95" customHeight="1">
      <c r="U713" s="351"/>
      <c r="V713" s="352"/>
      <c r="W713" s="353"/>
    </row>
    <row r="714" spans="21:23" ht="19.95" customHeight="1">
      <c r="U714" s="351"/>
      <c r="V714" s="352"/>
      <c r="W714" s="353"/>
    </row>
    <row r="715" spans="21:23" ht="19.95" customHeight="1">
      <c r="U715" s="351"/>
      <c r="V715" s="352"/>
      <c r="W715" s="353"/>
    </row>
    <row r="716" spans="21:23" ht="19.95" customHeight="1">
      <c r="U716" s="351"/>
      <c r="V716" s="352"/>
      <c r="W716" s="353"/>
    </row>
    <row r="717" spans="21:23" ht="19.95" customHeight="1">
      <c r="U717" s="351"/>
      <c r="V717" s="352"/>
      <c r="W717" s="353"/>
    </row>
    <row r="718" spans="21:23" ht="19.95" customHeight="1">
      <c r="U718" s="351"/>
      <c r="V718" s="352"/>
      <c r="W718" s="353"/>
    </row>
    <row r="719" spans="21:23" ht="19.95" customHeight="1">
      <c r="U719" s="351"/>
      <c r="V719" s="352"/>
      <c r="W719" s="353"/>
    </row>
    <row r="720" spans="21:23" ht="19.95" customHeight="1">
      <c r="U720" s="351"/>
      <c r="V720" s="352"/>
      <c r="W720" s="353"/>
    </row>
    <row r="721" spans="21:23" ht="19.95" customHeight="1">
      <c r="U721" s="351"/>
      <c r="V721" s="352"/>
      <c r="W721" s="353"/>
    </row>
    <row r="722" spans="21:23" ht="19.95" customHeight="1">
      <c r="U722" s="351"/>
      <c r="V722" s="352"/>
      <c r="W722" s="353"/>
    </row>
    <row r="723" spans="21:23" ht="19.95" customHeight="1">
      <c r="U723" s="351"/>
      <c r="V723" s="352"/>
      <c r="W723" s="353"/>
    </row>
    <row r="724" spans="21:23" ht="19.95" customHeight="1">
      <c r="U724" s="351"/>
      <c r="V724" s="352"/>
      <c r="W724" s="353"/>
    </row>
    <row r="725" spans="21:23" ht="19.95" customHeight="1">
      <c r="U725" s="351"/>
      <c r="V725" s="352"/>
      <c r="W725" s="353"/>
    </row>
    <row r="726" spans="21:23" ht="19.95" customHeight="1">
      <c r="U726" s="351"/>
      <c r="V726" s="352"/>
      <c r="W726" s="353"/>
    </row>
    <row r="727" spans="21:23" ht="19.95" customHeight="1">
      <c r="U727" s="351"/>
      <c r="V727" s="352"/>
      <c r="W727" s="353"/>
    </row>
    <row r="728" spans="21:23" ht="19.95" customHeight="1">
      <c r="U728" s="351"/>
      <c r="V728" s="352"/>
      <c r="W728" s="353"/>
    </row>
    <row r="729" spans="21:23" ht="19.95" customHeight="1">
      <c r="U729" s="351"/>
      <c r="V729" s="352"/>
      <c r="W729" s="353"/>
    </row>
    <row r="730" spans="21:23" ht="19.95" customHeight="1">
      <c r="U730" s="351"/>
      <c r="V730" s="352"/>
      <c r="W730" s="353"/>
    </row>
    <row r="731" spans="21:23" ht="19.95" customHeight="1">
      <c r="U731" s="351"/>
      <c r="V731" s="352"/>
      <c r="W731" s="353"/>
    </row>
    <row r="732" spans="21:23" ht="19.95" customHeight="1">
      <c r="U732" s="351"/>
      <c r="V732" s="352"/>
      <c r="W732" s="353"/>
    </row>
    <row r="733" spans="21:23" ht="19.95" customHeight="1">
      <c r="U733" s="351"/>
      <c r="V733" s="352"/>
      <c r="W733" s="353"/>
    </row>
    <row r="734" spans="21:23" ht="19.95" customHeight="1">
      <c r="U734" s="351"/>
      <c r="V734" s="352"/>
      <c r="W734" s="353"/>
    </row>
    <row r="735" spans="21:23" ht="19.95" customHeight="1">
      <c r="U735" s="351"/>
      <c r="V735" s="352"/>
      <c r="W735" s="353"/>
    </row>
    <row r="736" spans="21:23" ht="19.95" customHeight="1">
      <c r="U736" s="351"/>
      <c r="V736" s="352"/>
      <c r="W736" s="353"/>
    </row>
    <row r="737" spans="21:23" ht="19.95" customHeight="1">
      <c r="U737" s="351"/>
      <c r="V737" s="352"/>
      <c r="W737" s="353"/>
    </row>
    <row r="738" spans="21:23" ht="19.95" customHeight="1">
      <c r="U738" s="351"/>
      <c r="V738" s="352"/>
      <c r="W738" s="353"/>
    </row>
    <row r="739" spans="21:23" ht="19.95" customHeight="1">
      <c r="U739" s="351"/>
      <c r="V739" s="352"/>
      <c r="W739" s="353"/>
    </row>
    <row r="740" spans="21:23" ht="19.95" customHeight="1">
      <c r="U740" s="351"/>
      <c r="V740" s="352"/>
      <c r="W740" s="353"/>
    </row>
    <row r="741" spans="21:23" ht="19.95" customHeight="1">
      <c r="U741" s="351"/>
      <c r="V741" s="352"/>
      <c r="W741" s="353"/>
    </row>
    <row r="742" spans="21:23" ht="19.95" customHeight="1">
      <c r="U742" s="351"/>
      <c r="V742" s="352"/>
      <c r="W742" s="353"/>
    </row>
    <row r="743" spans="21:23" ht="19.95" customHeight="1">
      <c r="U743" s="351"/>
      <c r="V743" s="352"/>
      <c r="W743" s="353"/>
    </row>
    <row r="744" spans="21:23" ht="19.95" customHeight="1">
      <c r="U744" s="351"/>
      <c r="V744" s="352"/>
      <c r="W744" s="353"/>
    </row>
    <row r="745" spans="21:23" ht="19.95" customHeight="1">
      <c r="U745" s="351"/>
      <c r="V745" s="352"/>
      <c r="W745" s="353"/>
    </row>
    <row r="746" spans="21:23" ht="19.95" customHeight="1">
      <c r="U746" s="351"/>
      <c r="V746" s="352"/>
      <c r="W746" s="353"/>
    </row>
    <row r="747" spans="21:23" ht="19.95" customHeight="1">
      <c r="U747" s="351"/>
      <c r="V747" s="352"/>
      <c r="W747" s="353"/>
    </row>
    <row r="748" spans="21:23" ht="19.95" customHeight="1">
      <c r="U748" s="351"/>
      <c r="V748" s="352"/>
      <c r="W748" s="353"/>
    </row>
    <row r="749" spans="21:23" ht="19.95" customHeight="1">
      <c r="U749" s="351"/>
      <c r="V749" s="352"/>
      <c r="W749" s="353"/>
    </row>
    <row r="750" spans="21:23" ht="19.95" customHeight="1">
      <c r="U750" s="351"/>
      <c r="V750" s="352"/>
      <c r="W750" s="353"/>
    </row>
    <row r="751" spans="21:23" ht="19.95" customHeight="1">
      <c r="U751" s="351"/>
      <c r="V751" s="352"/>
      <c r="W751" s="353"/>
    </row>
    <row r="752" spans="21:23" ht="19.95" customHeight="1">
      <c r="U752" s="351"/>
      <c r="V752" s="352"/>
      <c r="W752" s="353"/>
    </row>
    <row r="753" spans="21:23" ht="19.95" customHeight="1">
      <c r="U753" s="351"/>
      <c r="V753" s="352"/>
      <c r="W753" s="353"/>
    </row>
    <row r="754" spans="21:23" ht="19.95" customHeight="1">
      <c r="U754" s="351"/>
      <c r="V754" s="352"/>
      <c r="W754" s="353"/>
    </row>
    <row r="755" spans="21:23" ht="19.95" customHeight="1">
      <c r="U755" s="351"/>
      <c r="V755" s="352"/>
      <c r="W755" s="353"/>
    </row>
    <row r="756" spans="21:23" ht="19.95" customHeight="1">
      <c r="U756" s="351"/>
      <c r="V756" s="352"/>
      <c r="W756" s="353"/>
    </row>
    <row r="757" spans="21:23" ht="19.95" customHeight="1">
      <c r="U757" s="351"/>
      <c r="V757" s="352"/>
      <c r="W757" s="353"/>
    </row>
    <row r="758" spans="21:23" ht="19.95" customHeight="1">
      <c r="U758" s="351"/>
      <c r="V758" s="352"/>
      <c r="W758" s="353"/>
    </row>
    <row r="759" spans="21:23" ht="19.95" customHeight="1">
      <c r="U759" s="351"/>
      <c r="V759" s="352"/>
      <c r="W759" s="353"/>
    </row>
    <row r="760" spans="21:23" ht="19.95" customHeight="1">
      <c r="U760" s="351"/>
      <c r="V760" s="352"/>
      <c r="W760" s="353"/>
    </row>
    <row r="761" spans="21:23" ht="19.95" customHeight="1">
      <c r="U761" s="351"/>
      <c r="V761" s="352"/>
      <c r="W761" s="353"/>
    </row>
    <row r="762" spans="21:23" ht="19.95" customHeight="1">
      <c r="U762" s="351"/>
      <c r="V762" s="352"/>
      <c r="W762" s="353"/>
    </row>
    <row r="763" spans="21:23" ht="19.95" customHeight="1">
      <c r="U763" s="351"/>
      <c r="V763" s="352"/>
      <c r="W763" s="353"/>
    </row>
    <row r="764" spans="21:23" ht="19.95" customHeight="1">
      <c r="U764" s="351"/>
      <c r="V764" s="352"/>
      <c r="W764" s="353"/>
    </row>
    <row r="765" spans="21:23" ht="19.95" customHeight="1">
      <c r="U765" s="351"/>
      <c r="V765" s="352"/>
      <c r="W765" s="353"/>
    </row>
    <row r="766" spans="21:23" ht="19.95" customHeight="1">
      <c r="U766" s="351"/>
      <c r="V766" s="352"/>
      <c r="W766" s="353"/>
    </row>
    <row r="767" spans="21:23" ht="19.95" customHeight="1">
      <c r="U767" s="351"/>
      <c r="V767" s="352"/>
      <c r="W767" s="353"/>
    </row>
    <row r="768" spans="21:23" ht="19.95" customHeight="1">
      <c r="U768" s="351"/>
      <c r="V768" s="352"/>
      <c r="W768" s="353"/>
    </row>
    <row r="769" spans="21:23" ht="19.95" customHeight="1">
      <c r="U769" s="351"/>
      <c r="V769" s="352"/>
      <c r="W769" s="353"/>
    </row>
    <row r="770" spans="21:23" ht="19.95" customHeight="1">
      <c r="U770" s="351"/>
      <c r="V770" s="352"/>
      <c r="W770" s="353"/>
    </row>
    <row r="771" spans="21:23" ht="19.95" customHeight="1">
      <c r="U771" s="351"/>
      <c r="V771" s="352"/>
      <c r="W771" s="353"/>
    </row>
    <row r="772" spans="21:23" ht="19.95" customHeight="1">
      <c r="U772" s="351"/>
      <c r="V772" s="352"/>
      <c r="W772" s="353"/>
    </row>
    <row r="773" spans="21:23" ht="19.95" customHeight="1">
      <c r="U773" s="351"/>
      <c r="V773" s="352"/>
      <c r="W773" s="353"/>
    </row>
    <row r="774" spans="21:23" ht="19.95" customHeight="1">
      <c r="U774" s="351"/>
      <c r="V774" s="352"/>
      <c r="W774" s="353"/>
    </row>
    <row r="775" spans="21:23" ht="19.95" customHeight="1">
      <c r="U775" s="351"/>
      <c r="V775" s="352"/>
      <c r="W775" s="353"/>
    </row>
    <row r="776" spans="21:23" ht="19.95" customHeight="1">
      <c r="U776" s="351"/>
      <c r="V776" s="352"/>
      <c r="W776" s="353"/>
    </row>
    <row r="777" spans="21:23" ht="19.95" customHeight="1">
      <c r="U777" s="351"/>
      <c r="V777" s="352"/>
      <c r="W777" s="353"/>
    </row>
    <row r="778" spans="21:23" ht="19.95" customHeight="1">
      <c r="U778" s="351"/>
      <c r="V778" s="352"/>
      <c r="W778" s="353"/>
    </row>
    <row r="779" spans="21:23" ht="19.95" customHeight="1">
      <c r="U779" s="351"/>
      <c r="V779" s="352"/>
      <c r="W779" s="353"/>
    </row>
    <row r="780" spans="21:23" ht="19.95" customHeight="1">
      <c r="U780" s="351"/>
      <c r="V780" s="352"/>
      <c r="W780" s="353"/>
    </row>
    <row r="781" spans="21:23" ht="19.95" customHeight="1">
      <c r="U781" s="351"/>
      <c r="V781" s="352"/>
      <c r="W781" s="353"/>
    </row>
    <row r="782" spans="21:23" ht="19.95" customHeight="1">
      <c r="U782" s="351"/>
      <c r="V782" s="352"/>
      <c r="W782" s="353"/>
    </row>
    <row r="783" spans="21:23" ht="19.95" customHeight="1">
      <c r="U783" s="351"/>
      <c r="V783" s="352"/>
      <c r="W783" s="353"/>
    </row>
    <row r="784" spans="21:23" ht="19.95" customHeight="1">
      <c r="U784" s="351"/>
      <c r="V784" s="352"/>
      <c r="W784" s="353"/>
    </row>
    <row r="785" spans="21:23" ht="19.95" customHeight="1">
      <c r="U785" s="351"/>
      <c r="V785" s="352"/>
      <c r="W785" s="353"/>
    </row>
    <row r="786" spans="21:23" ht="19.95" customHeight="1">
      <c r="U786" s="351"/>
      <c r="V786" s="352"/>
      <c r="W786" s="353"/>
    </row>
    <row r="787" spans="21:23" ht="19.95" customHeight="1">
      <c r="U787" s="351"/>
      <c r="V787" s="352"/>
      <c r="W787" s="353"/>
    </row>
    <row r="788" spans="21:23" ht="19.95" customHeight="1">
      <c r="U788" s="351"/>
      <c r="V788" s="352"/>
      <c r="W788" s="353"/>
    </row>
    <row r="789" spans="21:23" ht="19.95" customHeight="1">
      <c r="U789" s="351"/>
      <c r="V789" s="352"/>
      <c r="W789" s="353"/>
    </row>
    <row r="790" spans="21:23" ht="19.95" customHeight="1">
      <c r="U790" s="351"/>
      <c r="V790" s="352"/>
      <c r="W790" s="353"/>
    </row>
    <row r="791" spans="21:23" ht="19.95" customHeight="1">
      <c r="U791" s="351"/>
      <c r="V791" s="352"/>
      <c r="W791" s="353"/>
    </row>
    <row r="792" spans="21:23" ht="19.95" customHeight="1">
      <c r="U792" s="351"/>
      <c r="V792" s="352"/>
      <c r="W792" s="353"/>
    </row>
    <row r="793" spans="21:23" ht="19.95" customHeight="1">
      <c r="U793" s="351"/>
      <c r="V793" s="352"/>
      <c r="W793" s="353"/>
    </row>
    <row r="794" spans="21:23" ht="19.95" customHeight="1">
      <c r="U794" s="351"/>
      <c r="V794" s="352"/>
      <c r="W794" s="353"/>
    </row>
    <row r="795" spans="21:23" ht="19.95" customHeight="1">
      <c r="U795" s="351"/>
      <c r="V795" s="352"/>
      <c r="W795" s="353"/>
    </row>
    <row r="796" spans="21:23" ht="19.95" customHeight="1">
      <c r="U796" s="351"/>
      <c r="V796" s="352"/>
      <c r="W796" s="353"/>
    </row>
    <row r="797" spans="21:23" ht="19.95" customHeight="1">
      <c r="U797" s="351"/>
      <c r="V797" s="352"/>
      <c r="W797" s="353"/>
    </row>
    <row r="798" spans="21:23" ht="19.95" customHeight="1">
      <c r="U798" s="351"/>
      <c r="V798" s="352"/>
      <c r="W798" s="353"/>
    </row>
    <row r="799" spans="21:23" ht="19.95" customHeight="1">
      <c r="U799" s="351"/>
      <c r="V799" s="352"/>
      <c r="W799" s="353"/>
    </row>
    <row r="800" spans="21:23" ht="19.95" customHeight="1">
      <c r="U800" s="351"/>
      <c r="V800" s="352"/>
      <c r="W800" s="353"/>
    </row>
    <row r="801" spans="21:23" ht="19.95" customHeight="1">
      <c r="U801" s="351"/>
      <c r="V801" s="352"/>
      <c r="W801" s="353"/>
    </row>
    <row r="802" spans="21:23" ht="19.95" customHeight="1">
      <c r="U802" s="351"/>
      <c r="V802" s="352"/>
      <c r="W802" s="353"/>
    </row>
    <row r="803" spans="21:23" ht="19.95" customHeight="1">
      <c r="U803" s="351"/>
      <c r="V803" s="352"/>
      <c r="W803" s="353"/>
    </row>
    <row r="804" spans="21:23" ht="19.95" customHeight="1">
      <c r="U804" s="351"/>
      <c r="V804" s="352"/>
      <c r="W804" s="353"/>
    </row>
    <row r="805" spans="21:23" ht="19.95" customHeight="1">
      <c r="U805" s="351"/>
      <c r="V805" s="352"/>
      <c r="W805" s="353"/>
    </row>
    <row r="806" spans="21:23" ht="19.95" customHeight="1">
      <c r="U806" s="351"/>
      <c r="V806" s="352"/>
      <c r="W806" s="353"/>
    </row>
    <row r="807" spans="21:23" ht="19.95" customHeight="1">
      <c r="U807" s="351"/>
      <c r="V807" s="352"/>
      <c r="W807" s="353"/>
    </row>
    <row r="808" spans="21:23" ht="19.95" customHeight="1">
      <c r="U808" s="351"/>
      <c r="V808" s="352"/>
      <c r="W808" s="353"/>
    </row>
    <row r="809" spans="21:23" ht="19.95" customHeight="1">
      <c r="U809" s="351"/>
      <c r="V809" s="352"/>
      <c r="W809" s="353"/>
    </row>
    <row r="810" spans="21:23" ht="19.95" customHeight="1">
      <c r="U810" s="351"/>
      <c r="V810" s="352"/>
      <c r="W810" s="353"/>
    </row>
    <row r="811" spans="21:23" ht="19.95" customHeight="1">
      <c r="U811" s="351"/>
      <c r="V811" s="352"/>
      <c r="W811" s="353"/>
    </row>
    <row r="812" spans="21:23" ht="19.95" customHeight="1">
      <c r="U812" s="351"/>
      <c r="V812" s="352"/>
      <c r="W812" s="353"/>
    </row>
    <row r="813" spans="21:23" ht="19.95" customHeight="1">
      <c r="U813" s="351"/>
      <c r="V813" s="352"/>
      <c r="W813" s="353"/>
    </row>
    <row r="814" spans="21:23" ht="19.95" customHeight="1">
      <c r="U814" s="351"/>
      <c r="V814" s="352"/>
      <c r="W814" s="353"/>
    </row>
    <row r="815" spans="21:23" ht="19.95" customHeight="1">
      <c r="U815" s="351"/>
      <c r="V815" s="352"/>
      <c r="W815" s="353"/>
    </row>
    <row r="816" spans="21:23" ht="19.95" customHeight="1">
      <c r="U816" s="351"/>
      <c r="V816" s="352"/>
      <c r="W816" s="353"/>
    </row>
    <row r="817" spans="21:23" ht="19.95" customHeight="1">
      <c r="U817" s="351"/>
      <c r="V817" s="352"/>
      <c r="W817" s="353"/>
    </row>
    <row r="818" spans="21:23" ht="19.95" customHeight="1">
      <c r="U818" s="351"/>
      <c r="V818" s="352"/>
      <c r="W818" s="353"/>
    </row>
    <row r="819" spans="21:23" ht="19.95" customHeight="1">
      <c r="U819" s="351"/>
      <c r="V819" s="352"/>
      <c r="W819" s="353"/>
    </row>
    <row r="820" spans="21:23" ht="19.95" customHeight="1">
      <c r="U820" s="351"/>
      <c r="V820" s="352"/>
      <c r="W820" s="353"/>
    </row>
    <row r="821" spans="21:23" ht="19.95" customHeight="1">
      <c r="U821" s="351"/>
      <c r="V821" s="352"/>
      <c r="W821" s="353"/>
    </row>
    <row r="822" spans="21:23" ht="19.95" customHeight="1">
      <c r="U822" s="351"/>
      <c r="V822" s="352"/>
      <c r="W822" s="353"/>
    </row>
    <row r="823" spans="21:23" ht="19.95" customHeight="1">
      <c r="U823" s="351"/>
      <c r="V823" s="352"/>
      <c r="W823" s="353"/>
    </row>
    <row r="824" spans="21:23" ht="19.95" customHeight="1">
      <c r="U824" s="351"/>
      <c r="V824" s="352"/>
      <c r="W824" s="353"/>
    </row>
    <row r="825" spans="21:23" ht="19.95" customHeight="1">
      <c r="U825" s="356"/>
      <c r="V825" s="357"/>
      <c r="W825" s="358"/>
    </row>
    <row r="826" spans="21:23" ht="19.95" customHeight="1">
      <c r="U826" s="356"/>
      <c r="V826" s="357"/>
      <c r="W826" s="358"/>
    </row>
    <row r="827" spans="21:23" ht="19.95" customHeight="1">
      <c r="U827" s="356"/>
      <c r="V827" s="357"/>
      <c r="W827" s="358"/>
    </row>
    <row r="832" spans="21:23" ht="19.95" customHeight="1">
      <c r="U832" s="322"/>
      <c r="V832" s="310"/>
      <c r="W832" s="323"/>
    </row>
    <row r="835" spans="21:23" ht="19.95" customHeight="1">
      <c r="U835" s="359"/>
      <c r="V835" s="360"/>
      <c r="W835" s="361"/>
    </row>
    <row r="836" spans="21:23" ht="19.95" customHeight="1">
      <c r="U836" s="359"/>
      <c r="V836" s="360"/>
      <c r="W836" s="361"/>
    </row>
    <row r="837" spans="21:23" ht="19.95" customHeight="1">
      <c r="U837" s="362"/>
      <c r="V837" s="363"/>
      <c r="W837" s="364"/>
    </row>
    <row r="1267" ht="19.95" hidden="1" customHeight="1"/>
    <row r="1268" ht="19.95" hidden="1" customHeight="1"/>
    <row r="1269" ht="19.95" hidden="1" customHeight="1"/>
    <row r="1270" ht="19.95" hidden="1" customHeight="1"/>
    <row r="1271" ht="19.95" hidden="1" customHeight="1"/>
    <row r="1272" ht="19.95" hidden="1" customHeight="1"/>
  </sheetData>
  <sheetProtection formatCells="0" formatColumns="0" formatRows="0" insertRows="0" insertHyperlinks="0" deleteRows="0"/>
  <mergeCells count="5">
    <mergeCell ref="D205:F205"/>
    <mergeCell ref="D206:F206"/>
    <mergeCell ref="D221:F221"/>
    <mergeCell ref="D222:F222"/>
    <mergeCell ref="D223:F223"/>
  </mergeCells>
  <printOptions horizontalCentered="1"/>
  <pageMargins left="0.69930555555555596" right="0.69930555555555596" top="0.69930555555555596" bottom="0.75" header="0.3" footer="0.3"/>
  <pageSetup paperSize="8" scale="31" fitToHeight="0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Pict="0" macro="[2]!Button4_Click">
                <anchor moveWithCells="1" sizeWithCells="1">
                  <from>
                    <xdr:col>26</xdr:col>
                    <xdr:colOff>365760</xdr:colOff>
                    <xdr:row>2</xdr:row>
                    <xdr:rowOff>152400</xdr:rowOff>
                  </from>
                  <to>
                    <xdr:col>27</xdr:col>
                    <xdr:colOff>670560</xdr:colOff>
                    <xdr:row>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Pict="0" macro="[2]!Button4_Click">
                <anchor moveWithCells="1" sizeWithCells="1">
                  <from>
                    <xdr:col>26</xdr:col>
                    <xdr:colOff>365760</xdr:colOff>
                    <xdr:row>2</xdr:row>
                    <xdr:rowOff>152400</xdr:rowOff>
                  </from>
                  <to>
                    <xdr:col>27</xdr:col>
                    <xdr:colOff>670560</xdr:colOff>
                    <xdr:row>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Button 7">
              <controlPr defaultSize="0" print="0" autoPict="0">
                <anchor moveWithCells="1" sizeWithCells="1">
                  <from>
                    <xdr:col>26</xdr:col>
                    <xdr:colOff>365760</xdr:colOff>
                    <xdr:row>2</xdr:row>
                    <xdr:rowOff>152400</xdr:rowOff>
                  </from>
                  <to>
                    <xdr:col>27</xdr:col>
                    <xdr:colOff>670560</xdr:colOff>
                    <xdr:row>3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2:J95"/>
  <sheetViews>
    <sheetView view="pageBreakPreview" zoomScale="70" zoomScaleNormal="70" workbookViewId="0">
      <pane xSplit="5" ySplit="10" topLeftCell="F64" activePane="bottomRight" state="frozen"/>
      <selection pane="topRight"/>
      <selection pane="bottomLeft"/>
      <selection pane="bottomRight" activeCell="L59" sqref="L59"/>
    </sheetView>
  </sheetViews>
  <sheetFormatPr defaultColWidth="8.6640625" defaultRowHeight="14.4" outlineLevelRow="1" outlineLevelCol="1"/>
  <cols>
    <col min="1" max="1" width="14" style="8" customWidth="1" outlineLevel="1"/>
    <col min="2" max="2" width="5.6640625" style="8" customWidth="1" outlineLevel="1"/>
    <col min="3" max="3" width="9.21875" style="8" customWidth="1" outlineLevel="1"/>
    <col min="4" max="4" width="43" style="8" customWidth="1" outlineLevel="1"/>
    <col min="5" max="5" width="9.77734375" style="8" customWidth="1"/>
    <col min="6" max="7" width="22" style="8" customWidth="1"/>
    <col min="8" max="9" width="19.77734375" style="8" customWidth="1"/>
    <col min="10" max="10" width="14" style="8" customWidth="1"/>
    <col min="11" max="16384" width="8.6640625" style="8"/>
  </cols>
  <sheetData>
    <row r="2" spans="1:10" s="1" customFormat="1" ht="25.2" customHeight="1">
      <c r="F2" s="9"/>
      <c r="J2" s="9"/>
    </row>
    <row r="3" spans="1:10" s="2" customFormat="1" ht="23.4">
      <c r="A3" s="10"/>
      <c r="B3" s="11"/>
      <c r="C3" s="11"/>
      <c r="D3" s="10" t="s">
        <v>665</v>
      </c>
      <c r="E3" s="11"/>
      <c r="F3" s="12"/>
      <c r="G3" s="12" t="s">
        <v>666</v>
      </c>
      <c r="H3" s="12"/>
      <c r="I3" s="12"/>
      <c r="J3" s="12"/>
    </row>
    <row r="4" spans="1:10" s="3" customFormat="1" ht="13.2" customHeight="1">
      <c r="A4" s="13"/>
      <c r="B4" s="13"/>
      <c r="C4" s="13"/>
      <c r="D4" s="13"/>
      <c r="E4" s="13"/>
      <c r="F4" s="14" t="s">
        <v>667</v>
      </c>
      <c r="G4" s="15"/>
      <c r="H4" s="15"/>
      <c r="I4" s="15"/>
      <c r="J4" s="15"/>
    </row>
    <row r="5" spans="1:10" s="4" customFormat="1" ht="19.95" customHeight="1" outlineLevel="1">
      <c r="A5" s="16" t="s">
        <v>668</v>
      </c>
      <c r="B5" s="17" t="s">
        <v>669</v>
      </c>
      <c r="C5" s="17" t="s">
        <v>3</v>
      </c>
      <c r="D5" s="17"/>
      <c r="E5" s="17"/>
      <c r="F5" s="18"/>
      <c r="G5" s="18"/>
      <c r="H5" s="19" t="s">
        <v>4</v>
      </c>
      <c r="I5" s="20">
        <f>74566.4/I7</f>
        <v>18641.599999999999</v>
      </c>
      <c r="J5" s="18"/>
    </row>
    <row r="6" spans="1:10" s="4" customFormat="1" ht="19.95" customHeight="1" outlineLevel="1">
      <c r="A6" s="16" t="s">
        <v>670</v>
      </c>
      <c r="B6" s="17" t="s">
        <v>669</v>
      </c>
      <c r="C6" s="17" t="s">
        <v>8</v>
      </c>
      <c r="D6" s="21"/>
      <c r="E6" s="21"/>
      <c r="F6" s="22"/>
      <c r="G6" s="22"/>
      <c r="H6" s="19" t="s">
        <v>671</v>
      </c>
      <c r="I6" s="20">
        <f>2040/I7</f>
        <v>510</v>
      </c>
      <c r="J6" s="22"/>
    </row>
    <row r="7" spans="1:10" s="4" customFormat="1" ht="19.95" customHeight="1" outlineLevel="1">
      <c r="A7" s="16" t="s">
        <v>672</v>
      </c>
      <c r="B7" s="17" t="s">
        <v>669</v>
      </c>
      <c r="C7" s="17" t="s">
        <v>13</v>
      </c>
      <c r="D7" s="17"/>
      <c r="E7" s="17"/>
      <c r="F7" s="23"/>
      <c r="G7" s="23"/>
      <c r="H7" s="19" t="s">
        <v>673</v>
      </c>
      <c r="I7" s="20">
        <v>4</v>
      </c>
      <c r="J7" s="23"/>
    </row>
    <row r="8" spans="1:10" s="4" customFormat="1" ht="19.95" customHeight="1" outlineLevel="1">
      <c r="A8" s="17"/>
      <c r="B8" s="17"/>
      <c r="C8" s="17"/>
      <c r="D8" s="17"/>
      <c r="E8" s="17"/>
      <c r="F8" s="24"/>
      <c r="G8" s="24"/>
      <c r="H8" s="19" t="s">
        <v>674</v>
      </c>
      <c r="I8" s="24">
        <v>19792</v>
      </c>
      <c r="J8" s="24"/>
    </row>
    <row r="9" spans="1:10" s="4" customFormat="1" ht="19.95" customHeight="1" outlineLevel="1">
      <c r="A9" s="25"/>
      <c r="B9" s="25"/>
      <c r="C9" s="25"/>
      <c r="D9" s="25"/>
      <c r="E9" s="25"/>
      <c r="F9" s="26"/>
      <c r="G9" s="26"/>
      <c r="H9" s="26"/>
      <c r="I9" s="26"/>
      <c r="J9" s="26"/>
    </row>
    <row r="10" spans="1:10" s="5" customFormat="1" ht="43.2" customHeight="1">
      <c r="A10" s="27" t="s">
        <v>675</v>
      </c>
      <c r="B10" s="28"/>
      <c r="C10" s="29"/>
      <c r="D10" s="29" t="s">
        <v>676</v>
      </c>
      <c r="E10" s="29"/>
      <c r="F10" s="30" t="s">
        <v>677</v>
      </c>
      <c r="G10" s="30" t="s">
        <v>678</v>
      </c>
      <c r="H10" s="31" t="s">
        <v>679</v>
      </c>
      <c r="I10" s="30" t="s">
        <v>680</v>
      </c>
      <c r="J10" s="32" t="s">
        <v>681</v>
      </c>
    </row>
    <row r="11" spans="1:10" s="1" customFormat="1" ht="30" customHeight="1">
      <c r="A11" s="33">
        <v>1</v>
      </c>
      <c r="B11" s="34" t="s">
        <v>41</v>
      </c>
      <c r="C11" s="35"/>
      <c r="D11" s="35"/>
      <c r="E11" s="35"/>
      <c r="F11" s="36">
        <f>SUBTOTAL(9,F12:F28)</f>
        <v>69332627.831328094</v>
      </c>
      <c r="G11" s="36">
        <f>SUBTOTAL(9,G12:G28)</f>
        <v>277330511.32531202</v>
      </c>
      <c r="H11" s="36">
        <f>SUBTOTAL(9,H12:H28)</f>
        <v>3719.2423306651799</v>
      </c>
      <c r="I11" s="36">
        <f>SUBTOTAL(9,I12:I28)</f>
        <v>135946.32908103499</v>
      </c>
      <c r="J11" s="37">
        <f>SUBTOTAL(9,J12:J28)</f>
        <v>0.136729464397956</v>
      </c>
    </row>
    <row r="12" spans="1:10" s="1" customFormat="1" ht="30" customHeight="1" outlineLevel="1">
      <c r="A12" s="38"/>
      <c r="B12" s="39"/>
      <c r="C12" s="40" t="s">
        <v>42</v>
      </c>
      <c r="D12" s="35"/>
      <c r="E12" s="35"/>
      <c r="F12" s="41">
        <v>322210.07796657202</v>
      </c>
      <c r="G12" s="41">
        <f t="shared" ref="G12:G28" si="0">F12*$I$7</f>
        <v>1288840.3118662899</v>
      </c>
      <c r="H12" s="41">
        <f t="shared" ref="H12:H28" si="1">F12/$I$5</f>
        <v>17.2844647437222</v>
      </c>
      <c r="I12" s="41">
        <f t="shared" ref="I12:I28" si="2">F12/$I$6</f>
        <v>631.78446660112195</v>
      </c>
      <c r="J12" s="42">
        <f t="shared" ref="J12:J28" si="3">F12/$F$59</f>
        <v>6.3542393764694997E-4</v>
      </c>
    </row>
    <row r="13" spans="1:10" s="1" customFormat="1" ht="30" customHeight="1" outlineLevel="1">
      <c r="A13" s="38"/>
      <c r="B13" s="39"/>
      <c r="C13" s="40" t="s">
        <v>46</v>
      </c>
      <c r="D13" s="35"/>
      <c r="E13" s="35"/>
      <c r="F13" s="41">
        <v>5979922.72153264</v>
      </c>
      <c r="G13" s="41">
        <f t="shared" si="0"/>
        <v>23919690.886130601</v>
      </c>
      <c r="H13" s="41">
        <f t="shared" si="1"/>
        <v>320.78376971572402</v>
      </c>
      <c r="I13" s="41">
        <f t="shared" si="2"/>
        <v>11725.338669671801</v>
      </c>
      <c r="J13" s="42">
        <f t="shared" si="3"/>
        <v>1.17928839051861E-2</v>
      </c>
    </row>
    <row r="14" spans="1:10" s="1" customFormat="1" ht="30" customHeight="1" outlineLevel="1">
      <c r="A14" s="38"/>
      <c r="B14" s="39"/>
      <c r="C14" s="40" t="s">
        <v>51</v>
      </c>
      <c r="D14" s="35"/>
      <c r="E14" s="35"/>
      <c r="F14" s="41">
        <v>1433129.6324587599</v>
      </c>
      <c r="G14" s="41">
        <f t="shared" si="0"/>
        <v>5732518.5298350397</v>
      </c>
      <c r="H14" s="41">
        <f t="shared" si="1"/>
        <v>76.878037961267296</v>
      </c>
      <c r="I14" s="41">
        <f t="shared" si="2"/>
        <v>2810.0581028603101</v>
      </c>
      <c r="J14" s="42">
        <f t="shared" si="3"/>
        <v>2.8262457833797099E-3</v>
      </c>
    </row>
    <row r="15" spans="1:10" s="1" customFormat="1" ht="30" customHeight="1" outlineLevel="1">
      <c r="A15" s="38"/>
      <c r="B15" s="39"/>
      <c r="C15" s="40" t="s">
        <v>55</v>
      </c>
      <c r="D15" s="35"/>
      <c r="E15" s="35"/>
      <c r="F15" s="41">
        <v>992040.92381155002</v>
      </c>
      <c r="G15" s="41">
        <f t="shared" si="0"/>
        <v>3968163.6952462001</v>
      </c>
      <c r="H15" s="41">
        <f t="shared" si="1"/>
        <v>53.216511662708697</v>
      </c>
      <c r="I15" s="41">
        <f t="shared" si="2"/>
        <v>1945.17828198343</v>
      </c>
      <c r="J15" s="42">
        <f t="shared" si="3"/>
        <v>1.9563837173977201E-3</v>
      </c>
    </row>
    <row r="16" spans="1:10" s="1" customFormat="1" ht="30" customHeight="1" outlineLevel="1">
      <c r="A16" s="38"/>
      <c r="B16" s="39"/>
      <c r="C16" s="40" t="s">
        <v>60</v>
      </c>
      <c r="D16" s="35"/>
      <c r="E16" s="35"/>
      <c r="F16" s="41">
        <v>14049179.7680708</v>
      </c>
      <c r="G16" s="41">
        <f t="shared" si="0"/>
        <v>56196719.072283201</v>
      </c>
      <c r="H16" s="41">
        <f t="shared" si="1"/>
        <v>753.64667024669598</v>
      </c>
      <c r="I16" s="41">
        <f t="shared" si="2"/>
        <v>27547.411309942701</v>
      </c>
      <c r="J16" s="42">
        <f t="shared" si="3"/>
        <v>2.7706101513881198E-2</v>
      </c>
    </row>
    <row r="17" spans="1:10" s="1" customFormat="1" ht="30" customHeight="1" outlineLevel="1">
      <c r="A17" s="38"/>
      <c r="B17" s="39"/>
      <c r="C17" s="40" t="s">
        <v>62</v>
      </c>
      <c r="D17" s="35"/>
      <c r="E17" s="35"/>
      <c r="F17" s="41">
        <v>2732920.4122856101</v>
      </c>
      <c r="G17" s="41">
        <f t="shared" si="0"/>
        <v>10931681.649142399</v>
      </c>
      <c r="H17" s="41">
        <f t="shared" si="1"/>
        <v>146.60331797086101</v>
      </c>
      <c r="I17" s="41">
        <f t="shared" si="2"/>
        <v>5358.6674750698203</v>
      </c>
      <c r="J17" s="42">
        <f t="shared" si="3"/>
        <v>5.3895367289858902E-3</v>
      </c>
    </row>
    <row r="18" spans="1:10" s="1" customFormat="1" ht="30" customHeight="1" outlineLevel="1">
      <c r="A18" s="38"/>
      <c r="B18" s="39"/>
      <c r="C18" s="40" t="s">
        <v>65</v>
      </c>
      <c r="D18" s="35"/>
      <c r="E18" s="35"/>
      <c r="F18" s="41">
        <v>2094433.2063148399</v>
      </c>
      <c r="G18" s="41">
        <f t="shared" si="0"/>
        <v>8377732.8252593502</v>
      </c>
      <c r="H18" s="41">
        <f t="shared" si="1"/>
        <v>112.35265247161399</v>
      </c>
      <c r="I18" s="41">
        <f t="shared" si="2"/>
        <v>4106.7317770879199</v>
      </c>
      <c r="J18" s="42">
        <f t="shared" si="3"/>
        <v>4.1303891035747598E-3</v>
      </c>
    </row>
    <row r="19" spans="1:10" s="1" customFormat="1" ht="30" customHeight="1" outlineLevel="1">
      <c r="A19" s="38"/>
      <c r="B19" s="39"/>
      <c r="C19" s="40" t="s">
        <v>70</v>
      </c>
      <c r="D19" s="35"/>
      <c r="E19" s="35"/>
      <c r="F19" s="41">
        <v>2105221.9366251798</v>
      </c>
      <c r="G19" s="41">
        <f t="shared" si="0"/>
        <v>8420887.7465007193</v>
      </c>
      <c r="H19" s="41">
        <f t="shared" si="1"/>
        <v>112.93139733848901</v>
      </c>
      <c r="I19" s="41">
        <f t="shared" si="2"/>
        <v>4127.8861502454502</v>
      </c>
      <c r="J19" s="42">
        <f t="shared" si="3"/>
        <v>4.1516653390645704E-3</v>
      </c>
    </row>
    <row r="20" spans="1:10" s="1" customFormat="1" ht="30" customHeight="1" outlineLevel="1">
      <c r="A20" s="38"/>
      <c r="B20" s="39"/>
      <c r="C20" s="40" t="s">
        <v>72</v>
      </c>
      <c r="D20" s="35"/>
      <c r="E20" s="35"/>
      <c r="F20" s="41">
        <v>942781.12548869697</v>
      </c>
      <c r="G20" s="41">
        <f t="shared" si="0"/>
        <v>3771124.5019547902</v>
      </c>
      <c r="H20" s="41">
        <f t="shared" si="1"/>
        <v>50.574045440772103</v>
      </c>
      <c r="I20" s="41">
        <f t="shared" si="2"/>
        <v>1848.5904421347</v>
      </c>
      <c r="J20" s="42">
        <f t="shared" si="3"/>
        <v>1.8592394715828901E-3</v>
      </c>
    </row>
    <row r="21" spans="1:10" s="1" customFormat="1" ht="30" customHeight="1" outlineLevel="1">
      <c r="A21" s="38"/>
      <c r="B21" s="39"/>
      <c r="C21" s="40" t="s">
        <v>77</v>
      </c>
      <c r="D21" s="35"/>
      <c r="E21" s="35"/>
      <c r="F21" s="41">
        <v>20635756.089975901</v>
      </c>
      <c r="G21" s="41">
        <f t="shared" si="0"/>
        <v>82543024.359903604</v>
      </c>
      <c r="H21" s="41">
        <f t="shared" si="1"/>
        <v>1106.97344058321</v>
      </c>
      <c r="I21" s="41">
        <f t="shared" si="2"/>
        <v>40462.266843090001</v>
      </c>
      <c r="J21" s="42">
        <f t="shared" si="3"/>
        <v>4.0695354638705203E-2</v>
      </c>
    </row>
    <row r="22" spans="1:10" s="1" customFormat="1" ht="30" customHeight="1" outlineLevel="1">
      <c r="A22" s="38"/>
      <c r="B22" s="39"/>
      <c r="C22" s="40" t="s">
        <v>85</v>
      </c>
      <c r="D22" s="35"/>
      <c r="E22" s="35"/>
      <c r="F22" s="41">
        <v>1653498.75</v>
      </c>
      <c r="G22" s="41">
        <f t="shared" si="0"/>
        <v>6613995</v>
      </c>
      <c r="H22" s="41">
        <f t="shared" si="1"/>
        <v>88.699400802506204</v>
      </c>
      <c r="I22" s="41">
        <f t="shared" si="2"/>
        <v>3242.1544117647099</v>
      </c>
      <c r="J22" s="42">
        <f t="shared" si="3"/>
        <v>3.26083123547834E-3</v>
      </c>
    </row>
    <row r="23" spans="1:10" s="1" customFormat="1" ht="30" customHeight="1" outlineLevel="1">
      <c r="A23" s="38"/>
      <c r="B23" s="39"/>
      <c r="C23" s="40" t="s">
        <v>88</v>
      </c>
      <c r="D23" s="35"/>
      <c r="E23" s="35"/>
      <c r="F23" s="41">
        <v>6006761.0309308404</v>
      </c>
      <c r="G23" s="41">
        <f t="shared" si="0"/>
        <v>24027044.123723399</v>
      </c>
      <c r="H23" s="41">
        <f t="shared" si="1"/>
        <v>322.22346960190299</v>
      </c>
      <c r="I23" s="41">
        <f t="shared" si="2"/>
        <v>11777.9628057467</v>
      </c>
      <c r="J23" s="42">
        <f t="shared" si="3"/>
        <v>1.18458111889793E-2</v>
      </c>
    </row>
    <row r="24" spans="1:10" s="1" customFormat="1" ht="30" customHeight="1" outlineLevel="1">
      <c r="A24" s="38"/>
      <c r="B24" s="39"/>
      <c r="C24" s="40" t="s">
        <v>91</v>
      </c>
      <c r="D24" s="35"/>
      <c r="E24" s="35"/>
      <c r="F24" s="41">
        <v>7288833.6767654903</v>
      </c>
      <c r="G24" s="41">
        <f t="shared" si="0"/>
        <v>29155334.707061999</v>
      </c>
      <c r="H24" s="41">
        <f t="shared" si="1"/>
        <v>390.99828752711602</v>
      </c>
      <c r="I24" s="41">
        <f t="shared" si="2"/>
        <v>14291.8307387559</v>
      </c>
      <c r="J24" s="42">
        <f t="shared" si="3"/>
        <v>1.4374160563110999E-2</v>
      </c>
    </row>
    <row r="25" spans="1:10" s="1" customFormat="1" ht="30" customHeight="1" outlineLevel="1">
      <c r="A25" s="38"/>
      <c r="B25" s="39"/>
      <c r="C25" s="40" t="s">
        <v>92</v>
      </c>
      <c r="D25" s="35"/>
      <c r="E25" s="35"/>
      <c r="F25" s="41">
        <v>2504104.0458664</v>
      </c>
      <c r="G25" s="41">
        <f t="shared" si="0"/>
        <v>10016416.1834656</v>
      </c>
      <c r="H25" s="41">
        <f t="shared" si="1"/>
        <v>134.32881543785899</v>
      </c>
      <c r="I25" s="41">
        <f t="shared" si="2"/>
        <v>4910.0079330713697</v>
      </c>
      <c r="J25" s="42">
        <f t="shared" si="3"/>
        <v>4.9382926292800902E-3</v>
      </c>
    </row>
    <row r="26" spans="1:10" s="1" customFormat="1" ht="30" customHeight="1" outlineLevel="1">
      <c r="A26" s="38"/>
      <c r="B26" s="39"/>
      <c r="C26" s="40" t="s">
        <v>101</v>
      </c>
      <c r="D26" s="35"/>
      <c r="E26" s="35"/>
      <c r="F26" s="41">
        <v>106626.026009783</v>
      </c>
      <c r="G26" s="41">
        <f t="shared" si="0"/>
        <v>426504.10403913102</v>
      </c>
      <c r="H26" s="41">
        <f t="shared" si="1"/>
        <v>5.7197893962848196</v>
      </c>
      <c r="I26" s="41">
        <f t="shared" si="2"/>
        <v>209.07063923486899</v>
      </c>
      <c r="J26" s="42">
        <f t="shared" si="3"/>
        <v>2.1027501600931101E-4</v>
      </c>
    </row>
    <row r="27" spans="1:10" s="1" customFormat="1" ht="30" customHeight="1" outlineLevel="1">
      <c r="A27" s="38"/>
      <c r="B27" s="39"/>
      <c r="C27" s="40" t="s">
        <v>682</v>
      </c>
      <c r="D27" s="35"/>
      <c r="E27" s="35"/>
      <c r="F27" s="41">
        <v>0</v>
      </c>
      <c r="G27" s="41">
        <f t="shared" si="0"/>
        <v>0</v>
      </c>
      <c r="H27" s="41">
        <f t="shared" si="1"/>
        <v>0</v>
      </c>
      <c r="I27" s="41">
        <f t="shared" si="2"/>
        <v>0</v>
      </c>
      <c r="J27" s="42">
        <f t="shared" si="3"/>
        <v>0</v>
      </c>
    </row>
    <row r="28" spans="1:10" s="1" customFormat="1" ht="30" customHeight="1" outlineLevel="1">
      <c r="A28" s="38"/>
      <c r="B28" s="39"/>
      <c r="C28" s="40" t="s">
        <v>105</v>
      </c>
      <c r="D28" s="35"/>
      <c r="E28" s="35"/>
      <c r="F28" s="41">
        <v>485208.40722503001</v>
      </c>
      <c r="G28" s="41">
        <f t="shared" si="0"/>
        <v>1940833.62890012</v>
      </c>
      <c r="H28" s="41">
        <f t="shared" si="1"/>
        <v>26.0282597644532</v>
      </c>
      <c r="I28" s="41">
        <f t="shared" si="2"/>
        <v>951.38903377456904</v>
      </c>
      <c r="J28" s="42">
        <f t="shared" si="3"/>
        <v>9.5686962569283603E-4</v>
      </c>
    </row>
    <row r="29" spans="1:10" s="1" customFormat="1" ht="30" customHeight="1">
      <c r="A29" s="33">
        <v>2</v>
      </c>
      <c r="B29" s="34" t="s">
        <v>683</v>
      </c>
      <c r="C29" s="35"/>
      <c r="D29" s="35"/>
      <c r="E29" s="35"/>
      <c r="F29" s="36">
        <f>SUBTOTAL(9,F30:F57)</f>
        <v>395423251.536277</v>
      </c>
      <c r="G29" s="36">
        <f>SUBTOTAL(9,G30:G57)</f>
        <v>1581693006.1451099</v>
      </c>
      <c r="H29" s="36">
        <f>SUBTOTAL(9,H30:H57)</f>
        <v>21211.8729903161</v>
      </c>
      <c r="I29" s="36">
        <f>SUBTOTAL(9,I30:I57)</f>
        <v>775339.70889466198</v>
      </c>
      <c r="J29" s="43">
        <f>SUBTOTAL(9,J30:J57)</f>
        <v>0.77980614732481801</v>
      </c>
    </row>
    <row r="30" spans="1:10" s="6" customFormat="1" ht="30" customHeight="1">
      <c r="A30" s="44"/>
      <c r="B30" s="34"/>
      <c r="C30" s="45" t="s">
        <v>684</v>
      </c>
      <c r="D30" s="46"/>
      <c r="E30" s="46"/>
      <c r="F30" s="36">
        <f>SUBTOTAL(9,F31:F36)</f>
        <v>182392002.994167</v>
      </c>
      <c r="G30" s="36">
        <f>SUBTOTAL(9,G31:G36)</f>
        <v>729568011.97666597</v>
      </c>
      <c r="H30" s="36">
        <f>SUBTOTAL(9,H31:H36)</f>
        <v>9784.1388611582006</v>
      </c>
      <c r="I30" s="36">
        <f>SUBTOTAL(9,I31:I36)</f>
        <v>357631.378419935</v>
      </c>
      <c r="J30" s="43">
        <f>SUBTOTAL(9,J31:J36)</f>
        <v>0.35969155735064101</v>
      </c>
    </row>
    <row r="31" spans="1:10" s="1" customFormat="1" ht="30" customHeight="1" outlineLevel="1">
      <c r="A31" s="47"/>
      <c r="B31" s="39"/>
      <c r="C31" s="40"/>
      <c r="D31" s="48" t="s">
        <v>111</v>
      </c>
      <c r="E31" s="35"/>
      <c r="F31" s="41">
        <v>7491722.5357142901</v>
      </c>
      <c r="G31" s="41">
        <f t="shared" ref="G31:G36" si="4">F31*$I$7</f>
        <v>29966890.142857101</v>
      </c>
      <c r="H31" s="41">
        <f t="shared" ref="H31:H36" si="5">F31/$I$5</f>
        <v>401.88194874443701</v>
      </c>
      <c r="I31" s="41">
        <f t="shared" ref="I31:I36" si="6">F31/$I$6</f>
        <v>14689.6520308123</v>
      </c>
      <c r="J31" s="42">
        <f t="shared" ref="J31:J36" si="7">F31/$F$59</f>
        <v>1.4774273552970099E-2</v>
      </c>
    </row>
    <row r="32" spans="1:10" s="1" customFormat="1" ht="30" customHeight="1" outlineLevel="1">
      <c r="A32" s="47"/>
      <c r="B32" s="39"/>
      <c r="C32" s="40"/>
      <c r="D32" s="48" t="s">
        <v>685</v>
      </c>
      <c r="E32" s="35"/>
      <c r="F32" s="41">
        <v>23906313.369285699</v>
      </c>
      <c r="G32" s="41">
        <f t="shared" si="4"/>
        <v>95625253.477142796</v>
      </c>
      <c r="H32" s="41">
        <f t="shared" si="5"/>
        <v>1282.4174625185401</v>
      </c>
      <c r="I32" s="41">
        <f t="shared" si="6"/>
        <v>46875.124253501403</v>
      </c>
      <c r="J32" s="42">
        <f t="shared" si="7"/>
        <v>4.7145154092012601E-2</v>
      </c>
    </row>
    <row r="33" spans="1:10" s="1" customFormat="1" ht="30" customHeight="1" outlineLevel="1">
      <c r="A33" s="47"/>
      <c r="B33" s="39"/>
      <c r="C33" s="40"/>
      <c r="D33" s="48" t="s">
        <v>137</v>
      </c>
      <c r="E33" s="35"/>
      <c r="F33" s="41">
        <v>6029812.3571428601</v>
      </c>
      <c r="G33" s="41">
        <f t="shared" si="4"/>
        <v>24119249.428571399</v>
      </c>
      <c r="H33" s="41">
        <f t="shared" si="5"/>
        <v>323.46002259156199</v>
      </c>
      <c r="I33" s="41">
        <f t="shared" si="6"/>
        <v>11823.1614845938</v>
      </c>
      <c r="J33" s="42">
        <f t="shared" si="7"/>
        <v>1.18912702402979E-2</v>
      </c>
    </row>
    <row r="34" spans="1:10" s="1" customFormat="1" ht="30" customHeight="1" outlineLevel="1">
      <c r="A34" s="47"/>
      <c r="B34" s="39"/>
      <c r="C34" s="40"/>
      <c r="D34" s="48" t="s">
        <v>140</v>
      </c>
      <c r="E34" s="35"/>
      <c r="F34" s="41">
        <v>26528675.777857099</v>
      </c>
      <c r="G34" s="41">
        <f t="shared" si="4"/>
        <v>106114703.11142901</v>
      </c>
      <c r="H34" s="41">
        <f t="shared" si="5"/>
        <v>1423.09006618837</v>
      </c>
      <c r="I34" s="41">
        <f t="shared" si="6"/>
        <v>52017.011329131601</v>
      </c>
      <c r="J34" s="42">
        <f t="shared" si="7"/>
        <v>5.2316661631775702E-2</v>
      </c>
    </row>
    <row r="35" spans="1:10" s="1" customFormat="1" ht="30" customHeight="1" outlineLevel="1">
      <c r="A35" s="47"/>
      <c r="B35" s="39"/>
      <c r="C35" s="40"/>
      <c r="D35" s="48" t="s">
        <v>686</v>
      </c>
      <c r="E35" s="35"/>
      <c r="F35" s="41">
        <v>79052512.975952402</v>
      </c>
      <c r="G35" s="41">
        <f t="shared" si="4"/>
        <v>316210051.90380901</v>
      </c>
      <c r="H35" s="41">
        <f t="shared" si="5"/>
        <v>4240.6506402858304</v>
      </c>
      <c r="I35" s="41">
        <f t="shared" si="6"/>
        <v>155004.92740382801</v>
      </c>
      <c r="J35" s="42">
        <f t="shared" si="7"/>
        <v>0.15589785208790899</v>
      </c>
    </row>
    <row r="36" spans="1:10" s="1" customFormat="1" ht="30" customHeight="1" outlineLevel="1">
      <c r="A36" s="47"/>
      <c r="B36" s="39"/>
      <c r="C36" s="40"/>
      <c r="D36" s="48" t="s">
        <v>687</v>
      </c>
      <c r="E36" s="35"/>
      <c r="F36" s="41">
        <v>39382965.978214301</v>
      </c>
      <c r="G36" s="41">
        <f t="shared" si="4"/>
        <v>157531863.912857</v>
      </c>
      <c r="H36" s="41">
        <f t="shared" si="5"/>
        <v>2112.63872082945</v>
      </c>
      <c r="I36" s="41">
        <f t="shared" si="6"/>
        <v>77221.501918067297</v>
      </c>
      <c r="J36" s="42">
        <f t="shared" si="7"/>
        <v>7.7666345745675394E-2</v>
      </c>
    </row>
    <row r="37" spans="1:10" s="6" customFormat="1" ht="30" customHeight="1">
      <c r="A37" s="44"/>
      <c r="B37" s="34"/>
      <c r="C37" s="45" t="s">
        <v>688</v>
      </c>
      <c r="D37" s="46"/>
      <c r="E37" s="46"/>
      <c r="F37" s="36">
        <f>SUBTOTAL(9,F38:F50)</f>
        <v>109308895.134248</v>
      </c>
      <c r="G37" s="36">
        <f>SUBTOTAL(9,G38:G50)</f>
        <v>437235580.53699201</v>
      </c>
      <c r="H37" s="36">
        <f>SUBTOTAL(9,H38:H50)</f>
        <v>5863.7077897953004</v>
      </c>
      <c r="I37" s="36">
        <f>SUBTOTAL(9,I38:I50)</f>
        <v>214331.166929898</v>
      </c>
      <c r="J37" s="43">
        <f>SUBTOTAL(9,J38:J50)</f>
        <v>0.215565847612151</v>
      </c>
    </row>
    <row r="38" spans="1:10" s="1" customFormat="1" ht="30" customHeight="1" outlineLevel="1">
      <c r="A38" s="47"/>
      <c r="B38" s="39"/>
      <c r="C38" s="40"/>
      <c r="D38" s="48" t="s">
        <v>173</v>
      </c>
      <c r="E38" s="35"/>
      <c r="F38" s="41">
        <v>21214196.836755801</v>
      </c>
      <c r="G38" s="41">
        <f t="shared" ref="G38:G50" si="8">F38*$I$7</f>
        <v>84856787.347023204</v>
      </c>
      <c r="H38" s="41">
        <f t="shared" ref="H38:H50" si="9">F38/$I$5</f>
        <v>1138.0030060056999</v>
      </c>
      <c r="I38" s="41">
        <f t="shared" ref="I38:I50" si="10">F38/$I$6</f>
        <v>41596.464385795698</v>
      </c>
      <c r="J38" s="42">
        <f t="shared" ref="J38:J50" si="11">F38/$F$59</f>
        <v>4.1836085863916801E-2</v>
      </c>
    </row>
    <row r="39" spans="1:10" s="1" customFormat="1" ht="30" customHeight="1" outlineLevel="1">
      <c r="A39" s="47"/>
      <c r="B39" s="39"/>
      <c r="C39" s="40"/>
      <c r="D39" s="48" t="s">
        <v>188</v>
      </c>
      <c r="E39" s="35"/>
      <c r="F39" s="41">
        <v>287785.71428571403</v>
      </c>
      <c r="G39" s="41">
        <f t="shared" si="8"/>
        <v>1151142.8571428601</v>
      </c>
      <c r="H39" s="41">
        <f t="shared" si="9"/>
        <v>15.437822627119701</v>
      </c>
      <c r="I39" s="41">
        <f t="shared" si="10"/>
        <v>564.28571428571399</v>
      </c>
      <c r="J39" s="42">
        <f t="shared" si="11"/>
        <v>5.67536350582244E-4</v>
      </c>
    </row>
    <row r="40" spans="1:10" s="1" customFormat="1" ht="30" customHeight="1" outlineLevel="1">
      <c r="A40" s="47"/>
      <c r="B40" s="39"/>
      <c r="C40" s="40"/>
      <c r="D40" s="48" t="s">
        <v>190</v>
      </c>
      <c r="E40" s="35"/>
      <c r="F40" s="41">
        <v>15011112.3095238</v>
      </c>
      <c r="G40" s="41">
        <f t="shared" si="8"/>
        <v>60044449.238095202</v>
      </c>
      <c r="H40" s="41">
        <f t="shared" si="9"/>
        <v>805.24806398183603</v>
      </c>
      <c r="I40" s="41">
        <f t="shared" si="10"/>
        <v>29433.5535480859</v>
      </c>
      <c r="J40" s="42">
        <f t="shared" si="11"/>
        <v>2.9603109103147899E-2</v>
      </c>
    </row>
    <row r="41" spans="1:10" s="1" customFormat="1" ht="30" customHeight="1" outlineLevel="1">
      <c r="A41" s="47"/>
      <c r="B41" s="39"/>
      <c r="C41" s="40"/>
      <c r="D41" s="48" t="s">
        <v>195</v>
      </c>
      <c r="E41" s="35"/>
      <c r="F41" s="41">
        <v>3653620.9821428601</v>
      </c>
      <c r="G41" s="41">
        <f t="shared" si="8"/>
        <v>14614483.928571399</v>
      </c>
      <c r="H41" s="41">
        <f t="shared" si="9"/>
        <v>195.99288591874401</v>
      </c>
      <c r="I41" s="41">
        <f t="shared" si="10"/>
        <v>7163.9627100840398</v>
      </c>
      <c r="J41" s="42">
        <f t="shared" si="11"/>
        <v>7.2052315861566201E-3</v>
      </c>
    </row>
    <row r="42" spans="1:10" s="1" customFormat="1" ht="30" customHeight="1" outlineLevel="1">
      <c r="A42" s="47"/>
      <c r="B42" s="39"/>
      <c r="C42" s="40"/>
      <c r="D42" s="48" t="s">
        <v>201</v>
      </c>
      <c r="E42" s="35"/>
      <c r="F42" s="41">
        <v>1732566.5286999999</v>
      </c>
      <c r="G42" s="41">
        <f t="shared" si="8"/>
        <v>6930266.1147999996</v>
      </c>
      <c r="H42" s="41">
        <f t="shared" si="9"/>
        <v>92.940870349111705</v>
      </c>
      <c r="I42" s="41">
        <f t="shared" si="10"/>
        <v>3397.1892719607799</v>
      </c>
      <c r="J42" s="42">
        <f t="shared" si="11"/>
        <v>3.4167591927899798E-3</v>
      </c>
    </row>
    <row r="43" spans="1:10" s="1" customFormat="1" ht="30" customHeight="1" outlineLevel="1">
      <c r="A43" s="47"/>
      <c r="B43" s="39"/>
      <c r="C43" s="40"/>
      <c r="D43" s="48" t="s">
        <v>208</v>
      </c>
      <c r="E43" s="35"/>
      <c r="F43" s="41">
        <v>9392791.6666666698</v>
      </c>
      <c r="G43" s="41">
        <f t="shared" si="8"/>
        <v>37571166.666666701</v>
      </c>
      <c r="H43" s="41">
        <f t="shared" si="9"/>
        <v>503.86188238491701</v>
      </c>
      <c r="I43" s="41">
        <f t="shared" si="10"/>
        <v>18417.238562091501</v>
      </c>
      <c r="J43" s="42">
        <f t="shared" si="11"/>
        <v>1.8523333298563E-2</v>
      </c>
    </row>
    <row r="44" spans="1:10" s="1" customFormat="1" ht="30" customHeight="1" outlineLevel="1">
      <c r="A44" s="47"/>
      <c r="B44" s="39"/>
      <c r="C44" s="40"/>
      <c r="D44" s="48" t="s">
        <v>218</v>
      </c>
      <c r="E44" s="35"/>
      <c r="F44" s="41">
        <v>3166706.3392857099</v>
      </c>
      <c r="G44" s="41">
        <f t="shared" si="8"/>
        <v>12666825.357142899</v>
      </c>
      <c r="H44" s="41">
        <f t="shared" si="9"/>
        <v>169.87309776444701</v>
      </c>
      <c r="I44" s="41">
        <f t="shared" si="10"/>
        <v>6209.2281162464897</v>
      </c>
      <c r="J44" s="42">
        <f t="shared" si="11"/>
        <v>6.2449971278962998E-3</v>
      </c>
    </row>
    <row r="45" spans="1:10" s="1" customFormat="1" ht="30" customHeight="1" outlineLevel="1">
      <c r="A45" s="47"/>
      <c r="B45" s="39"/>
      <c r="C45" s="40"/>
      <c r="D45" s="48" t="s">
        <v>232</v>
      </c>
      <c r="E45" s="35"/>
      <c r="F45" s="41">
        <v>12890055.911428601</v>
      </c>
      <c r="G45" s="41">
        <f t="shared" si="8"/>
        <v>51560223.645714298</v>
      </c>
      <c r="H45" s="41">
        <f t="shared" si="9"/>
        <v>691.46725127824902</v>
      </c>
      <c r="I45" s="41">
        <f t="shared" si="10"/>
        <v>25274.619434173699</v>
      </c>
      <c r="J45" s="42">
        <f t="shared" si="11"/>
        <v>2.5420216944856199E-2</v>
      </c>
    </row>
    <row r="46" spans="1:10" s="1" customFormat="1" ht="30" customHeight="1" outlineLevel="1">
      <c r="A46" s="47"/>
      <c r="B46" s="39"/>
      <c r="C46" s="40"/>
      <c r="D46" s="48" t="s">
        <v>242</v>
      </c>
      <c r="E46" s="35"/>
      <c r="F46" s="41">
        <v>18454267.678571399</v>
      </c>
      <c r="G46" s="41">
        <f t="shared" si="8"/>
        <v>73817070.714285702</v>
      </c>
      <c r="H46" s="41">
        <f t="shared" si="9"/>
        <v>989.95084534435898</v>
      </c>
      <c r="I46" s="41">
        <f t="shared" si="10"/>
        <v>36184.838585434103</v>
      </c>
      <c r="J46" s="42">
        <f t="shared" si="11"/>
        <v>3.6393285736783298E-2</v>
      </c>
    </row>
    <row r="47" spans="1:10" s="1" customFormat="1" ht="30" customHeight="1" outlineLevel="1">
      <c r="A47" s="47"/>
      <c r="B47" s="39"/>
      <c r="C47" s="40"/>
      <c r="D47" s="48" t="s">
        <v>248</v>
      </c>
      <c r="E47" s="35"/>
      <c r="F47" s="41">
        <v>9212243.8828125</v>
      </c>
      <c r="G47" s="41">
        <f t="shared" si="8"/>
        <v>36848975.53125</v>
      </c>
      <c r="H47" s="41">
        <f t="shared" si="9"/>
        <v>494.17667382695203</v>
      </c>
      <c r="I47" s="41">
        <f t="shared" si="10"/>
        <v>18063.223299632398</v>
      </c>
      <c r="J47" s="42">
        <f t="shared" si="11"/>
        <v>1.81672786882477E-2</v>
      </c>
    </row>
    <row r="48" spans="1:10" s="1" customFormat="1" ht="30" customHeight="1" outlineLevel="1">
      <c r="A48" s="47"/>
      <c r="B48" s="39"/>
      <c r="C48" s="40"/>
      <c r="D48" s="48" t="s">
        <v>252</v>
      </c>
      <c r="E48" s="35"/>
      <c r="F48" s="41">
        <v>7285714.2857142901</v>
      </c>
      <c r="G48" s="41">
        <f t="shared" si="8"/>
        <v>29142857.142857101</v>
      </c>
      <c r="H48" s="41">
        <f t="shared" si="9"/>
        <v>390.83095258530898</v>
      </c>
      <c r="I48" s="41">
        <f t="shared" si="10"/>
        <v>14285.714285714301</v>
      </c>
      <c r="J48" s="42">
        <f t="shared" si="11"/>
        <v>1.43680088754999E-2</v>
      </c>
    </row>
    <row r="49" spans="1:10" s="1" customFormat="1" ht="30" customHeight="1" outlineLevel="1">
      <c r="A49" s="47"/>
      <c r="B49" s="39"/>
      <c r="C49" s="40"/>
      <c r="D49" s="48" t="s">
        <v>254</v>
      </c>
      <c r="E49" s="35"/>
      <c r="F49" s="41">
        <v>383754.098360656</v>
      </c>
      <c r="G49" s="41">
        <f t="shared" si="8"/>
        <v>1535016.3934426201</v>
      </c>
      <c r="H49" s="41">
        <f t="shared" si="9"/>
        <v>20.585899191091801</v>
      </c>
      <c r="I49" s="41">
        <f t="shared" si="10"/>
        <v>752.45901639344299</v>
      </c>
      <c r="J49" s="42">
        <f t="shared" si="11"/>
        <v>7.5679364781936203E-4</v>
      </c>
    </row>
    <row r="50" spans="1:10" s="1" customFormat="1" ht="30" customHeight="1" outlineLevel="1">
      <c r="A50" s="47"/>
      <c r="B50" s="39"/>
      <c r="C50" s="40"/>
      <c r="D50" s="48" t="s">
        <v>256</v>
      </c>
      <c r="E50" s="35"/>
      <c r="F50" s="41">
        <v>6624078.9000000004</v>
      </c>
      <c r="G50" s="41">
        <f t="shared" si="8"/>
        <v>26496315.600000001</v>
      </c>
      <c r="H50" s="41">
        <f t="shared" si="9"/>
        <v>355.33853853746501</v>
      </c>
      <c r="I50" s="41">
        <f t="shared" si="10"/>
        <v>12988.39</v>
      </c>
      <c r="J50" s="42">
        <f t="shared" si="11"/>
        <v>1.30632111958917E-2</v>
      </c>
    </row>
    <row r="51" spans="1:10" s="6" customFormat="1" ht="30" customHeight="1">
      <c r="A51" s="44"/>
      <c r="B51" s="34"/>
      <c r="C51" s="45" t="s">
        <v>689</v>
      </c>
      <c r="D51" s="46"/>
      <c r="E51" s="46"/>
      <c r="F51" s="36">
        <f>SUBTOTAL(9,F52:F57)</f>
        <v>103722353.40786301</v>
      </c>
      <c r="G51" s="36">
        <f>SUBTOTAL(9,G52:G57)</f>
        <v>414889413.63145101</v>
      </c>
      <c r="H51" s="36">
        <f>SUBTOTAL(9,H52:H57)</f>
        <v>5564.0263393626501</v>
      </c>
      <c r="I51" s="36">
        <f>SUBTOTAL(9,I52:I57)</f>
        <v>203377.163544829</v>
      </c>
      <c r="J51" s="43">
        <f>SUBTOTAL(9,J52:J57)</f>
        <v>0.204548742362026</v>
      </c>
    </row>
    <row r="52" spans="1:10" s="1" customFormat="1" ht="30" customHeight="1" outlineLevel="1">
      <c r="A52" s="47"/>
      <c r="B52" s="39"/>
      <c r="C52" s="40"/>
      <c r="D52" s="48" t="s">
        <v>690</v>
      </c>
      <c r="E52" s="35"/>
      <c r="F52" s="41">
        <v>11903578.08525</v>
      </c>
      <c r="G52" s="41">
        <f t="shared" ref="G52:G58" si="12">F52*$I$7</f>
        <v>47614312.341000199</v>
      </c>
      <c r="H52" s="41">
        <f t="shared" ref="H52:H57" si="13">F52/$I$5</f>
        <v>638.54916344358901</v>
      </c>
      <c r="I52" s="41">
        <f t="shared" ref="I52:I58" si="14">F52/$I$6</f>
        <v>23340.349186764699</v>
      </c>
      <c r="J52" s="42">
        <f t="shared" ref="J52:J58" si="15">F52/$F$59</f>
        <v>2.34748040990891E-2</v>
      </c>
    </row>
    <row r="53" spans="1:10" s="1" customFormat="1" ht="30" customHeight="1" outlineLevel="1">
      <c r="A53" s="47"/>
      <c r="B53" s="39"/>
      <c r="C53" s="40"/>
      <c r="D53" s="48" t="s">
        <v>691</v>
      </c>
      <c r="E53" s="35"/>
      <c r="F53" s="41">
        <v>35519215.210682802</v>
      </c>
      <c r="G53" s="41">
        <f t="shared" si="12"/>
        <v>142076860.842731</v>
      </c>
      <c r="H53" s="41">
        <f t="shared" si="13"/>
        <v>1905.3737453159999</v>
      </c>
      <c r="I53" s="41">
        <f t="shared" si="14"/>
        <v>69645.5200209467</v>
      </c>
      <c r="J53" s="42">
        <f t="shared" si="15"/>
        <v>7.0046721485983496E-2</v>
      </c>
    </row>
    <row r="54" spans="1:10" s="1" customFormat="1" ht="30" customHeight="1" outlineLevel="1">
      <c r="A54" s="47"/>
      <c r="B54" s="39"/>
      <c r="C54" s="40"/>
      <c r="D54" s="48" t="s">
        <v>692</v>
      </c>
      <c r="E54" s="35"/>
      <c r="F54" s="41">
        <v>9228082.2370286994</v>
      </c>
      <c r="G54" s="41">
        <f t="shared" si="12"/>
        <v>36912328.948114797</v>
      </c>
      <c r="H54" s="41">
        <f t="shared" si="13"/>
        <v>495.02629801244001</v>
      </c>
      <c r="I54" s="41">
        <f t="shared" si="14"/>
        <v>18094.2788961347</v>
      </c>
      <c r="J54" s="42">
        <f t="shared" si="15"/>
        <v>1.8198513184280299E-2</v>
      </c>
    </row>
    <row r="55" spans="1:10" s="1" customFormat="1" ht="30" customHeight="1" outlineLevel="1">
      <c r="A55" s="47"/>
      <c r="B55" s="39"/>
      <c r="C55" s="40"/>
      <c r="D55" s="48" t="s">
        <v>693</v>
      </c>
      <c r="E55" s="35"/>
      <c r="F55" s="41">
        <v>29660449.6266663</v>
      </c>
      <c r="G55" s="41">
        <f t="shared" si="12"/>
        <v>118641798.50666501</v>
      </c>
      <c r="H55" s="41">
        <f t="shared" si="13"/>
        <v>1591.0892641547</v>
      </c>
      <c r="I55" s="41">
        <f t="shared" si="14"/>
        <v>58157.744366012397</v>
      </c>
      <c r="J55" s="42">
        <f t="shared" si="15"/>
        <v>5.8492769106094203E-2</v>
      </c>
    </row>
    <row r="56" spans="1:10" s="1" customFormat="1" ht="30" customHeight="1" outlineLevel="1">
      <c r="A56" s="47"/>
      <c r="B56" s="39"/>
      <c r="C56" s="40"/>
      <c r="D56" s="48" t="s">
        <v>694</v>
      </c>
      <c r="E56" s="35"/>
      <c r="F56" s="41">
        <v>12378885.391092099</v>
      </c>
      <c r="G56" s="41">
        <f t="shared" si="12"/>
        <v>49515541.5643683</v>
      </c>
      <c r="H56" s="41">
        <f t="shared" si="13"/>
        <v>664.04629383165104</v>
      </c>
      <c r="I56" s="41">
        <f t="shared" si="14"/>
        <v>24272.324296259001</v>
      </c>
      <c r="J56" s="42">
        <f t="shared" si="15"/>
        <v>2.44121479642362E-2</v>
      </c>
    </row>
    <row r="57" spans="1:10" s="1" customFormat="1" ht="30" customHeight="1" outlineLevel="1">
      <c r="A57" s="47"/>
      <c r="B57" s="39"/>
      <c r="C57" s="40"/>
      <c r="D57" s="48" t="s">
        <v>695</v>
      </c>
      <c r="E57" s="35"/>
      <c r="F57" s="41">
        <v>5032142.8571428601</v>
      </c>
      <c r="G57" s="41">
        <f t="shared" si="12"/>
        <v>20128571.4285715</v>
      </c>
      <c r="H57" s="41">
        <f t="shared" si="13"/>
        <v>269.94157460426499</v>
      </c>
      <c r="I57" s="41">
        <f t="shared" si="14"/>
        <v>9866.94677871149</v>
      </c>
      <c r="J57" s="42">
        <f t="shared" si="15"/>
        <v>9.9237865223427996E-3</v>
      </c>
    </row>
    <row r="58" spans="1:10" s="6" customFormat="1" ht="30" customHeight="1">
      <c r="A58" s="44"/>
      <c r="B58" s="49"/>
      <c r="C58" s="50" t="s">
        <v>696</v>
      </c>
      <c r="D58" s="51"/>
      <c r="E58" s="52"/>
      <c r="F58" s="53">
        <f>169292124.271084/4</f>
        <v>42323031.067771003</v>
      </c>
      <c r="G58" s="36">
        <f t="shared" si="12"/>
        <v>169292124.27108401</v>
      </c>
      <c r="H58" s="36">
        <f>G58/$I$8</f>
        <v>8553.5632715786196</v>
      </c>
      <c r="I58" s="36">
        <f t="shared" si="14"/>
        <v>82986.335427002006</v>
      </c>
      <c r="J58" s="43">
        <f t="shared" si="15"/>
        <v>8.3464388277226007E-2</v>
      </c>
    </row>
    <row r="59" spans="1:10" s="1" customFormat="1" ht="30" customHeight="1">
      <c r="A59" s="54"/>
      <c r="B59" s="399" t="s">
        <v>648</v>
      </c>
      <c r="C59" s="400"/>
      <c r="D59" s="400"/>
      <c r="E59" s="55"/>
      <c r="F59" s="56">
        <f>SUBTOTAL(9,F11:F58)</f>
        <v>507078910.435377</v>
      </c>
      <c r="G59" s="56">
        <f>SUBTOTAL(9,G11:G58)</f>
        <v>2028315641.7415099</v>
      </c>
      <c r="H59" s="56">
        <f>SUBTOTAL(9,H11:H58)</f>
        <v>33484.678592559903</v>
      </c>
      <c r="I59" s="56">
        <f>SUBTOTAL(9,I11:I58)</f>
        <v>994272.37340269901</v>
      </c>
      <c r="J59" s="57">
        <f>SUBTOTAL(9,J11:J58)</f>
        <v>1</v>
      </c>
    </row>
    <row r="60" spans="1:10" s="1" customFormat="1" ht="30" customHeight="1">
      <c r="A60" s="58"/>
      <c r="B60" s="59"/>
      <c r="C60" s="60" t="s">
        <v>650</v>
      </c>
      <c r="D60" s="61"/>
      <c r="E60" s="62">
        <v>0.02</v>
      </c>
      <c r="F60" s="63">
        <f>$E$60*(F59-F11)</f>
        <v>8754925.6520809699</v>
      </c>
      <c r="G60" s="63">
        <f>$E$60*(G59-G11)</f>
        <v>35019702.608323902</v>
      </c>
      <c r="H60" s="63">
        <f>$E$60*(H59-H11)</f>
        <v>595.30872523789503</v>
      </c>
      <c r="I60" s="63">
        <f>$E$60*(I59-I11)</f>
        <v>17166.5208864333</v>
      </c>
      <c r="J60" s="64"/>
    </row>
    <row r="61" spans="1:10" s="1" customFormat="1" ht="30" customHeight="1">
      <c r="A61" s="58"/>
      <c r="B61" s="59"/>
      <c r="C61" s="60" t="s">
        <v>651</v>
      </c>
      <c r="D61" s="61"/>
      <c r="E61" s="65"/>
      <c r="F61" s="63"/>
      <c r="G61" s="63"/>
      <c r="H61" s="63"/>
      <c r="I61" s="63"/>
      <c r="J61" s="64"/>
    </row>
    <row r="62" spans="1:10" s="1" customFormat="1" ht="30" customHeight="1">
      <c r="A62" s="58"/>
      <c r="B62" s="59"/>
      <c r="C62" s="60" t="s">
        <v>652</v>
      </c>
      <c r="D62" s="61"/>
      <c r="E62" s="62">
        <v>0.05</v>
      </c>
      <c r="F62" s="63">
        <f>F59*$E$62</f>
        <v>25353945.521768801</v>
      </c>
      <c r="G62" s="63">
        <f>G59*$E$62</f>
        <v>101415782.087075</v>
      </c>
      <c r="H62" s="63">
        <f>H59*$E$62</f>
        <v>1674.2339296279999</v>
      </c>
      <c r="I62" s="63">
        <f>I59*$E$62</f>
        <v>49713.6186701349</v>
      </c>
      <c r="J62" s="64"/>
    </row>
    <row r="63" spans="1:10" s="1" customFormat="1" ht="30" customHeight="1">
      <c r="A63" s="58"/>
      <c r="B63" s="59"/>
      <c r="C63" s="60" t="s">
        <v>653</v>
      </c>
      <c r="D63" s="61"/>
      <c r="E63" s="62">
        <v>0.153201208916702</v>
      </c>
      <c r="F63" s="63">
        <f>F59*$E$63</f>
        <v>77685102.094863698</v>
      </c>
      <c r="G63" s="63">
        <f>G59*$E$63</f>
        <v>310740408.37945497</v>
      </c>
      <c r="H63" s="63">
        <f>H59*$E$63</f>
        <v>5129.8932405674004</v>
      </c>
      <c r="I63" s="63">
        <f>I59*$E$63</f>
        <v>152323.72959777201</v>
      </c>
      <c r="J63" s="64"/>
    </row>
    <row r="64" spans="1:10" s="1" customFormat="1" ht="30" customHeight="1">
      <c r="A64" s="54"/>
      <c r="B64" s="399" t="s">
        <v>654</v>
      </c>
      <c r="C64" s="400"/>
      <c r="D64" s="400"/>
      <c r="E64" s="66"/>
      <c r="F64" s="67">
        <f>F59+F60+F61+F62+F63</f>
        <v>618872883.70409</v>
      </c>
      <c r="G64" s="67">
        <f>G59+G60+G61+G62+G63</f>
        <v>2475491534.81636</v>
      </c>
      <c r="H64" s="67">
        <f>H59+H60+H61+H62+H63</f>
        <v>40884.114487993204</v>
      </c>
      <c r="I64" s="67">
        <f>I59+I60+I61+I62+I63</f>
        <v>1213476.24255704</v>
      </c>
      <c r="J64" s="68"/>
    </row>
    <row r="65" spans="1:10" s="1" customFormat="1" ht="30" customHeight="1">
      <c r="A65" s="58"/>
      <c r="B65" s="59"/>
      <c r="C65" s="60" t="s">
        <v>655</v>
      </c>
      <c r="D65" s="61"/>
      <c r="E65" s="62">
        <v>0.12</v>
      </c>
      <c r="F65" s="63">
        <f>F64*$E$65</f>
        <v>74264746.044490799</v>
      </c>
      <c r="G65" s="63">
        <f>G64*$E$65</f>
        <v>297058984.17796302</v>
      </c>
      <c r="H65" s="63">
        <f>H64*$E$65</f>
        <v>4906.0937385591897</v>
      </c>
      <c r="I65" s="63">
        <f>I64*$E$65</f>
        <v>145617.149106845</v>
      </c>
      <c r="J65" s="64"/>
    </row>
    <row r="66" spans="1:10" s="1" customFormat="1" ht="35.25" customHeight="1">
      <c r="A66" s="69"/>
      <c r="B66" s="399" t="s">
        <v>656</v>
      </c>
      <c r="C66" s="400"/>
      <c r="D66" s="400"/>
      <c r="E66" s="66"/>
      <c r="F66" s="70">
        <f>F64+F65</f>
        <v>693137629.74858105</v>
      </c>
      <c r="G66" s="70">
        <f>G64+G65</f>
        <v>2772550518.9943199</v>
      </c>
      <c r="H66" s="70">
        <f>H64+H65</f>
        <v>45790.2082265524</v>
      </c>
      <c r="I66" s="71">
        <f>I64+I65</f>
        <v>1359093.3916638801</v>
      </c>
      <c r="J66" s="72"/>
    </row>
    <row r="67" spans="1:10" s="1" customFormat="1" ht="25.2" customHeight="1">
      <c r="A67" s="73"/>
      <c r="B67" s="74"/>
      <c r="C67" s="74"/>
      <c r="D67" s="74"/>
      <c r="E67" s="74"/>
      <c r="F67" s="75"/>
      <c r="G67" s="76"/>
      <c r="H67" s="77"/>
      <c r="I67" s="78"/>
      <c r="J67" s="77"/>
    </row>
    <row r="68" spans="1:10" s="1" customFormat="1" ht="30" customHeight="1">
      <c r="E68" s="79"/>
      <c r="F68" s="80"/>
      <c r="G68" s="80"/>
      <c r="H68" s="75"/>
      <c r="I68" s="75"/>
    </row>
    <row r="69" spans="1:10" s="1" customFormat="1" ht="30" customHeight="1">
      <c r="E69" s="79"/>
      <c r="F69" s="80"/>
      <c r="G69" s="80"/>
      <c r="H69" s="75"/>
      <c r="I69" s="75"/>
    </row>
    <row r="70" spans="1:10" s="7" customFormat="1" ht="30" customHeight="1">
      <c r="A70" s="81"/>
      <c r="B70" s="7" t="s">
        <v>657</v>
      </c>
      <c r="D70" s="81"/>
      <c r="F70" s="7" t="s">
        <v>658</v>
      </c>
      <c r="G70" s="82"/>
    </row>
    <row r="71" spans="1:10" s="1" customFormat="1" ht="30" customHeight="1">
      <c r="B71" s="8"/>
      <c r="C71" s="83"/>
      <c r="D71" s="84"/>
      <c r="F71" s="8"/>
      <c r="G71" s="85"/>
    </row>
    <row r="72" spans="1:10" ht="30" customHeight="1">
      <c r="D72" s="86"/>
      <c r="G72" s="79"/>
    </row>
    <row r="73" spans="1:10" ht="30" customHeight="1">
      <c r="B73" s="87" t="s">
        <v>659</v>
      </c>
      <c r="F73" s="87" t="s">
        <v>660</v>
      </c>
      <c r="G73" s="79"/>
      <c r="I73" s="87" t="s">
        <v>661</v>
      </c>
    </row>
    <row r="74" spans="1:10" ht="30" customHeight="1">
      <c r="B74" s="88" t="s">
        <v>662</v>
      </c>
      <c r="F74" s="88" t="s">
        <v>663</v>
      </c>
      <c r="G74" s="79"/>
      <c r="I74" s="88" t="s">
        <v>664</v>
      </c>
    </row>
    <row r="75" spans="1:10" ht="30" customHeight="1">
      <c r="G75" s="1"/>
    </row>
    <row r="76" spans="1:10" ht="30" customHeight="1"/>
    <row r="77" spans="1:10" ht="30" customHeight="1"/>
    <row r="78" spans="1:10" ht="30" customHeight="1"/>
    <row r="79" spans="1:10" ht="30" customHeight="1"/>
    <row r="80" spans="1:1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</sheetData>
  <mergeCells count="3">
    <mergeCell ref="B59:D59"/>
    <mergeCell ref="B64:D64"/>
    <mergeCell ref="B66:D66"/>
  </mergeCells>
  <printOptions horizontalCentered="1"/>
  <pageMargins left="0.69930555555555596" right="0.69930555555555596" top="0.69930555555555596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BCB Breakdown</vt:lpstr>
      <vt:lpstr>Bid Summary</vt:lpstr>
      <vt:lpstr>'BCB Breakdown'!Print_Area</vt:lpstr>
      <vt:lpstr>'Bid Summary'!Print_Area</vt:lpstr>
      <vt:lpstr>'BCB Breakdown'!Print_Titles</vt:lpstr>
      <vt:lpstr>'Bid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Rotoni, Janesa Ann</dc:creator>
  <cp:lastModifiedBy>Goles, Mark Anthony</cp:lastModifiedBy>
  <dcterms:created xsi:type="dcterms:W3CDTF">2026-05-18T09:22:00Z</dcterms:created>
  <dcterms:modified xsi:type="dcterms:W3CDTF">2026-10-05T08:21:44Z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AD8875B64CF348AF9E700C7170697CC5_12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